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 Coverage" sheetId="2" state="visible" r:id="rId4"/>
    <sheet name="02 Losses" sheetId="3" state="visible" r:id="rId5"/>
    <sheet name="02b Segments" sheetId="4" state="visible" r:id="rId6"/>
    <sheet name="01b Bench runs" sheetId="5" state="visible" r:id="rId7"/>
    <sheet name="03 Jump sim" sheetId="6" state="visible" r:id="rId8"/>
    <sheet name="raw_reacquire" sheetId="7" state="visible" r:id="rId9"/>
    <sheet name="04 V1 vs V2" sheetId="8" state="visible" r:id="rId10"/>
    <sheet name="04b Summary" sheetId="9" state="visible" r:id="rId11"/>
    <sheet name="05 Stand steps" sheetId="10" state="visible" r:id="rId12"/>
    <sheet name="06 Per hole" sheetId="11" state="visible" r:id="rId13"/>
    <sheet name="raw_stand_bench" sheetId="12" state="visible" r:id="rId14"/>
    <sheet name="07 Commits" sheetId="13" state="visible" r:id="rId15"/>
    <sheet name="raw_commits" sheetId="14" state="visible" r:id="rId16"/>
    <sheet name="08 Latency dist" sheetId="15" state="visible" r:id="rId17"/>
    <sheet name="09 Reliability" sheetId="16" state="visible" r:id="rId18"/>
    <sheet name="10 Stand dist" sheetId="17" state="visible" r:id="rId19"/>
    <sheet name="11 Jump dist" sheetId="18" state="visible" r:id="rId20"/>
    <sheet name="raw_jump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<sst xmlns="http://schemas.openxmlformats.org/spreadsheetml/2006/main" count="1487" uniqueCount="475">
  <si>
    <t xml:space="preserve">Tracker development charts: data and Excel charts</t>
  </si>
  <si>
    <t xml:space="preserve">One sheet per slide chart (01-07), data on the left, chart on the right. Footnote under each table names the source.</t>
  </si>
  <si>
    <t xml:space="preserve">Black numbers are copied from the bench logs (docs/*.md) or raw CSVs; formula cells (two-box of active, histogram counts, totals) recalculate.</t>
  </si>
  <si>
    <t xml:space="preserve">Raw recordings for 01/02 (22-23 Sep) are lost: results/*.csv was gitignored. Their numbers come from the bench logs only.</t>
  </si>
  <si>
    <t xml:space="preserve">Charts 03, 05, 06 are simulation results, not hardware. Keep that note on the slide.</t>
  </si>
  <si>
    <t xml:space="preserve">Raw sheets: raw_reacquire (one row per loss, chart 04), raw_stand_bench (chart 05/06), raw_commits (chart 07).</t>
  </si>
  <si>
    <t xml:space="preserve">Regenerate CSVs: docs/graph_v2/data/*.csv. PNG versions: python3 docs/graph_v2/make_graphs.py</t>
  </si>
  <si>
    <t xml:space="preserve">Sheets 08-11: distributions and tests (match PNG charts 08-11). Formulas read raw_reacquire, raw_stand_bench, raw_jump.</t>
  </si>
  <si>
    <t xml:space="preserve">08 Latency dist and 09 Reliability are hardware (field, three boxes); 10 Stand dist and 11 Jump dist are simulation.</t>
  </si>
  <si>
    <t xml:space="preserve">Typed numbers on those sheets (bootstrap CI, permutation, Mann-Whitney, Levene, Shapiro p) come from scipy in make_graphs.py; the note beside each says so.</t>
  </si>
  <si>
    <t xml:space="preserve">Run</t>
  </si>
  <si>
    <t xml:space="preserve">Date</t>
  </si>
  <si>
    <t xml:space="preserve">Player_on_screen_pct</t>
  </si>
  <si>
    <t xml:space="preserve">Two_box_pct_of_spots</t>
  </si>
  <si>
    <t xml:space="preserve">Recording</t>
  </si>
  <si>
    <t xml:space="preserve">Window_s</t>
  </si>
  <si>
    <t xml:space="preserve">Fixes_per_s</t>
  </si>
  <si>
    <t xml:space="preserve">Source</t>
  </si>
  <si>
    <t xml:space="preserve">Two_box_pct_of_active</t>
  </si>
  <si>
    <t xml:space="preserve">Run 10</t>
  </si>
  <si>
    <t xml:space="preserve">2026-09-22</t>
  </si>
  <si>
    <t xml:space="preserve">bench-live10</t>
  </si>
  <si>
    <t xml:space="preserve">whole</t>
  </si>
  <si>
    <t xml:space="preserve">docs/mvp1-bench-log-2026-09-22.md:51</t>
  </si>
  <si>
    <t xml:space="preserve">Run 15</t>
  </si>
  <si>
    <t xml:space="preserve">bench-live15</t>
  </si>
  <si>
    <t xml:space="preserve">docs/mvp1-bench-log-2026-09-22.md:53</t>
  </si>
  <si>
    <t xml:space="preserve">Run 18</t>
  </si>
  <si>
    <t xml:space="preserve">bench-live18</t>
  </si>
  <si>
    <t xml:space="preserve">docs/mvp1-bench-log-2026-09-22.md:55</t>
  </si>
  <si>
    <t xml:space="preserve">Paired</t>
  </si>
  <si>
    <t xml:space="preserve">2026-09-23</t>
  </si>
  <si>
    <t xml:space="preserve">uni-field15-run2</t>
  </si>
  <si>
    <t xml:space="preserve">docs/mvp1-bench-log-2026-09-23.md:42</t>
  </si>
  <si>
    <t xml:space="preserve">Swarm 1</t>
  </si>
  <si>
    <t xml:space="preserve">swarm-run1</t>
  </si>
  <si>
    <t xml:space="preserve">docs/mvp1-bench-log-2026-09-23.md:43</t>
  </si>
  <si>
    <t xml:space="preserve">Swarm 2</t>
  </si>
  <si>
    <t xml:space="preserve">swarm-run2</t>
  </si>
  <si>
    <t xml:space="preserve">415-483</t>
  </si>
  <si>
    <t xml:space="preserve">docs/mvp1-bench-log-2026-09-23.md:45</t>
  </si>
  <si>
    <t xml:space="preserve">Swarm 3</t>
  </si>
  <si>
    <t xml:space="preserve">swarm-run3</t>
  </si>
  <si>
    <t xml:space="preserve">40-266</t>
  </si>
  <si>
    <t xml:space="preserve">docs/mvp1-bench-log-2026-09-23.md:47</t>
  </si>
  <si>
    <t xml:space="preserve">Two-box % of spots = share of on-screen time where both boxes agreed within 0.30 m. Column I = C x D / 100 (share of active time). Swarm 2/3 are time windows, not whole runs.</t>
  </si>
  <si>
    <t xml:space="preserve">Situation</t>
  </si>
  <si>
    <t xml:space="preserve">Losses_per_min</t>
  </si>
  <si>
    <t xml:space="preserve">Reacquire_median_s</t>
  </si>
  <si>
    <t xml:space="preserve">Reacquire_p90_s</t>
  </si>
  <si>
    <t xml:space="preserve">Jitter_x_cm</t>
  </si>
  <si>
    <t xml:space="preserve">Jitter_y_cm</t>
  </si>
  <si>
    <t xml:space="preserve">Paired tracker</t>
  </si>
  <si>
    <t xml:space="preserve">docs/mvp1-bench-log-2026-09-23.md</t>
  </si>
  <si>
    <t xml:space="preserve">First swarm run</t>
  </si>
  <si>
    <t xml:space="preserve">Box 1 levelled</t>
  </si>
  <si>
    <t xml:space="preserve">No prediction</t>
  </si>
  <si>
    <t xml:space="preserve">Source: docs/mvp1-bench-log-2026-09-23.md. Full segment table on sheet 02b.</t>
  </si>
  <si>
    <t xml:space="preserve">Dot_pct</t>
  </si>
  <si>
    <t xml:space="preserve">Echo_node0_pct</t>
  </si>
  <si>
    <t xml:space="preserve">Echo_node1_pct</t>
  </si>
  <si>
    <t xml:space="preserve">paired tracker, 1.5 m apart</t>
  </si>
  <si>
    <t xml:space="preserve">first swarm run, walking</t>
  </si>
  <si>
    <t xml:space="preserve">0-58</t>
  </si>
  <si>
    <t xml:space="preserve">box 1 tilted (floor echo)</t>
  </si>
  <si>
    <t xml:space="preserve">docs/mvp1-bench-log-2026-09-23.md:44</t>
  </si>
  <si>
    <t xml:space="preserve">box 1 straightened</t>
  </si>
  <si>
    <t xml:space="preserve">670-864</t>
  </si>
  <si>
    <t xml:space="preserve">long walk, with prediction</t>
  </si>
  <si>
    <t xml:space="preserve">docs/mvp1-bench-log-2026-09-23.md:46</t>
  </si>
  <si>
    <t xml:space="preserve">prediction removed</t>
  </si>
  <si>
    <t xml:space="preserve">400-692</t>
  </si>
  <si>
    <t xml:space="preserve">after box 0 USB re-plug</t>
  </si>
  <si>
    <t xml:space="preserve">docs/mvp1-bench-log-2026-09-23.md:48</t>
  </si>
  <si>
    <t xml:space="preserve">Every segment of 23 Sep, including the weaker windows not in the chart.</t>
  </si>
  <si>
    <t xml:space="preserve">Calibration</t>
  </si>
  <si>
    <t xml:space="preserve">15:53</t>
  </si>
  <si>
    <t xml:space="preserve">first two-node attempt, no retry logic</t>
  </si>
  <si>
    <t xml:space="preserve">0 of 3 sweeps completed</t>
  </si>
  <si>
    <t xml:space="preserve">docs/mvp1-bench-log-2026-09-22.md:48</t>
  </si>
  <si>
    <t xml:space="preserve">bench-live2</t>
  </si>
  <si>
    <t xml:space="preserve">retries added; right sensor mis-aimed</t>
  </si>
  <si>
    <t xml:space="preserve">111/111 in 30 s</t>
  </si>
  <si>
    <t xml:space="preserve">docs/mvp1-bench-log-2026-09-22.md:49</t>
  </si>
  <si>
    <t xml:space="preserve">bench-live5..9</t>
  </si>
  <si>
    <t xml:space="preserve">travel widened, deeper field, ramp</t>
  </si>
  <si>
    <t xml:space="preserve">completed each time</t>
  </si>
  <si>
    <t xml:space="preserve">docs/mvp1-bench-log-2026-09-22.md:50</t>
  </si>
  <si>
    <t xml:space="preserve">first lock, point-target model</t>
  </si>
  <si>
    <t xml:space="preserve">138/138 in 32 s x2</t>
  </si>
  <si>
    <t xml:space="preserve">bench-live13</t>
  </si>
  <si>
    <t xml:space="preserve">boxes reassembled, sensors blocked</t>
  </si>
  <si>
    <t xml:space="preserve">maps contaminated</t>
  </si>
  <si>
    <t xml:space="preserve">docs/mvp1-bench-log-2026-09-22.md:52</t>
  </si>
  <si>
    <t xml:space="preserve">sensors outside boxes, body model</t>
  </si>
  <si>
    <t xml:space="preserve">138/138 in 31 s</t>
  </si>
  <si>
    <t xml:space="preserve">bench-live16</t>
  </si>
  <si>
    <t xml:space="preserve">mirrored display, fast moves</t>
  </si>
  <si>
    <t xml:space="preserve">(reused)</t>
  </si>
  <si>
    <t xml:space="preserve">docs/mvp1-bench-log-2026-09-22.md:54</t>
  </si>
  <si>
    <t xml:space="preserve">grid, 200 s walking incl. edges</t>
  </si>
  <si>
    <t xml:space="preserve">Every run of 22 Sep (bench), including run 16 (not in the chart).</t>
  </si>
  <si>
    <t xml:space="preserve">Jump</t>
  </si>
  <si>
    <t xml:space="preserve">Before_s</t>
  </si>
  <si>
    <t xml:space="preserve">Search_s</t>
  </si>
  <si>
    <t xml:space="preserve">Search_hint_right_s</t>
  </si>
  <si>
    <t xml:space="preserve">Search_hint_wrong_s</t>
  </si>
  <si>
    <t xml:space="preserve">1 → 3</t>
  </si>
  <si>
    <t xml:space="preserve">docs/jump-bench-2026-10-02.md (median of 20 trials)</t>
  </si>
  <si>
    <t xml:space="preserve">3 → 1</t>
  </si>
  <si>
    <t xml:space="preserve">1 → 3 far</t>
  </si>
  <si>
    <t xml:space="preserve">3 → 1 far</t>
  </si>
  <si>
    <t xml:space="preserve">All skips, 95th pct</t>
  </si>
  <si>
    <t xml:space="preserve">docs/jump-bench-2026-10-02.md:68-71</t>
  </si>
  <si>
    <t xml:space="preserve">SIMULATION. Median of 20 trials, seconds to first fix. Raw: data/raw/jump-bench-2026-10-02.csv.</t>
  </si>
  <si>
    <t xml:space="preserve">version</t>
  </si>
  <si>
    <t xml:space="preserve">reacquire_s</t>
  </si>
  <si>
    <t xml:space="preserve">ln_reacquire</t>
  </si>
  <si>
    <t xml:space="preserve">V1</t>
  </si>
  <si>
    <t xml:space="preserve">V2</t>
  </si>
  <si>
    <t xml:space="preserve">One row per tracking loss. V1 = jump-v1-3.csv, V2 = jump-v2-1.csv.</t>
  </si>
  <si>
    <t xml:space="preserve">Reacquire_bin_s</t>
  </si>
  <si>
    <t xml:space="preserve">V1_count</t>
  </si>
  <si>
    <t xml:space="preserve">V2_count</t>
  </si>
  <si>
    <t xml:space="preserve">V1_pct</t>
  </si>
  <si>
    <t xml:space="preserve">V2_pct</t>
  </si>
  <si>
    <t xml:space="preserve">&lt; 0.25</t>
  </si>
  <si>
    <t xml:space="preserve">data/raw/reacquire_losses.csv</t>
  </si>
  <si>
    <t xml:space="preserve">0.25–0.5</t>
  </si>
  <si>
    <t xml:space="preserve">0.5–1</t>
  </si>
  <si>
    <t xml:space="preserve">1–2</t>
  </si>
  <si>
    <t xml:space="preserve">2–3</t>
  </si>
  <si>
    <t xml:space="preserve">≥ 3</t>
  </si>
  <si>
    <t xml:space="preserve">Total</t>
  </si>
  <si>
    <t xml:space="preserve">Counts are COUNTIFS on raw_reacquire; % = count / total losses of that version.</t>
  </si>
  <si>
    <t xml:space="preserve">Metric</t>
  </si>
  <si>
    <t xml:space="preserve">p_value</t>
  </si>
  <si>
    <t xml:space="preserve">Tracking time recorded (s)</t>
  </si>
  <si>
    <t xml:space="preserve">Losses (n)</t>
  </si>
  <si>
    <t xml:space="preserve">Losses per tracking minute</t>
  </si>
  <si>
    <t xml:space="preserve">Fix from 2+ boxes (%)</t>
  </si>
  <si>
    <t xml:space="preserve">Reacquire median (s)</t>
  </si>
  <si>
    <t xml:space="preserve">Reacquire mean (s)</t>
  </si>
  <si>
    <t xml:space="preserve">Reacquire 90th pct (s)</t>
  </si>
  <si>
    <t xml:space="preserve">Reacquire longest (s)</t>
  </si>
  <si>
    <t xml:space="preserve">Losses &gt; 1 s (%)</t>
  </si>
  <si>
    <t xml:space="preserve">Losses &gt; 2 s (%)</t>
  </si>
  <si>
    <t xml:space="preserve">Losses &gt; 3 s (%)</t>
  </si>
  <si>
    <t xml:space="preserve">Source: results/report/reacquire_table.md. p = one-sided permutation test, 20 000 shuffles.</t>
  </si>
  <si>
    <t xml:space="preserve">Step</t>
  </si>
  <si>
    <t xml:space="preserve">Change</t>
  </si>
  <si>
    <t xml:space="preserve">Jumps_per_min</t>
  </si>
  <si>
    <t xml:space="preserve">On_hole_pct</t>
  </si>
  <si>
    <t xml:space="preserve">Before</t>
  </si>
  <si>
    <t xml:space="preserve">V2 as of 3191700</t>
  </si>
  <si>
    <t xml:space="preserve">docs/stand-bench-2026-10-05.md:120-125</t>
  </si>
  <si>
    <t xml:space="preserve">+ Band</t>
  </si>
  <si>
    <t xml:space="preserve">Static echo as a 10° band</t>
  </si>
  <si>
    <t xml:space="preserve">+ Agreement</t>
  </si>
  <si>
    <t xml:space="preserve">Beam check and outvote</t>
  </si>
  <si>
    <t xml:space="preserve">+ Keep echo</t>
  </si>
  <si>
    <t xml:space="preserve">Keep last echo, 16°</t>
  </si>
  <si>
    <t xml:space="preserve">SIMULATION. docs/stand-bench-2026-10-05.md, 15 holes x 3 trials x 30 s.</t>
  </si>
  <si>
    <t xml:space="preserve">Hole_x_m</t>
  </si>
  <si>
    <t xml:space="preserve">Hole_y_m</t>
  </si>
  <si>
    <t xml:space="preserve">Hole</t>
  </si>
  <si>
    <t xml:space="preserve">Losses_per_min_before</t>
  </si>
  <si>
    <t xml:space="preserve">Losses_per_min_after</t>
  </si>
  <si>
    <t xml:space="preserve">Jumps_per_min_before</t>
  </si>
  <si>
    <t xml:space="preserve">Jumps_per_min_after</t>
  </si>
  <si>
    <t xml:space="preserve">On_hole_pct_before</t>
  </si>
  <si>
    <t xml:space="preserve">On_hole_pct_after</t>
  </si>
  <si>
    <t xml:space="preserve">(0.25, 1.10)</t>
  </si>
  <si>
    <t xml:space="preserve">docs/stand-bench-2026-10-05.md:90-106</t>
  </si>
  <si>
    <t xml:space="preserve">(0.50, 1.10)</t>
  </si>
  <si>
    <t xml:space="preserve">(0.75, 1.10)</t>
  </si>
  <si>
    <t xml:space="preserve">(1.00, 1.10)</t>
  </si>
  <si>
    <t xml:space="preserve">(1.25, 1.10)</t>
  </si>
  <si>
    <t xml:space="preserve">(0.25, 1.42)</t>
  </si>
  <si>
    <t xml:space="preserve">(0.50, 1.42)</t>
  </si>
  <si>
    <t xml:space="preserve">(0.75, 1.42)</t>
  </si>
  <si>
    <t xml:space="preserve">(1.00, 1.42)</t>
  </si>
  <si>
    <t xml:space="preserve">(1.25, 1.42)</t>
  </si>
  <si>
    <t xml:space="preserve">(0.25, 1.74)</t>
  </si>
  <si>
    <t xml:space="preserve">(0.50, 1.74)</t>
  </si>
  <si>
    <t xml:space="preserve">(0.75, 1.74)</t>
  </si>
  <si>
    <t xml:space="preserve">(1.00, 1.74)</t>
  </si>
  <si>
    <t xml:space="preserve">(1.25, 1.74)</t>
  </si>
  <si>
    <t xml:space="preserve">SIMULATION. x from player's left, y from sensor line (m). Raw: raw_stand_bench.</t>
  </si>
  <si>
    <t xml:space="preserve">variant</t>
  </si>
  <si>
    <t xml:space="preserve">hole_x_m</t>
  </si>
  <si>
    <t xml:space="preserve">hole_y_m</t>
  </si>
  <si>
    <t xml:space="preserve">seed</t>
  </si>
  <si>
    <t xml:space="preserve">losses_per_min</t>
  </si>
  <si>
    <t xml:space="preserve">jumps_per_min</t>
  </si>
  <si>
    <t xml:space="preserve">on_hole</t>
  </si>
  <si>
    <t xml:space="preserve">two_box</t>
  </si>
  <si>
    <t xml:space="preserve">shown</t>
  </si>
  <si>
    <t xml:space="preserve">median_error_m</t>
  </si>
  <si>
    <t xml:space="preserve">outvoted</t>
  </si>
  <si>
    <t xml:space="preserve">before</t>
  </si>
  <si>
    <t xml:space="preserve">after</t>
  </si>
  <si>
    <t xml:space="preserve">Per hole, per seed. losses_per_min etc. averaged over 3 seeds give sheet 06.</t>
  </si>
  <si>
    <t xml:space="preserve">Day</t>
  </si>
  <si>
    <t xml:space="preserve">Tracker</t>
  </si>
  <si>
    <t xml:space="preserve">Firmware</t>
  </si>
  <si>
    <t xml:space="preserve">Tools, tests, config</t>
  </si>
  <si>
    <t xml:space="preserve">Docs, results</t>
  </si>
  <si>
    <t xml:space="preserve">Milestone</t>
  </si>
  <si>
    <t xml:space="preserve">12 Sep</t>
  </si>
  <si>
    <t xml:space="preserve">22 Sep</t>
  </si>
  <si>
    <t xml:space="preserve">First lock</t>
  </si>
  <si>
    <t xml:space="preserve">23 Sep</t>
  </si>
  <si>
    <t xml:space="preserve">Swarm tracker</t>
  </si>
  <si>
    <t xml:space="preserve">24 Sep</t>
  </si>
  <si>
    <t xml:space="preserve">29 Sep</t>
  </si>
  <si>
    <t xml:space="preserve">Third box</t>
  </si>
  <si>
    <t xml:space="preserve">30 Sep</t>
  </si>
  <si>
    <t xml:space="preserve">1 Oct</t>
  </si>
  <si>
    <t xml:space="preserve">2 Oct</t>
  </si>
  <si>
    <t xml:space="preserve">Search after loss</t>
  </si>
  <si>
    <t xml:space="preserve">5 Oct</t>
  </si>
  <si>
    <t xml:space="preserve">Ghost-echo fix</t>
  </si>
  <si>
    <t xml:space="preserve">Source: git log, merges left out. Every commit on raw_commits.</t>
  </si>
  <si>
    <t xml:space="preserve">Commit</t>
  </si>
  <si>
    <t xml:space="preserve">Area</t>
  </si>
  <si>
    <t xml:space="preserve">Subject</t>
  </si>
  <si>
    <t xml:space="preserve">2026-09-12 08:25</t>
  </si>
  <si>
    <t xml:space="preserve">a384f68</t>
  </si>
  <si>
    <t xml:space="preserve">chore: establish project baseline and two-node architecture</t>
  </si>
  <si>
    <t xml:space="preserve">2026-09-12 08:31</t>
  </si>
  <si>
    <t xml:space="preserve">43d32f4</t>
  </si>
  <si>
    <t xml:space="preserve">feat: add coordinated ESP32 sensor and servo firmware</t>
  </si>
  <si>
    <t xml:space="preserve">2026-09-12 08:39</t>
  </si>
  <si>
    <t xml:space="preserve">fabedae</t>
  </si>
  <si>
    <t xml:space="preserve">feat: implement hardware tracking and black-screen dot visualizer</t>
  </si>
  <si>
    <t xml:space="preserve">2026-09-12 08:43</t>
  </si>
  <si>
    <t xml:space="preserve">c25772a</t>
  </si>
  <si>
    <t xml:space="preserve">docs: finalize tracker setup and refresh project graph</t>
  </si>
  <si>
    <t xml:space="preserve">2026-09-22 23:57</t>
  </si>
  <si>
    <t xml:space="preserve">3433b79</t>
  </si>
  <si>
    <t xml:space="preserve">feat: coordinated live tracker, TrackerNet profiles and field test docs</t>
  </si>
  <si>
    <t xml:space="preserve">2df7385</t>
  </si>
  <si>
    <t xml:space="preserve">feat: bench-proven tracking: robust calibration, smooth servos, body model, operator UI</t>
  </si>
  <si>
    <t xml:space="preserve">2026-09-23 00:01</t>
  </si>
  <si>
    <t xml:space="preserve">e517a3d</t>
  </si>
  <si>
    <t xml:space="preserve">docs: add README_1.html, an illustrated explainer of the two-servo tracker</t>
  </si>
  <si>
    <t xml:space="preserve">2026-09-23 12:01</t>
  </si>
  <si>
    <t xml:space="preserve">3c15229</t>
  </si>
  <si>
    <t xml:space="preserve">tracking: keep a confirm candidate through misses, 1 s recovery window, reason column</t>
  </si>
  <si>
    <t xml:space="preserve">2026-09-23 13:33</t>
  </si>
  <si>
    <t xml:space="preserve">40f9f4e</t>
  </si>
  <si>
    <t xml:space="preserve">plumbing: allow more than two boxes in protocol, geometry, transport and CLI</t>
  </si>
  <si>
    <t xml:space="preserve">2026-09-23 13:43</t>
  </si>
  <si>
    <t xml:space="preserve">1c9836b</t>
  </si>
  <si>
    <t xml:space="preserve">swarm: independent-sweep, leader-follower tracker for N boxes (whack/swarm.py)</t>
  </si>
  <si>
    <t xml:space="preserve">2026-09-23 13:55</t>
  </si>
  <si>
    <t xml:space="preserve">3ebfc40</t>
  </si>
  <si>
    <t xml:space="preserve">swarm: dead-zone alert, one-box fixes need a wide margin before "outside"</t>
  </si>
  <si>
    <t xml:space="preserve">2026-09-23 14:12</t>
  </si>
  <si>
    <t xml:space="preserve">84fc859</t>
  </si>
  <si>
    <t xml:space="preserve">swarm: drop prediction, the spot is the last measured point</t>
  </si>
  <si>
    <t xml:space="preserve">2026-09-24 12:04</t>
  </si>
  <si>
    <t xml:space="preserve">63474ec</t>
  </si>
  <si>
    <t xml:space="preserve">docs: day-2 bench log, 1.5 m field at university with the swarm tracker</t>
  </si>
  <si>
    <t xml:space="preserve">2026-09-29 08:09</t>
  </si>
  <si>
    <t xml:space="preserve">835964b</t>
  </si>
  <si>
    <t xml:space="preserve">firmware: third box, node_middle env with NODE_ID 2</t>
  </si>
  <si>
    <t xml:space="preserve">ac9791b</t>
  </si>
  <si>
    <t xml:space="preserve">firmware: standalone servo + HC-SR04 bench sketch</t>
  </si>
  <si>
    <t xml:space="preserve">2026-09-29 08:14</t>
  </si>
  <si>
    <t xml:space="preserve">b4cc2af</t>
  </si>
  <si>
    <t xml:space="preserve">firmware: name builds by box position (left 0, middle 1, right 2)</t>
  </si>
  <si>
    <t xml:space="preserve">2026-09-29 08:22</t>
  </si>
  <si>
    <t xml:space="preserve">3dde7fe</t>
  </si>
  <si>
    <t xml:space="preserve">tools: probe_node accepts node IDs 0..9 for the third box</t>
  </si>
  <si>
    <t xml:space="preserve">2026-09-29 11:48</t>
  </si>
  <si>
    <t xml:space="preserve">b79ea3b</t>
  </si>
  <si>
    <t xml:space="preserve">swarm: clamp aims to the servo travel instead of 0..180</t>
  </si>
  <si>
    <t xml:space="preserve">2026-09-29 11:50</t>
  </si>
  <si>
    <t xml:space="preserve">1c0d69f</t>
  </si>
  <si>
    <t xml:space="preserve">config: repair config.example.json trailing bytes from the travel commit</t>
  </si>
  <si>
    <t xml:space="preserve">2026-09-29 23:07</t>
  </si>
  <si>
    <t xml:space="preserve">1e418e6</t>
  </si>
  <si>
    <t xml:space="preserve">pins: servo GPIO33, TRIG GPIO32, ECHO GPIO34 on every box</t>
  </si>
  <si>
    <t xml:space="preserve">2026-09-29 23:13</t>
  </si>
  <si>
    <t xml:space="preserve">a523578</t>
  </si>
  <si>
    <t xml:space="preserve">firmware: optional buzzer on GPIO25 and the WM2 BUZZ command</t>
  </si>
  <si>
    <t xml:space="preserve">2026-09-29 23:22</t>
  </si>
  <si>
    <t xml:space="preserve">a217b25</t>
  </si>
  <si>
    <t xml:space="preserve">swarm: sound the buzzer box during a near-wall alert</t>
  </si>
  <si>
    <t xml:space="preserve">2026-09-29 23:23</t>
  </si>
  <si>
    <t xml:space="preserve">e0fc583</t>
  </si>
  <si>
    <t xml:space="preserve">docs: buzzer wiring and behaviour, changelog for 2026-09-29</t>
  </si>
  <si>
    <t xml:space="preserve">2026-09-29 23:42</t>
  </si>
  <si>
    <t xml:space="preserve">99a0cb4</t>
  </si>
  <si>
    <t xml:space="preserve">swarm: drop a too-close report when its box stops reporting</t>
  </si>
  <si>
    <t xml:space="preserve">2026-09-29 23:43</t>
  </si>
  <si>
    <t xml:space="preserve">d55fce5</t>
  </si>
  <si>
    <t xml:space="preserve">swarm: retry a failed BUZZ at the BUZZ interval, not on every poll</t>
  </si>
  <si>
    <t xml:space="preserve">2026-09-29 23:44</t>
  </si>
  <si>
    <t xml:space="preserve">5f4a75b</t>
  </si>
  <si>
    <t xml:space="preserve">firmware: refuse a buzzer on the serial and flash pins</t>
  </si>
  <si>
    <t xml:space="preserve">2026-09-29 23:47</t>
  </si>
  <si>
    <t xml:space="preserve">d49c464</t>
  </si>
  <si>
    <t xml:space="preserve">tools: probe_node --buzz sounds the buzzer during the pings</t>
  </si>
  <si>
    <t xml:space="preserve">2026-09-29 23:48</t>
  </si>
  <si>
    <t xml:space="preserve">7f11fad</t>
  </si>
  <si>
    <t xml:space="preserve">docs: buzzer follow-up, bench check and changelog</t>
  </si>
  <si>
    <t xml:space="preserve">2026-09-30 00:29</t>
  </si>
  <si>
    <t xml:space="preserve">458ac71</t>
  </si>
  <si>
    <t xml:space="preserve">firmware: upload at 115200 baud</t>
  </si>
  <si>
    <t xml:space="preserve">2026-10-01 19:36</t>
  </si>
  <si>
    <t xml:space="preserve">380766a</t>
  </si>
  <si>
    <t xml:space="preserve">config: tracked three-box field config for the prototype</t>
  </si>
  <si>
    <t xml:space="preserve">2026-10-01 19:39</t>
  </si>
  <si>
    <t xml:space="preserve">2953f92</t>
  </si>
  <si>
    <t xml:space="preserve">firmware: join the phone hotspot only</t>
  </si>
  <si>
    <t xml:space="preserve">2026-10-01 19:41</t>
  </si>
  <si>
    <t xml:space="preserve">e0601a6</t>
  </si>
  <si>
    <t xml:space="preserve">tools: sketch generator without network selection; drop probe_network</t>
  </si>
  <si>
    <t xml:space="preserve">2026-10-01 19:46</t>
  </si>
  <si>
    <t xml:space="preserve">c5d2905</t>
  </si>
  <si>
    <t xml:space="preserve">docs: one phone hotspot, prototype run command, run on another computer</t>
  </si>
  <si>
    <t xml:space="preserve">2026-10-01 19:57</t>
  </si>
  <si>
    <t xml:space="preserve">42f1e95</t>
  </si>
  <si>
    <t xml:space="preserve">firmware: stop the build when a removed network profile setting remains</t>
  </si>
  <si>
    <t xml:space="preserve">7d91153</t>
  </si>
  <si>
    <t xml:space="preserve">tests: name the DHCP-change discovery test after what it checks</t>
  </si>
  <si>
    <t xml:space="preserve">2026-10-01 19:59</t>
  </si>
  <si>
    <t xml:space="preserve">0c9fba1</t>
  </si>
  <si>
    <t xml:space="preserve">docs: controls, scan steps and sensor line as the swarm prototype behaves</t>
  </si>
  <si>
    <t xml:space="preserve">2026-10-02 10:10</t>
  </si>
  <si>
    <t xml:space="preserve">7d7c9d1</t>
  </si>
  <si>
    <t xml:space="preserve">tracker: search after a full loss instead of jittering, optional mole hint</t>
  </si>
  <si>
    <t xml:space="preserve">2026-10-02 10:14</t>
  </si>
  <si>
    <t xml:space="preserve">9d551f9</t>
  </si>
  <si>
    <t xml:space="preserve">tools: jump benchmark in the simulator, with the recorded results</t>
  </si>
  <si>
    <t xml:space="preserve">2026-10-02 13:07</t>
  </si>
  <si>
    <t xml:space="preserve">docs: commit hashes quoted in the bench logs</t>
  </si>
  <si>
    <t xml:space="preserve">2026-10-05 03:34</t>
  </si>
  <si>
    <t xml:space="preserve">aee8ef0</t>
  </si>
  <si>
    <t xml:space="preserve">tracker: hold a player who stands still despite a static echo and missed pings</t>
  </si>
  <si>
    <t xml:space="preserve">2026-10-05 03:39</t>
  </si>
  <si>
    <t xml:space="preserve">5674ee0</t>
  </si>
  <si>
    <t xml:space="preserve">results: V1 vs V2 reacquisition table and histogram for the report</t>
  </si>
  <si>
    <t xml:space="preserve">git log --no-merges, oldest first. Area from the commit prefix.</t>
  </si>
  <si>
    <t xml:space="preserve">Bin_from_s</t>
  </si>
  <si>
    <t xml:space="preserve">Bin_to_s</t>
  </si>
  <si>
    <t xml:space="preserve">Bin</t>
  </si>
  <si>
    <t xml:space="preserve">V1_lognormal_fit_pct</t>
  </si>
  <si>
    <t xml:space="preserve">V2_lognormal_fit_pct</t>
  </si>
  <si>
    <t xml:space="preserve">0.075–0.15</t>
  </si>
  <si>
    <t xml:space="preserve">0.15–0.3</t>
  </si>
  <si>
    <t xml:space="preserve">0.3–0.6</t>
  </si>
  <si>
    <t xml:space="preserve">0.6–1.2</t>
  </si>
  <si>
    <t xml:space="preserve">1.2–2.4</t>
  </si>
  <si>
    <t xml:space="preserve">2.4–4.8</t>
  </si>
  <si>
    <t xml:space="preserve">4.8–9.6</t>
  </si>
  <si>
    <t xml:space="preserve">Bins double in width (equal on a log axis). Fit = share of a log-normal (normal distribution of ln(time), mean and SD below) falling in the bin. Times resolved to ~0.1 s, so 0.1 s is the floor.</t>
  </si>
  <si>
    <t xml:space="preserve">Statistic</t>
  </si>
  <si>
    <t xml:space="preserve">Note</t>
  </si>
  <si>
    <t xml:space="preserve">n (losses)</t>
  </si>
  <si>
    <t xml:space="preserve">Median (s)</t>
  </si>
  <si>
    <t xml:space="preserve">Median 95% CI low (s)</t>
  </si>
  <si>
    <t xml:space="preserve">Bootstrap, 20 000 resamples (make_graphs.py)</t>
  </si>
  <si>
    <t xml:space="preserve">Median 95% CI high (s)</t>
  </si>
  <si>
    <t xml:space="preserve">Mean (s)</t>
  </si>
  <si>
    <t xml:space="preserve">Mean of ln(t)</t>
  </si>
  <si>
    <t xml:space="preserve">Log-normal location</t>
  </si>
  <si>
    <t xml:space="preserve">SD of ln(t)</t>
  </si>
  <si>
    <t xml:space="preserve">Log-normal scale</t>
  </si>
  <si>
    <t xml:space="preserve">SD (s)</t>
  </si>
  <si>
    <t xml:space="preserve">Geometric mean (s)</t>
  </si>
  <si>
    <t xml:space="preserve">exp(mean of ln t)</t>
  </si>
  <si>
    <t xml:space="preserve">90th percentile (s)</t>
  </si>
  <si>
    <t xml:space="preserve">Same rule as reacquire_report.py</t>
  </si>
  <si>
    <t xml:space="preserve">Longest (s)</t>
  </si>
  <si>
    <t xml:space="preserve">Median ratio V2 / V1</t>
  </si>
  <si>
    <t xml:space="preserve">Test (one-sided, V1 slower)</t>
  </si>
  <si>
    <t xml:space="preserve">Value</t>
  </si>
  <si>
    <t xml:space="preserve">Welch t on ln(t): t</t>
  </si>
  <si>
    <t xml:space="preserve">Welch df</t>
  </si>
  <si>
    <t xml:space="preserve">Welch t on ln(t): p</t>
  </si>
  <si>
    <t xml:space="preserve">Excel truncates df to an integer; scipy gives 0.031</t>
  </si>
  <si>
    <t xml:space="preserve">Permutation test, median: p</t>
  </si>
  <si>
    <t xml:space="preserve">results/report/reacquire_table.md</t>
  </si>
  <si>
    <t xml:space="preserve">Permutation test, mean: p</t>
  </si>
  <si>
    <t xml:space="preserve">Mann-Whitney U: p</t>
  </si>
  <si>
    <t xml:space="preserve">scipy.stats.mannwhitneyu (make_graphs.py)</t>
  </si>
  <si>
    <t xml:space="preserve">Shapiro-Wilk on ln(t), V1: p</t>
  </si>
  <si>
    <t xml:space="preserve">&lt; 0.05: log-normal is approximate</t>
  </si>
  <si>
    <t xml:space="preserve">Shapiro-Wilk on ln(t), V2: p</t>
  </si>
  <si>
    <t xml:space="preserve">Source: raw_reacquire (data/raw/reacquire_losses.csv), hardware, three boxes. Black formula cells recalculate; typed numbers (CI, permutation, Mann-Whitney, Shapiro) come from make_graphs.py / reacquire_report.py.</t>
  </si>
  <si>
    <t xml:space="preserve">t_s</t>
  </si>
  <si>
    <t xml:space="preserve">V1_reacquired_pct</t>
  </si>
  <si>
    <t xml:space="preserve">V2_reacquired_pct</t>
  </si>
  <si>
    <t xml:space="preserve">Within_s</t>
  </si>
  <si>
    <t xml:space="preserve">V1_back</t>
  </si>
  <si>
    <t xml:space="preserve">V1_CI_low</t>
  </si>
  <si>
    <t xml:space="preserve">V1_CI_high</t>
  </si>
  <si>
    <t xml:space="preserve">V2_back</t>
  </si>
  <si>
    <t xml:space="preserve">V2_CI_low</t>
  </si>
  <si>
    <t xml:space="preserve">V2_CI_high</t>
  </si>
  <si>
    <t xml:space="preserve">CI = 95 % Wilson score interval.</t>
  </si>
  <si>
    <t xml:space="preserve">Loss rate</t>
  </si>
  <si>
    <t xml:space="preserve">Tracking time (s)</t>
  </si>
  <si>
    <t xml:space="preserve">Losses per tracking min</t>
  </si>
  <si>
    <t xml:space="preserve">95% CI low</t>
  </si>
  <si>
    <t xml:space="preserve">Exact Poisson interval</t>
  </si>
  <si>
    <t xml:space="preserve">95% CI high</t>
  </si>
  <si>
    <t xml:space="preserve">Poisson rate test p</t>
  </si>
  <si>
    <t xml:space="preserve">scipy poisson_means_test, two-sided: V2 rate not significantly different</t>
  </si>
  <si>
    <t xml:space="preserve">Share of losses already reacquired t seconds after the loss (empirical CDF) and the fitted log-normal CDF. Source: raw_reacquire; fit parameters from sheet 08.</t>
  </si>
  <si>
    <t xml:space="preserve">Before_trials</t>
  </si>
  <si>
    <t xml:space="preserve">After_trials</t>
  </si>
  <si>
    <t xml:space="preserve">Before_normal_fit</t>
  </si>
  <si>
    <t xml:space="preserve">After_normal_fit</t>
  </si>
  <si>
    <t xml:space="preserve">SIMULATION. A 30 s trial counts losses in steps of 2 per minute; each row is one step. 'After' piles up at 0, so its normal fit is only a guide.</t>
  </si>
  <si>
    <t xml:space="preserve">Losses per minute</t>
  </si>
  <si>
    <t xml:space="preserve">After</t>
  </si>
  <si>
    <t xml:space="preserve">n (trials)</t>
  </si>
  <si>
    <t xml:space="preserve">Mean</t>
  </si>
  <si>
    <t xml:space="preserve">SD</t>
  </si>
  <si>
    <t xml:space="preserve">95% CI half-width</t>
  </si>
  <si>
    <t xml:space="preserve">Trials with 0 losses</t>
  </si>
  <si>
    <t xml:space="preserve">Difference of means</t>
  </si>
  <si>
    <t xml:space="preserve">Change (%)</t>
  </si>
  <si>
    <t xml:space="preserve">Welch t</t>
  </si>
  <si>
    <t xml:space="preserve">Welch p (two-sided)</t>
  </si>
  <si>
    <t xml:space="preserve">Cohen's d</t>
  </si>
  <si>
    <t xml:space="preserve">&gt; 0.8 = large</t>
  </si>
  <si>
    <t xml:space="preserve">Mann-Whitney U p</t>
  </si>
  <si>
    <t xml:space="preserve">scipy (make_graphs.py)</t>
  </si>
  <si>
    <t xml:space="preserve">Other metric</t>
  </si>
  <si>
    <t xml:space="preserve">Before_mean</t>
  </si>
  <si>
    <t xml:space="preserve">Before_SD</t>
  </si>
  <si>
    <t xml:space="preserve">After_mean</t>
  </si>
  <si>
    <t xml:space="preserve">After_SD</t>
  </si>
  <si>
    <t xml:space="preserve">Jumps per min</t>
  </si>
  <si>
    <t xml:space="preserve">On the hole (%)</t>
  </si>
  <si>
    <t xml:space="preserve">Two-box fix (%)</t>
  </si>
  <si>
    <t xml:space="preserve">Cursor shown (%)</t>
  </si>
  <si>
    <t xml:space="preserve">SIMULATION. Source: raw_stand_bench (data/raw/stand-bench-2026-10-05.csv), 15 holes x 3 seeds x 30 s. Before = V2 @ 3191700, after = ghost-echo fix aee8ef0.</t>
  </si>
  <si>
    <t xml:space="preserve">Variant</t>
  </si>
  <si>
    <t xml:space="preserve">n</t>
  </si>
  <si>
    <t xml:space="preserve">Mean_s</t>
  </si>
  <si>
    <t xml:space="preserve">SD_s</t>
  </si>
  <si>
    <t xml:space="preserve">CI95_half_s</t>
  </si>
  <si>
    <t xml:space="preserve">Median_s</t>
  </si>
  <si>
    <t xml:space="preserve">P95_s</t>
  </si>
  <si>
    <t xml:space="preserve">Max_s</t>
  </si>
  <si>
    <t xml:space="preserve">Search, wrong hint</t>
  </si>
  <si>
    <t xml:space="preserve">Search, right hint</t>
  </si>
  <si>
    <t xml:space="preserve">Before vs search after loss</t>
  </si>
  <si>
    <t xml:space="preserve">Levene p (spread)</t>
  </si>
  <si>
    <t xml:space="preserve">scipy.stats.levene (make_graphs.py)</t>
  </si>
  <si>
    <t xml:space="preserve">SD ratio before / search</t>
  </si>
  <si>
    <t xml:space="preserve">SIMULATION. 'Before' falls in separate clusters (one per jump direction and row), so its normal fit is poor; read P95 from the data.</t>
  </si>
  <si>
    <t xml:space="preserve">Bin_mid_s</t>
  </si>
  <si>
    <t xml:space="preserve">Before fit</t>
  </si>
  <si>
    <t xml:space="preserve">Search after loss fit</t>
  </si>
  <si>
    <t xml:space="preserve">Search, wrong hint fit</t>
  </si>
  <si>
    <t xml:space="preserve">Search, right hint fit</t>
  </si>
  <si>
    <t xml:space="preserve">Bins 0.25 s wide. Fit = expected jumps in the bin under a normal with the variant's mean and SD. Source: raw_jump (data/raw/jump-bench-2026-10-02.csv).</t>
  </si>
  <si>
    <t xml:space="preserve">from_column</t>
  </si>
  <si>
    <t xml:space="preserve">to_column</t>
  </si>
  <si>
    <t xml:space="preserve">depth_m</t>
  </si>
  <si>
    <t xml:space="preserve">jump_at_s</t>
  </si>
  <si>
    <t xml:space="preserve">first_fix_s</t>
  </si>
  <si>
    <t xml:space="preserve">two_box_fix_s</t>
  </si>
  <si>
    <t xml:space="preserve">search</t>
  </si>
  <si>
    <t xml:space="preserve">wrong hint</t>
  </si>
  <si>
    <t xml:space="preserve">right hint</t>
  </si>
  <si>
    <t xml:space="preserve">One row per simulated jump, sorted by variant (160 each). Source: data/raw/jump-bench-2026-10-02.csv.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</si>
</sst>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"/>
    <numFmt numFmtId="167" formatCode="0"/>
    <numFmt numFmtId="168" formatCode="0.00"/>
    <numFmt numFmtId="169" formatCode="0.000#"/>
    <numFmt numFmtId="170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89878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3F2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3F2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EDA100"/>
      <rgbColor rgb="FFEB6834"/>
      <rgbColor rgb="FF666699"/>
      <rgbColor rgb="FF898781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Tracking coverage across development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'01 Coverage'!C1</c:f>
              <c:strCache>
                <c:ptCount val="1"/>
                <c:pt idx="0">
                  <c:v>Player_on_screen_pct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Coverage'!$A$2:$A$8</c:f>
              <c:strCache>
                <c:ptCount val="7"/>
                <c:pt idx="0">
                  <c:v>Run 10</c:v>
                </c:pt>
                <c:pt idx="1">
                  <c:v>Run 15</c:v>
                </c:pt>
                <c:pt idx="2">
                  <c:v>Run 18</c:v>
                </c:pt>
                <c:pt idx="3">
                  <c:v>Paired</c:v>
                </c:pt>
                <c:pt idx="4">
                  <c:v>Swarm 1</c:v>
                </c:pt>
                <c:pt idx="5">
                  <c:v>Swarm 2</c:v>
                </c:pt>
                <c:pt idx="6">
                  <c:v>Swarm 3</c:v>
                </c:pt>
              </c:strCache>
            </c:strRef>
          </c:cat>
          <c:val>
            <c:numRef>
              <c:f>'01 Coverage'!$C$2:$C$8</c:f>
              <c:numCache>
                <c:formatCode>General</c:formatCode>
                <c:ptCount val="7"/>
                <c:pt idx="0">
                  <c:v>61</c:v>
                </c:pt>
                <c:pt idx="1">
                  <c:v>75</c:v>
                </c:pt>
                <c:pt idx="2">
                  <c:v>50</c:v>
                </c:pt>
                <c:pt idx="3">
                  <c:v>14</c:v>
                </c:pt>
                <c:pt idx="4">
                  <c:v>92</c:v>
                </c:pt>
                <c:pt idx="5">
                  <c:v>94</c:v>
                </c:pt>
                <c:pt idx="6">
                  <c:v>89</c:v>
                </c:pt>
              </c:numCache>
            </c:numRef>
          </c:val>
        </c:ser>
        <c:ser>
          <c:idx val="1"/>
          <c:order val="1"/>
          <c:tx>
            <c:strRef>
              <c:f>'01 Coverage'!D1</c:f>
              <c:strCache>
                <c:ptCount val="1"/>
                <c:pt idx="0">
                  <c:v>Two_box_pct_of_spots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 Coverage'!$A$2:$A$8</c:f>
              <c:strCache>
                <c:ptCount val="7"/>
                <c:pt idx="0">
                  <c:v>Run 10</c:v>
                </c:pt>
                <c:pt idx="1">
                  <c:v>Run 15</c:v>
                </c:pt>
                <c:pt idx="2">
                  <c:v>Run 18</c:v>
                </c:pt>
                <c:pt idx="3">
                  <c:v>Paired</c:v>
                </c:pt>
                <c:pt idx="4">
                  <c:v>Swarm 1</c:v>
                </c:pt>
                <c:pt idx="5">
                  <c:v>Swarm 2</c:v>
                </c:pt>
                <c:pt idx="6">
                  <c:v>Swarm 3</c:v>
                </c:pt>
              </c:strCache>
            </c:strRef>
          </c:cat>
          <c:val>
            <c:numRef>
              <c:f>'01 Coverage'!$D$2:$D$8</c:f>
              <c:numCache>
                <c:formatCode>General</c:formatCode>
                <c:ptCount val="7"/>
                <c:pt idx="4">
                  <c:v>35</c:v>
                </c:pt>
                <c:pt idx="5">
                  <c:v>62</c:v>
                </c:pt>
                <c:pt idx="6">
                  <c:v>68</c:v>
                </c:pt>
              </c:numCache>
            </c:numRef>
          </c:val>
        </c:ser>
        <c:gapWidth val="150"/>
        <c:overlap val="0"/>
        <c:axId val="52528809"/>
        <c:axId val="63033581"/>
      </c:barChart>
      <c:catAx>
        <c:axId val="525288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33581"/>
        <c:crosses val="autoZero"/>
        <c:auto val="1"/>
        <c:lblAlgn val="ctr"/>
        <c:lblOffset val="100"/>
        <c:noMultiLvlLbl val="0"/>
      </c:catAx>
      <c:valAx>
        <c:axId val="63033581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active 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288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Tracking losses per minute, 1.5 m field (23 Sep)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'02 Losses'!C1</c:f>
              <c:strCache>
                <c:ptCount val="1"/>
                <c:pt idx="0">
                  <c:v>Losses_per_min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 Losses'!$A$2:$A$5</c:f>
              <c:strCache>
                <c:ptCount val="4"/>
                <c:pt idx="0">
                  <c:v>Paired</c:v>
                </c:pt>
                <c:pt idx="1">
                  <c:v>Swarm 1</c:v>
                </c:pt>
                <c:pt idx="2">
                  <c:v>Swarm 2</c:v>
                </c:pt>
                <c:pt idx="3">
                  <c:v>Swarm 3</c:v>
                </c:pt>
              </c:strCache>
            </c:strRef>
          </c:cat>
          <c:val>
            <c:numRef>
              <c:f>'02 Losses'!$C$2:$C$5</c:f>
              <c:numCache>
                <c:formatCode>General</c:formatCode>
                <c:ptCount val="4"/>
                <c:pt idx="0">
                  <c:v>17.6</c:v>
                </c:pt>
                <c:pt idx="1">
                  <c:v>5.7</c:v>
                </c:pt>
                <c:pt idx="2">
                  <c:v>2.6</c:v>
                </c:pt>
                <c:pt idx="3">
                  <c:v>1.3</c:v>
                </c:pt>
              </c:numCache>
            </c:numRef>
          </c:val>
        </c:ser>
        <c:gapWidth val="150"/>
        <c:overlap val="0"/>
        <c:axId val="41123953"/>
        <c:axId val="10044893"/>
      </c:barChart>
      <c:catAx>
        <c:axId val="411239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44893"/>
        <c:crosses val="autoZero"/>
        <c:auto val="1"/>
        <c:lblAlgn val="ctr"/>
        <c:lblOffset val="100"/>
        <c:noMultiLvlLbl val="0"/>
      </c:catAx>
      <c:valAx>
        <c:axId val="10044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Losses per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239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to first fix after skipping a column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'03 Jump sim'!B1</c:f>
              <c:strCache>
                <c:ptCount val="1"/>
                <c:pt idx="0">
                  <c:v>Before_s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Jump sim'!$A$2:$A$5</c:f>
              <c:strCache>
                <c:ptCount val="4"/>
                <c:pt idx="0">
                  <c:v>1 → 3</c:v>
                </c:pt>
                <c:pt idx="1">
                  <c:v>3 → 1</c:v>
                </c:pt>
                <c:pt idx="2">
                  <c:v>1 → 3 far</c:v>
                </c:pt>
                <c:pt idx="3">
                  <c:v>3 → 1 far</c:v>
                </c:pt>
              </c:strCache>
            </c:strRef>
          </c:cat>
          <c:val>
            <c:numRef>
              <c:f>'03 Jump sim'!$B$2:$B$5</c:f>
              <c:numCache>
                <c:formatCode>General</c:formatCode>
                <c:ptCount val="4"/>
                <c:pt idx="0">
                  <c:v>3.69</c:v>
                </c:pt>
                <c:pt idx="1">
                  <c:v>6.71</c:v>
                </c:pt>
                <c:pt idx="2">
                  <c:v>3.35</c:v>
                </c:pt>
                <c:pt idx="3">
                  <c:v>9.12</c:v>
                </c:pt>
              </c:numCache>
            </c:numRef>
          </c:val>
        </c:ser>
        <c:ser>
          <c:idx val="1"/>
          <c:order val="1"/>
          <c:tx>
            <c:strRef>
              <c:f>'03 Jump sim'!C1</c:f>
              <c:strCache>
                <c:ptCount val="1"/>
                <c:pt idx="0">
                  <c:v>Search_s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Jump sim'!$A$2:$A$5</c:f>
              <c:strCache>
                <c:ptCount val="4"/>
                <c:pt idx="0">
                  <c:v>1 → 3</c:v>
                </c:pt>
                <c:pt idx="1">
                  <c:v>3 → 1</c:v>
                </c:pt>
                <c:pt idx="2">
                  <c:v>1 → 3 far</c:v>
                </c:pt>
                <c:pt idx="3">
                  <c:v>3 → 1 far</c:v>
                </c:pt>
              </c:strCache>
            </c:strRef>
          </c:cat>
          <c:val>
            <c:numRef>
              <c:f>'03 Jump sim'!$C$2:$C$5</c:f>
              <c:numCache>
                <c:formatCode>General</c:formatCode>
                <c:ptCount val="4"/>
                <c:pt idx="0">
                  <c:v>1.49</c:v>
                </c:pt>
                <c:pt idx="1">
                  <c:v>1.35</c:v>
                </c:pt>
                <c:pt idx="2">
                  <c:v>1.45</c:v>
                </c:pt>
                <c:pt idx="3">
                  <c:v>1.34</c:v>
                </c:pt>
              </c:numCache>
            </c:numRef>
          </c:val>
        </c:ser>
        <c:ser>
          <c:idx val="2"/>
          <c:order val="2"/>
          <c:tx>
            <c:strRef>
              <c:f>'03 Jump sim'!D1</c:f>
              <c:strCache>
                <c:ptCount val="1"/>
                <c:pt idx="0">
                  <c:v>Search_hint_right_s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Jump sim'!$A$2:$A$5</c:f>
              <c:strCache>
                <c:ptCount val="4"/>
                <c:pt idx="0">
                  <c:v>1 → 3</c:v>
                </c:pt>
                <c:pt idx="1">
                  <c:v>3 → 1</c:v>
                </c:pt>
                <c:pt idx="2">
                  <c:v>1 → 3 far</c:v>
                </c:pt>
                <c:pt idx="3">
                  <c:v>3 → 1 far</c:v>
                </c:pt>
              </c:strCache>
            </c:strRef>
          </c:cat>
          <c:val>
            <c:numRef>
              <c:f>'03 Jump sim'!$D$2:$D$5</c:f>
              <c:numCache>
                <c:formatCode>General</c:formatCode>
                <c:ptCount val="4"/>
                <c:pt idx="0">
                  <c:v>0.84</c:v>
                </c:pt>
                <c:pt idx="1">
                  <c:v>0.88</c:v>
                </c:pt>
                <c:pt idx="2">
                  <c:v>0.84</c:v>
                </c:pt>
                <c:pt idx="3">
                  <c:v>0.9</c:v>
                </c:pt>
              </c:numCache>
            </c:numRef>
          </c:val>
        </c:ser>
        <c:ser>
          <c:idx val="3"/>
          <c:order val="3"/>
          <c:tx>
            <c:strRef>
              <c:f>'03 Jump sim'!E1</c:f>
              <c:strCache>
                <c:ptCount val="1"/>
                <c:pt idx="0">
                  <c:v>Search_hint_wrong_s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eda1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'03 Jump sim'!$A$2:$A$5</c:f>
              <c:strCache>
                <c:ptCount val="4"/>
                <c:pt idx="0">
                  <c:v>1 → 3</c:v>
                </c:pt>
                <c:pt idx="1">
                  <c:v>3 → 1</c:v>
                </c:pt>
                <c:pt idx="2">
                  <c:v>1 → 3 far</c:v>
                </c:pt>
                <c:pt idx="3">
                  <c:v>3 → 1 far</c:v>
                </c:pt>
              </c:strCache>
            </c:strRef>
          </c:cat>
          <c:val>
            <c:numRef>
              <c:f>'03 Jump sim'!$E$2:$E$5</c:f>
              <c:numCache>
                <c:formatCode>General</c:formatCode>
                <c:ptCount val="4"/>
                <c:pt idx="0">
                  <c:v>1.42</c:v>
                </c:pt>
                <c:pt idx="1">
                  <c:v>1.43</c:v>
                </c:pt>
                <c:pt idx="2">
                  <c:v>1.72</c:v>
                </c:pt>
                <c:pt idx="3">
                  <c:v>1.43</c:v>
                </c:pt>
              </c:numCache>
            </c:numRef>
          </c:val>
        </c:ser>
        <c:gapWidth val="150"/>
        <c:overlap val="0"/>
        <c:axId val="99677138"/>
        <c:axId val="97134482"/>
      </c:barChart>
      <c:catAx>
        <c:axId val="996771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34482"/>
        <c:crosses val="autoZero"/>
        <c:auto val="1"/>
        <c:lblAlgn val="ctr"/>
        <c:lblOffset val="100"/>
        <c:noMultiLvlLbl val="0"/>
      </c:catAx>
      <c:valAx>
        <c:axId val="971344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771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to reacquire after a loss, V1 vs V2 (field)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'04 V1 vs V2'!D1</c:f>
              <c:strCache>
                <c:ptCount val="1"/>
                <c:pt idx="0">
                  <c:v>V1_pct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 V1 vs V2'!$A$2:$A$7</c:f>
              <c:strCache>
                <c:ptCount val="6"/>
                <c:pt idx="0">
                  <c:v>&lt; 0.25</c:v>
                </c:pt>
                <c:pt idx="1">
                  <c:v>0.25–0.5</c:v>
                </c:pt>
                <c:pt idx="2">
                  <c:v>0.5–1</c:v>
                </c:pt>
                <c:pt idx="3">
                  <c:v>1–2</c:v>
                </c:pt>
                <c:pt idx="4">
                  <c:v>2–3</c:v>
                </c:pt>
                <c:pt idx="5">
                  <c:v>≥ 3</c:v>
                </c:pt>
              </c:strCache>
            </c:strRef>
          </c:cat>
          <c:val>
            <c:numRef>
              <c:f>'04 V1 vs V2'!$D$2:$D$7</c:f>
              <c:numCache>
                <c:formatCode>General</c:formatCode>
                <c:ptCount val="6"/>
                <c:pt idx="0">
                  <c:v>35.7</c:v>
                </c:pt>
                <c:pt idx="1">
                  <c:v>11.4</c:v>
                </c:pt>
                <c:pt idx="2">
                  <c:v>32.9</c:v>
                </c:pt>
                <c:pt idx="3">
                  <c:v>10</c:v>
                </c:pt>
                <c:pt idx="4">
                  <c:v>5.7</c:v>
                </c:pt>
                <c:pt idx="5">
                  <c:v>4.3</c:v>
                </c:pt>
              </c:numCache>
            </c:numRef>
          </c:val>
        </c:ser>
        <c:ser>
          <c:idx val="1"/>
          <c:order val="1"/>
          <c:tx>
            <c:strRef>
              <c:f>'04 V1 vs V2'!E1</c:f>
              <c:strCache>
                <c:ptCount val="1"/>
                <c:pt idx="0">
                  <c:v>V2_pct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 V1 vs V2'!$A$2:$A$7</c:f>
              <c:strCache>
                <c:ptCount val="6"/>
                <c:pt idx="0">
                  <c:v>&lt; 0.25</c:v>
                </c:pt>
                <c:pt idx="1">
                  <c:v>0.25–0.5</c:v>
                </c:pt>
                <c:pt idx="2">
                  <c:v>0.5–1</c:v>
                </c:pt>
                <c:pt idx="3">
                  <c:v>1–2</c:v>
                </c:pt>
                <c:pt idx="4">
                  <c:v>2–3</c:v>
                </c:pt>
                <c:pt idx="5">
                  <c:v>≥ 3</c:v>
                </c:pt>
              </c:strCache>
            </c:strRef>
          </c:cat>
          <c:val>
            <c:numRef>
              <c:f>'04 V1 vs V2'!$E$2:$E$7</c:f>
              <c:numCache>
                <c:formatCode>General</c:formatCode>
                <c:ptCount val="6"/>
                <c:pt idx="0">
                  <c:v>51.4</c:v>
                </c:pt>
                <c:pt idx="1">
                  <c:v>18.9</c:v>
                </c:pt>
                <c:pt idx="2">
                  <c:v>13.5</c:v>
                </c:pt>
                <c:pt idx="3">
                  <c:v>13.5</c:v>
                </c:pt>
                <c:pt idx="4">
                  <c:v>2.7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4863551"/>
        <c:axId val="30764257"/>
      </c:barChart>
      <c:catAx>
        <c:axId val="24863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64257"/>
        <c:crosses val="autoZero"/>
        <c:auto val="1"/>
        <c:lblAlgn val="ctr"/>
        <c:lblOffset val="100"/>
        <c:noMultiLvlLbl val="0"/>
      </c:catAx>
      <c:valAx>
        <c:axId val="30764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losses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635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Ghost-echo fix: losses per minute after each change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'05 Stand steps'!C1</c:f>
              <c:strCache>
                <c:ptCount val="1"/>
                <c:pt idx="0">
                  <c:v>Losses_per_min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'05 Stand steps'!$A$2:$A$5</c:f>
              <c:strCache>
                <c:ptCount val="4"/>
                <c:pt idx="0">
                  <c:v>Before</c:v>
                </c:pt>
                <c:pt idx="1">
                  <c:v>+ Band</c:v>
                </c:pt>
                <c:pt idx="2">
                  <c:v>+ Agreement</c:v>
                </c:pt>
                <c:pt idx="3">
                  <c:v>+ Keep echo</c:v>
                </c:pt>
              </c:strCache>
            </c:strRef>
          </c:cat>
          <c:val>
            <c:numRef>
              <c:f>'05 Stand steps'!$C$2:$C$5</c:f>
              <c:numCache>
                <c:formatCode>General</c:formatCode>
                <c:ptCount val="4"/>
                <c:pt idx="0">
                  <c:v>12.4</c:v>
                </c:pt>
                <c:pt idx="1">
                  <c:v>10.7</c:v>
                </c:pt>
                <c:pt idx="2">
                  <c:v>10.4</c:v>
                </c:pt>
                <c:pt idx="3">
                  <c:v>1.2</c:v>
                </c:pt>
              </c:numCache>
            </c:numRef>
          </c:val>
        </c:ser>
        <c:gapWidth val="150"/>
        <c:overlap val="0"/>
        <c:axId val="23379058"/>
        <c:axId val="26685925"/>
      </c:barChart>
      <c:catAx>
        <c:axId val="233790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85925"/>
        <c:crosses val="autoZero"/>
        <c:auto val="1"/>
        <c:lblAlgn val="ctr"/>
        <c:lblOffset val="100"/>
        <c:noMultiLvlLbl val="0"/>
      </c:catAx>
      <c:valAx>
        <c:axId val="26685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Losses per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790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Losses per minute on each hole, before vs after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'06 Per hole'!D1</c:f>
              <c:strCache>
                <c:ptCount val="1"/>
                <c:pt idx="0">
                  <c:v>Losses_per_min_before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 Per hole'!$C$2:$C$16</c:f>
              <c:strCache>
                <c:ptCount val="15"/>
                <c:pt idx="0">
                  <c:v>(0.25, 1.10)</c:v>
                </c:pt>
                <c:pt idx="1">
                  <c:v>(0.50, 1.10)</c:v>
                </c:pt>
                <c:pt idx="2">
                  <c:v>(0.75, 1.10)</c:v>
                </c:pt>
                <c:pt idx="3">
                  <c:v>(1.00, 1.10)</c:v>
                </c:pt>
                <c:pt idx="4">
                  <c:v>(1.25, 1.10)</c:v>
                </c:pt>
                <c:pt idx="5">
                  <c:v>(0.25, 1.42)</c:v>
                </c:pt>
                <c:pt idx="6">
                  <c:v>(0.50, 1.42)</c:v>
                </c:pt>
                <c:pt idx="7">
                  <c:v>(0.75, 1.42)</c:v>
                </c:pt>
                <c:pt idx="8">
                  <c:v>(1.00, 1.42)</c:v>
                </c:pt>
                <c:pt idx="9">
                  <c:v>(1.25, 1.42)</c:v>
                </c:pt>
                <c:pt idx="10">
                  <c:v>(0.25, 1.74)</c:v>
                </c:pt>
                <c:pt idx="11">
                  <c:v>(0.50, 1.74)</c:v>
                </c:pt>
                <c:pt idx="12">
                  <c:v>(0.75, 1.74)</c:v>
                </c:pt>
                <c:pt idx="13">
                  <c:v>(1.00, 1.74)</c:v>
                </c:pt>
                <c:pt idx="14">
                  <c:v>(1.25, 1.74)</c:v>
                </c:pt>
              </c:strCache>
            </c:strRef>
          </c:cat>
          <c:val>
            <c:numRef>
              <c:f>'06 Per hole'!$D$2:$D$16</c:f>
              <c:numCache>
                <c:formatCode>General</c:formatCode>
                <c:ptCount val="15"/>
                <c:pt idx="0">
                  <c:v>20.7</c:v>
                </c:pt>
                <c:pt idx="1">
                  <c:v>16.7</c:v>
                </c:pt>
                <c:pt idx="2">
                  <c:v>18</c:v>
                </c:pt>
                <c:pt idx="3">
                  <c:v>12</c:v>
                </c:pt>
                <c:pt idx="4">
                  <c:v>17.3</c:v>
                </c:pt>
                <c:pt idx="5">
                  <c:v>18</c:v>
                </c:pt>
                <c:pt idx="6">
                  <c:v>14.7</c:v>
                </c:pt>
                <c:pt idx="7">
                  <c:v>6.7</c:v>
                </c:pt>
                <c:pt idx="8">
                  <c:v>7.3</c:v>
                </c:pt>
                <c:pt idx="9">
                  <c:v>16</c:v>
                </c:pt>
                <c:pt idx="10">
                  <c:v>13.3</c:v>
                </c:pt>
                <c:pt idx="11">
                  <c:v>8</c:v>
                </c:pt>
                <c:pt idx="12">
                  <c:v>5.3</c:v>
                </c:pt>
                <c:pt idx="13">
                  <c:v>4.7</c:v>
                </c:pt>
                <c:pt idx="14">
                  <c:v>6.7</c:v>
                </c:pt>
              </c:numCache>
            </c:numRef>
          </c:val>
        </c:ser>
        <c:ser>
          <c:idx val="1"/>
          <c:order val="1"/>
          <c:tx>
            <c:strRef>
              <c:f>'06 Per hole'!E1</c:f>
              <c:strCache>
                <c:ptCount val="1"/>
                <c:pt idx="0">
                  <c:v>Losses_per_min_after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 Per hole'!$C$2:$C$16</c:f>
              <c:strCache>
                <c:ptCount val="15"/>
                <c:pt idx="0">
                  <c:v>(0.25, 1.10)</c:v>
                </c:pt>
                <c:pt idx="1">
                  <c:v>(0.50, 1.10)</c:v>
                </c:pt>
                <c:pt idx="2">
                  <c:v>(0.75, 1.10)</c:v>
                </c:pt>
                <c:pt idx="3">
                  <c:v>(1.00, 1.10)</c:v>
                </c:pt>
                <c:pt idx="4">
                  <c:v>(1.25, 1.10)</c:v>
                </c:pt>
                <c:pt idx="5">
                  <c:v>(0.25, 1.42)</c:v>
                </c:pt>
                <c:pt idx="6">
                  <c:v>(0.50, 1.42)</c:v>
                </c:pt>
                <c:pt idx="7">
                  <c:v>(0.75, 1.42)</c:v>
                </c:pt>
                <c:pt idx="8">
                  <c:v>(1.00, 1.42)</c:v>
                </c:pt>
                <c:pt idx="9">
                  <c:v>(1.25, 1.42)</c:v>
                </c:pt>
                <c:pt idx="10">
                  <c:v>(0.25, 1.74)</c:v>
                </c:pt>
                <c:pt idx="11">
                  <c:v>(0.50, 1.74)</c:v>
                </c:pt>
                <c:pt idx="12">
                  <c:v>(0.75, 1.74)</c:v>
                </c:pt>
                <c:pt idx="13">
                  <c:v>(1.00, 1.74)</c:v>
                </c:pt>
                <c:pt idx="14">
                  <c:v>(1.25, 1.74)</c:v>
                </c:pt>
              </c:strCache>
            </c:strRef>
          </c:cat>
          <c:val>
            <c:numRef>
              <c:f>'06 Per hole'!$E$2:$E$16</c:f>
              <c:numCache>
                <c:formatCode>General</c:formatCode>
                <c:ptCount val="15"/>
                <c:pt idx="0">
                  <c:v>2.7</c:v>
                </c:pt>
                <c:pt idx="1">
                  <c:v>1.3</c:v>
                </c:pt>
                <c:pt idx="2">
                  <c:v>4.7</c:v>
                </c:pt>
                <c:pt idx="3">
                  <c:v>2.7</c:v>
                </c:pt>
                <c:pt idx="4">
                  <c:v>2.7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</c:v>
                </c:pt>
                <c:pt idx="12">
                  <c:v>0.7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63971555"/>
        <c:axId val="19326188"/>
      </c:barChart>
      <c:catAx>
        <c:axId val="63971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26188"/>
        <c:crosses val="autoZero"/>
        <c:auto val="1"/>
        <c:lblAlgn val="ctr"/>
        <c:lblOffset val="100"/>
        <c:noMultiLvlLbl val="0"/>
      </c:catAx>
      <c:valAx>
        <c:axId val="19326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Losses per minute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715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Commits per day by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'07 Commits'!B1</c:f>
              <c:strCache>
                <c:ptCount val="1"/>
                <c:pt idx="0">
                  <c:v>Tracker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 Commits'!$A$2:$A$10</c:f>
              <c:strCache>
                <c:ptCount val="9"/>
                <c:pt idx="0">
                  <c:v>12 Sep</c:v>
                </c:pt>
                <c:pt idx="1">
                  <c:v>22 Sep</c:v>
                </c:pt>
                <c:pt idx="2">
                  <c:v>23 Sep</c:v>
                </c:pt>
                <c:pt idx="3">
                  <c:v>24 Sep</c:v>
                </c:pt>
                <c:pt idx="4">
                  <c:v>29 Sep</c:v>
                </c:pt>
                <c:pt idx="5">
                  <c:v>30 Sep</c:v>
                </c:pt>
                <c:pt idx="6">
                  <c:v>1 Oct</c:v>
                </c:pt>
                <c:pt idx="7">
                  <c:v>2 Oct</c:v>
                </c:pt>
                <c:pt idx="8">
                  <c:v>5 Oct</c:v>
                </c:pt>
              </c:strCache>
            </c:strRef>
          </c:cat>
          <c:val>
            <c:numRef>
              <c:f>'07 Commits'!$B$2:$B$10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ser>
          <c:idx val="1"/>
          <c:order val="1"/>
          <c:tx>
            <c:strRef>
              <c:f>'07 Commits'!C1</c:f>
              <c:strCache>
                <c:ptCount val="1"/>
                <c:pt idx="0">
                  <c:v>Firmware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 Commits'!$A$2:$A$10</c:f>
              <c:strCache>
                <c:ptCount val="9"/>
                <c:pt idx="0">
                  <c:v>12 Sep</c:v>
                </c:pt>
                <c:pt idx="1">
                  <c:v>22 Sep</c:v>
                </c:pt>
                <c:pt idx="2">
                  <c:v>23 Sep</c:v>
                </c:pt>
                <c:pt idx="3">
                  <c:v>24 Sep</c:v>
                </c:pt>
                <c:pt idx="4">
                  <c:v>29 Sep</c:v>
                </c:pt>
                <c:pt idx="5">
                  <c:v>30 Sep</c:v>
                </c:pt>
                <c:pt idx="6">
                  <c:v>1 Oct</c:v>
                </c:pt>
                <c:pt idx="7">
                  <c:v>2 Oct</c:v>
                </c:pt>
                <c:pt idx="8">
                  <c:v>5 Oct</c:v>
                </c:pt>
              </c:strCache>
            </c:strRef>
          </c:cat>
          <c:val>
            <c:numRef>
              <c:f>'07 Commits'!$C$2:$C$10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'07 Commits'!D1</c:f>
              <c:strCache>
                <c:ptCount val="1"/>
                <c:pt idx="0">
                  <c:v>Tools, tests, config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1baf7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 Commits'!$A$2:$A$10</c:f>
              <c:strCache>
                <c:ptCount val="9"/>
                <c:pt idx="0">
                  <c:v>12 Sep</c:v>
                </c:pt>
                <c:pt idx="1">
                  <c:v>22 Sep</c:v>
                </c:pt>
                <c:pt idx="2">
                  <c:v>23 Sep</c:v>
                </c:pt>
                <c:pt idx="3">
                  <c:v>24 Sep</c:v>
                </c:pt>
                <c:pt idx="4">
                  <c:v>29 Sep</c:v>
                </c:pt>
                <c:pt idx="5">
                  <c:v>30 Sep</c:v>
                </c:pt>
                <c:pt idx="6">
                  <c:v>1 Oct</c:v>
                </c:pt>
                <c:pt idx="7">
                  <c:v>2 Oct</c:v>
                </c:pt>
                <c:pt idx="8">
                  <c:v>5 Oct</c:v>
                </c:pt>
              </c:strCache>
            </c:strRef>
          </c:cat>
          <c:val>
            <c:numRef>
              <c:f>'07 Commits'!$D$2:$D$10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'07 Commits'!E1</c:f>
              <c:strCache>
                <c:ptCount val="1"/>
                <c:pt idx="0">
                  <c:v>Docs, results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eda1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'07 Commits'!$A$2:$A$10</c:f>
              <c:strCache>
                <c:ptCount val="9"/>
                <c:pt idx="0">
                  <c:v>12 Sep</c:v>
                </c:pt>
                <c:pt idx="1">
                  <c:v>22 Sep</c:v>
                </c:pt>
                <c:pt idx="2">
                  <c:v>23 Sep</c:v>
                </c:pt>
                <c:pt idx="3">
                  <c:v>24 Sep</c:v>
                </c:pt>
                <c:pt idx="4">
                  <c:v>29 Sep</c:v>
                </c:pt>
                <c:pt idx="5">
                  <c:v>30 Sep</c:v>
                </c:pt>
                <c:pt idx="6">
                  <c:v>1 Oct</c:v>
                </c:pt>
                <c:pt idx="7">
                  <c:v>2 Oct</c:v>
                </c:pt>
                <c:pt idx="8">
                  <c:v>5 Oct</c:v>
                </c:pt>
              </c:strCache>
            </c:strRef>
          </c:cat>
          <c:val>
            <c:numRef>
              <c:f>'07 Commits'!$E$2:$E$10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gapWidth val="150"/>
        <c:overlap val="100"/>
        <c:axId val="44951220"/>
        <c:axId val="78376049"/>
      </c:barChart>
      <c:catAx>
        <c:axId val="449512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376049"/>
        <c:crosses val="autoZero"/>
        <c:auto val="1"/>
        <c:lblAlgn val="ctr"/>
        <c:lblOffset val="100"/>
        <c:noMultiLvlLbl val="0"/>
      </c:catAx>
      <c:valAx>
        <c:axId val="78376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Commits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512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Reacquire time, V1 vs V2 (field): histogram + fitted log-normal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'08 Latency dist'!F1</c:f>
              <c:strCache>
                <c:ptCount val="1"/>
                <c:pt idx="0">
                  <c:v>V1_pct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Latency dist'!$C$2:$C$8</c:f>
              <c:strCache>
                <c:ptCount val="7"/>
                <c:pt idx="0">
                  <c:v>0.075–0.15</c:v>
                </c:pt>
                <c:pt idx="1">
                  <c:v>0.15–0.3</c:v>
                </c:pt>
                <c:pt idx="2">
                  <c:v>0.3–0.6</c:v>
                </c:pt>
                <c:pt idx="3">
                  <c:v>0.6–1.2</c:v>
                </c:pt>
                <c:pt idx="4">
                  <c:v>1.2–2.4</c:v>
                </c:pt>
                <c:pt idx="5">
                  <c:v>2.4–4.8</c:v>
                </c:pt>
                <c:pt idx="6">
                  <c:v>4.8–9.6</c:v>
                </c:pt>
              </c:strCache>
            </c:strRef>
          </c:cat>
          <c:val>
            <c:numRef>
              <c:f>'08 Latency dist'!$F$2:$F$8</c:f>
              <c:numCache>
                <c:formatCode>0.0</c:formatCode>
                <c:ptCount val="7"/>
                <c:pt idx="0">
                  <c:v>21.4</c:v>
                </c:pt>
                <c:pt idx="1">
                  <c:v>14.3</c:v>
                </c:pt>
                <c:pt idx="2">
                  <c:v>21.4</c:v>
                </c:pt>
                <c:pt idx="3">
                  <c:v>27.1</c:v>
                </c:pt>
                <c:pt idx="4">
                  <c:v>10</c:v>
                </c:pt>
                <c:pt idx="5">
                  <c:v>4.3</c:v>
                </c:pt>
                <c:pt idx="6">
                  <c:v>1.4</c:v>
                </c:pt>
              </c:numCache>
            </c:numRef>
          </c:val>
        </c:ser>
        <c:ser>
          <c:idx val="1"/>
          <c:order val="1"/>
          <c:tx>
            <c:strRef>
              <c:f>'08 Latency dist'!G1</c:f>
              <c:strCache>
                <c:ptCount val="1"/>
                <c:pt idx="0">
                  <c:v>V2_pct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Latency dist'!$C$2:$C$8</c:f>
              <c:strCache>
                <c:ptCount val="7"/>
                <c:pt idx="0">
                  <c:v>0.075–0.15</c:v>
                </c:pt>
                <c:pt idx="1">
                  <c:v>0.15–0.3</c:v>
                </c:pt>
                <c:pt idx="2">
                  <c:v>0.3–0.6</c:v>
                </c:pt>
                <c:pt idx="3">
                  <c:v>0.6–1.2</c:v>
                </c:pt>
                <c:pt idx="4">
                  <c:v>1.2–2.4</c:v>
                </c:pt>
                <c:pt idx="5">
                  <c:v>2.4–4.8</c:v>
                </c:pt>
                <c:pt idx="6">
                  <c:v>4.8–9.6</c:v>
                </c:pt>
              </c:strCache>
            </c:strRef>
          </c:cat>
          <c:val>
            <c:numRef>
              <c:f>'08 Latency dist'!$G$2:$G$8</c:f>
              <c:numCache>
                <c:formatCode>0.0</c:formatCode>
                <c:ptCount val="7"/>
                <c:pt idx="0">
                  <c:v>35.1</c:v>
                </c:pt>
                <c:pt idx="1">
                  <c:v>16.2</c:v>
                </c:pt>
                <c:pt idx="2">
                  <c:v>18.9</c:v>
                </c:pt>
                <c:pt idx="3">
                  <c:v>24.3</c:v>
                </c:pt>
                <c:pt idx="4">
                  <c:v>2.7</c:v>
                </c:pt>
                <c:pt idx="5">
                  <c:v>2.7</c:v>
                </c:pt>
                <c:pt idx="6">
                  <c:v>0</c:v>
                </c:pt>
              </c:numCache>
            </c:numRef>
          </c:val>
        </c:ser>
        <c:gapWidth val="40"/>
        <c:overlap val="0"/>
        <c:axId val="47967829"/>
        <c:axId val="62208908"/>
      </c:barChart>
      <c:lineChart>
        <c:grouping val="standard"/>
        <c:varyColors val="0"/>
        <c:ser>
          <c:idx val="2"/>
          <c:order val="2"/>
          <c:tx>
            <c:strRef>
              <c:f>'08 Latency dist'!H1</c:f>
              <c:strCache>
                <c:ptCount val="1"/>
                <c:pt idx="0">
                  <c:v>V1_lognormal_fit_pct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Latency dist'!$C$2:$C$8</c:f>
              <c:strCache>
                <c:ptCount val="7"/>
                <c:pt idx="0">
                  <c:v>0.075–0.15</c:v>
                </c:pt>
                <c:pt idx="1">
                  <c:v>0.15–0.3</c:v>
                </c:pt>
                <c:pt idx="2">
                  <c:v>0.3–0.6</c:v>
                </c:pt>
                <c:pt idx="3">
                  <c:v>0.6–1.2</c:v>
                </c:pt>
                <c:pt idx="4">
                  <c:v>1.2–2.4</c:v>
                </c:pt>
                <c:pt idx="5">
                  <c:v>2.4–4.8</c:v>
                </c:pt>
                <c:pt idx="6">
                  <c:v>4.8–9.6</c:v>
                </c:pt>
              </c:strCache>
            </c:strRef>
          </c:cat>
          <c:val>
            <c:numRef>
              <c:f>'08 Latency dist'!$H$2:$H$8</c:f>
              <c:numCache>
                <c:formatCode>0.0</c:formatCode>
                <c:ptCount val="7"/>
                <c:pt idx="0">
                  <c:v>11.3</c:v>
                </c:pt>
                <c:pt idx="1">
                  <c:v>20.4</c:v>
                </c:pt>
                <c:pt idx="2">
                  <c:v>24.9</c:v>
                </c:pt>
                <c:pt idx="3">
                  <c:v>20.7</c:v>
                </c:pt>
                <c:pt idx="4">
                  <c:v>11.6</c:v>
                </c:pt>
                <c:pt idx="5">
                  <c:v>4.4</c:v>
                </c:pt>
                <c:pt idx="6">
                  <c:v>1.1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'08 Latency dist'!I1</c:f>
              <c:strCache>
                <c:ptCount val="1"/>
                <c:pt idx="0">
                  <c:v>V2_lognormal_fit_pct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'08 Latency dist'!$C$2:$C$8</c:f>
              <c:strCache>
                <c:ptCount val="7"/>
                <c:pt idx="0">
                  <c:v>0.075–0.15</c:v>
                </c:pt>
                <c:pt idx="1">
                  <c:v>0.15–0.3</c:v>
                </c:pt>
                <c:pt idx="2">
                  <c:v>0.3–0.6</c:v>
                </c:pt>
                <c:pt idx="3">
                  <c:v>0.6–1.2</c:v>
                </c:pt>
                <c:pt idx="4">
                  <c:v>1.2–2.4</c:v>
                </c:pt>
                <c:pt idx="5">
                  <c:v>2.4–4.8</c:v>
                </c:pt>
                <c:pt idx="6">
                  <c:v>4.8–9.6</c:v>
                </c:pt>
              </c:strCache>
            </c:strRef>
          </c:cat>
          <c:val>
            <c:numRef>
              <c:f>'08 Latency dist'!$I$2:$I$8</c:f>
              <c:numCache>
                <c:formatCode>0.0</c:formatCode>
                <c:ptCount val="7"/>
                <c:pt idx="0">
                  <c:v>16.7</c:v>
                </c:pt>
                <c:pt idx="1">
                  <c:v>26.1</c:v>
                </c:pt>
                <c:pt idx="2">
                  <c:v>25.5</c:v>
                </c:pt>
                <c:pt idx="3">
                  <c:v>15.5</c:v>
                </c:pt>
                <c:pt idx="4">
                  <c:v>5.9</c:v>
                </c:pt>
                <c:pt idx="5">
                  <c:v>1.4</c:v>
                </c:pt>
                <c:pt idx="6">
                  <c:v>0.2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967829"/>
        <c:axId val="62208908"/>
      </c:lineChart>
      <c:catAx>
        <c:axId val="47967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to reacquire (bins double in width)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08908"/>
        <c:crosses val="autoZero"/>
        <c:auto val="1"/>
        <c:lblAlgn val="ctr"/>
        <c:lblOffset val="100"/>
        <c:noMultiLvlLbl val="0"/>
      </c:catAx>
      <c:valAx>
        <c:axId val="622089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losses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678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losses reacquired within t seconds (field)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'09 Reliability'!B1</c:f>
              <c:strCache>
                <c:ptCount val="1"/>
                <c:pt idx="0">
                  <c:v>V1_reacquired_pct</c:v>
                </c:pt>
              </c:strCache>
            </c:strRef>
          </c:tx>
          <c:spPr>
            <a:solidFill>
              <a:srgbClr val="2a78d6"/>
            </a:solidFill>
            <a:ln w="3168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'09 Reliability'!$A$2:$A$67</c:f>
              <c:numCache>
                <c:formatCode>0.0</c:formatCode>
                <c:ptCount val="6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</c:numCache>
            </c:numRef>
          </c:xVal>
          <c:yVal>
            <c:numRef>
              <c:f>'09 Reliability'!$B$2:$B$67</c:f>
              <c:numCache>
                <c:formatCode>0.0</c:formatCode>
                <c:ptCount val="66"/>
                <c:pt idx="0">
                  <c:v>0</c:v>
                </c:pt>
                <c:pt idx="1">
                  <c:v>21.4285714285714</c:v>
                </c:pt>
                <c:pt idx="2">
                  <c:v>30</c:v>
                </c:pt>
                <c:pt idx="3">
                  <c:v>38.5714285714286</c:v>
                </c:pt>
                <c:pt idx="4">
                  <c:v>45.7142857142857</c:v>
                </c:pt>
                <c:pt idx="5">
                  <c:v>47.1428571428571</c:v>
                </c:pt>
                <c:pt idx="6">
                  <c:v>57.1428571428571</c:v>
                </c:pt>
                <c:pt idx="7">
                  <c:v>65.7142857142857</c:v>
                </c:pt>
                <c:pt idx="8">
                  <c:v>71.4285714285714</c:v>
                </c:pt>
                <c:pt idx="9">
                  <c:v>77.1428571428571</c:v>
                </c:pt>
                <c:pt idx="10">
                  <c:v>80</c:v>
                </c:pt>
                <c:pt idx="11">
                  <c:v>84.2857142857143</c:v>
                </c:pt>
                <c:pt idx="12">
                  <c:v>84.2857142857143</c:v>
                </c:pt>
                <c:pt idx="13">
                  <c:v>84.2857142857143</c:v>
                </c:pt>
                <c:pt idx="14">
                  <c:v>84.2857142857143</c:v>
                </c:pt>
                <c:pt idx="15">
                  <c:v>84.2857142857143</c:v>
                </c:pt>
                <c:pt idx="16">
                  <c:v>85.7142857142857</c:v>
                </c:pt>
                <c:pt idx="17">
                  <c:v>87.1428571428571</c:v>
                </c:pt>
                <c:pt idx="18">
                  <c:v>88.5714285714286</c:v>
                </c:pt>
                <c:pt idx="19">
                  <c:v>90</c:v>
                </c:pt>
                <c:pt idx="20">
                  <c:v>90</c:v>
                </c:pt>
                <c:pt idx="21">
                  <c:v>90</c:v>
                </c:pt>
                <c:pt idx="22">
                  <c:v>90</c:v>
                </c:pt>
                <c:pt idx="23">
                  <c:v>91.4285714285714</c:v>
                </c:pt>
                <c:pt idx="24">
                  <c:v>94.2857142857143</c:v>
                </c:pt>
                <c:pt idx="25">
                  <c:v>94.2857142857143</c:v>
                </c:pt>
                <c:pt idx="26">
                  <c:v>94.2857142857143</c:v>
                </c:pt>
                <c:pt idx="27">
                  <c:v>94.2857142857143</c:v>
                </c:pt>
                <c:pt idx="28">
                  <c:v>94.2857142857143</c:v>
                </c:pt>
                <c:pt idx="29">
                  <c:v>95.7142857142857</c:v>
                </c:pt>
                <c:pt idx="30">
                  <c:v>95.7142857142857</c:v>
                </c:pt>
                <c:pt idx="31">
                  <c:v>95.7142857142857</c:v>
                </c:pt>
                <c:pt idx="32">
                  <c:v>95.7142857142857</c:v>
                </c:pt>
                <c:pt idx="33">
                  <c:v>95.7142857142857</c:v>
                </c:pt>
                <c:pt idx="34">
                  <c:v>95.7142857142857</c:v>
                </c:pt>
                <c:pt idx="35">
                  <c:v>95.7142857142857</c:v>
                </c:pt>
                <c:pt idx="36">
                  <c:v>95.7142857142857</c:v>
                </c:pt>
                <c:pt idx="37">
                  <c:v>95.7142857142857</c:v>
                </c:pt>
                <c:pt idx="38">
                  <c:v>95.7142857142857</c:v>
                </c:pt>
                <c:pt idx="39">
                  <c:v>97.1428571428571</c:v>
                </c:pt>
                <c:pt idx="40">
                  <c:v>97.1428571428571</c:v>
                </c:pt>
                <c:pt idx="41">
                  <c:v>97.1428571428571</c:v>
                </c:pt>
                <c:pt idx="42">
                  <c:v>97.1428571428571</c:v>
                </c:pt>
                <c:pt idx="43">
                  <c:v>98.5714285714286</c:v>
                </c:pt>
                <c:pt idx="44">
                  <c:v>98.5714285714286</c:v>
                </c:pt>
                <c:pt idx="45">
                  <c:v>98.5714285714286</c:v>
                </c:pt>
                <c:pt idx="46">
                  <c:v>98.5714285714286</c:v>
                </c:pt>
                <c:pt idx="47">
                  <c:v>98.5714285714286</c:v>
                </c:pt>
                <c:pt idx="48">
                  <c:v>98.5714285714286</c:v>
                </c:pt>
                <c:pt idx="49">
                  <c:v>98.5714285714286</c:v>
                </c:pt>
                <c:pt idx="50">
                  <c:v>98.5714285714286</c:v>
                </c:pt>
                <c:pt idx="51">
                  <c:v>98.5714285714286</c:v>
                </c:pt>
                <c:pt idx="52">
                  <c:v>98.5714285714286</c:v>
                </c:pt>
                <c:pt idx="53">
                  <c:v>98.5714285714286</c:v>
                </c:pt>
                <c:pt idx="54">
                  <c:v>98.5714285714286</c:v>
                </c:pt>
                <c:pt idx="55">
                  <c:v>98.5714285714286</c:v>
                </c:pt>
                <c:pt idx="56">
                  <c:v>98.5714285714286</c:v>
                </c:pt>
                <c:pt idx="57">
                  <c:v>98.5714285714286</c:v>
                </c:pt>
                <c:pt idx="58">
                  <c:v>98.5714285714286</c:v>
                </c:pt>
                <c:pt idx="59">
                  <c:v>98.5714285714286</c:v>
                </c:pt>
                <c:pt idx="60">
                  <c:v>98.5714285714286</c:v>
                </c:pt>
                <c:pt idx="61">
                  <c:v>98.5714285714286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'09 Reliability'!C1</c:f>
              <c:strCache>
                <c:ptCount val="1"/>
                <c:pt idx="0">
                  <c:v>V2_reacquired_pct</c:v>
                </c:pt>
              </c:strCache>
            </c:strRef>
          </c:tx>
          <c:spPr>
            <a:solidFill>
              <a:srgbClr val="eb6834"/>
            </a:solidFill>
            <a:ln w="3168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'09 Reliability'!$A$2:$A$67</c:f>
              <c:numCache>
                <c:formatCode>0.0</c:formatCode>
                <c:ptCount val="6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</c:numCache>
            </c:numRef>
          </c:xVal>
          <c:yVal>
            <c:numRef>
              <c:f>'09 Reliability'!$C$2:$C$67</c:f>
              <c:numCache>
                <c:formatCode>0.0</c:formatCode>
                <c:ptCount val="66"/>
                <c:pt idx="0">
                  <c:v>0</c:v>
                </c:pt>
                <c:pt idx="1">
                  <c:v>35.1351351351351</c:v>
                </c:pt>
                <c:pt idx="2">
                  <c:v>37.8378378378378</c:v>
                </c:pt>
                <c:pt idx="3">
                  <c:v>51.3513513513514</c:v>
                </c:pt>
                <c:pt idx="4">
                  <c:v>62.1621621621622</c:v>
                </c:pt>
                <c:pt idx="5">
                  <c:v>70.2702702702703</c:v>
                </c:pt>
                <c:pt idx="6">
                  <c:v>70.2702702702703</c:v>
                </c:pt>
                <c:pt idx="7">
                  <c:v>70.2702702702703</c:v>
                </c:pt>
                <c:pt idx="8">
                  <c:v>72.972972972973</c:v>
                </c:pt>
                <c:pt idx="9">
                  <c:v>78.3783783783784</c:v>
                </c:pt>
                <c:pt idx="10">
                  <c:v>83.7837837837838</c:v>
                </c:pt>
                <c:pt idx="11">
                  <c:v>89.1891891891892</c:v>
                </c:pt>
                <c:pt idx="12">
                  <c:v>94.5945945945946</c:v>
                </c:pt>
                <c:pt idx="13">
                  <c:v>94.5945945945946</c:v>
                </c:pt>
                <c:pt idx="14">
                  <c:v>97.2972972972973</c:v>
                </c:pt>
                <c:pt idx="15">
                  <c:v>97.2972972972973</c:v>
                </c:pt>
                <c:pt idx="16">
                  <c:v>97.2972972972973</c:v>
                </c:pt>
                <c:pt idx="17">
                  <c:v>97.2972972972973</c:v>
                </c:pt>
                <c:pt idx="18">
                  <c:v>97.2972972972973</c:v>
                </c:pt>
                <c:pt idx="19">
                  <c:v>97.2972972972973</c:v>
                </c:pt>
                <c:pt idx="20">
                  <c:v>97.2972972972973</c:v>
                </c:pt>
                <c:pt idx="21">
                  <c:v>97.2972972972973</c:v>
                </c:pt>
                <c:pt idx="22">
                  <c:v>97.2972972972973</c:v>
                </c:pt>
                <c:pt idx="23">
                  <c:v>97.2972972972973</c:v>
                </c:pt>
                <c:pt idx="24">
                  <c:v>97.2972972972973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'09 Reliability'!D1</c:f>
              <c:strCache>
                <c:ptCount val="1"/>
                <c:pt idx="0">
                  <c:v>V1_lognormal_fit_pct</c:v>
                </c:pt>
              </c:strCache>
            </c:strRef>
          </c:tx>
          <c:spPr>
            <a:solidFill>
              <a:srgbClr val="2a78d6"/>
            </a:solidFill>
            <a:ln w="15840">
              <a:solidFill>
                <a:srgbClr val="2a78d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'09 Reliability'!$A$2:$A$67</c:f>
              <c:numCache>
                <c:formatCode>0.0</c:formatCode>
                <c:ptCount val="6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</c:numCache>
            </c:numRef>
          </c:xVal>
          <c:yVal>
            <c:numRef>
              <c:f>'09 Reliability'!$D$2:$D$67</c:f>
              <c:numCache>
                <c:formatCode>0.0</c:formatCode>
                <c:ptCount val="66"/>
                <c:pt idx="0">
                  <c:v>0</c:v>
                </c:pt>
                <c:pt idx="1">
                  <c:v>9.06854554842853</c:v>
                </c:pt>
                <c:pt idx="2">
                  <c:v>24.1723940583093</c:v>
                </c:pt>
                <c:pt idx="3">
                  <c:v>37.1130151139882</c:v>
                </c:pt>
                <c:pt idx="4">
                  <c:v>47.409102718672</c:v>
                </c:pt>
                <c:pt idx="5">
                  <c:v>55.5545528064444</c:v>
                </c:pt>
                <c:pt idx="6">
                  <c:v>62.054649967814</c:v>
                </c:pt>
                <c:pt idx="7">
                  <c:v>67.3034758493953</c:v>
                </c:pt>
                <c:pt idx="8">
                  <c:v>71.5928361390626</c:v>
                </c:pt>
                <c:pt idx="9">
                  <c:v>75.1374894848256</c:v>
                </c:pt>
                <c:pt idx="10">
                  <c:v>78.0966916329615</c:v>
                </c:pt>
                <c:pt idx="11">
                  <c:v>80.58995508445</c:v>
                </c:pt>
                <c:pt idx="12">
                  <c:v>82.7081383410035</c:v>
                </c:pt>
                <c:pt idx="13">
                  <c:v>84.5212040280209</c:v>
                </c:pt>
                <c:pt idx="14">
                  <c:v>86.083680268719</c:v>
                </c:pt>
                <c:pt idx="15">
                  <c:v>87.438546996997</c:v>
                </c:pt>
                <c:pt idx="16">
                  <c:v>88.6200360146317</c:v>
                </c:pt>
                <c:pt idx="17">
                  <c:v>89.6556742331078</c:v>
                </c:pt>
                <c:pt idx="18">
                  <c:v>90.5677932887267</c:v>
                </c:pt>
                <c:pt idx="19">
                  <c:v>91.3746581952014</c:v>
                </c:pt>
                <c:pt idx="20">
                  <c:v>92.0913206606819</c:v>
                </c:pt>
                <c:pt idx="21">
                  <c:v>92.7302710382775</c:v>
                </c:pt>
                <c:pt idx="22">
                  <c:v>93.3019413375607</c:v>
                </c:pt>
                <c:pt idx="23">
                  <c:v>93.8150968946673</c:v>
                </c:pt>
                <c:pt idx="24">
                  <c:v>94.2771439685358</c:v>
                </c:pt>
                <c:pt idx="25">
                  <c:v>94.6943732517317</c:v>
                </c:pt>
                <c:pt idx="26">
                  <c:v>95.0721540976335</c:v>
                </c:pt>
                <c:pt idx="27">
                  <c:v>95.415090530415</c:v>
                </c:pt>
                <c:pt idx="28">
                  <c:v>95.727147386684</c:v>
                </c:pt>
                <c:pt idx="29">
                  <c:v>96.0117529413671</c:v>
                </c:pt>
                <c:pt idx="30">
                  <c:v>96.2718828905413</c:v>
                </c:pt>
                <c:pt idx="31">
                  <c:v>96.5101294573022</c:v>
                </c:pt>
                <c:pt idx="32">
                  <c:v>96.7287585524479</c:v>
                </c:pt>
                <c:pt idx="33">
                  <c:v>96.929757287839</c:v>
                </c:pt>
                <c:pt idx="34">
                  <c:v>97.1148736550749</c:v>
                </c:pt>
                <c:pt idx="35">
                  <c:v>97.2856498081194</c:v>
                </c:pt>
                <c:pt idx="36">
                  <c:v>97.4434500982998</c:v>
                </c:pt>
                <c:pt idx="37">
                  <c:v>97.5894847835019</c:v>
                </c:pt>
                <c:pt idx="38">
                  <c:v>97.7248301553701</c:v>
                </c:pt>
                <c:pt idx="39">
                  <c:v>97.8504456876906</c:v>
                </c:pt>
                <c:pt idx="40">
                  <c:v>97.9671886974176</c:v>
                </c:pt>
                <c:pt idx="41">
                  <c:v>98.0758269206017</c:v>
                </c:pt>
                <c:pt idx="42">
                  <c:v>98.1770493338897</c:v>
                </c:pt>
                <c:pt idx="43">
                  <c:v>98.2714754945566</c:v>
                </c:pt>
                <c:pt idx="44">
                  <c:v>98.3596636252738</c:v>
                </c:pt>
                <c:pt idx="45">
                  <c:v>98.4421176317958</c:v>
                </c:pt>
                <c:pt idx="46">
                  <c:v>98.5192932106794</c:v>
                </c:pt>
                <c:pt idx="47">
                  <c:v>98.5916031786729</c:v>
                </c:pt>
                <c:pt idx="48">
                  <c:v>98.6594221344384</c:v>
                </c:pt>
                <c:pt idx="49">
                  <c:v>98.7230905459367</c:v>
                </c:pt>
                <c:pt idx="50">
                  <c:v>98.782918342432</c:v>
                </c:pt>
                <c:pt idx="51">
                  <c:v>98.8391880781117</c:v>
                </c:pt>
                <c:pt idx="52">
                  <c:v>98.8921577243348</c:v>
                </c:pt>
                <c:pt idx="53">
                  <c:v>98.9420631391585</c:v>
                </c:pt>
                <c:pt idx="54">
                  <c:v>98.9891202557694</c:v>
                </c:pt>
                <c:pt idx="55">
                  <c:v>99.033527025527</c:v>
                </c:pt>
                <c:pt idx="56">
                  <c:v>99.0754651463284</c:v>
                </c:pt>
                <c:pt idx="57">
                  <c:v>99.1151016027652</c:v>
                </c:pt>
                <c:pt idx="58">
                  <c:v>99.1525900409468</c:v>
                </c:pt>
                <c:pt idx="59">
                  <c:v>99.1880719977979</c:v>
                </c:pt>
                <c:pt idx="60">
                  <c:v>99.2216780020229</c:v>
                </c:pt>
                <c:pt idx="61">
                  <c:v>99.2535285616896</c:v>
                </c:pt>
                <c:pt idx="62">
                  <c:v>99.2837350514636</c:v>
                </c:pt>
                <c:pt idx="63">
                  <c:v>99.3124005108737</c:v>
                </c:pt>
                <c:pt idx="64">
                  <c:v>99.3396203635656</c:v>
                </c:pt>
                <c:pt idx="65">
                  <c:v>99.3654830662713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'09 Reliability'!E1</c:f>
              <c:strCache>
                <c:ptCount val="1"/>
                <c:pt idx="0">
                  <c:v>V2_lognormal_fit_pct</c:v>
                </c:pt>
              </c:strCache>
            </c:strRef>
          </c:tx>
          <c:spPr>
            <a:solidFill>
              <a:srgbClr val="eb6834"/>
            </a:solidFill>
            <a:ln w="15840">
              <a:solidFill>
                <a:srgbClr val="eb6834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'09 Reliability'!$A$2:$A$67</c:f>
              <c:numCache>
                <c:formatCode>0.0</c:formatCode>
                <c:ptCount val="6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</c:v>
                </c:pt>
                <c:pt idx="23">
                  <c:v>2.3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4.1</c:v>
                </c:pt>
                <c:pt idx="42">
                  <c:v>4.2</c:v>
                </c:pt>
                <c:pt idx="43">
                  <c:v>4.3</c:v>
                </c:pt>
                <c:pt idx="44">
                  <c:v>4.4</c:v>
                </c:pt>
                <c:pt idx="45">
                  <c:v>4.5</c:v>
                </c:pt>
                <c:pt idx="46">
                  <c:v>4.6</c:v>
                </c:pt>
                <c:pt idx="47">
                  <c:v>4.7</c:v>
                </c:pt>
                <c:pt idx="48">
                  <c:v>4.8</c:v>
                </c:pt>
                <c:pt idx="49">
                  <c:v>4.9</c:v>
                </c:pt>
                <c:pt idx="50">
                  <c:v>5</c:v>
                </c:pt>
                <c:pt idx="51">
                  <c:v>5.1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</c:numCache>
            </c:numRef>
          </c:xVal>
          <c:yVal>
            <c:numRef>
              <c:f>'09 Reliability'!$E$2:$E$67</c:f>
              <c:numCache>
                <c:formatCode>0.0</c:formatCode>
                <c:ptCount val="66"/>
                <c:pt idx="0">
                  <c:v>0</c:v>
                </c:pt>
                <c:pt idx="1">
                  <c:v>14.1473891814806</c:v>
                </c:pt>
                <c:pt idx="2">
                  <c:v>35.4531277605294</c:v>
                </c:pt>
                <c:pt idx="3">
                  <c:v>51.4642899215827</c:v>
                </c:pt>
                <c:pt idx="4">
                  <c:v>62.8351389349907</c:v>
                </c:pt>
                <c:pt idx="5">
                  <c:v>70.9880178469238</c:v>
                </c:pt>
                <c:pt idx="6">
                  <c:v>76.9535525336075</c:v>
                </c:pt>
                <c:pt idx="7">
                  <c:v>81.4105530023021</c:v>
                </c:pt>
                <c:pt idx="8">
                  <c:v>84.8047575761827</c:v>
                </c:pt>
                <c:pt idx="9">
                  <c:v>87.4339361167384</c:v>
                </c:pt>
                <c:pt idx="10">
                  <c:v>89.5013597904605</c:v>
                </c:pt>
                <c:pt idx="11">
                  <c:v>91.1488151307514</c:v>
                </c:pt>
                <c:pt idx="12">
                  <c:v>92.4772130566765</c:v>
                </c:pt>
                <c:pt idx="13">
                  <c:v>93.5597045799016</c:v>
                </c:pt>
                <c:pt idx="14">
                  <c:v>94.4502067891709</c:v>
                </c:pt>
                <c:pt idx="15">
                  <c:v>95.1890622060821</c:v>
                </c:pt>
                <c:pt idx="16">
                  <c:v>95.8068701281047</c:v>
                </c:pt>
                <c:pt idx="17">
                  <c:v>96.3271282949525</c:v>
                </c:pt>
                <c:pt idx="18">
                  <c:v>96.7680852286136</c:v>
                </c:pt>
                <c:pt idx="19">
                  <c:v>97.1440593565201</c:v>
                </c:pt>
                <c:pt idx="20">
                  <c:v>97.4663918651954</c:v>
                </c:pt>
                <c:pt idx="21">
                  <c:v>97.7441440475638</c:v>
                </c:pt>
                <c:pt idx="22">
                  <c:v>97.9846138497348</c:v>
                </c:pt>
                <c:pt idx="23">
                  <c:v>98.1937227801881</c:v>
                </c:pt>
                <c:pt idx="24">
                  <c:v>98.3763087222672</c:v>
                </c:pt>
                <c:pt idx="25">
                  <c:v>98.5363496672795</c:v>
                </c:pt>
                <c:pt idx="26">
                  <c:v>98.6771361958328</c:v>
                </c:pt>
                <c:pt idx="27">
                  <c:v>98.8014055580904</c:v>
                </c:pt>
                <c:pt idx="28">
                  <c:v>98.9114467157917</c:v>
                </c:pt>
                <c:pt idx="29">
                  <c:v>99.009183236355</c:v>
                </c:pt>
                <c:pt idx="30">
                  <c:v>99.0962391575916</c:v>
                </c:pt>
                <c:pt idx="31">
                  <c:v>99.1739916590259</c:v>
                </c:pt>
                <c:pt idx="32">
                  <c:v>99.2436134385564</c:v>
                </c:pt>
                <c:pt idx="33">
                  <c:v>99.3061070020958</c:v>
                </c:pt>
                <c:pt idx="34">
                  <c:v>99.3623325599312</c:v>
                </c:pt>
                <c:pt idx="35">
                  <c:v>99.4130308383439</c:v>
                </c:pt>
                <c:pt idx="36">
                  <c:v>99.4588418241178</c:v>
                </c:pt>
                <c:pt idx="37">
                  <c:v>99.5003202382809</c:v>
                </c:pt>
                <c:pt idx="38">
                  <c:v>99.5379483659717</c:v>
                </c:pt>
                <c:pt idx="39">
                  <c:v>99.5721467387035</c:v>
                </c:pt>
                <c:pt idx="40">
                  <c:v>99.6032830640197</c:v>
                </c:pt>
                <c:pt idx="41">
                  <c:v>99.6316797185252</c:v>
                </c:pt>
                <c:pt idx="42">
                  <c:v>99.6576200583125</c:v>
                </c:pt>
                <c:pt idx="43">
                  <c:v>99.6813537519383</c:v>
                </c:pt>
                <c:pt idx="44">
                  <c:v>99.7031013023832</c:v>
                </c:pt>
                <c:pt idx="45">
                  <c:v>99.7230578935853</c:v>
                </c:pt>
                <c:pt idx="46">
                  <c:v>99.7413966724696</c:v>
                </c:pt>
                <c:pt idx="47">
                  <c:v>99.7582715575629</c:v>
                </c:pt>
                <c:pt idx="48">
                  <c:v>99.7738196492857</c:v>
                </c:pt>
                <c:pt idx="49">
                  <c:v>99.788163304042</c:v>
                </c:pt>
                <c:pt idx="50">
                  <c:v>99.8014119236803</c:v>
                </c:pt>
                <c:pt idx="51">
                  <c:v>99.8136635032836</c:v>
                </c:pt>
                <c:pt idx="52">
                  <c:v>99.8250059731852</c:v>
                </c:pt>
                <c:pt idx="53">
                  <c:v>99.8355183652986</c:v>
                </c:pt>
                <c:pt idx="54">
                  <c:v>99.8452718290606</c:v>
                </c:pt>
                <c:pt idx="55">
                  <c:v>99.8543305183149</c:v>
                </c:pt>
                <c:pt idx="56">
                  <c:v>99.8627523671706</c:v>
                </c:pt>
                <c:pt idx="57">
                  <c:v>99.8705897701244</c:v>
                </c:pt>
                <c:pt idx="58">
                  <c:v>99.8778901794404</c:v>
                </c:pt>
                <c:pt idx="59">
                  <c:v>99.8846966308613</c:v>
                </c:pt>
                <c:pt idx="60">
                  <c:v>99.8910482071089</c:v>
                </c:pt>
                <c:pt idx="61">
                  <c:v>99.896980447272</c:v>
                </c:pt>
                <c:pt idx="62">
                  <c:v>99.9025257090313</c:v>
                </c:pt>
                <c:pt idx="63">
                  <c:v>99.9077134896985</c:v>
                </c:pt>
                <c:pt idx="64">
                  <c:v>99.9125707112204</c:v>
                </c:pt>
                <c:pt idx="65">
                  <c:v>99.917121973598</c:v>
                </c:pt>
              </c:numCache>
            </c:numRef>
          </c:yVal>
          <c:smooth val="0"/>
        </c:ser>
        <c:axId val="40060321"/>
        <c:axId val="50496184"/>
      </c:scatterChart>
      <c:valAx>
        <c:axId val="40060321"/>
        <c:scaling>
          <c:orientation val="minMax"/>
          <c:max val="6.5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since the loss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96184"/>
        <c:crosses val="autoZero"/>
        <c:crossBetween val="midCat"/>
      </c:valAx>
      <c:valAx>
        <c:axId val="50496184"/>
        <c:scaling>
          <c:orientation val="minMax"/>
          <c:max val="1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losses reacquired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6032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Standing player: losses per minute per trial, before vs after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'10 Stand dist'!B1</c:f>
              <c:strCache>
                <c:ptCount val="1"/>
                <c:pt idx="0">
                  <c:v>Before_trials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Stand dist'!$A$2:$A$18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'10 Stand dist'!$B$2:$B$18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9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'10 Stand dist'!C1</c:f>
              <c:strCache>
                <c:ptCount val="1"/>
                <c:pt idx="0">
                  <c:v>After_trials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Stand dist'!$A$2:$A$18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'10 Stand dist'!$C$2:$C$18</c:f>
              <c:numCache>
                <c:formatCode>General</c:formatCode>
                <c:ptCount val="17"/>
                <c:pt idx="0">
                  <c:v>27</c:v>
                </c:pt>
                <c:pt idx="1">
                  <c:v>12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40"/>
        <c:overlap val="0"/>
        <c:axId val="77756009"/>
        <c:axId val="79937637"/>
      </c:barChart>
      <c:lineChart>
        <c:grouping val="standard"/>
        <c:varyColors val="0"/>
        <c:ser>
          <c:idx val="2"/>
          <c:order val="2"/>
          <c:tx>
            <c:strRef>
              <c:f>'10 Stand dist'!D1</c:f>
              <c:strCache>
                <c:ptCount val="1"/>
                <c:pt idx="0">
                  <c:v>Before_normal_fit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Stand dist'!$A$2:$A$18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'10 Stand dist'!$D$2:$D$18</c:f>
              <c:numCache>
                <c:formatCode>0.0</c:formatCode>
                <c:ptCount val="17"/>
                <c:pt idx="0">
                  <c:v>0.842808779271349</c:v>
                </c:pt>
                <c:pt idx="1">
                  <c:v>1.48653723662746</c:v>
                </c:pt>
                <c:pt idx="2">
                  <c:v>2.37254301248113</c:v>
                </c:pt>
                <c:pt idx="3">
                  <c:v>3.4264599218896</c:v>
                </c:pt>
                <c:pt idx="4">
                  <c:v>4.4778735191024</c:v>
                </c:pt>
                <c:pt idx="5">
                  <c:v>5.29533666591449</c:v>
                </c:pt>
                <c:pt idx="6">
                  <c:v>5.66645622695872</c:v>
                </c:pt>
                <c:pt idx="7">
                  <c:v>5.48688625310278</c:v>
                </c:pt>
                <c:pt idx="8">
                  <c:v>4.80769285285194</c:v>
                </c:pt>
                <c:pt idx="9">
                  <c:v>3.81191599967439</c:v>
                </c:pt>
                <c:pt idx="10">
                  <c:v>2.7349218766275</c:v>
                </c:pt>
                <c:pt idx="11">
                  <c:v>1.77558025603428</c:v>
                </c:pt>
                <c:pt idx="12">
                  <c:v>1.0431046800638</c:v>
                </c:pt>
                <c:pt idx="13">
                  <c:v>0.554505377782775</c:v>
                </c:pt>
                <c:pt idx="14">
                  <c:v>0.266729867489275</c:v>
                </c:pt>
                <c:pt idx="15">
                  <c:v>0.116097524874367</c:v>
                </c:pt>
                <c:pt idx="16">
                  <c:v>0.0457253234612176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'10 Stand dist'!E1</c:f>
              <c:strCache>
                <c:ptCount val="1"/>
                <c:pt idx="0">
                  <c:v>After_normal_fit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'10 Stand dist'!$A$2:$A$18</c:f>
              <c:strCache>
                <c:ptCount val="1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</c:strCache>
            </c:strRef>
          </c:cat>
          <c:val>
            <c:numRef>
              <c:f>'10 Stand dist'!$E$2:$E$18</c:f>
              <c:numCache>
                <c:formatCode>0.0</c:formatCode>
                <c:ptCount val="17"/>
                <c:pt idx="0">
                  <c:v>16.3614359597183</c:v>
                </c:pt>
                <c:pt idx="1">
                  <c:v>18.0479091092792</c:v>
                </c:pt>
                <c:pt idx="2">
                  <c:v>5.61949438273469</c:v>
                </c:pt>
                <c:pt idx="3">
                  <c:v>0.483146900869536</c:v>
                </c:pt>
                <c:pt idx="4">
                  <c:v>0.0111028808743469</c:v>
                </c:pt>
                <c:pt idx="5">
                  <c:v>6.62067313272896E-005</c:v>
                </c:pt>
                <c:pt idx="6">
                  <c:v>1.0024318375379E-007</c:v>
                </c:pt>
                <c:pt idx="7">
                  <c:v>3.79846154530128E-011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756009"/>
        <c:axId val="79937637"/>
      </c:lineChart>
      <c:catAx>
        <c:axId val="77756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Losses per minute in one 30 s trial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37637"/>
        <c:crosses val="autoZero"/>
        <c:auto val="1"/>
        <c:lblAlgn val="ctr"/>
        <c:lblOffset val="100"/>
        <c:noMultiLvlLbl val="0"/>
      </c:catAx>
      <c:valAx>
        <c:axId val="799376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560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to first fix after a jump: fitted normal per variant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'11 Jump dist'!G15</c:f>
              <c:strCache>
                <c:ptCount val="1"/>
                <c:pt idx="0">
                  <c:v>Before fit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 Jump dist'!$B$16:$B$55</c:f>
              <c:numCache>
                <c:formatCode>0.000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'11 Jump dist'!$G$16:$G$55</c:f>
              <c:numCache>
                <c:formatCode>0.0</c:formatCode>
                <c:ptCount val="40"/>
                <c:pt idx="0">
                  <c:v>2.80469468691039</c:v>
                </c:pt>
                <c:pt idx="1">
                  <c:v>3.08481357517353</c:v>
                </c:pt>
                <c:pt idx="2">
                  <c:v>3.36813831228058</c:v>
                </c:pt>
                <c:pt idx="3">
                  <c:v>3.65063635207565</c:v>
                </c:pt>
                <c:pt idx="4">
                  <c:v>3.92794043537715</c:v>
                </c:pt>
                <c:pt idx="5">
                  <c:v>4.19545314720418</c:v>
                </c:pt>
                <c:pt idx="6">
                  <c:v>4.44846850812473</c:v>
                </c:pt>
                <c:pt idx="7">
                  <c:v>4.68230638684764</c:v>
                </c:pt>
                <c:pt idx="8">
                  <c:v>4.89245454432904</c:v>
                </c:pt>
                <c:pt idx="9">
                  <c:v>5.07471238780257</c:v>
                </c:pt>
                <c:pt idx="10">
                  <c:v>5.22533009112687</c:v>
                </c:pt>
                <c:pt idx="11">
                  <c:v>5.34113667133662</c:v>
                </c:pt>
                <c:pt idx="12">
                  <c:v>5.41965092194533</c:v>
                </c:pt>
                <c:pt idx="13">
                  <c:v>5.45916978611772</c:v>
                </c:pt>
                <c:pt idx="14">
                  <c:v>5.45882977444704</c:v>
                </c:pt>
                <c:pt idx="15">
                  <c:v>5.41863833402253</c:v>
                </c:pt>
                <c:pt idx="16">
                  <c:v>5.33947357724214</c:v>
                </c:pt>
                <c:pt idx="17">
                  <c:v>5.22305238416134</c:v>
                </c:pt>
                <c:pt idx="18">
                  <c:v>5.07186849660886</c:v>
                </c:pt>
                <c:pt idx="19">
                  <c:v>4.88910372143998</c:v>
                </c:pt>
                <c:pt idx="20">
                  <c:v>4.67851665810203</c:v>
                </c:pt>
                <c:pt idx="21">
                  <c:v>4.4443143819618</c:v>
                </c:pt>
                <c:pt idx="22">
                  <c:v>4.19101319128952</c:v>
                </c:pt>
                <c:pt idx="23">
                  <c:v>3.92329483000882</c:v>
                </c:pt>
                <c:pt idx="24">
                  <c:v>3.64586452551853</c:v>
                </c:pt>
                <c:pt idx="25">
                  <c:v>3.36331675316286</c:v>
                </c:pt>
                <c:pt idx="26">
                  <c:v>3.0800139023151</c:v>
                </c:pt>
                <c:pt idx="27">
                  <c:v>2.79998203866786</c:v>
                </c:pt>
                <c:pt idx="28">
                  <c:v>2.52682681126258</c:v>
                </c:pt>
                <c:pt idx="29">
                  <c:v>2.26367132517906</c:v>
                </c:pt>
                <c:pt idx="30">
                  <c:v>2.01311657496309</c:v>
                </c:pt>
                <c:pt idx="31">
                  <c:v>1.77722388602565</c:v>
                </c:pt>
                <c:pt idx="32">
                  <c:v>1.55751780535107</c:v>
                </c:pt>
                <c:pt idx="33">
                  <c:v>1.35500706688456</c:v>
                </c:pt>
                <c:pt idx="34">
                  <c:v>1.17022066093796</c:v>
                </c:pt>
                <c:pt idx="35">
                  <c:v>1.00325567253266</c:v>
                </c:pt>
                <c:pt idx="36">
                  <c:v>0.85383341534909</c:v>
                </c:pt>
                <c:pt idx="37">
                  <c:v>0.7213604557694</c:v>
                </c:pt>
                <c:pt idx="38">
                  <c:v>0.604991363950589</c:v>
                </c:pt>
                <c:pt idx="39">
                  <c:v>0.503690407027779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'11 Jump dist'!H15</c:f>
              <c:strCache>
                <c:ptCount val="1"/>
                <c:pt idx="0">
                  <c:v>Search after loss fit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 Jump dist'!$B$16:$B$55</c:f>
              <c:numCache>
                <c:formatCode>0.000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'11 Jump dist'!$H$16:$H$55</c:f>
              <c:numCache>
                <c:formatCode>0.0</c:formatCode>
                <c:ptCount val="40"/>
                <c:pt idx="0">
                  <c:v>2.14067109430372</c:v>
                </c:pt>
                <c:pt idx="1">
                  <c:v>6.67264972752164</c:v>
                </c:pt>
                <c:pt idx="2">
                  <c:v>15.4635649437645</c:v>
                </c:pt>
                <c:pt idx="3">
                  <c:v>26.6479330838697</c:v>
                </c:pt>
                <c:pt idx="4">
                  <c:v>34.1517840451159</c:v>
                </c:pt>
                <c:pt idx="5">
                  <c:v>32.5524749150013</c:v>
                </c:pt>
                <c:pt idx="6">
                  <c:v>23.0765332139109</c:v>
                </c:pt>
                <c:pt idx="7">
                  <c:v>12.1657485411474</c:v>
                </c:pt>
                <c:pt idx="8">
                  <c:v>4.76899255695669</c:v>
                </c:pt>
                <c:pt idx="9">
                  <c:v>1.38978107987374</c:v>
                </c:pt>
                <c:pt idx="10">
                  <c:v>0.301015247275576</c:v>
                </c:pt>
                <c:pt idx="11">
                  <c:v>0.0484423692930136</c:v>
                </c:pt>
                <c:pt idx="12">
                  <c:v>0.00579049663942399</c:v>
                </c:pt>
                <c:pt idx="13">
                  <c:v>0.000513936239983082</c:v>
                </c:pt>
                <c:pt idx="14">
                  <c:v>3.38571067715066E-005</c:v>
                </c:pt>
                <c:pt idx="15">
                  <c:v>1.65493217352264E-006</c:v>
                </c:pt>
                <c:pt idx="16">
                  <c:v>5.99990634952974E-008</c:v>
                </c:pt>
                <c:pt idx="17">
                  <c:v>1.61284319233346E-009</c:v>
                </c:pt>
                <c:pt idx="18">
                  <c:v>3.21342952247505E-011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'11 Jump dist'!I15</c:f>
              <c:strCache>
                <c:ptCount val="1"/>
                <c:pt idx="0">
                  <c:v>Search, wrong hint fit</c:v>
                </c:pt>
              </c:strCache>
            </c:strRef>
          </c:tx>
          <c:spPr>
            <a:solidFill>
              <a:srgbClr val="eda100"/>
            </a:solidFill>
            <a:ln w="28440">
              <a:solidFill>
                <a:srgbClr val="eda1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 Jump dist'!$B$16:$B$55</c:f>
              <c:numCache>
                <c:formatCode>0.000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'11 Jump dist'!$I$16:$I$55</c:f>
              <c:numCache>
                <c:formatCode>0.0</c:formatCode>
                <c:ptCount val="40"/>
                <c:pt idx="0">
                  <c:v>2.04253942655863</c:v>
                </c:pt>
                <c:pt idx="1">
                  <c:v>6.40817348984551</c:v>
                </c:pt>
                <c:pt idx="2">
                  <c:v>14.9781503323037</c:v>
                </c:pt>
                <c:pt idx="3">
                  <c:v>26.0868074131211</c:v>
                </c:pt>
                <c:pt idx="4">
                  <c:v>33.859121491345</c:v>
                </c:pt>
                <c:pt idx="5">
                  <c:v>32.7527625974352</c:v>
                </c:pt>
                <c:pt idx="6">
                  <c:v>23.6120895479135</c:v>
                </c:pt>
                <c:pt idx="7">
                  <c:v>12.6853733653354</c:v>
                </c:pt>
                <c:pt idx="8">
                  <c:v>5.0780299283244</c:v>
                </c:pt>
                <c:pt idx="9">
                  <c:v>1.51435029346787</c:v>
                </c:pt>
                <c:pt idx="10">
                  <c:v>0.336349504978095</c:v>
                </c:pt>
                <c:pt idx="11">
                  <c:v>0.0556243644398791</c:v>
                </c:pt>
                <c:pt idx="12">
                  <c:v>0.00684718348713531</c:v>
                </c:pt>
                <c:pt idx="13">
                  <c:v>0.000627169380127413</c:v>
                </c:pt>
                <c:pt idx="14">
                  <c:v>4.27298676086707E-005</c:v>
                </c:pt>
                <c:pt idx="15">
                  <c:v>2.16470139591252E-006</c:v>
                </c:pt>
                <c:pt idx="16">
                  <c:v>8.1513835681335E-008</c:v>
                </c:pt>
                <c:pt idx="17">
                  <c:v>2.28077112751635E-009</c:v>
                </c:pt>
                <c:pt idx="18">
                  <c:v>4.73932004751987E-011</c:v>
                </c:pt>
                <c:pt idx="19">
                  <c:v>7.46069872548105E-013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'11 Jump dist'!J15</c:f>
              <c:strCache>
                <c:ptCount val="1"/>
                <c:pt idx="0">
                  <c:v>Search, right hint fit</c:v>
                </c:pt>
              </c:strCache>
            </c:strRef>
          </c:tx>
          <c:spPr>
            <a:solidFill>
              <a:srgbClr val="1baf7a"/>
            </a:solidFill>
            <a:ln w="28440">
              <a:solidFill>
                <a:srgbClr val="1baf7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'11 Jump dist'!$B$16:$B$55</c:f>
              <c:numCache>
                <c:formatCode>0.000</c:formatCode>
                <c:ptCount val="40"/>
                <c:pt idx="0">
                  <c:v>0.125</c:v>
                </c:pt>
                <c:pt idx="1">
                  <c:v>0.375</c:v>
                </c:pt>
                <c:pt idx="2">
                  <c:v>0.625</c:v>
                </c:pt>
                <c:pt idx="3">
                  <c:v>0.875</c:v>
                </c:pt>
                <c:pt idx="4">
                  <c:v>1.125</c:v>
                </c:pt>
                <c:pt idx="5">
                  <c:v>1.375</c:v>
                </c:pt>
                <c:pt idx="6">
                  <c:v>1.625</c:v>
                </c:pt>
                <c:pt idx="7">
                  <c:v>1.875</c:v>
                </c:pt>
                <c:pt idx="8">
                  <c:v>2.125</c:v>
                </c:pt>
                <c:pt idx="9">
                  <c:v>2.375</c:v>
                </c:pt>
                <c:pt idx="10">
                  <c:v>2.625</c:v>
                </c:pt>
                <c:pt idx="11">
                  <c:v>2.875</c:v>
                </c:pt>
                <c:pt idx="12">
                  <c:v>3.125</c:v>
                </c:pt>
                <c:pt idx="13">
                  <c:v>3.375</c:v>
                </c:pt>
                <c:pt idx="14">
                  <c:v>3.625</c:v>
                </c:pt>
                <c:pt idx="15">
                  <c:v>3.875</c:v>
                </c:pt>
                <c:pt idx="16">
                  <c:v>4.125</c:v>
                </c:pt>
                <c:pt idx="17">
                  <c:v>4.375</c:v>
                </c:pt>
                <c:pt idx="18">
                  <c:v>4.625</c:v>
                </c:pt>
                <c:pt idx="19">
                  <c:v>4.875</c:v>
                </c:pt>
                <c:pt idx="20">
                  <c:v>5.125</c:v>
                </c:pt>
                <c:pt idx="21">
                  <c:v>5.375</c:v>
                </c:pt>
                <c:pt idx="22">
                  <c:v>5.625</c:v>
                </c:pt>
                <c:pt idx="23">
                  <c:v>5.875</c:v>
                </c:pt>
                <c:pt idx="24">
                  <c:v>6.125</c:v>
                </c:pt>
                <c:pt idx="25">
                  <c:v>6.375</c:v>
                </c:pt>
                <c:pt idx="26">
                  <c:v>6.625</c:v>
                </c:pt>
                <c:pt idx="27">
                  <c:v>6.875</c:v>
                </c:pt>
                <c:pt idx="28">
                  <c:v>7.125</c:v>
                </c:pt>
                <c:pt idx="29">
                  <c:v>7.375</c:v>
                </c:pt>
                <c:pt idx="30">
                  <c:v>7.625</c:v>
                </c:pt>
                <c:pt idx="31">
                  <c:v>7.875</c:v>
                </c:pt>
                <c:pt idx="32">
                  <c:v>8.125</c:v>
                </c:pt>
                <c:pt idx="33">
                  <c:v>8.375</c:v>
                </c:pt>
                <c:pt idx="34">
                  <c:v>8.625</c:v>
                </c:pt>
                <c:pt idx="35">
                  <c:v>8.875</c:v>
                </c:pt>
                <c:pt idx="36">
                  <c:v>9.125</c:v>
                </c:pt>
                <c:pt idx="37">
                  <c:v>9.375</c:v>
                </c:pt>
                <c:pt idx="38">
                  <c:v>9.625</c:v>
                </c:pt>
                <c:pt idx="39">
                  <c:v>9.875</c:v>
                </c:pt>
              </c:numCache>
            </c:numRef>
          </c:xVal>
          <c:yVal>
            <c:numRef>
              <c:f>'11 Jump dist'!$J$16:$J$55</c:f>
              <c:numCache>
                <c:formatCode>0.0</c:formatCode>
                <c:ptCount val="40"/>
                <c:pt idx="0">
                  <c:v>0.460013974833462</c:v>
                </c:pt>
                <c:pt idx="1">
                  <c:v>8.21536103621898</c:v>
                </c:pt>
                <c:pt idx="2">
                  <c:v>43.3512451224096</c:v>
                </c:pt>
                <c:pt idx="3">
                  <c:v>69.1752887836004</c:v>
                </c:pt>
                <c:pt idx="4">
                  <c:v>33.6468494660459</c:v>
                </c:pt>
                <c:pt idx="5">
                  <c:v>4.92905519734396</c:v>
                </c:pt>
                <c:pt idx="6">
                  <c:v>0.212123607293719</c:v>
                </c:pt>
                <c:pt idx="7">
                  <c:v>0.00261163241054518</c:v>
                </c:pt>
                <c:pt idx="8">
                  <c:v>9.00356340594044E-006</c:v>
                </c:pt>
                <c:pt idx="9">
                  <c:v>8.56001491911229E-009</c:v>
                </c:pt>
                <c:pt idx="10">
                  <c:v>2.22044604925031E-012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yVal>
          <c:smooth val="1"/>
        </c:ser>
        <c:axId val="85072529"/>
        <c:axId val="73208354"/>
      </c:scatterChart>
      <c:valAx>
        <c:axId val="85072529"/>
        <c:scaling>
          <c:orientation val="minMax"/>
          <c:max val="10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 to first fix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08354"/>
        <c:crosses val="autoZero"/>
        <c:crossBetween val="midCat"/>
      </c:valAx>
      <c:valAx>
        <c:axId val="732083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Jumps per 0.25 s bin (expected)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7252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to first fix after a jump: histogram per variant (simulation)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'11 Jump dist'!C15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 Jump dist'!$A$16:$A$55</c:f>
              <c:strCache>
                <c:ptCount val="40"/>
                <c:pt idx="0">
                  <c:v>0.00</c:v>
                </c:pt>
                <c:pt idx="1">
                  <c:v>0.25</c:v>
                </c:pt>
                <c:pt idx="2">
                  <c:v>0.50</c:v>
                </c:pt>
                <c:pt idx="3">
                  <c:v>0.75</c:v>
                </c:pt>
                <c:pt idx="4">
                  <c:v>1.00</c:v>
                </c:pt>
                <c:pt idx="5">
                  <c:v>1.25</c:v>
                </c:pt>
                <c:pt idx="6">
                  <c:v>1.50</c:v>
                </c:pt>
                <c:pt idx="7">
                  <c:v>1.75</c:v>
                </c:pt>
                <c:pt idx="8">
                  <c:v>2.00</c:v>
                </c:pt>
                <c:pt idx="9">
                  <c:v>2.25</c:v>
                </c:pt>
                <c:pt idx="10">
                  <c:v>2.50</c:v>
                </c:pt>
                <c:pt idx="11">
                  <c:v>2.75</c:v>
                </c:pt>
                <c:pt idx="12">
                  <c:v>3.00</c:v>
                </c:pt>
                <c:pt idx="13">
                  <c:v>3.25</c:v>
                </c:pt>
                <c:pt idx="14">
                  <c:v>3.50</c:v>
                </c:pt>
                <c:pt idx="15">
                  <c:v>3.75</c:v>
                </c:pt>
                <c:pt idx="16">
                  <c:v>4.00</c:v>
                </c:pt>
                <c:pt idx="17">
                  <c:v>4.25</c:v>
                </c:pt>
                <c:pt idx="18">
                  <c:v>4.50</c:v>
                </c:pt>
                <c:pt idx="19">
                  <c:v>4.75</c:v>
                </c:pt>
                <c:pt idx="20">
                  <c:v>5.00</c:v>
                </c:pt>
                <c:pt idx="21">
                  <c:v>5.25</c:v>
                </c:pt>
                <c:pt idx="22">
                  <c:v>5.50</c:v>
                </c:pt>
                <c:pt idx="23">
                  <c:v>5.75</c:v>
                </c:pt>
                <c:pt idx="24">
                  <c:v>6.00</c:v>
                </c:pt>
                <c:pt idx="25">
                  <c:v>6.25</c:v>
                </c:pt>
                <c:pt idx="26">
                  <c:v>6.50</c:v>
                </c:pt>
                <c:pt idx="27">
                  <c:v>6.75</c:v>
                </c:pt>
                <c:pt idx="28">
                  <c:v>7.00</c:v>
                </c:pt>
                <c:pt idx="29">
                  <c:v>7.25</c:v>
                </c:pt>
                <c:pt idx="30">
                  <c:v>7.50</c:v>
                </c:pt>
                <c:pt idx="31">
                  <c:v>7.75</c:v>
                </c:pt>
                <c:pt idx="32">
                  <c:v>8.00</c:v>
                </c:pt>
                <c:pt idx="33">
                  <c:v>8.25</c:v>
                </c:pt>
                <c:pt idx="34">
                  <c:v>8.50</c:v>
                </c:pt>
                <c:pt idx="35">
                  <c:v>8.75</c:v>
                </c:pt>
                <c:pt idx="36">
                  <c:v>9.00</c:v>
                </c:pt>
                <c:pt idx="37">
                  <c:v>9.25</c:v>
                </c:pt>
                <c:pt idx="38">
                  <c:v>9.50</c:v>
                </c:pt>
                <c:pt idx="39">
                  <c:v>9.75</c:v>
                </c:pt>
              </c:strCache>
            </c:strRef>
          </c:cat>
          <c:val>
            <c:numRef>
              <c:f>'11 Jump dist'!$C$16:$C$55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46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</c:v>
                </c:pt>
                <c:pt idx="14">
                  <c:v>22</c:v>
                </c:pt>
                <c:pt idx="15">
                  <c:v>6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12</c:v>
                </c:pt>
                <c:pt idx="27">
                  <c:v>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18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ser>
          <c:idx val="1"/>
          <c:order val="1"/>
          <c:tx>
            <c:strRef>
              <c:f>'11 Jump dist'!D15</c:f>
              <c:strCache>
                <c:ptCount val="1"/>
                <c:pt idx="0">
                  <c:v>Search after loss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 Jump dist'!$A$16:$A$55</c:f>
              <c:strCache>
                <c:ptCount val="40"/>
                <c:pt idx="0">
                  <c:v>0.00</c:v>
                </c:pt>
                <c:pt idx="1">
                  <c:v>0.25</c:v>
                </c:pt>
                <c:pt idx="2">
                  <c:v>0.50</c:v>
                </c:pt>
                <c:pt idx="3">
                  <c:v>0.75</c:v>
                </c:pt>
                <c:pt idx="4">
                  <c:v>1.00</c:v>
                </c:pt>
                <c:pt idx="5">
                  <c:v>1.25</c:v>
                </c:pt>
                <c:pt idx="6">
                  <c:v>1.50</c:v>
                </c:pt>
                <c:pt idx="7">
                  <c:v>1.75</c:v>
                </c:pt>
                <c:pt idx="8">
                  <c:v>2.00</c:v>
                </c:pt>
                <c:pt idx="9">
                  <c:v>2.25</c:v>
                </c:pt>
                <c:pt idx="10">
                  <c:v>2.50</c:v>
                </c:pt>
                <c:pt idx="11">
                  <c:v>2.75</c:v>
                </c:pt>
                <c:pt idx="12">
                  <c:v>3.00</c:v>
                </c:pt>
                <c:pt idx="13">
                  <c:v>3.25</c:v>
                </c:pt>
                <c:pt idx="14">
                  <c:v>3.50</c:v>
                </c:pt>
                <c:pt idx="15">
                  <c:v>3.75</c:v>
                </c:pt>
                <c:pt idx="16">
                  <c:v>4.00</c:v>
                </c:pt>
                <c:pt idx="17">
                  <c:v>4.25</c:v>
                </c:pt>
                <c:pt idx="18">
                  <c:v>4.50</c:v>
                </c:pt>
                <c:pt idx="19">
                  <c:v>4.75</c:v>
                </c:pt>
                <c:pt idx="20">
                  <c:v>5.00</c:v>
                </c:pt>
                <c:pt idx="21">
                  <c:v>5.25</c:v>
                </c:pt>
                <c:pt idx="22">
                  <c:v>5.50</c:v>
                </c:pt>
                <c:pt idx="23">
                  <c:v>5.75</c:v>
                </c:pt>
                <c:pt idx="24">
                  <c:v>6.00</c:v>
                </c:pt>
                <c:pt idx="25">
                  <c:v>6.25</c:v>
                </c:pt>
                <c:pt idx="26">
                  <c:v>6.50</c:v>
                </c:pt>
                <c:pt idx="27">
                  <c:v>6.75</c:v>
                </c:pt>
                <c:pt idx="28">
                  <c:v>7.00</c:v>
                </c:pt>
                <c:pt idx="29">
                  <c:v>7.25</c:v>
                </c:pt>
                <c:pt idx="30">
                  <c:v>7.50</c:v>
                </c:pt>
                <c:pt idx="31">
                  <c:v>7.75</c:v>
                </c:pt>
                <c:pt idx="32">
                  <c:v>8.00</c:v>
                </c:pt>
                <c:pt idx="33">
                  <c:v>8.25</c:v>
                </c:pt>
                <c:pt idx="34">
                  <c:v>8.50</c:v>
                </c:pt>
                <c:pt idx="35">
                  <c:v>8.75</c:v>
                </c:pt>
                <c:pt idx="36">
                  <c:v>9.00</c:v>
                </c:pt>
                <c:pt idx="37">
                  <c:v>9.25</c:v>
                </c:pt>
                <c:pt idx="38">
                  <c:v>9.50</c:v>
                </c:pt>
                <c:pt idx="39">
                  <c:v>9.75</c:v>
                </c:pt>
              </c:strCache>
            </c:strRef>
          </c:cat>
          <c:val>
            <c:numRef>
              <c:f>'11 Jump dist'!$D$16:$D$55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46</c:v>
                </c:pt>
                <c:pt idx="3">
                  <c:v>0</c:v>
                </c:pt>
                <c:pt idx="4">
                  <c:v>24</c:v>
                </c:pt>
                <c:pt idx="5">
                  <c:v>46</c:v>
                </c:pt>
                <c:pt idx="6">
                  <c:v>16</c:v>
                </c:pt>
                <c:pt idx="7">
                  <c:v>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ser>
          <c:idx val="2"/>
          <c:order val="2"/>
          <c:tx>
            <c:strRef>
              <c:f>'11 Jump dist'!E15</c:f>
              <c:strCache>
                <c:ptCount val="1"/>
                <c:pt idx="0">
                  <c:v>Search, wrong hint</c:v>
                </c:pt>
              </c:strCache>
            </c:strRef>
          </c:tx>
          <c:spPr>
            <a:solidFill>
              <a:srgbClr val="eda100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 Jump dist'!$A$16:$A$55</c:f>
              <c:strCache>
                <c:ptCount val="40"/>
                <c:pt idx="0">
                  <c:v>0.00</c:v>
                </c:pt>
                <c:pt idx="1">
                  <c:v>0.25</c:v>
                </c:pt>
                <c:pt idx="2">
                  <c:v>0.50</c:v>
                </c:pt>
                <c:pt idx="3">
                  <c:v>0.75</c:v>
                </c:pt>
                <c:pt idx="4">
                  <c:v>1.00</c:v>
                </c:pt>
                <c:pt idx="5">
                  <c:v>1.25</c:v>
                </c:pt>
                <c:pt idx="6">
                  <c:v>1.50</c:v>
                </c:pt>
                <c:pt idx="7">
                  <c:v>1.75</c:v>
                </c:pt>
                <c:pt idx="8">
                  <c:v>2.00</c:v>
                </c:pt>
                <c:pt idx="9">
                  <c:v>2.25</c:v>
                </c:pt>
                <c:pt idx="10">
                  <c:v>2.50</c:v>
                </c:pt>
                <c:pt idx="11">
                  <c:v>2.75</c:v>
                </c:pt>
                <c:pt idx="12">
                  <c:v>3.00</c:v>
                </c:pt>
                <c:pt idx="13">
                  <c:v>3.25</c:v>
                </c:pt>
                <c:pt idx="14">
                  <c:v>3.50</c:v>
                </c:pt>
                <c:pt idx="15">
                  <c:v>3.75</c:v>
                </c:pt>
                <c:pt idx="16">
                  <c:v>4.00</c:v>
                </c:pt>
                <c:pt idx="17">
                  <c:v>4.25</c:v>
                </c:pt>
                <c:pt idx="18">
                  <c:v>4.50</c:v>
                </c:pt>
                <c:pt idx="19">
                  <c:v>4.75</c:v>
                </c:pt>
                <c:pt idx="20">
                  <c:v>5.00</c:v>
                </c:pt>
                <c:pt idx="21">
                  <c:v>5.25</c:v>
                </c:pt>
                <c:pt idx="22">
                  <c:v>5.50</c:v>
                </c:pt>
                <c:pt idx="23">
                  <c:v>5.75</c:v>
                </c:pt>
                <c:pt idx="24">
                  <c:v>6.00</c:v>
                </c:pt>
                <c:pt idx="25">
                  <c:v>6.25</c:v>
                </c:pt>
                <c:pt idx="26">
                  <c:v>6.50</c:v>
                </c:pt>
                <c:pt idx="27">
                  <c:v>6.75</c:v>
                </c:pt>
                <c:pt idx="28">
                  <c:v>7.00</c:v>
                </c:pt>
                <c:pt idx="29">
                  <c:v>7.25</c:v>
                </c:pt>
                <c:pt idx="30">
                  <c:v>7.50</c:v>
                </c:pt>
                <c:pt idx="31">
                  <c:v>7.75</c:v>
                </c:pt>
                <c:pt idx="32">
                  <c:v>8.00</c:v>
                </c:pt>
                <c:pt idx="33">
                  <c:v>8.25</c:v>
                </c:pt>
                <c:pt idx="34">
                  <c:v>8.50</c:v>
                </c:pt>
                <c:pt idx="35">
                  <c:v>8.75</c:v>
                </c:pt>
                <c:pt idx="36">
                  <c:v>9.00</c:v>
                </c:pt>
                <c:pt idx="37">
                  <c:v>9.25</c:v>
                </c:pt>
                <c:pt idx="38">
                  <c:v>9.50</c:v>
                </c:pt>
                <c:pt idx="39">
                  <c:v>9.75</c:v>
                </c:pt>
              </c:strCache>
            </c:strRef>
          </c:cat>
          <c:val>
            <c:numRef>
              <c:f>'11 Jump dist'!$E$16:$E$55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46</c:v>
                </c:pt>
                <c:pt idx="3">
                  <c:v>0</c:v>
                </c:pt>
                <c:pt idx="4">
                  <c:v>13</c:v>
                </c:pt>
                <c:pt idx="5">
                  <c:v>58</c:v>
                </c:pt>
                <c:pt idx="6">
                  <c:v>25</c:v>
                </c:pt>
                <c:pt idx="7">
                  <c:v>11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ser>
          <c:idx val="3"/>
          <c:order val="3"/>
          <c:tx>
            <c:strRef>
              <c:f>'11 Jump dist'!F15</c:f>
              <c:strCache>
                <c:ptCount val="1"/>
                <c:pt idx="0">
                  <c:v>Search, right hint</c:v>
                </c:pt>
              </c:strCache>
            </c:strRef>
          </c:tx>
          <c:spPr>
            <a:solidFill>
              <a:srgbClr val="1baf7a"/>
            </a:solidFill>
            <a:ln w="0">
              <a:solidFill>
                <a:srgbClr val="ffff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'11 Jump dist'!$A$16:$A$55</c:f>
              <c:strCache>
                <c:ptCount val="40"/>
                <c:pt idx="0">
                  <c:v>0.00</c:v>
                </c:pt>
                <c:pt idx="1">
                  <c:v>0.25</c:v>
                </c:pt>
                <c:pt idx="2">
                  <c:v>0.50</c:v>
                </c:pt>
                <c:pt idx="3">
                  <c:v>0.75</c:v>
                </c:pt>
                <c:pt idx="4">
                  <c:v>1.00</c:v>
                </c:pt>
                <c:pt idx="5">
                  <c:v>1.25</c:v>
                </c:pt>
                <c:pt idx="6">
                  <c:v>1.50</c:v>
                </c:pt>
                <c:pt idx="7">
                  <c:v>1.75</c:v>
                </c:pt>
                <c:pt idx="8">
                  <c:v>2.00</c:v>
                </c:pt>
                <c:pt idx="9">
                  <c:v>2.25</c:v>
                </c:pt>
                <c:pt idx="10">
                  <c:v>2.50</c:v>
                </c:pt>
                <c:pt idx="11">
                  <c:v>2.75</c:v>
                </c:pt>
                <c:pt idx="12">
                  <c:v>3.00</c:v>
                </c:pt>
                <c:pt idx="13">
                  <c:v>3.25</c:v>
                </c:pt>
                <c:pt idx="14">
                  <c:v>3.50</c:v>
                </c:pt>
                <c:pt idx="15">
                  <c:v>3.75</c:v>
                </c:pt>
                <c:pt idx="16">
                  <c:v>4.00</c:v>
                </c:pt>
                <c:pt idx="17">
                  <c:v>4.25</c:v>
                </c:pt>
                <c:pt idx="18">
                  <c:v>4.50</c:v>
                </c:pt>
                <c:pt idx="19">
                  <c:v>4.75</c:v>
                </c:pt>
                <c:pt idx="20">
                  <c:v>5.00</c:v>
                </c:pt>
                <c:pt idx="21">
                  <c:v>5.25</c:v>
                </c:pt>
                <c:pt idx="22">
                  <c:v>5.50</c:v>
                </c:pt>
                <c:pt idx="23">
                  <c:v>5.75</c:v>
                </c:pt>
                <c:pt idx="24">
                  <c:v>6.00</c:v>
                </c:pt>
                <c:pt idx="25">
                  <c:v>6.25</c:v>
                </c:pt>
                <c:pt idx="26">
                  <c:v>6.50</c:v>
                </c:pt>
                <c:pt idx="27">
                  <c:v>6.75</c:v>
                </c:pt>
                <c:pt idx="28">
                  <c:v>7.00</c:v>
                </c:pt>
                <c:pt idx="29">
                  <c:v>7.25</c:v>
                </c:pt>
                <c:pt idx="30">
                  <c:v>7.50</c:v>
                </c:pt>
                <c:pt idx="31">
                  <c:v>7.75</c:v>
                </c:pt>
                <c:pt idx="32">
                  <c:v>8.00</c:v>
                </c:pt>
                <c:pt idx="33">
                  <c:v>8.25</c:v>
                </c:pt>
                <c:pt idx="34">
                  <c:v>8.50</c:v>
                </c:pt>
                <c:pt idx="35">
                  <c:v>8.75</c:v>
                </c:pt>
                <c:pt idx="36">
                  <c:v>9.00</c:v>
                </c:pt>
                <c:pt idx="37">
                  <c:v>9.25</c:v>
                </c:pt>
                <c:pt idx="38">
                  <c:v>9.50</c:v>
                </c:pt>
                <c:pt idx="39">
                  <c:v>9.75</c:v>
                </c:pt>
              </c:strCache>
            </c:strRef>
          </c:cat>
          <c:val>
            <c:numRef>
              <c:f>'11 Jump dist'!$F$16:$F$55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46</c:v>
                </c:pt>
                <c:pt idx="3">
                  <c:v>87</c:v>
                </c:pt>
                <c:pt idx="4">
                  <c:v>13</c:v>
                </c:pt>
                <c:pt idx="5">
                  <c:v>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</c:ser>
        <c:gapWidth val="0"/>
        <c:overlap val="0"/>
        <c:axId val="27207005"/>
        <c:axId val="7323825"/>
      </c:barChart>
      <c:catAx>
        <c:axId val="27207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Bin start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3825"/>
        <c:crosses val="autoZero"/>
        <c:auto val="1"/>
        <c:lblAlgn val="ctr"/>
        <c:lblOffset val="100"/>
        <c:noMultiLvlLbl val="0"/>
      </c:catAx>
      <c:valAx>
        <c:axId val="73238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Jumps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070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190440</xdr:rowOff>
    </xdr:from>
    <xdr:to>
      <xdr:col>19</xdr:col>
      <xdr:colOff>290160</xdr:colOff>
      <xdr:row>17</xdr:row>
      <xdr:rowOff>78840</xdr:rowOff>
    </xdr:to>
    <xdr:graphicFrame>
      <xdr:nvGraphicFramePr>
        <xdr:cNvPr id="0" name="Chart 1"/>
        <xdr:cNvGraphicFramePr/>
      </xdr:nvGraphicFramePr>
      <xdr:xfrm>
        <a:off x="11616840" y="190440"/>
        <a:ext cx="6479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190440</xdr:rowOff>
    </xdr:from>
    <xdr:to>
      <xdr:col>18</xdr:col>
      <xdr:colOff>289800</xdr:colOff>
      <xdr:row>17</xdr:row>
      <xdr:rowOff>78840</xdr:rowOff>
    </xdr:to>
    <xdr:graphicFrame>
      <xdr:nvGraphicFramePr>
        <xdr:cNvPr id="1" name="Chart 1"/>
        <xdr:cNvGraphicFramePr/>
      </xdr:nvGraphicFramePr>
      <xdr:xfrm>
        <a:off x="10928880" y="190440"/>
        <a:ext cx="6479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16</xdr:col>
      <xdr:colOff>289800</xdr:colOff>
      <xdr:row>17</xdr:row>
      <xdr:rowOff>78840</xdr:rowOff>
    </xdr:to>
    <xdr:graphicFrame>
      <xdr:nvGraphicFramePr>
        <xdr:cNvPr id="2" name="Chart 1"/>
        <xdr:cNvGraphicFramePr/>
      </xdr:nvGraphicFramePr>
      <xdr:xfrm>
        <a:off x="8368560" y="190440"/>
        <a:ext cx="647928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289800</xdr:colOff>
      <xdr:row>18</xdr:row>
      <xdr:rowOff>720</xdr:rowOff>
    </xdr:to>
    <xdr:graphicFrame>
      <xdr:nvGraphicFramePr>
        <xdr:cNvPr id="3" name="Chart 1"/>
        <xdr:cNvGraphicFramePr/>
      </xdr:nvGraphicFramePr>
      <xdr:xfrm>
        <a:off x="8368560" y="190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16</xdr:col>
      <xdr:colOff>289800</xdr:colOff>
      <xdr:row>18</xdr:row>
      <xdr:rowOff>720</xdr:rowOff>
    </xdr:to>
    <xdr:graphicFrame>
      <xdr:nvGraphicFramePr>
        <xdr:cNvPr id="4" name="Chart 1"/>
        <xdr:cNvGraphicFramePr/>
      </xdr:nvGraphicFramePr>
      <xdr:xfrm>
        <a:off x="8368560" y="190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0</xdr:row>
      <xdr:rowOff>190440</xdr:rowOff>
    </xdr:from>
    <xdr:to>
      <xdr:col>20</xdr:col>
      <xdr:colOff>289800</xdr:colOff>
      <xdr:row>26</xdr:row>
      <xdr:rowOff>164160</xdr:rowOff>
    </xdr:to>
    <xdr:graphicFrame>
      <xdr:nvGraphicFramePr>
        <xdr:cNvPr id="5" name="Chart 1"/>
        <xdr:cNvGraphicFramePr/>
      </xdr:nvGraphicFramePr>
      <xdr:xfrm>
        <a:off x="13489200" y="190440"/>
        <a:ext cx="6479280" cy="503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289800</xdr:colOff>
      <xdr:row>18</xdr:row>
      <xdr:rowOff>720</xdr:rowOff>
    </xdr:to>
    <xdr:graphicFrame>
      <xdr:nvGraphicFramePr>
        <xdr:cNvPr id="6" name="Chart 1"/>
        <xdr:cNvGraphicFramePr/>
      </xdr:nvGraphicFramePr>
      <xdr:xfrm>
        <a:off x="9648720" y="190440"/>
        <a:ext cx="64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20</xdr:col>
      <xdr:colOff>322560</xdr:colOff>
      <xdr:row>19</xdr:row>
      <xdr:rowOff>170640</xdr:rowOff>
    </xdr:to>
    <xdr:graphicFrame>
      <xdr:nvGraphicFramePr>
        <xdr:cNvPr id="7" name="Chart 1"/>
        <xdr:cNvGraphicFramePr/>
      </xdr:nvGraphicFramePr>
      <xdr:xfrm>
        <a:off x="1124892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17</xdr:row>
      <xdr:rowOff>0</xdr:rowOff>
    </xdr:from>
    <xdr:to>
      <xdr:col>12</xdr:col>
      <xdr:colOff>478800</xdr:colOff>
      <xdr:row>35</xdr:row>
      <xdr:rowOff>170640</xdr:rowOff>
    </xdr:to>
    <xdr:graphicFrame>
      <xdr:nvGraphicFramePr>
        <xdr:cNvPr id="8" name="Chart 1"/>
        <xdr:cNvGraphicFramePr/>
      </xdr:nvGraphicFramePr>
      <xdr:xfrm>
        <a:off x="7408440" y="3238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322560</xdr:colOff>
      <xdr:row>19</xdr:row>
      <xdr:rowOff>170640</xdr:rowOff>
    </xdr:to>
    <xdr:graphicFrame>
      <xdr:nvGraphicFramePr>
        <xdr:cNvPr id="9" name="Chart 1"/>
        <xdr:cNvGraphicFramePr/>
      </xdr:nvGraphicFramePr>
      <xdr:xfrm>
        <a:off x="756864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21</xdr:col>
      <xdr:colOff>322560</xdr:colOff>
      <xdr:row>19</xdr:row>
      <xdr:rowOff>170640</xdr:rowOff>
    </xdr:to>
    <xdr:graphicFrame>
      <xdr:nvGraphicFramePr>
        <xdr:cNvPr id="10" name="Chart 1"/>
        <xdr:cNvGraphicFramePr/>
      </xdr:nvGraphicFramePr>
      <xdr:xfrm>
        <a:off x="14129280" y="190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22</xdr:row>
      <xdr:rowOff>0</xdr:rowOff>
    </xdr:from>
    <xdr:to>
      <xdr:col>26</xdr:col>
      <xdr:colOff>483840</xdr:colOff>
      <xdr:row>40</xdr:row>
      <xdr:rowOff>170640</xdr:rowOff>
    </xdr:to>
    <xdr:graphicFrame>
      <xdr:nvGraphicFramePr>
        <xdr:cNvPr id="11" name="Chart 2"/>
        <xdr:cNvGraphicFramePr/>
      </xdr:nvGraphicFramePr>
      <xdr:xfrm>
        <a:off x="14129280" y="419112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5" customFormat="false" ht="15" hidden="false" customHeight="true" outlineLevel="0" collapsed="false">
      <c r="A5" s="3" t="s">
        <v>4</v>
      </c>
    </row>
    <row r="6" customFormat="false" ht="15" hidden="false" customHeight="true" outlineLevel="0" collapsed="false">
      <c r="A6" s="3" t="s">
        <v>5</v>
      </c>
    </row>
    <row r="7" customFormat="false" ht="15" hidden="false" customHeight="true" outlineLevel="0" collapsed="false">
      <c r="A7" s="3" t="s">
        <v>6</v>
      </c>
    </row>
    <row r="8" customFormat="false" ht="15" hidden="false" customHeight="false" outlineLevel="0" collapsed="false">
      <c r="A8" s="4" t="s">
        <v>7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8" min="1" style="1" width="16"/>
  </cols>
  <sheetData>
    <row r="1" customFormat="false" ht="23.25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6" t="s">
        <v>18</v>
      </c>
    </row>
    <row r="2" customFormat="false" ht="15" hidden="false" customHeight="true" outlineLevel="0" collapsed="false">
      <c r="A2" s="3" t="s">
        <v>19</v>
      </c>
      <c r="B2" s="3" t="s">
        <v>20</v>
      </c>
      <c r="C2" s="3" t="n">
        <v>61</v>
      </c>
      <c r="D2" s="3"/>
      <c r="E2" s="3" t="s">
        <v>21</v>
      </c>
      <c r="F2" s="3" t="s">
        <v>22</v>
      </c>
      <c r="G2" s="3" t="n">
        <v>4.3</v>
      </c>
      <c r="H2" s="3" t="s">
        <v>23</v>
      </c>
      <c r="I2" s="3" t="str">
        <f aca="false">IF(D2="","",ROUND(C2*D2/100,0))</f>
        <v/>
      </c>
    </row>
    <row r="3" customFormat="false" ht="15" hidden="false" customHeight="true" outlineLevel="0" collapsed="false">
      <c r="A3" s="3" t="s">
        <v>24</v>
      </c>
      <c r="B3" s="3" t="s">
        <v>20</v>
      </c>
      <c r="C3" s="3" t="n">
        <v>75</v>
      </c>
      <c r="D3" s="3"/>
      <c r="E3" s="3" t="s">
        <v>25</v>
      </c>
      <c r="F3" s="3" t="s">
        <v>22</v>
      </c>
      <c r="G3" s="3" t="n">
        <v>4.9</v>
      </c>
      <c r="H3" s="3" t="s">
        <v>26</v>
      </c>
      <c r="I3" s="3" t="str">
        <f aca="false">IF(D3="","",ROUND(C3*D3/100,0))</f>
        <v/>
      </c>
    </row>
    <row r="4" customFormat="false" ht="15" hidden="false" customHeight="true" outlineLevel="0" collapsed="false">
      <c r="A4" s="3" t="s">
        <v>27</v>
      </c>
      <c r="B4" s="3" t="s">
        <v>20</v>
      </c>
      <c r="C4" s="3" t="n">
        <v>50</v>
      </c>
      <c r="D4" s="3"/>
      <c r="E4" s="3" t="s">
        <v>28</v>
      </c>
      <c r="F4" s="3" t="s">
        <v>22</v>
      </c>
      <c r="G4" s="3" t="n">
        <v>4.8</v>
      </c>
      <c r="H4" s="3" t="s">
        <v>29</v>
      </c>
      <c r="I4" s="3" t="str">
        <f aca="false">IF(D4="","",ROUND(C4*D4/100,0))</f>
        <v/>
      </c>
    </row>
    <row r="5" customFormat="false" ht="15" hidden="false" customHeight="true" outlineLevel="0" collapsed="false">
      <c r="A5" s="3" t="s">
        <v>30</v>
      </c>
      <c r="B5" s="3" t="s">
        <v>31</v>
      </c>
      <c r="C5" s="3" t="n">
        <v>14</v>
      </c>
      <c r="D5" s="3"/>
      <c r="E5" s="3" t="s">
        <v>32</v>
      </c>
      <c r="F5" s="3" t="s">
        <v>22</v>
      </c>
      <c r="G5" s="3" t="n">
        <v>2.6</v>
      </c>
      <c r="H5" s="3" t="s">
        <v>33</v>
      </c>
      <c r="I5" s="3" t="str">
        <f aca="false">IF(D5="","",ROUND(C5*D5/100,0))</f>
        <v/>
      </c>
    </row>
    <row r="6" customFormat="false" ht="15" hidden="false" customHeight="true" outlineLevel="0" collapsed="false">
      <c r="A6" s="3" t="s">
        <v>34</v>
      </c>
      <c r="B6" s="3" t="s">
        <v>31</v>
      </c>
      <c r="C6" s="3" t="n">
        <v>92</v>
      </c>
      <c r="D6" s="3" t="n">
        <v>35</v>
      </c>
      <c r="E6" s="3" t="s">
        <v>35</v>
      </c>
      <c r="F6" s="3" t="s">
        <v>22</v>
      </c>
      <c r="G6" s="3" t="n">
        <v>4.4</v>
      </c>
      <c r="H6" s="3" t="s">
        <v>36</v>
      </c>
      <c r="I6" s="3" t="n">
        <f aca="false">IF(D6="","",ROUND(C6*D6/100,0))</f>
        <v>32</v>
      </c>
    </row>
    <row r="7" customFormat="false" ht="15" hidden="false" customHeight="true" outlineLevel="0" collapsed="false">
      <c r="A7" s="3" t="s">
        <v>37</v>
      </c>
      <c r="B7" s="3" t="s">
        <v>31</v>
      </c>
      <c r="C7" s="3" t="n">
        <v>94</v>
      </c>
      <c r="D7" s="3" t="n">
        <v>62</v>
      </c>
      <c r="E7" s="3" t="s">
        <v>38</v>
      </c>
      <c r="F7" s="3" t="s">
        <v>39</v>
      </c>
      <c r="G7" s="3" t="n">
        <v>6.3</v>
      </c>
      <c r="H7" s="3" t="s">
        <v>40</v>
      </c>
      <c r="I7" s="3" t="n">
        <f aca="false">IF(D7="","",ROUND(C7*D7/100,0))</f>
        <v>58</v>
      </c>
    </row>
    <row r="8" customFormat="false" ht="15" hidden="false" customHeight="true" outlineLevel="0" collapsed="false">
      <c r="A8" s="3" t="s">
        <v>41</v>
      </c>
      <c r="B8" s="3" t="s">
        <v>31</v>
      </c>
      <c r="C8" s="3" t="n">
        <v>89</v>
      </c>
      <c r="D8" s="3" t="n">
        <v>68</v>
      </c>
      <c r="E8" s="3" t="s">
        <v>42</v>
      </c>
      <c r="F8" s="3" t="s">
        <v>43</v>
      </c>
      <c r="G8" s="3" t="n">
        <v>6.6</v>
      </c>
      <c r="H8" s="3" t="s">
        <v>44</v>
      </c>
      <c r="I8" s="3" t="n">
        <f aca="false">IF(D8="","",ROUND(C8*D8/100,0))</f>
        <v>61</v>
      </c>
    </row>
    <row r="10" customFormat="false" ht="15" hidden="false" customHeight="true" outlineLevel="0" collapsed="false">
      <c r="A10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8" min="1" style="1" width="16"/>
  </cols>
  <sheetData>
    <row r="1" customFormat="false" ht="23.25" hidden="false" customHeight="true" outlineLevel="0" collapsed="false">
      <c r="A1" s="5" t="s">
        <v>10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17</v>
      </c>
    </row>
    <row r="2" customFormat="false" ht="15" hidden="false" customHeight="true" outlineLevel="0" collapsed="false">
      <c r="A2" s="3" t="s">
        <v>30</v>
      </c>
      <c r="B2" s="3" t="s">
        <v>52</v>
      </c>
      <c r="C2" s="3" t="n">
        <v>17.6</v>
      </c>
      <c r="D2" s="3" t="n">
        <v>4.4</v>
      </c>
      <c r="E2" s="3" t="n">
        <v>12.5</v>
      </c>
      <c r="F2" s="3" t="n">
        <v>0.3</v>
      </c>
      <c r="G2" s="3" t="n">
        <v>0.5</v>
      </c>
      <c r="H2" s="3" t="s">
        <v>53</v>
      </c>
    </row>
    <row r="3" customFormat="false" ht="15" hidden="false" customHeight="true" outlineLevel="0" collapsed="false">
      <c r="A3" s="3" t="s">
        <v>34</v>
      </c>
      <c r="B3" s="3" t="s">
        <v>54</v>
      </c>
      <c r="C3" s="3" t="n">
        <v>5.7</v>
      </c>
      <c r="D3" s="3" t="n">
        <v>0.4</v>
      </c>
      <c r="E3" s="3" t="n">
        <v>2</v>
      </c>
      <c r="F3" s="3" t="n">
        <v>6.2</v>
      </c>
      <c r="G3" s="3" t="n">
        <v>6.2</v>
      </c>
      <c r="H3" s="3" t="s">
        <v>53</v>
      </c>
    </row>
    <row r="4" customFormat="false" ht="15" hidden="false" customHeight="true" outlineLevel="0" collapsed="false">
      <c r="A4" s="3" t="s">
        <v>37</v>
      </c>
      <c r="B4" s="3" t="s">
        <v>55</v>
      </c>
      <c r="C4" s="3" t="n">
        <v>2.6</v>
      </c>
      <c r="D4" s="3" t="n">
        <v>1.3</v>
      </c>
      <c r="E4" s="3" t="n">
        <v>1.9</v>
      </c>
      <c r="F4" s="3" t="n">
        <v>3.8</v>
      </c>
      <c r="G4" s="3" t="n">
        <v>5.6</v>
      </c>
      <c r="H4" s="3" t="s">
        <v>53</v>
      </c>
    </row>
    <row r="5" customFormat="false" ht="15" hidden="false" customHeight="true" outlineLevel="0" collapsed="false">
      <c r="A5" s="3" t="s">
        <v>41</v>
      </c>
      <c r="B5" s="3" t="s">
        <v>56</v>
      </c>
      <c r="C5" s="3" t="n">
        <v>1.3</v>
      </c>
      <c r="D5" s="3" t="n">
        <v>1.4</v>
      </c>
      <c r="E5" s="3" t="n">
        <v>15.6</v>
      </c>
      <c r="F5" s="3" t="n">
        <v>2.1</v>
      </c>
      <c r="G5" s="3" t="n">
        <v>2.4</v>
      </c>
      <c r="H5" s="3" t="s">
        <v>53</v>
      </c>
    </row>
    <row r="7" customFormat="false" ht="15" hidden="false" customHeight="true" outlineLevel="0" collapsed="false">
      <c r="A7" s="7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4" min="1" style="1" width="16"/>
  </cols>
  <sheetData>
    <row r="1" customFormat="false" ht="23.25" hidden="false" customHeight="true" outlineLevel="0" collapsed="false">
      <c r="A1" s="5" t="s">
        <v>14</v>
      </c>
      <c r="B1" s="5" t="s">
        <v>15</v>
      </c>
      <c r="C1" s="5" t="s">
        <v>46</v>
      </c>
      <c r="D1" s="5" t="s">
        <v>58</v>
      </c>
      <c r="E1" s="5" t="s">
        <v>13</v>
      </c>
      <c r="F1" s="5" t="s">
        <v>16</v>
      </c>
      <c r="G1" s="5" t="s">
        <v>50</v>
      </c>
      <c r="H1" s="5" t="s">
        <v>51</v>
      </c>
      <c r="I1" s="5" t="s">
        <v>47</v>
      </c>
      <c r="J1" s="5" t="s">
        <v>48</v>
      </c>
      <c r="K1" s="5" t="s">
        <v>49</v>
      </c>
      <c r="L1" s="5" t="s">
        <v>59</v>
      </c>
      <c r="M1" s="5" t="s">
        <v>60</v>
      </c>
      <c r="N1" s="5" t="s">
        <v>17</v>
      </c>
    </row>
    <row r="2" customFormat="false" ht="15" hidden="false" customHeight="true" outlineLevel="0" collapsed="false">
      <c r="A2" s="3" t="s">
        <v>32</v>
      </c>
      <c r="B2" s="3" t="s">
        <v>22</v>
      </c>
      <c r="C2" s="3" t="s">
        <v>61</v>
      </c>
      <c r="D2" s="3" t="n">
        <v>14</v>
      </c>
      <c r="E2" s="3"/>
      <c r="F2" s="3" t="n">
        <v>2.6</v>
      </c>
      <c r="G2" s="3" t="n">
        <v>0.3</v>
      </c>
      <c r="H2" s="3" t="n">
        <v>0.5</v>
      </c>
      <c r="I2" s="3" t="n">
        <v>17.6</v>
      </c>
      <c r="J2" s="3" t="n">
        <v>4.4</v>
      </c>
      <c r="K2" s="3" t="n">
        <v>12.5</v>
      </c>
      <c r="L2" s="3"/>
      <c r="M2" s="3"/>
      <c r="N2" s="3" t="s">
        <v>33</v>
      </c>
    </row>
    <row r="3" customFormat="false" ht="15" hidden="false" customHeight="true" outlineLevel="0" collapsed="false">
      <c r="A3" s="3" t="s">
        <v>35</v>
      </c>
      <c r="B3" s="3" t="s">
        <v>22</v>
      </c>
      <c r="C3" s="3" t="s">
        <v>62</v>
      </c>
      <c r="D3" s="3" t="n">
        <v>92</v>
      </c>
      <c r="E3" s="3" t="n">
        <v>35</v>
      </c>
      <c r="F3" s="3" t="n">
        <v>4.4</v>
      </c>
      <c r="G3" s="3" t="n">
        <v>6.2</v>
      </c>
      <c r="H3" s="3" t="n">
        <v>6.2</v>
      </c>
      <c r="I3" s="3" t="n">
        <v>5.7</v>
      </c>
      <c r="J3" s="3" t="n">
        <v>0.4</v>
      </c>
      <c r="K3" s="3" t="n">
        <v>2</v>
      </c>
      <c r="L3" s="3" t="n">
        <v>73</v>
      </c>
      <c r="M3" s="3" t="n">
        <v>45</v>
      </c>
      <c r="N3" s="3" t="s">
        <v>36</v>
      </c>
    </row>
    <row r="4" customFormat="false" ht="15" hidden="false" customHeight="true" outlineLevel="0" collapsed="false">
      <c r="A4" s="3" t="s">
        <v>38</v>
      </c>
      <c r="B4" s="3" t="s">
        <v>63</v>
      </c>
      <c r="C4" s="3" t="s">
        <v>64</v>
      </c>
      <c r="D4" s="3" t="n">
        <v>89</v>
      </c>
      <c r="E4" s="3" t="n">
        <v>25</v>
      </c>
      <c r="F4" s="3" t="n">
        <v>4</v>
      </c>
      <c r="G4" s="3" t="n">
        <v>5.7</v>
      </c>
      <c r="H4" s="3" t="n">
        <v>7.2</v>
      </c>
      <c r="I4" s="3" t="n">
        <v>10.3</v>
      </c>
      <c r="J4" s="3" t="n">
        <v>0.5</v>
      </c>
      <c r="K4" s="3" t="n">
        <v>1.1</v>
      </c>
      <c r="L4" s="3" t="n">
        <v>74</v>
      </c>
      <c r="M4" s="3" t="n">
        <v>35</v>
      </c>
      <c r="N4" s="3" t="s">
        <v>65</v>
      </c>
    </row>
    <row r="5" customFormat="false" ht="15" hidden="false" customHeight="true" outlineLevel="0" collapsed="false">
      <c r="A5" s="3" t="s">
        <v>38</v>
      </c>
      <c r="B5" s="3" t="s">
        <v>39</v>
      </c>
      <c r="C5" s="3" t="s">
        <v>66</v>
      </c>
      <c r="D5" s="3" t="n">
        <v>94</v>
      </c>
      <c r="E5" s="3" t="n">
        <v>62</v>
      </c>
      <c r="F5" s="3" t="n">
        <v>6.3</v>
      </c>
      <c r="G5" s="3" t="n">
        <v>3.8</v>
      </c>
      <c r="H5" s="3" t="n">
        <v>5.6</v>
      </c>
      <c r="I5" s="3" t="n">
        <v>2.6</v>
      </c>
      <c r="J5" s="3" t="n">
        <v>1.3</v>
      </c>
      <c r="K5" s="3" t="n">
        <v>1.9</v>
      </c>
      <c r="L5" s="3" t="n">
        <v>68</v>
      </c>
      <c r="M5" s="3" t="n">
        <v>85</v>
      </c>
      <c r="N5" s="3" t="s">
        <v>40</v>
      </c>
    </row>
    <row r="6" customFormat="false" ht="15" hidden="false" customHeight="true" outlineLevel="0" collapsed="false">
      <c r="A6" s="3" t="s">
        <v>38</v>
      </c>
      <c r="B6" s="3" t="s">
        <v>67</v>
      </c>
      <c r="C6" s="3" t="s">
        <v>68</v>
      </c>
      <c r="D6" s="3" t="n">
        <v>88</v>
      </c>
      <c r="E6" s="3" t="n">
        <v>39</v>
      </c>
      <c r="F6" s="3" t="n">
        <v>4.2</v>
      </c>
      <c r="G6" s="3" t="n">
        <v>7.3</v>
      </c>
      <c r="H6" s="3" t="n">
        <v>5.1</v>
      </c>
      <c r="I6" s="3" t="n">
        <v>3.4</v>
      </c>
      <c r="J6" s="3" t="n">
        <v>0.4</v>
      </c>
      <c r="K6" s="3" t="n">
        <v>3.8</v>
      </c>
      <c r="L6" s="3" t="n">
        <v>56</v>
      </c>
      <c r="M6" s="3" t="n">
        <v>66</v>
      </c>
      <c r="N6" s="3" t="s">
        <v>69</v>
      </c>
    </row>
    <row r="7" customFormat="false" ht="15" hidden="false" customHeight="true" outlineLevel="0" collapsed="false">
      <c r="A7" s="3" t="s">
        <v>42</v>
      </c>
      <c r="B7" s="3" t="s">
        <v>43</v>
      </c>
      <c r="C7" s="3" t="s">
        <v>70</v>
      </c>
      <c r="D7" s="3" t="n">
        <v>89</v>
      </c>
      <c r="E7" s="3" t="n">
        <v>68</v>
      </c>
      <c r="F7" s="3" t="n">
        <v>6.6</v>
      </c>
      <c r="G7" s="3" t="n">
        <v>2.1</v>
      </c>
      <c r="H7" s="3" t="n">
        <v>2.4</v>
      </c>
      <c r="I7" s="3" t="n">
        <v>1.3</v>
      </c>
      <c r="J7" s="3" t="n">
        <v>1.4</v>
      </c>
      <c r="K7" s="3" t="n">
        <v>15.6</v>
      </c>
      <c r="L7" s="3" t="n">
        <v>75</v>
      </c>
      <c r="M7" s="3" t="n">
        <v>74</v>
      </c>
      <c r="N7" s="3" t="s">
        <v>44</v>
      </c>
    </row>
    <row r="8" customFormat="false" ht="15" hidden="false" customHeight="true" outlineLevel="0" collapsed="false">
      <c r="A8" s="3" t="s">
        <v>42</v>
      </c>
      <c r="B8" s="3" t="s">
        <v>71</v>
      </c>
      <c r="C8" s="3" t="s">
        <v>72</v>
      </c>
      <c r="D8" s="3" t="n">
        <v>73</v>
      </c>
      <c r="E8" s="3" t="n">
        <v>31</v>
      </c>
      <c r="F8" s="3" t="n">
        <v>4.9</v>
      </c>
      <c r="G8" s="3" t="n">
        <v>3.1</v>
      </c>
      <c r="H8" s="3" t="n">
        <v>3.9</v>
      </c>
      <c r="I8" s="3" t="n">
        <v>4.3</v>
      </c>
      <c r="J8" s="3" t="n">
        <v>0.8</v>
      </c>
      <c r="K8" s="3" t="n">
        <v>7.4</v>
      </c>
      <c r="L8" s="3" t="n">
        <v>40</v>
      </c>
      <c r="M8" s="3" t="n">
        <v>55</v>
      </c>
      <c r="N8" s="3" t="s">
        <v>73</v>
      </c>
    </row>
    <row r="10" customFormat="false" ht="15" hidden="false" customHeight="true" outlineLevel="0" collapsed="false">
      <c r="A10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0" min="1" style="1" width="16"/>
  </cols>
  <sheetData>
    <row r="1" customFormat="false" ht="23.25" hidden="false" customHeight="true" outlineLevel="0" collapsed="false">
      <c r="A1" s="5" t="s">
        <v>14</v>
      </c>
      <c r="B1" s="5" t="s">
        <v>46</v>
      </c>
      <c r="C1" s="5" t="s">
        <v>75</v>
      </c>
      <c r="D1" s="5" t="s">
        <v>58</v>
      </c>
      <c r="E1" s="5" t="s">
        <v>16</v>
      </c>
      <c r="F1" s="5" t="s">
        <v>50</v>
      </c>
      <c r="G1" s="5" t="s">
        <v>51</v>
      </c>
      <c r="H1" s="5" t="s">
        <v>48</v>
      </c>
      <c r="I1" s="5" t="s">
        <v>49</v>
      </c>
      <c r="J1" s="5" t="s">
        <v>17</v>
      </c>
    </row>
    <row r="2" customFormat="false" ht="15" hidden="false" customHeight="true" outlineLevel="0" collapsed="false">
      <c r="A2" s="3" t="s">
        <v>76</v>
      </c>
      <c r="B2" s="3" t="s">
        <v>77</v>
      </c>
      <c r="C2" s="3" t="s">
        <v>78</v>
      </c>
      <c r="D2" s="3" t="n">
        <v>0</v>
      </c>
      <c r="E2" s="3"/>
      <c r="F2" s="3"/>
      <c r="G2" s="3"/>
      <c r="H2" s="3"/>
      <c r="I2" s="3"/>
      <c r="J2" s="3" t="s">
        <v>79</v>
      </c>
    </row>
    <row r="3" customFormat="false" ht="15" hidden="false" customHeight="true" outlineLevel="0" collapsed="false">
      <c r="A3" s="3" t="s">
        <v>80</v>
      </c>
      <c r="B3" s="3" t="s">
        <v>81</v>
      </c>
      <c r="C3" s="3" t="s">
        <v>82</v>
      </c>
      <c r="D3" s="3" t="n">
        <v>0</v>
      </c>
      <c r="E3" s="3"/>
      <c r="F3" s="3"/>
      <c r="G3" s="3"/>
      <c r="H3" s="3"/>
      <c r="I3" s="3"/>
      <c r="J3" s="3" t="s">
        <v>83</v>
      </c>
    </row>
    <row r="4" customFormat="false" ht="15" hidden="false" customHeight="true" outlineLevel="0" collapsed="false">
      <c r="A4" s="3" t="s">
        <v>84</v>
      </c>
      <c r="B4" s="3" t="s">
        <v>85</v>
      </c>
      <c r="C4" s="3" t="s">
        <v>86</v>
      </c>
      <c r="D4" s="3" t="n">
        <v>0</v>
      </c>
      <c r="E4" s="3"/>
      <c r="F4" s="3"/>
      <c r="G4" s="3"/>
      <c r="H4" s="3"/>
      <c r="I4" s="3"/>
      <c r="J4" s="3" t="s">
        <v>87</v>
      </c>
    </row>
    <row r="5" customFormat="false" ht="15" hidden="false" customHeight="true" outlineLevel="0" collapsed="false">
      <c r="A5" s="3" t="s">
        <v>21</v>
      </c>
      <c r="B5" s="3" t="s">
        <v>88</v>
      </c>
      <c r="C5" s="3" t="s">
        <v>89</v>
      </c>
      <c r="D5" s="3" t="n">
        <v>61</v>
      </c>
      <c r="E5" s="3" t="n">
        <v>4.3</v>
      </c>
      <c r="F5" s="3" t="n">
        <v>7.8</v>
      </c>
      <c r="G5" s="3" t="n">
        <v>3.2</v>
      </c>
      <c r="H5" s="3" t="n">
        <v>0.8</v>
      </c>
      <c r="I5" s="3" t="n">
        <v>0.9</v>
      </c>
      <c r="J5" s="3" t="s">
        <v>23</v>
      </c>
    </row>
    <row r="6" customFormat="false" ht="15" hidden="false" customHeight="true" outlineLevel="0" collapsed="false">
      <c r="A6" s="3" t="s">
        <v>90</v>
      </c>
      <c r="B6" s="3" t="s">
        <v>91</v>
      </c>
      <c r="C6" s="3" t="s">
        <v>92</v>
      </c>
      <c r="D6" s="3" t="n">
        <v>0</v>
      </c>
      <c r="E6" s="3"/>
      <c r="F6" s="3"/>
      <c r="G6" s="3"/>
      <c r="H6" s="3"/>
      <c r="I6" s="3"/>
      <c r="J6" s="3" t="s">
        <v>93</v>
      </c>
    </row>
    <row r="7" customFormat="false" ht="15" hidden="false" customHeight="true" outlineLevel="0" collapsed="false">
      <c r="A7" s="3" t="s">
        <v>25</v>
      </c>
      <c r="B7" s="3" t="s">
        <v>94</v>
      </c>
      <c r="C7" s="3" t="s">
        <v>95</v>
      </c>
      <c r="D7" s="3" t="n">
        <v>75</v>
      </c>
      <c r="E7" s="3" t="n">
        <v>4.9</v>
      </c>
      <c r="F7" s="3" t="n">
        <v>2.2</v>
      </c>
      <c r="G7" s="3" t="n">
        <v>0.7</v>
      </c>
      <c r="H7" s="3" t="n">
        <v>0.8</v>
      </c>
      <c r="I7" s="3" t="n">
        <v>10.5</v>
      </c>
      <c r="J7" s="3" t="s">
        <v>26</v>
      </c>
    </row>
    <row r="8" customFormat="false" ht="15" hidden="false" customHeight="true" outlineLevel="0" collapsed="false">
      <c r="A8" s="3" t="s">
        <v>96</v>
      </c>
      <c r="B8" s="3" t="s">
        <v>97</v>
      </c>
      <c r="C8" s="3" t="s">
        <v>98</v>
      </c>
      <c r="D8" s="3" t="n">
        <v>47</v>
      </c>
      <c r="E8" s="3" t="n">
        <v>4.5</v>
      </c>
      <c r="F8" s="3" t="n">
        <v>3</v>
      </c>
      <c r="G8" s="3" t="n">
        <v>1.9</v>
      </c>
      <c r="H8" s="3" t="n">
        <v>1</v>
      </c>
      <c r="I8" s="3" t="n">
        <v>6.2</v>
      </c>
      <c r="J8" s="3" t="s">
        <v>99</v>
      </c>
    </row>
    <row r="9" customFormat="false" ht="15" hidden="false" customHeight="true" outlineLevel="0" collapsed="false">
      <c r="A9" s="3" t="s">
        <v>28</v>
      </c>
      <c r="B9" s="3" t="s">
        <v>100</v>
      </c>
      <c r="C9" s="3" t="s">
        <v>98</v>
      </c>
      <c r="D9" s="3" t="n">
        <v>50</v>
      </c>
      <c r="E9" s="3" t="n">
        <v>4.8</v>
      </c>
      <c r="F9" s="3" t="n">
        <v>4.3</v>
      </c>
      <c r="G9" s="3" t="n">
        <v>3.2</v>
      </c>
      <c r="H9" s="3" t="n">
        <v>0.8</v>
      </c>
      <c r="I9" s="3" t="n">
        <v>7.4</v>
      </c>
      <c r="J9" s="3" t="s">
        <v>29</v>
      </c>
    </row>
    <row r="11" customFormat="false" ht="15" hidden="false" customHeight="true" outlineLevel="0" collapsed="false">
      <c r="A11" s="7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1" style="1" width="16"/>
  </cols>
  <sheetData>
    <row r="1" customFormat="false" ht="23.25" hidden="false" customHeight="true" outlineLevel="0" collapsed="false">
      <c r="A1" s="5" t="s">
        <v>102</v>
      </c>
      <c r="B1" s="5" t="s">
        <v>103</v>
      </c>
      <c r="C1" s="5" t="s">
        <v>104</v>
      </c>
      <c r="D1" s="5" t="s">
        <v>105</v>
      </c>
      <c r="E1" s="5" t="s">
        <v>106</v>
      </c>
      <c r="F1" s="5" t="s">
        <v>17</v>
      </c>
    </row>
    <row r="2" customFormat="false" ht="15" hidden="false" customHeight="true" outlineLevel="0" collapsed="false">
      <c r="A2" s="3" t="s">
        <v>107</v>
      </c>
      <c r="B2" s="3" t="n">
        <v>3.69</v>
      </c>
      <c r="C2" s="3" t="n">
        <v>1.49</v>
      </c>
      <c r="D2" s="3" t="n">
        <v>0.84</v>
      </c>
      <c r="E2" s="3" t="n">
        <v>1.42</v>
      </c>
      <c r="F2" s="3" t="s">
        <v>108</v>
      </c>
    </row>
    <row r="3" customFormat="false" ht="15" hidden="false" customHeight="true" outlineLevel="0" collapsed="false">
      <c r="A3" s="3" t="s">
        <v>109</v>
      </c>
      <c r="B3" s="3" t="n">
        <v>6.71</v>
      </c>
      <c r="C3" s="3" t="n">
        <v>1.35</v>
      </c>
      <c r="D3" s="3" t="n">
        <v>0.88</v>
      </c>
      <c r="E3" s="3" t="n">
        <v>1.43</v>
      </c>
      <c r="F3" s="3" t="s">
        <v>108</v>
      </c>
    </row>
    <row r="4" customFormat="false" ht="15" hidden="false" customHeight="true" outlineLevel="0" collapsed="false">
      <c r="A4" s="3" t="s">
        <v>110</v>
      </c>
      <c r="B4" s="3" t="n">
        <v>3.35</v>
      </c>
      <c r="C4" s="3" t="n">
        <v>1.45</v>
      </c>
      <c r="D4" s="3" t="n">
        <v>0.84</v>
      </c>
      <c r="E4" s="3" t="n">
        <v>1.72</v>
      </c>
      <c r="F4" s="3" t="s">
        <v>108</v>
      </c>
    </row>
    <row r="5" customFormat="false" ht="15" hidden="false" customHeight="true" outlineLevel="0" collapsed="false">
      <c r="A5" s="3" t="s">
        <v>111</v>
      </c>
      <c r="B5" s="3" t="n">
        <v>9.12</v>
      </c>
      <c r="C5" s="3" t="n">
        <v>1.34</v>
      </c>
      <c r="D5" s="3" t="n">
        <v>0.9</v>
      </c>
      <c r="E5" s="3" t="n">
        <v>1.43</v>
      </c>
      <c r="F5" s="3" t="s">
        <v>108</v>
      </c>
    </row>
    <row r="6" customFormat="false" ht="15" hidden="false" customHeight="true" outlineLevel="0" collapsed="false">
      <c r="A6" s="3" t="s">
        <v>112</v>
      </c>
      <c r="B6" s="3" t="n">
        <v>9.22</v>
      </c>
      <c r="C6" s="3" t="n">
        <v>1.89</v>
      </c>
      <c r="D6" s="3" t="n">
        <v>0.94</v>
      </c>
      <c r="E6" s="3" t="n">
        <v>1.81</v>
      </c>
      <c r="F6" s="3" t="s">
        <v>113</v>
      </c>
    </row>
    <row r="8" customFormat="false" ht="15" hidden="false" customHeight="true" outlineLevel="0" collapsed="false">
      <c r="A8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6"/>
  </cols>
  <sheetData>
    <row r="1" customFormat="false" ht="15" hidden="false" customHeight="true" outlineLevel="0" collapsed="false">
      <c r="A1" s="5" t="s">
        <v>115</v>
      </c>
      <c r="B1" s="5" t="s">
        <v>116</v>
      </c>
      <c r="C1" s="8" t="s">
        <v>117</v>
      </c>
    </row>
    <row r="2" customFormat="false" ht="15" hidden="false" customHeight="true" outlineLevel="0" collapsed="false">
      <c r="A2" s="3" t="s">
        <v>118</v>
      </c>
      <c r="B2" s="3" t="n">
        <v>6.13</v>
      </c>
      <c r="C2" s="9" t="n">
        <f aca="false">LN(B2)</f>
        <v>1.81319474994812</v>
      </c>
    </row>
    <row r="3" customFormat="false" ht="15" hidden="false" customHeight="true" outlineLevel="0" collapsed="false">
      <c r="A3" s="3" t="s">
        <v>118</v>
      </c>
      <c r="B3" s="3" t="n">
        <v>1.54</v>
      </c>
      <c r="C3" s="9" t="n">
        <f aca="false">LN(B3)</f>
        <v>0.431782416425538</v>
      </c>
    </row>
    <row r="4" customFormat="false" ht="15" hidden="false" customHeight="true" outlineLevel="0" collapsed="false">
      <c r="A4" s="3" t="s">
        <v>118</v>
      </c>
      <c r="B4" s="3" t="n">
        <v>0.1</v>
      </c>
      <c r="C4" s="9" t="n">
        <f aca="false">LN(B4)</f>
        <v>-2.30258509299405</v>
      </c>
    </row>
    <row r="5" customFormat="false" ht="15" hidden="false" customHeight="true" outlineLevel="0" collapsed="false">
      <c r="A5" s="3" t="s">
        <v>118</v>
      </c>
      <c r="B5" s="3" t="n">
        <v>0.1</v>
      </c>
      <c r="C5" s="9" t="n">
        <f aca="false">LN(B5)</f>
        <v>-2.30258509299405</v>
      </c>
    </row>
    <row r="6" customFormat="false" ht="15" hidden="false" customHeight="true" outlineLevel="0" collapsed="false">
      <c r="A6" s="3" t="s">
        <v>118</v>
      </c>
      <c r="B6" s="3" t="n">
        <v>0.61</v>
      </c>
      <c r="C6" s="9" t="n">
        <f aca="false">LN(B6)</f>
        <v>-0.49429632181478</v>
      </c>
    </row>
    <row r="7" customFormat="false" ht="15" hidden="false" customHeight="true" outlineLevel="0" collapsed="false">
      <c r="A7" s="3" t="s">
        <v>118</v>
      </c>
      <c r="B7" s="3" t="n">
        <v>0.61</v>
      </c>
      <c r="C7" s="9" t="n">
        <f aca="false">LN(B7)</f>
        <v>-0.49429632181478</v>
      </c>
    </row>
    <row r="8" customFormat="false" ht="15" hidden="false" customHeight="true" outlineLevel="0" collapsed="false">
      <c r="A8" s="3" t="s">
        <v>118</v>
      </c>
      <c r="B8" s="3" t="n">
        <v>0.61</v>
      </c>
      <c r="C8" s="9" t="n">
        <f aca="false">LN(B8)</f>
        <v>-0.49429632181478</v>
      </c>
    </row>
    <row r="9" customFormat="false" ht="15" hidden="false" customHeight="true" outlineLevel="0" collapsed="false">
      <c r="A9" s="3" t="s">
        <v>118</v>
      </c>
      <c r="B9" s="3" t="n">
        <v>2.86</v>
      </c>
      <c r="C9" s="9" t="n">
        <f aca="false">LN(B9)</f>
        <v>1.05082162483176</v>
      </c>
    </row>
    <row r="10" customFormat="false" ht="15" hidden="false" customHeight="true" outlineLevel="0" collapsed="false">
      <c r="A10" s="3" t="s">
        <v>118</v>
      </c>
      <c r="B10" s="3" t="n">
        <v>0.3</v>
      </c>
      <c r="C10" s="9" t="n">
        <f aca="false">LN(B10)</f>
        <v>-1.20397280432594</v>
      </c>
    </row>
    <row r="11" customFormat="false" ht="15" hidden="false" customHeight="true" outlineLevel="0" collapsed="false">
      <c r="A11" s="3" t="s">
        <v>118</v>
      </c>
      <c r="B11" s="3" t="n">
        <v>0.2</v>
      </c>
      <c r="C11" s="9" t="n">
        <f aca="false">LN(B11)</f>
        <v>-1.6094379124341</v>
      </c>
    </row>
    <row r="12" customFormat="false" ht="15" hidden="false" customHeight="true" outlineLevel="0" collapsed="false">
      <c r="A12" s="3" t="s">
        <v>118</v>
      </c>
      <c r="B12" s="3" t="n">
        <v>0.71</v>
      </c>
      <c r="C12" s="9" t="n">
        <f aca="false">LN(B12)</f>
        <v>-0.342490308946776</v>
      </c>
    </row>
    <row r="13" customFormat="false" ht="15" hidden="false" customHeight="true" outlineLevel="0" collapsed="false">
      <c r="A13" s="3" t="s">
        <v>118</v>
      </c>
      <c r="B13" s="3" t="n">
        <v>1.63</v>
      </c>
      <c r="C13" s="9" t="n">
        <f aca="false">LN(B13)</f>
        <v>0.488580014818671</v>
      </c>
    </row>
    <row r="14" customFormat="false" ht="15" hidden="false" customHeight="true" outlineLevel="0" collapsed="false">
      <c r="A14" s="3" t="s">
        <v>118</v>
      </c>
      <c r="B14" s="3" t="n">
        <v>0.32</v>
      </c>
      <c r="C14" s="9" t="n">
        <f aca="false">LN(B14)</f>
        <v>-1.13943428318836</v>
      </c>
    </row>
    <row r="15" customFormat="false" ht="15" hidden="false" customHeight="true" outlineLevel="0" collapsed="false">
      <c r="A15" s="3" t="s">
        <v>118</v>
      </c>
      <c r="B15" s="3" t="n">
        <v>1.74</v>
      </c>
      <c r="C15" s="9" t="n">
        <f aca="false">LN(B15)</f>
        <v>0.553885113226438</v>
      </c>
    </row>
    <row r="16" customFormat="false" ht="15" hidden="false" customHeight="true" outlineLevel="0" collapsed="false">
      <c r="A16" s="3" t="s">
        <v>118</v>
      </c>
      <c r="B16" s="3" t="n">
        <v>0.3</v>
      </c>
      <c r="C16" s="9" t="n">
        <f aca="false">LN(B16)</f>
        <v>-1.20397280432594</v>
      </c>
    </row>
    <row r="17" customFormat="false" ht="15" hidden="false" customHeight="true" outlineLevel="0" collapsed="false">
      <c r="A17" s="3" t="s">
        <v>118</v>
      </c>
      <c r="B17" s="3" t="n">
        <v>0.1</v>
      </c>
      <c r="C17" s="9" t="n">
        <f aca="false">LN(B17)</f>
        <v>-2.30258509299405</v>
      </c>
    </row>
    <row r="18" customFormat="false" ht="15" hidden="false" customHeight="true" outlineLevel="0" collapsed="false">
      <c r="A18" s="3" t="s">
        <v>118</v>
      </c>
      <c r="B18" s="3" t="n">
        <v>0.51</v>
      </c>
      <c r="C18" s="9" t="n">
        <f aca="false">LN(B18)</f>
        <v>-0.673344553263766</v>
      </c>
    </row>
    <row r="19" customFormat="false" ht="15" hidden="false" customHeight="true" outlineLevel="0" collapsed="false">
      <c r="A19" s="3" t="s">
        <v>118</v>
      </c>
      <c r="B19" s="3" t="n">
        <v>0.51</v>
      </c>
      <c r="C19" s="9" t="n">
        <f aca="false">LN(B19)</f>
        <v>-0.673344553263766</v>
      </c>
    </row>
    <row r="20" customFormat="false" ht="15" hidden="false" customHeight="true" outlineLevel="0" collapsed="false">
      <c r="A20" s="3" t="s">
        <v>118</v>
      </c>
      <c r="B20" s="3" t="n">
        <v>0.82</v>
      </c>
      <c r="C20" s="9" t="n">
        <f aca="false">LN(B20)</f>
        <v>-0.198450938723838</v>
      </c>
    </row>
    <row r="21" customFormat="false" ht="15" hidden="false" customHeight="true" outlineLevel="0" collapsed="false">
      <c r="A21" s="3" t="s">
        <v>118</v>
      </c>
      <c r="B21" s="3" t="n">
        <v>0.21</v>
      </c>
      <c r="C21" s="9" t="n">
        <f aca="false">LN(B21)</f>
        <v>-1.56064774826467</v>
      </c>
    </row>
    <row r="22" customFormat="false" ht="15" hidden="false" customHeight="true" outlineLevel="0" collapsed="false">
      <c r="A22" s="3" t="s">
        <v>118</v>
      </c>
      <c r="B22" s="3" t="n">
        <v>0.31</v>
      </c>
      <c r="C22" s="9" t="n">
        <f aca="false">LN(B22)</f>
        <v>-1.17118298150295</v>
      </c>
    </row>
    <row r="23" customFormat="false" ht="15" hidden="false" customHeight="true" outlineLevel="0" collapsed="false">
      <c r="A23" s="3" t="s">
        <v>118</v>
      </c>
      <c r="B23" s="3" t="n">
        <v>1.02</v>
      </c>
      <c r="C23" s="9" t="n">
        <f aca="false">LN(B23)</f>
        <v>0.0198026272961797</v>
      </c>
    </row>
    <row r="24" customFormat="false" ht="15" hidden="false" customHeight="true" outlineLevel="0" collapsed="false">
      <c r="A24" s="3" t="s">
        <v>118</v>
      </c>
      <c r="B24" s="3" t="n">
        <v>0.72</v>
      </c>
      <c r="C24" s="9" t="n">
        <f aca="false">LN(B24)</f>
        <v>-0.328504066972036</v>
      </c>
    </row>
    <row r="25" customFormat="false" ht="15" hidden="false" customHeight="true" outlineLevel="0" collapsed="false">
      <c r="A25" s="3" t="s">
        <v>118</v>
      </c>
      <c r="B25" s="3" t="n">
        <v>0.51</v>
      </c>
      <c r="C25" s="9" t="n">
        <f aca="false">LN(B25)</f>
        <v>-0.673344553263766</v>
      </c>
    </row>
    <row r="26" customFormat="false" ht="15" hidden="false" customHeight="true" outlineLevel="0" collapsed="false">
      <c r="A26" s="3" t="s">
        <v>118</v>
      </c>
      <c r="B26" s="3" t="n">
        <v>0.2</v>
      </c>
      <c r="C26" s="9" t="n">
        <f aca="false">LN(B26)</f>
        <v>-1.6094379124341</v>
      </c>
    </row>
    <row r="27" customFormat="false" ht="15" hidden="false" customHeight="true" outlineLevel="0" collapsed="false">
      <c r="A27" s="3" t="s">
        <v>118</v>
      </c>
      <c r="B27" s="3" t="n">
        <v>0.21</v>
      </c>
      <c r="C27" s="9" t="n">
        <f aca="false">LN(B27)</f>
        <v>-1.56064774826467</v>
      </c>
    </row>
    <row r="28" customFormat="false" ht="15" hidden="false" customHeight="true" outlineLevel="0" collapsed="false">
      <c r="A28" s="3" t="s">
        <v>118</v>
      </c>
      <c r="B28" s="3" t="n">
        <v>0.21</v>
      </c>
      <c r="C28" s="9" t="n">
        <f aca="false">LN(B28)</f>
        <v>-1.56064774826467</v>
      </c>
    </row>
    <row r="29" customFormat="false" ht="15" hidden="false" customHeight="true" outlineLevel="0" collapsed="false">
      <c r="A29" s="3" t="s">
        <v>118</v>
      </c>
      <c r="B29" s="3" t="n">
        <v>0.1</v>
      </c>
      <c r="C29" s="9" t="n">
        <f aca="false">LN(B29)</f>
        <v>-2.30258509299405</v>
      </c>
    </row>
    <row r="30" customFormat="false" ht="15" hidden="false" customHeight="true" outlineLevel="0" collapsed="false">
      <c r="A30" s="3" t="s">
        <v>118</v>
      </c>
      <c r="B30" s="3" t="n">
        <v>0.1</v>
      </c>
      <c r="C30" s="9" t="n">
        <f aca="false">LN(B30)</f>
        <v>-2.30258509299405</v>
      </c>
    </row>
    <row r="31" customFormat="false" ht="15" hidden="false" customHeight="true" outlineLevel="0" collapsed="false">
      <c r="A31" s="3" t="s">
        <v>118</v>
      </c>
      <c r="B31" s="3" t="n">
        <v>0.82</v>
      </c>
      <c r="C31" s="9" t="n">
        <f aca="false">LN(B31)</f>
        <v>-0.198450938723838</v>
      </c>
    </row>
    <row r="32" customFormat="false" ht="15" hidden="false" customHeight="true" outlineLevel="0" collapsed="false">
      <c r="A32" s="3" t="s">
        <v>118</v>
      </c>
      <c r="B32" s="3" t="n">
        <v>0.2</v>
      </c>
      <c r="C32" s="9" t="n">
        <f aca="false">LN(B32)</f>
        <v>-1.6094379124341</v>
      </c>
    </row>
    <row r="33" customFormat="false" ht="15" hidden="false" customHeight="true" outlineLevel="0" collapsed="false">
      <c r="A33" s="3" t="s">
        <v>118</v>
      </c>
      <c r="B33" s="3" t="n">
        <v>0.82</v>
      </c>
      <c r="C33" s="9" t="n">
        <f aca="false">LN(B33)</f>
        <v>-0.198450938723838</v>
      </c>
    </row>
    <row r="34" customFormat="false" ht="15" hidden="false" customHeight="true" outlineLevel="0" collapsed="false">
      <c r="A34" s="3" t="s">
        <v>118</v>
      </c>
      <c r="B34" s="3" t="n">
        <v>0.72</v>
      </c>
      <c r="C34" s="9" t="n">
        <f aca="false">LN(B34)</f>
        <v>-0.328504066972036</v>
      </c>
    </row>
    <row r="35" customFormat="false" ht="15" hidden="false" customHeight="true" outlineLevel="0" collapsed="false">
      <c r="A35" s="3" t="s">
        <v>118</v>
      </c>
      <c r="B35" s="3" t="n">
        <v>0.51</v>
      </c>
      <c r="C35" s="9" t="n">
        <f aca="false">LN(B35)</f>
        <v>-0.673344553263766</v>
      </c>
    </row>
    <row r="36" customFormat="false" ht="15" hidden="false" customHeight="true" outlineLevel="0" collapsed="false">
      <c r="A36" s="3" t="s">
        <v>118</v>
      </c>
      <c r="B36" s="3" t="n">
        <v>0.51</v>
      </c>
      <c r="C36" s="9" t="n">
        <f aca="false">LN(B36)</f>
        <v>-0.673344553263766</v>
      </c>
    </row>
    <row r="37" customFormat="false" ht="15" hidden="false" customHeight="true" outlineLevel="0" collapsed="false">
      <c r="A37" s="3" t="s">
        <v>118</v>
      </c>
      <c r="B37" s="3" t="n">
        <v>2.35</v>
      </c>
      <c r="C37" s="9" t="n">
        <f aca="false">LN(B37)</f>
        <v>0.854415328156068</v>
      </c>
    </row>
    <row r="38" customFormat="false" ht="15" hidden="false" customHeight="true" outlineLevel="0" collapsed="false">
      <c r="A38" s="3" t="s">
        <v>118</v>
      </c>
      <c r="B38" s="3" t="n">
        <v>0.92</v>
      </c>
      <c r="C38" s="9" t="n">
        <f aca="false">LN(B38)</f>
        <v>-0.083381608939051</v>
      </c>
    </row>
    <row r="39" customFormat="false" ht="15" hidden="false" customHeight="true" outlineLevel="0" collapsed="false">
      <c r="A39" s="3" t="s">
        <v>118</v>
      </c>
      <c r="B39" s="3" t="n">
        <v>1.84</v>
      </c>
      <c r="C39" s="9" t="n">
        <f aca="false">LN(B39)</f>
        <v>0.609765571620894</v>
      </c>
    </row>
    <row r="40" customFormat="false" ht="15" hidden="false" customHeight="true" outlineLevel="0" collapsed="false">
      <c r="A40" s="3" t="s">
        <v>118</v>
      </c>
      <c r="B40" s="3" t="n">
        <v>0.1</v>
      </c>
      <c r="C40" s="9" t="n">
        <f aca="false">LN(B40)</f>
        <v>-2.30258509299405</v>
      </c>
    </row>
    <row r="41" customFormat="false" ht="15" hidden="false" customHeight="true" outlineLevel="0" collapsed="false">
      <c r="A41" s="3" t="s">
        <v>118</v>
      </c>
      <c r="B41" s="3" t="n">
        <v>0.82</v>
      </c>
      <c r="C41" s="9" t="n">
        <f aca="false">LN(B41)</f>
        <v>-0.198450938723838</v>
      </c>
    </row>
    <row r="42" customFormat="false" ht="15" hidden="false" customHeight="true" outlineLevel="0" collapsed="false">
      <c r="A42" s="3" t="s">
        <v>118</v>
      </c>
      <c r="B42" s="3" t="n">
        <v>0.91</v>
      </c>
      <c r="C42" s="9" t="n">
        <f aca="false">LN(B42)</f>
        <v>-0.0943106794712413</v>
      </c>
    </row>
    <row r="43" customFormat="false" ht="15" hidden="false" customHeight="true" outlineLevel="0" collapsed="false">
      <c r="A43" s="3" t="s">
        <v>118</v>
      </c>
      <c r="B43" s="3" t="n">
        <v>0.1</v>
      </c>
      <c r="C43" s="9" t="n">
        <f aca="false">LN(B43)</f>
        <v>-2.30258509299405</v>
      </c>
    </row>
    <row r="44" customFormat="false" ht="15" hidden="false" customHeight="true" outlineLevel="0" collapsed="false">
      <c r="A44" s="3" t="s">
        <v>118</v>
      </c>
      <c r="B44" s="3" t="n">
        <v>0.21</v>
      </c>
      <c r="C44" s="9" t="n">
        <f aca="false">LN(B44)</f>
        <v>-1.56064774826467</v>
      </c>
    </row>
    <row r="45" customFormat="false" ht="15" hidden="false" customHeight="true" outlineLevel="0" collapsed="false">
      <c r="A45" s="3" t="s">
        <v>118</v>
      </c>
      <c r="B45" s="3" t="n">
        <v>2.25</v>
      </c>
      <c r="C45" s="9" t="n">
        <f aca="false">LN(B45)</f>
        <v>0.810930216216329</v>
      </c>
    </row>
    <row r="46" customFormat="false" ht="15" hidden="false" customHeight="true" outlineLevel="0" collapsed="false">
      <c r="A46" s="3" t="s">
        <v>118</v>
      </c>
      <c r="B46" s="3" t="n">
        <v>2.36</v>
      </c>
      <c r="C46" s="9" t="n">
        <f aca="false">LN(B46)</f>
        <v>0.858661619037519</v>
      </c>
    </row>
    <row r="47" customFormat="false" ht="15" hidden="false" customHeight="true" outlineLevel="0" collapsed="false">
      <c r="A47" s="3" t="s">
        <v>118</v>
      </c>
      <c r="B47" s="3" t="n">
        <v>4.21</v>
      </c>
      <c r="C47" s="9" t="n">
        <f aca="false">LN(B47)</f>
        <v>1.43746264769429</v>
      </c>
    </row>
    <row r="48" customFormat="false" ht="15" hidden="false" customHeight="true" outlineLevel="0" collapsed="false">
      <c r="A48" s="3" t="s">
        <v>118</v>
      </c>
      <c r="B48" s="3" t="n">
        <v>0.31</v>
      </c>
      <c r="C48" s="9" t="n">
        <f aca="false">LN(B48)</f>
        <v>-1.17118298150295</v>
      </c>
    </row>
    <row r="49" customFormat="false" ht="15" hidden="false" customHeight="true" outlineLevel="0" collapsed="false">
      <c r="A49" s="3" t="s">
        <v>118</v>
      </c>
      <c r="B49" s="3" t="n">
        <v>0.62</v>
      </c>
      <c r="C49" s="9" t="n">
        <f aca="false">LN(B49)</f>
        <v>-0.478035800943</v>
      </c>
    </row>
    <row r="50" customFormat="false" ht="15" hidden="false" customHeight="true" outlineLevel="0" collapsed="false">
      <c r="A50" s="3" t="s">
        <v>118</v>
      </c>
      <c r="B50" s="3" t="n">
        <v>0.31</v>
      </c>
      <c r="C50" s="9" t="n">
        <f aca="false">LN(B50)</f>
        <v>-1.17118298150295</v>
      </c>
    </row>
    <row r="51" customFormat="false" ht="15" hidden="false" customHeight="true" outlineLevel="0" collapsed="false">
      <c r="A51" s="3" t="s">
        <v>118</v>
      </c>
      <c r="B51" s="3" t="n">
        <v>0.31</v>
      </c>
      <c r="C51" s="9" t="n">
        <f aca="false">LN(B51)</f>
        <v>-1.17118298150295</v>
      </c>
    </row>
    <row r="52" customFormat="false" ht="15" hidden="false" customHeight="true" outlineLevel="0" collapsed="false">
      <c r="A52" s="3" t="s">
        <v>118</v>
      </c>
      <c r="B52" s="3" t="n">
        <v>0.1</v>
      </c>
      <c r="C52" s="9" t="n">
        <f aca="false">LN(B52)</f>
        <v>-2.30258509299405</v>
      </c>
    </row>
    <row r="53" customFormat="false" ht="15" hidden="false" customHeight="true" outlineLevel="0" collapsed="false">
      <c r="A53" s="3" t="s">
        <v>118</v>
      </c>
      <c r="B53" s="3" t="n">
        <v>0.1</v>
      </c>
      <c r="C53" s="9" t="n">
        <f aca="false">LN(B53)</f>
        <v>-2.30258509299405</v>
      </c>
    </row>
    <row r="54" customFormat="false" ht="15" hidden="false" customHeight="true" outlineLevel="0" collapsed="false">
      <c r="A54" s="3" t="s">
        <v>118</v>
      </c>
      <c r="B54" s="3" t="n">
        <v>0.1</v>
      </c>
      <c r="C54" s="9" t="n">
        <f aca="false">LN(B54)</f>
        <v>-2.30258509299405</v>
      </c>
    </row>
    <row r="55" customFormat="false" ht="15" hidden="false" customHeight="true" outlineLevel="0" collapsed="false">
      <c r="A55" s="3" t="s">
        <v>118</v>
      </c>
      <c r="B55" s="3" t="n">
        <v>0.51</v>
      </c>
      <c r="C55" s="9" t="n">
        <f aca="false">LN(B55)</f>
        <v>-0.673344553263766</v>
      </c>
    </row>
    <row r="56" customFormat="false" ht="15" hidden="false" customHeight="true" outlineLevel="0" collapsed="false">
      <c r="A56" s="3" t="s">
        <v>118</v>
      </c>
      <c r="B56" s="3" t="n">
        <v>0.2</v>
      </c>
      <c r="C56" s="9" t="n">
        <f aca="false">LN(B56)</f>
        <v>-1.6094379124341</v>
      </c>
    </row>
    <row r="57" customFormat="false" ht="15" hidden="false" customHeight="true" outlineLevel="0" collapsed="false">
      <c r="A57" s="3" t="s">
        <v>118</v>
      </c>
      <c r="B57" s="3" t="n">
        <v>0.62</v>
      </c>
      <c r="C57" s="9" t="n">
        <f aca="false">LN(B57)</f>
        <v>-0.478035800943</v>
      </c>
    </row>
    <row r="58" customFormat="false" ht="15" hidden="false" customHeight="true" outlineLevel="0" collapsed="false">
      <c r="A58" s="3" t="s">
        <v>118</v>
      </c>
      <c r="B58" s="3" t="n">
        <v>1.02</v>
      </c>
      <c r="C58" s="9" t="n">
        <f aca="false">LN(B58)</f>
        <v>0.0198026272961797</v>
      </c>
    </row>
    <row r="59" customFormat="false" ht="15" hidden="false" customHeight="true" outlineLevel="0" collapsed="false">
      <c r="A59" s="3" t="s">
        <v>118</v>
      </c>
      <c r="B59" s="3" t="n">
        <v>0.41</v>
      </c>
      <c r="C59" s="9" t="n">
        <f aca="false">LN(B59)</f>
        <v>-0.891598119283784</v>
      </c>
    </row>
    <row r="60" customFormat="false" ht="15" hidden="false" customHeight="true" outlineLevel="0" collapsed="false">
      <c r="A60" s="3" t="s">
        <v>118</v>
      </c>
      <c r="B60" s="3" t="n">
        <v>0.61</v>
      </c>
      <c r="C60" s="9" t="n">
        <f aca="false">LN(B60)</f>
        <v>-0.49429632181478</v>
      </c>
    </row>
    <row r="61" customFormat="false" ht="15" hidden="false" customHeight="true" outlineLevel="0" collapsed="false">
      <c r="A61" s="3" t="s">
        <v>118</v>
      </c>
      <c r="B61" s="3" t="n">
        <v>0.51</v>
      </c>
      <c r="C61" s="9" t="n">
        <f aca="false">LN(B61)</f>
        <v>-0.673344553263766</v>
      </c>
    </row>
    <row r="62" customFormat="false" ht="15" hidden="false" customHeight="true" outlineLevel="0" collapsed="false">
      <c r="A62" s="3" t="s">
        <v>118</v>
      </c>
      <c r="B62" s="3" t="n">
        <v>0.1</v>
      </c>
      <c r="C62" s="9" t="n">
        <f aca="false">LN(B62)</f>
        <v>-2.30258509299405</v>
      </c>
    </row>
    <row r="63" customFormat="false" ht="15" hidden="false" customHeight="true" outlineLevel="0" collapsed="false">
      <c r="A63" s="3" t="s">
        <v>118</v>
      </c>
      <c r="B63" s="3" t="n">
        <v>0.2</v>
      </c>
      <c r="C63" s="9" t="n">
        <f aca="false">LN(B63)</f>
        <v>-1.6094379124341</v>
      </c>
    </row>
    <row r="64" customFormat="false" ht="15" hidden="false" customHeight="true" outlineLevel="0" collapsed="false">
      <c r="A64" s="3" t="s">
        <v>118</v>
      </c>
      <c r="B64" s="3" t="n">
        <v>0.1</v>
      </c>
      <c r="C64" s="9" t="n">
        <f aca="false">LN(B64)</f>
        <v>-2.30258509299405</v>
      </c>
    </row>
    <row r="65" customFormat="false" ht="15" hidden="false" customHeight="true" outlineLevel="0" collapsed="false">
      <c r="A65" s="3" t="s">
        <v>118</v>
      </c>
      <c r="B65" s="3" t="n">
        <v>0.1</v>
      </c>
      <c r="C65" s="9" t="n">
        <f aca="false">LN(B65)</f>
        <v>-2.30258509299405</v>
      </c>
    </row>
    <row r="66" customFormat="false" ht="15" hidden="false" customHeight="true" outlineLevel="0" collapsed="false">
      <c r="A66" s="3" t="s">
        <v>118</v>
      </c>
      <c r="B66" s="3" t="n">
        <v>0.1</v>
      </c>
      <c r="C66" s="9" t="n">
        <f aca="false">LN(B66)</f>
        <v>-2.30258509299405</v>
      </c>
    </row>
    <row r="67" customFormat="false" ht="15" hidden="false" customHeight="true" outlineLevel="0" collapsed="false">
      <c r="A67" s="3" t="s">
        <v>118</v>
      </c>
      <c r="B67" s="3" t="n">
        <v>0.72</v>
      </c>
      <c r="C67" s="9" t="n">
        <f aca="false">LN(B67)</f>
        <v>-0.328504066972036</v>
      </c>
    </row>
    <row r="68" customFormat="false" ht="15" hidden="false" customHeight="true" outlineLevel="0" collapsed="false">
      <c r="A68" s="3" t="s">
        <v>118</v>
      </c>
      <c r="B68" s="3" t="n">
        <v>0.1</v>
      </c>
      <c r="C68" s="9" t="n">
        <f aca="false">LN(B68)</f>
        <v>-2.30258509299405</v>
      </c>
    </row>
    <row r="69" customFormat="false" ht="15" hidden="false" customHeight="true" outlineLevel="0" collapsed="false">
      <c r="A69" s="3" t="s">
        <v>118</v>
      </c>
      <c r="B69" s="3" t="n">
        <v>3.89</v>
      </c>
      <c r="C69" s="9" t="n">
        <f aca="false">LN(B69)</f>
        <v>1.35840915763036</v>
      </c>
    </row>
    <row r="70" customFormat="false" ht="15" hidden="false" customHeight="true" outlineLevel="0" collapsed="false">
      <c r="A70" s="3" t="s">
        <v>118</v>
      </c>
      <c r="B70" s="3" t="n">
        <v>0.2</v>
      </c>
      <c r="C70" s="9" t="n">
        <f aca="false">LN(B70)</f>
        <v>-1.6094379124341</v>
      </c>
    </row>
    <row r="71" customFormat="false" ht="15" hidden="false" customHeight="true" outlineLevel="0" collapsed="false">
      <c r="A71" s="3" t="s">
        <v>118</v>
      </c>
      <c r="B71" s="3" t="n">
        <v>1.02</v>
      </c>
      <c r="C71" s="9" t="n">
        <f aca="false">LN(B71)</f>
        <v>0.0198026272961797</v>
      </c>
    </row>
    <row r="72" customFormat="false" ht="15" hidden="false" customHeight="true" outlineLevel="0" collapsed="false">
      <c r="A72" s="3" t="s">
        <v>119</v>
      </c>
      <c r="B72" s="3" t="n">
        <v>0.82</v>
      </c>
      <c r="C72" s="9" t="n">
        <f aca="false">LN(B72)</f>
        <v>-0.198450938723838</v>
      </c>
    </row>
    <row r="73" customFormat="false" ht="15" hidden="false" customHeight="true" outlineLevel="0" collapsed="false">
      <c r="A73" s="3" t="s">
        <v>119</v>
      </c>
      <c r="B73" s="3" t="n">
        <v>0.2</v>
      </c>
      <c r="C73" s="9" t="n">
        <f aca="false">LN(B73)</f>
        <v>-1.6094379124341</v>
      </c>
    </row>
    <row r="74" customFormat="false" ht="15" hidden="false" customHeight="true" outlineLevel="0" collapsed="false">
      <c r="A74" s="3" t="s">
        <v>119</v>
      </c>
      <c r="B74" s="3" t="n">
        <v>1.13</v>
      </c>
      <c r="C74" s="9" t="n">
        <f aca="false">LN(B74)</f>
        <v>0.122217632724249</v>
      </c>
    </row>
    <row r="75" customFormat="false" ht="15" hidden="false" customHeight="true" outlineLevel="0" collapsed="false">
      <c r="A75" s="3" t="s">
        <v>119</v>
      </c>
      <c r="B75" s="3" t="n">
        <v>0.21</v>
      </c>
      <c r="C75" s="9" t="n">
        <f aca="false">LN(B75)</f>
        <v>-1.56064774826467</v>
      </c>
    </row>
    <row r="76" customFormat="false" ht="15" hidden="false" customHeight="true" outlineLevel="0" collapsed="false">
      <c r="A76" s="3" t="s">
        <v>119</v>
      </c>
      <c r="B76" s="3" t="n">
        <v>0.1</v>
      </c>
      <c r="C76" s="9" t="n">
        <f aca="false">LN(B76)</f>
        <v>-2.30258509299405</v>
      </c>
    </row>
    <row r="77" customFormat="false" ht="15" hidden="false" customHeight="true" outlineLevel="0" collapsed="false">
      <c r="A77" s="3" t="s">
        <v>119</v>
      </c>
      <c r="B77" s="3" t="n">
        <v>0.1</v>
      </c>
      <c r="C77" s="9" t="n">
        <f aca="false">LN(B77)</f>
        <v>-2.30258509299405</v>
      </c>
    </row>
    <row r="78" customFormat="false" ht="15" hidden="false" customHeight="true" outlineLevel="0" collapsed="false">
      <c r="A78" s="3" t="s">
        <v>119</v>
      </c>
      <c r="B78" s="3" t="n">
        <v>0.21</v>
      </c>
      <c r="C78" s="9" t="n">
        <f aca="false">LN(B78)</f>
        <v>-1.56064774826467</v>
      </c>
    </row>
    <row r="79" customFormat="false" ht="15" hidden="false" customHeight="true" outlineLevel="0" collapsed="false">
      <c r="A79" s="3" t="s">
        <v>119</v>
      </c>
      <c r="B79" s="3" t="n">
        <v>0.71</v>
      </c>
      <c r="C79" s="9" t="n">
        <f aca="false">LN(B79)</f>
        <v>-0.342490308946776</v>
      </c>
    </row>
    <row r="80" customFormat="false" ht="15" hidden="false" customHeight="true" outlineLevel="0" collapsed="false">
      <c r="A80" s="3" t="s">
        <v>119</v>
      </c>
      <c r="B80" s="3" t="n">
        <v>0.31</v>
      </c>
      <c r="C80" s="9" t="n">
        <f aca="false">LN(B80)</f>
        <v>-1.17118298150295</v>
      </c>
    </row>
    <row r="81" customFormat="false" ht="15" hidden="false" customHeight="true" outlineLevel="0" collapsed="false">
      <c r="A81" s="3" t="s">
        <v>119</v>
      </c>
      <c r="B81" s="3" t="n">
        <v>0.1</v>
      </c>
      <c r="C81" s="9" t="n">
        <f aca="false">LN(B81)</f>
        <v>-2.30258509299405</v>
      </c>
    </row>
    <row r="82" customFormat="false" ht="15" hidden="false" customHeight="true" outlineLevel="0" collapsed="false">
      <c r="A82" s="3" t="s">
        <v>119</v>
      </c>
      <c r="B82" s="3" t="n">
        <v>0.92</v>
      </c>
      <c r="C82" s="9" t="n">
        <f aca="false">LN(B82)</f>
        <v>-0.083381608939051</v>
      </c>
    </row>
    <row r="83" customFormat="false" ht="15" hidden="false" customHeight="true" outlineLevel="0" collapsed="false">
      <c r="A83" s="3" t="s">
        <v>119</v>
      </c>
      <c r="B83" s="3" t="n">
        <v>0.41</v>
      </c>
      <c r="C83" s="9" t="n">
        <f aca="false">LN(B83)</f>
        <v>-0.891598119283784</v>
      </c>
    </row>
    <row r="84" customFormat="false" ht="15" hidden="false" customHeight="true" outlineLevel="0" collapsed="false">
      <c r="A84" s="3" t="s">
        <v>119</v>
      </c>
      <c r="B84" s="3" t="n">
        <v>0.41</v>
      </c>
      <c r="C84" s="9" t="n">
        <f aca="false">LN(B84)</f>
        <v>-0.891598119283784</v>
      </c>
    </row>
    <row r="85" customFormat="false" ht="15" hidden="false" customHeight="true" outlineLevel="0" collapsed="false">
      <c r="A85" s="3" t="s">
        <v>119</v>
      </c>
      <c r="B85" s="3" t="n">
        <v>0.1</v>
      </c>
      <c r="C85" s="9" t="n">
        <f aca="false">LN(B85)</f>
        <v>-2.30258509299405</v>
      </c>
    </row>
    <row r="86" customFormat="false" ht="15" hidden="false" customHeight="true" outlineLevel="0" collapsed="false">
      <c r="A86" s="3" t="s">
        <v>119</v>
      </c>
      <c r="B86" s="3" t="n">
        <v>0.1</v>
      </c>
      <c r="C86" s="9" t="n">
        <f aca="false">LN(B86)</f>
        <v>-2.30258509299405</v>
      </c>
    </row>
    <row r="87" customFormat="false" ht="15" hidden="false" customHeight="true" outlineLevel="0" collapsed="false">
      <c r="A87" s="3" t="s">
        <v>119</v>
      </c>
      <c r="B87" s="3" t="n">
        <v>0.31</v>
      </c>
      <c r="C87" s="9" t="n">
        <f aca="false">LN(B87)</f>
        <v>-1.17118298150295</v>
      </c>
    </row>
    <row r="88" customFormat="false" ht="15" hidden="false" customHeight="true" outlineLevel="0" collapsed="false">
      <c r="A88" s="3" t="s">
        <v>119</v>
      </c>
      <c r="B88" s="3" t="n">
        <v>1.12</v>
      </c>
      <c r="C88" s="9" t="n">
        <f aca="false">LN(B88)</f>
        <v>0.113328685307003</v>
      </c>
    </row>
    <row r="89" customFormat="false" ht="15" hidden="false" customHeight="true" outlineLevel="0" collapsed="false">
      <c r="A89" s="3" t="s">
        <v>119</v>
      </c>
      <c r="B89" s="3" t="n">
        <v>1.03</v>
      </c>
      <c r="C89" s="9" t="n">
        <f aca="false">LN(B89)</f>
        <v>0.0295588022415444</v>
      </c>
    </row>
    <row r="90" customFormat="false" ht="15" hidden="false" customHeight="true" outlineLevel="0" collapsed="false">
      <c r="A90" s="3" t="s">
        <v>119</v>
      </c>
      <c r="B90" s="3" t="n">
        <v>0.41</v>
      </c>
      <c r="C90" s="9" t="n">
        <f aca="false">LN(B90)</f>
        <v>-0.891598119283784</v>
      </c>
    </row>
    <row r="91" customFormat="false" ht="15" hidden="false" customHeight="true" outlineLevel="0" collapsed="false">
      <c r="A91" s="3" t="s">
        <v>119</v>
      </c>
      <c r="B91" s="3" t="n">
        <v>0.31</v>
      </c>
      <c r="C91" s="9" t="n">
        <f aca="false">LN(B91)</f>
        <v>-1.17118298150295</v>
      </c>
    </row>
    <row r="92" customFormat="false" ht="15" hidden="false" customHeight="true" outlineLevel="0" collapsed="false">
      <c r="A92" s="3" t="s">
        <v>119</v>
      </c>
      <c r="B92" s="3" t="n">
        <v>0.1</v>
      </c>
      <c r="C92" s="9" t="n">
        <f aca="false">LN(B92)</f>
        <v>-2.30258509299405</v>
      </c>
    </row>
    <row r="93" customFormat="false" ht="15" hidden="false" customHeight="true" outlineLevel="0" collapsed="false">
      <c r="A93" s="3" t="s">
        <v>119</v>
      </c>
      <c r="B93" s="3" t="n">
        <v>0.1</v>
      </c>
      <c r="C93" s="9" t="n">
        <f aca="false">LN(B93)</f>
        <v>-2.30258509299405</v>
      </c>
    </row>
    <row r="94" customFormat="false" ht="15" hidden="false" customHeight="true" outlineLevel="0" collapsed="false">
      <c r="A94" s="3" t="s">
        <v>119</v>
      </c>
      <c r="B94" s="3" t="n">
        <v>0.21</v>
      </c>
      <c r="C94" s="9" t="n">
        <f aca="false">LN(B94)</f>
        <v>-1.56064774826467</v>
      </c>
    </row>
    <row r="95" customFormat="false" ht="15" hidden="false" customHeight="true" outlineLevel="0" collapsed="false">
      <c r="A95" s="3" t="s">
        <v>119</v>
      </c>
      <c r="B95" s="3" t="n">
        <v>0.1</v>
      </c>
      <c r="C95" s="9" t="n">
        <f aca="false">LN(B95)</f>
        <v>-2.30258509299405</v>
      </c>
    </row>
    <row r="96" customFormat="false" ht="15" hidden="false" customHeight="true" outlineLevel="0" collapsed="false">
      <c r="A96" s="3" t="s">
        <v>119</v>
      </c>
      <c r="B96" s="3" t="n">
        <v>0.1</v>
      </c>
      <c r="C96" s="9" t="n">
        <f aca="false">LN(B96)</f>
        <v>-2.30258509299405</v>
      </c>
    </row>
    <row r="97" customFormat="false" ht="15" hidden="false" customHeight="true" outlineLevel="0" collapsed="false">
      <c r="A97" s="3" t="s">
        <v>119</v>
      </c>
      <c r="B97" s="3" t="n">
        <v>0.21</v>
      </c>
      <c r="C97" s="9" t="n">
        <f aca="false">LN(B97)</f>
        <v>-1.56064774826467</v>
      </c>
    </row>
    <row r="98" customFormat="false" ht="15" hidden="false" customHeight="true" outlineLevel="0" collapsed="false">
      <c r="A98" s="3" t="s">
        <v>119</v>
      </c>
      <c r="B98" s="3" t="n">
        <v>0.21</v>
      </c>
      <c r="C98" s="9" t="n">
        <f aca="false">LN(B98)</f>
        <v>-1.56064774826467</v>
      </c>
    </row>
    <row r="99" customFormat="false" ht="15" hidden="false" customHeight="true" outlineLevel="0" collapsed="false">
      <c r="A99" s="3" t="s">
        <v>119</v>
      </c>
      <c r="B99" s="3" t="n">
        <v>1.02</v>
      </c>
      <c r="C99" s="9" t="n">
        <f aca="false">LN(B99)</f>
        <v>0.0198026272961797</v>
      </c>
    </row>
    <row r="100" customFormat="false" ht="15" hidden="false" customHeight="true" outlineLevel="0" collapsed="false">
      <c r="A100" s="3" t="s">
        <v>119</v>
      </c>
      <c r="B100" s="3" t="n">
        <v>0.1</v>
      </c>
      <c r="C100" s="9" t="n">
        <f aca="false">LN(B100)</f>
        <v>-2.30258509299405</v>
      </c>
    </row>
    <row r="101" customFormat="false" ht="15" hidden="false" customHeight="true" outlineLevel="0" collapsed="false">
      <c r="A101" s="3" t="s">
        <v>119</v>
      </c>
      <c r="B101" s="3" t="n">
        <v>0.92</v>
      </c>
      <c r="C101" s="9" t="n">
        <f aca="false">LN(B101)</f>
        <v>-0.083381608939051</v>
      </c>
    </row>
    <row r="102" customFormat="false" ht="15" hidden="false" customHeight="true" outlineLevel="0" collapsed="false">
      <c r="A102" s="3" t="s">
        <v>119</v>
      </c>
      <c r="B102" s="3" t="n">
        <v>2.45</v>
      </c>
      <c r="C102" s="9" t="n">
        <f aca="false">LN(B102)</f>
        <v>0.896088024556636</v>
      </c>
    </row>
    <row r="103" customFormat="false" ht="15" hidden="false" customHeight="true" outlineLevel="0" collapsed="false">
      <c r="A103" s="3" t="s">
        <v>119</v>
      </c>
      <c r="B103" s="3" t="n">
        <v>0.4</v>
      </c>
      <c r="C103" s="9" t="n">
        <f aca="false">LN(B103)</f>
        <v>-0.916290731874155</v>
      </c>
    </row>
    <row r="104" customFormat="false" ht="15" hidden="false" customHeight="true" outlineLevel="0" collapsed="false">
      <c r="A104" s="3" t="s">
        <v>119</v>
      </c>
      <c r="B104" s="3" t="n">
        <v>0.1</v>
      </c>
      <c r="C104" s="9" t="n">
        <f aca="false">LN(B104)</f>
        <v>-2.30258509299405</v>
      </c>
    </row>
    <row r="105" customFormat="false" ht="15" hidden="false" customHeight="true" outlineLevel="0" collapsed="false">
      <c r="A105" s="3" t="s">
        <v>119</v>
      </c>
      <c r="B105" s="3" t="n">
        <v>0.1</v>
      </c>
      <c r="C105" s="9" t="n">
        <f aca="false">LN(B105)</f>
        <v>-2.30258509299405</v>
      </c>
    </row>
    <row r="106" customFormat="false" ht="15" hidden="false" customHeight="true" outlineLevel="0" collapsed="false">
      <c r="A106" s="3" t="s">
        <v>119</v>
      </c>
      <c r="B106" s="3" t="n">
        <v>0.82</v>
      </c>
      <c r="C106" s="9" t="n">
        <f aca="false">LN(B106)</f>
        <v>-0.198450938723838</v>
      </c>
    </row>
    <row r="107" customFormat="false" ht="15" hidden="false" customHeight="true" outlineLevel="0" collapsed="false">
      <c r="A107" s="3" t="s">
        <v>119</v>
      </c>
      <c r="B107" s="3" t="n">
        <v>1.33</v>
      </c>
      <c r="C107" s="9" t="n">
        <f aca="false">LN(B107)</f>
        <v>0.285178942233662</v>
      </c>
    </row>
    <row r="108" customFormat="false" ht="15" hidden="false" customHeight="true" outlineLevel="0" collapsed="false">
      <c r="A108" s="3" t="s">
        <v>119</v>
      </c>
      <c r="B108" s="3" t="n">
        <v>0.1</v>
      </c>
      <c r="C108" s="9" t="n">
        <f aca="false">LN(B108)</f>
        <v>-2.30258509299405</v>
      </c>
    </row>
    <row r="110" customFormat="false" ht="15" hidden="false" customHeight="true" outlineLevel="0" collapsed="false">
      <c r="A110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1" style="1" width="16"/>
  </cols>
  <sheetData>
    <row r="1" customFormat="false" ht="15" hidden="false" customHeight="true" outlineLevel="0" collapsed="false">
      <c r="A1" s="5" t="s">
        <v>121</v>
      </c>
      <c r="B1" s="5" t="s">
        <v>122</v>
      </c>
      <c r="C1" s="5" t="s">
        <v>123</v>
      </c>
      <c r="D1" s="5" t="s">
        <v>124</v>
      </c>
      <c r="E1" s="5" t="s">
        <v>125</v>
      </c>
      <c r="F1" s="5" t="s">
        <v>17</v>
      </c>
    </row>
    <row r="2" customFormat="false" ht="15" hidden="false" customHeight="true" outlineLevel="0" collapsed="false">
      <c r="A2" s="3" t="s">
        <v>126</v>
      </c>
      <c r="B2" s="3" t="n">
        <f aca="false">COUNTIFS(raw_reacquire!$A$2:$A$108,"V1",raw_reacquire!$B$2:$B$108,"&gt;=0",raw_reacquire!$B$2:$B$108,"&lt;0.25")</f>
        <v>25</v>
      </c>
      <c r="C2" s="3" t="n">
        <f aca="false">COUNTIFS(raw_reacquire!$A$2:$A$108,"V2",raw_reacquire!$B$2:$B$108,"&gt;=0",raw_reacquire!$B$2:$B$108,"&lt;0.25")</f>
        <v>19</v>
      </c>
      <c r="D2" s="3" t="n">
        <f aca="false">ROUND(100*B2/SUM($B$2:$B$7),1)</f>
        <v>35.7</v>
      </c>
      <c r="E2" s="3" t="n">
        <f aca="false">ROUND(100*C2/SUM($C$2:$C$7),1)</f>
        <v>51.4</v>
      </c>
      <c r="F2" s="3" t="s">
        <v>127</v>
      </c>
    </row>
    <row r="3" customFormat="false" ht="15" hidden="false" customHeight="true" outlineLevel="0" collapsed="false">
      <c r="A3" s="3" t="s">
        <v>128</v>
      </c>
      <c r="B3" s="3" t="n">
        <f aca="false">COUNTIFS(raw_reacquire!$A$2:$A$108,"V1",raw_reacquire!$B$2:$B$108,"&gt;=0.25",raw_reacquire!$B$2:$B$108,"&lt;0.5")</f>
        <v>8</v>
      </c>
      <c r="C3" s="3" t="n">
        <f aca="false">COUNTIFS(raw_reacquire!$A$2:$A$108,"V2",raw_reacquire!$B$2:$B$108,"&gt;=0.25",raw_reacquire!$B$2:$B$108,"&lt;0.5")</f>
        <v>7</v>
      </c>
      <c r="D3" s="3" t="n">
        <f aca="false">ROUND(100*B3/SUM($B$2:$B$7),1)</f>
        <v>11.4</v>
      </c>
      <c r="E3" s="3" t="n">
        <f aca="false">ROUND(100*C3/SUM($C$2:$C$7),1)</f>
        <v>18.9</v>
      </c>
      <c r="F3" s="3" t="s">
        <v>127</v>
      </c>
    </row>
    <row r="4" customFormat="false" ht="15" hidden="false" customHeight="true" outlineLevel="0" collapsed="false">
      <c r="A4" s="3" t="s">
        <v>129</v>
      </c>
      <c r="B4" s="3" t="n">
        <f aca="false">COUNTIFS(raw_reacquire!$A$2:$A$108,"V1",raw_reacquire!$B$2:$B$108,"&gt;=0.5",raw_reacquire!$B$2:$B$108,"&lt;1")</f>
        <v>23</v>
      </c>
      <c r="C4" s="3" t="n">
        <f aca="false">COUNTIFS(raw_reacquire!$A$2:$A$108,"V2",raw_reacquire!$B$2:$B$108,"&gt;=0.5",raw_reacquire!$B$2:$B$108,"&lt;1")</f>
        <v>5</v>
      </c>
      <c r="D4" s="3" t="n">
        <f aca="false">ROUND(100*B4/SUM($B$2:$B$7),1)</f>
        <v>32.9</v>
      </c>
      <c r="E4" s="3" t="n">
        <f aca="false">ROUND(100*C4/SUM($C$2:$C$7),1)</f>
        <v>13.5</v>
      </c>
      <c r="F4" s="3" t="s">
        <v>127</v>
      </c>
    </row>
    <row r="5" customFormat="false" ht="15" hidden="false" customHeight="true" outlineLevel="0" collapsed="false">
      <c r="A5" s="3" t="s">
        <v>130</v>
      </c>
      <c r="B5" s="3" t="n">
        <f aca="false">COUNTIFS(raw_reacquire!$A$2:$A$108,"V1",raw_reacquire!$B$2:$B$108,"&gt;=1",raw_reacquire!$B$2:$B$108,"&lt;2")</f>
        <v>7</v>
      </c>
      <c r="C5" s="3" t="n">
        <f aca="false">COUNTIFS(raw_reacquire!$A$2:$A$108,"V2",raw_reacquire!$B$2:$B$108,"&gt;=1",raw_reacquire!$B$2:$B$108,"&lt;2")</f>
        <v>5</v>
      </c>
      <c r="D5" s="3" t="n">
        <f aca="false">ROUND(100*B5/SUM($B$2:$B$7),1)</f>
        <v>10</v>
      </c>
      <c r="E5" s="3" t="n">
        <f aca="false">ROUND(100*C5/SUM($C$2:$C$7),1)</f>
        <v>13.5</v>
      </c>
      <c r="F5" s="3" t="s">
        <v>127</v>
      </c>
    </row>
    <row r="6" customFormat="false" ht="15" hidden="false" customHeight="true" outlineLevel="0" collapsed="false">
      <c r="A6" s="3" t="s">
        <v>131</v>
      </c>
      <c r="B6" s="3" t="n">
        <f aca="false">COUNTIFS(raw_reacquire!$A$2:$A$108,"V1",raw_reacquire!$B$2:$B$108,"&gt;=2",raw_reacquire!$B$2:$B$108,"&lt;3")</f>
        <v>4</v>
      </c>
      <c r="C6" s="3" t="n">
        <f aca="false">COUNTIFS(raw_reacquire!$A$2:$A$108,"V2",raw_reacquire!$B$2:$B$108,"&gt;=2",raw_reacquire!$B$2:$B$108,"&lt;3")</f>
        <v>1</v>
      </c>
      <c r="D6" s="3" t="n">
        <f aca="false">ROUND(100*B6/SUM($B$2:$B$7),1)</f>
        <v>5.7</v>
      </c>
      <c r="E6" s="3" t="n">
        <f aca="false">ROUND(100*C6/SUM($C$2:$C$7),1)</f>
        <v>2.7</v>
      </c>
      <c r="F6" s="3" t="s">
        <v>127</v>
      </c>
    </row>
    <row r="7" customFormat="false" ht="15" hidden="false" customHeight="true" outlineLevel="0" collapsed="false">
      <c r="A7" s="3" t="s">
        <v>132</v>
      </c>
      <c r="B7" s="3" t="n">
        <f aca="false">COUNTIFS(raw_reacquire!$A$2:$A$108,"V1",raw_reacquire!$B$2:$B$108,"&gt;=3",raw_reacquire!$B$2:$B$108,"&lt;1000000000.0")</f>
        <v>3</v>
      </c>
      <c r="C7" s="3" t="n">
        <f aca="false">COUNTIFS(raw_reacquire!$A$2:$A$108,"V2",raw_reacquire!$B$2:$B$108,"&gt;=3",raw_reacquire!$B$2:$B$108,"&lt;1000000000.0")</f>
        <v>0</v>
      </c>
      <c r="D7" s="3" t="n">
        <f aca="false">ROUND(100*B7/SUM($B$2:$B$7),1)</f>
        <v>4.3</v>
      </c>
      <c r="E7" s="3" t="n">
        <f aca="false">ROUND(100*C7/SUM($C$2:$C$7),1)</f>
        <v>0</v>
      </c>
      <c r="F7" s="3" t="s">
        <v>127</v>
      </c>
    </row>
    <row r="8" customFormat="false" ht="15" hidden="false" customHeight="true" outlineLevel="0" collapsed="false">
      <c r="A8" s="10" t="s">
        <v>133</v>
      </c>
      <c r="B8" s="10" t="n">
        <f aca="false">SUM(B2:B7)</f>
        <v>70</v>
      </c>
      <c r="C8" s="10" t="n">
        <f aca="false">SUM(C2:C7)</f>
        <v>37</v>
      </c>
      <c r="D8" s="10"/>
      <c r="E8" s="10"/>
      <c r="F8" s="10"/>
    </row>
    <row r="9" customFormat="false" ht="15" hidden="false" customHeight="true" outlineLevel="0" collapsed="false">
      <c r="A9" s="7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16"/>
  </cols>
  <sheetData>
    <row r="1" customFormat="false" ht="15" hidden="false" customHeight="true" outlineLevel="0" collapsed="false">
      <c r="A1" s="5" t="s">
        <v>135</v>
      </c>
      <c r="B1" s="5" t="s">
        <v>118</v>
      </c>
      <c r="C1" s="5" t="s">
        <v>119</v>
      </c>
      <c r="D1" s="5" t="s">
        <v>136</v>
      </c>
    </row>
    <row r="2" customFormat="false" ht="15" hidden="false" customHeight="true" outlineLevel="0" collapsed="false">
      <c r="A2" s="3" t="s">
        <v>137</v>
      </c>
      <c r="B2" s="3" t="n">
        <v>305</v>
      </c>
      <c r="C2" s="3" t="n">
        <v>112</v>
      </c>
      <c r="D2" s="3"/>
    </row>
    <row r="3" customFormat="false" ht="15" hidden="false" customHeight="true" outlineLevel="0" collapsed="false">
      <c r="A3" s="3" t="s">
        <v>138</v>
      </c>
      <c r="B3" s="3" t="n">
        <v>70</v>
      </c>
      <c r="C3" s="3" t="n">
        <v>37</v>
      </c>
      <c r="D3" s="3"/>
    </row>
    <row r="4" customFormat="false" ht="15" hidden="false" customHeight="true" outlineLevel="0" collapsed="false">
      <c r="A4" s="3" t="s">
        <v>139</v>
      </c>
      <c r="B4" s="3" t="n">
        <v>13.8</v>
      </c>
      <c r="C4" s="3" t="n">
        <v>19.9</v>
      </c>
      <c r="D4" s="3"/>
    </row>
    <row r="5" customFormat="false" ht="15" hidden="false" customHeight="true" outlineLevel="0" collapsed="false">
      <c r="A5" s="3" t="s">
        <v>140</v>
      </c>
      <c r="B5" s="3" t="n">
        <v>70</v>
      </c>
      <c r="C5" s="3" t="n">
        <v>67</v>
      </c>
      <c r="D5" s="3"/>
    </row>
    <row r="6" customFormat="false" ht="15" hidden="false" customHeight="true" outlineLevel="0" collapsed="false">
      <c r="A6" s="3" t="s">
        <v>141</v>
      </c>
      <c r="B6" s="3" t="n">
        <v>0.51</v>
      </c>
      <c r="C6" s="3" t="n">
        <v>0.21</v>
      </c>
      <c r="D6" s="3" t="n">
        <v>0.016</v>
      </c>
    </row>
    <row r="7" customFormat="false" ht="15" hidden="false" customHeight="true" outlineLevel="0" collapsed="false">
      <c r="A7" s="3" t="s">
        <v>142</v>
      </c>
      <c r="B7" s="3" t="n">
        <v>0.79</v>
      </c>
      <c r="C7" s="3" t="n">
        <v>0.47</v>
      </c>
      <c r="D7" s="3" t="n">
        <v>0.032</v>
      </c>
    </row>
    <row r="8" customFormat="false" ht="15" hidden="false" customHeight="true" outlineLevel="0" collapsed="false">
      <c r="A8" s="3" t="s">
        <v>143</v>
      </c>
      <c r="B8" s="3" t="n">
        <v>2.25</v>
      </c>
      <c r="C8" s="3" t="n">
        <v>1.12</v>
      </c>
      <c r="D8" s="3"/>
    </row>
    <row r="9" customFormat="false" ht="15" hidden="false" customHeight="true" outlineLevel="0" collapsed="false">
      <c r="A9" s="3" t="s">
        <v>144</v>
      </c>
      <c r="B9" s="3" t="n">
        <v>6.13</v>
      </c>
      <c r="C9" s="3" t="n">
        <v>2.45</v>
      </c>
      <c r="D9" s="3"/>
    </row>
    <row r="10" customFormat="false" ht="15" hidden="false" customHeight="true" outlineLevel="0" collapsed="false">
      <c r="A10" s="3" t="s">
        <v>145</v>
      </c>
      <c r="B10" s="3" t="n">
        <v>20</v>
      </c>
      <c r="C10" s="3" t="n">
        <v>16</v>
      </c>
      <c r="D10" s="3"/>
    </row>
    <row r="11" customFormat="false" ht="15" hidden="false" customHeight="true" outlineLevel="0" collapsed="false">
      <c r="A11" s="3" t="s">
        <v>146</v>
      </c>
      <c r="B11" s="3" t="n">
        <v>10</v>
      </c>
      <c r="C11" s="3" t="n">
        <v>3</v>
      </c>
      <c r="D11" s="3" t="n">
        <v>0.163</v>
      </c>
    </row>
    <row r="12" customFormat="false" ht="15" hidden="false" customHeight="true" outlineLevel="0" collapsed="false">
      <c r="A12" s="3" t="s">
        <v>147</v>
      </c>
      <c r="B12" s="3" t="n">
        <v>4</v>
      </c>
      <c r="C12" s="3" t="n">
        <v>0</v>
      </c>
      <c r="D12" s="3"/>
    </row>
    <row r="14" customFormat="false" ht="15" hidden="false" customHeight="true" outlineLevel="0" collapsed="false">
      <c r="A14" s="7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6" min="1" style="1" width="16"/>
  </cols>
  <sheetData>
    <row r="1" customFormat="false" ht="15" hidden="false" customHeight="true" outlineLevel="0" collapsed="false">
      <c r="A1" s="5" t="s">
        <v>149</v>
      </c>
      <c r="B1" s="5" t="s">
        <v>150</v>
      </c>
      <c r="C1" s="5" t="s">
        <v>47</v>
      </c>
      <c r="D1" s="5" t="s">
        <v>151</v>
      </c>
      <c r="E1" s="5" t="s">
        <v>152</v>
      </c>
      <c r="F1" s="5" t="s">
        <v>17</v>
      </c>
    </row>
    <row r="2" customFormat="false" ht="15" hidden="false" customHeight="true" outlineLevel="0" collapsed="false">
      <c r="A2" s="3" t="s">
        <v>153</v>
      </c>
      <c r="B2" s="3" t="s">
        <v>154</v>
      </c>
      <c r="C2" s="3" t="n">
        <v>12.4</v>
      </c>
      <c r="D2" s="3" t="n">
        <v>3.7</v>
      </c>
      <c r="E2" s="3" t="n">
        <v>87</v>
      </c>
      <c r="F2" s="3" t="s">
        <v>155</v>
      </c>
    </row>
    <row r="3" customFormat="false" ht="15" hidden="false" customHeight="true" outlineLevel="0" collapsed="false">
      <c r="A3" s="3" t="s">
        <v>156</v>
      </c>
      <c r="B3" s="3" t="s">
        <v>157</v>
      </c>
      <c r="C3" s="3" t="n">
        <v>10.7</v>
      </c>
      <c r="D3" s="3" t="n">
        <v>0.3</v>
      </c>
      <c r="E3" s="3" t="n">
        <v>95</v>
      </c>
      <c r="F3" s="3" t="s">
        <v>155</v>
      </c>
    </row>
    <row r="4" customFormat="false" ht="15" hidden="false" customHeight="true" outlineLevel="0" collapsed="false">
      <c r="A4" s="3" t="s">
        <v>158</v>
      </c>
      <c r="B4" s="3" t="s">
        <v>159</v>
      </c>
      <c r="C4" s="3" t="n">
        <v>10.4</v>
      </c>
      <c r="D4" s="3" t="n">
        <v>0</v>
      </c>
      <c r="E4" s="3" t="n">
        <v>95</v>
      </c>
      <c r="F4" s="3" t="s">
        <v>155</v>
      </c>
    </row>
    <row r="5" customFormat="false" ht="15" hidden="false" customHeight="true" outlineLevel="0" collapsed="false">
      <c r="A5" s="3" t="s">
        <v>160</v>
      </c>
      <c r="B5" s="3" t="s">
        <v>161</v>
      </c>
      <c r="C5" s="3" t="n">
        <v>1.2</v>
      </c>
      <c r="D5" s="3" t="n">
        <v>0</v>
      </c>
      <c r="E5" s="3" t="n">
        <v>99</v>
      </c>
      <c r="F5" s="3" t="s">
        <v>155</v>
      </c>
    </row>
    <row r="7" customFormat="false" ht="15" hidden="false" customHeight="true" outlineLevel="0" collapsed="false">
      <c r="A7" s="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0" min="1" style="1" width="16"/>
  </cols>
  <sheetData>
    <row r="1" customFormat="false" ht="23.25" hidden="false" customHeight="true" outlineLevel="0" collapsed="false">
      <c r="A1" s="5" t="s">
        <v>163</v>
      </c>
      <c r="B1" s="5" t="s">
        <v>164</v>
      </c>
      <c r="C1" s="5" t="s">
        <v>165</v>
      </c>
      <c r="D1" s="5" t="s">
        <v>166</v>
      </c>
      <c r="E1" s="5" t="s">
        <v>167</v>
      </c>
      <c r="F1" s="5" t="s">
        <v>168</v>
      </c>
      <c r="G1" s="5" t="s">
        <v>169</v>
      </c>
      <c r="H1" s="5" t="s">
        <v>170</v>
      </c>
      <c r="I1" s="5" t="s">
        <v>171</v>
      </c>
      <c r="J1" s="5" t="s">
        <v>17</v>
      </c>
    </row>
    <row r="2" customFormat="false" ht="15" hidden="false" customHeight="true" outlineLevel="0" collapsed="false">
      <c r="A2" s="3" t="n">
        <v>0.25</v>
      </c>
      <c r="B2" s="3" t="n">
        <v>1.1</v>
      </c>
      <c r="C2" s="3" t="s">
        <v>172</v>
      </c>
      <c r="D2" s="3" t="n">
        <v>20.7</v>
      </c>
      <c r="E2" s="3" t="n">
        <v>2.7</v>
      </c>
      <c r="F2" s="3" t="n">
        <v>4.7</v>
      </c>
      <c r="G2" s="3" t="n">
        <v>0</v>
      </c>
      <c r="H2" s="3" t="n">
        <v>73</v>
      </c>
      <c r="I2" s="3" t="n">
        <v>100</v>
      </c>
      <c r="J2" s="3" t="s">
        <v>173</v>
      </c>
    </row>
    <row r="3" customFormat="false" ht="15" hidden="false" customHeight="true" outlineLevel="0" collapsed="false">
      <c r="A3" s="3" t="n">
        <v>0.5</v>
      </c>
      <c r="B3" s="3" t="n">
        <v>1.1</v>
      </c>
      <c r="C3" s="3" t="s">
        <v>174</v>
      </c>
      <c r="D3" s="3" t="n">
        <v>16.7</v>
      </c>
      <c r="E3" s="3" t="n">
        <v>1.3</v>
      </c>
      <c r="F3" s="3" t="n">
        <v>2</v>
      </c>
      <c r="G3" s="3" t="n">
        <v>0</v>
      </c>
      <c r="H3" s="3" t="n">
        <v>86</v>
      </c>
      <c r="I3" s="3" t="n">
        <v>98</v>
      </c>
      <c r="J3" s="3" t="s">
        <v>173</v>
      </c>
    </row>
    <row r="4" customFormat="false" ht="15" hidden="false" customHeight="true" outlineLevel="0" collapsed="false">
      <c r="A4" s="3" t="n">
        <v>0.75</v>
      </c>
      <c r="B4" s="3" t="n">
        <v>1.1</v>
      </c>
      <c r="C4" s="3" t="s">
        <v>175</v>
      </c>
      <c r="D4" s="3" t="n">
        <v>18</v>
      </c>
      <c r="E4" s="3" t="n">
        <v>4.7</v>
      </c>
      <c r="F4" s="3" t="n">
        <v>0</v>
      </c>
      <c r="G4" s="3" t="n">
        <v>0</v>
      </c>
      <c r="H4" s="3" t="n">
        <v>91</v>
      </c>
      <c r="I4" s="3" t="n">
        <v>98</v>
      </c>
      <c r="J4" s="3" t="s">
        <v>173</v>
      </c>
    </row>
    <row r="5" customFormat="false" ht="15" hidden="false" customHeight="true" outlineLevel="0" collapsed="false">
      <c r="A5" s="3" t="n">
        <v>1</v>
      </c>
      <c r="B5" s="3" t="n">
        <v>1.1</v>
      </c>
      <c r="C5" s="3" t="s">
        <v>176</v>
      </c>
      <c r="D5" s="3" t="n">
        <v>12</v>
      </c>
      <c r="E5" s="3" t="n">
        <v>2.7</v>
      </c>
      <c r="F5" s="3" t="n">
        <v>2.7</v>
      </c>
      <c r="G5" s="3" t="n">
        <v>0</v>
      </c>
      <c r="H5" s="3" t="n">
        <v>87</v>
      </c>
      <c r="I5" s="3" t="n">
        <v>99</v>
      </c>
      <c r="J5" s="3" t="s">
        <v>173</v>
      </c>
    </row>
    <row r="6" customFormat="false" ht="15" hidden="false" customHeight="true" outlineLevel="0" collapsed="false">
      <c r="A6" s="3" t="n">
        <v>1.25</v>
      </c>
      <c r="B6" s="3" t="n">
        <v>1.1</v>
      </c>
      <c r="C6" s="3" t="s">
        <v>177</v>
      </c>
      <c r="D6" s="3" t="n">
        <v>17.3</v>
      </c>
      <c r="E6" s="3" t="n">
        <v>2.7</v>
      </c>
      <c r="F6" s="3" t="n">
        <v>5.3</v>
      </c>
      <c r="G6" s="3" t="n">
        <v>0</v>
      </c>
      <c r="H6" s="3" t="n">
        <v>79</v>
      </c>
      <c r="I6" s="3" t="n">
        <v>98</v>
      </c>
      <c r="J6" s="3" t="s">
        <v>173</v>
      </c>
    </row>
    <row r="7" customFormat="false" ht="15" hidden="false" customHeight="true" outlineLevel="0" collapsed="false">
      <c r="A7" s="3" t="n">
        <v>0.25</v>
      </c>
      <c r="B7" s="3" t="n">
        <v>1.42</v>
      </c>
      <c r="C7" s="3" t="s">
        <v>178</v>
      </c>
      <c r="D7" s="3" t="n">
        <v>18</v>
      </c>
      <c r="E7" s="3" t="n">
        <v>0.7</v>
      </c>
      <c r="F7" s="3" t="n">
        <v>8</v>
      </c>
      <c r="G7" s="3" t="n">
        <v>0</v>
      </c>
      <c r="H7" s="3" t="n">
        <v>78</v>
      </c>
      <c r="I7" s="3" t="n">
        <v>99</v>
      </c>
      <c r="J7" s="3" t="s">
        <v>173</v>
      </c>
    </row>
    <row r="8" customFormat="false" ht="15" hidden="false" customHeight="true" outlineLevel="0" collapsed="false">
      <c r="A8" s="3" t="n">
        <v>0.5</v>
      </c>
      <c r="B8" s="3" t="n">
        <v>1.42</v>
      </c>
      <c r="C8" s="3" t="s">
        <v>179</v>
      </c>
      <c r="D8" s="3" t="n">
        <v>14.7</v>
      </c>
      <c r="E8" s="3" t="n">
        <v>0.7</v>
      </c>
      <c r="F8" s="3" t="n">
        <v>10</v>
      </c>
      <c r="G8" s="3" t="n">
        <v>0</v>
      </c>
      <c r="H8" s="3" t="n">
        <v>81</v>
      </c>
      <c r="I8" s="3" t="n">
        <v>100</v>
      </c>
      <c r="J8" s="3" t="s">
        <v>173</v>
      </c>
    </row>
    <row r="9" customFormat="false" ht="15" hidden="false" customHeight="true" outlineLevel="0" collapsed="false">
      <c r="A9" s="3" t="n">
        <v>0.75</v>
      </c>
      <c r="B9" s="3" t="n">
        <v>1.42</v>
      </c>
      <c r="C9" s="3" t="s">
        <v>180</v>
      </c>
      <c r="D9" s="3" t="n">
        <v>6.7</v>
      </c>
      <c r="E9" s="3" t="n">
        <v>0.7</v>
      </c>
      <c r="F9" s="3" t="n">
        <v>0.7</v>
      </c>
      <c r="G9" s="3" t="n">
        <v>0</v>
      </c>
      <c r="H9" s="3" t="n">
        <v>98</v>
      </c>
      <c r="I9" s="3" t="n">
        <v>100</v>
      </c>
      <c r="J9" s="3" t="s">
        <v>173</v>
      </c>
    </row>
    <row r="10" customFormat="false" ht="15" hidden="false" customHeight="true" outlineLevel="0" collapsed="false">
      <c r="A10" s="3" t="n">
        <v>1</v>
      </c>
      <c r="B10" s="3" t="n">
        <v>1.42</v>
      </c>
      <c r="C10" s="3" t="s">
        <v>181</v>
      </c>
      <c r="D10" s="3" t="n">
        <v>7.3</v>
      </c>
      <c r="E10" s="3" t="n">
        <v>0</v>
      </c>
      <c r="F10" s="3" t="n">
        <v>3.3</v>
      </c>
      <c r="G10" s="3" t="n">
        <v>0</v>
      </c>
      <c r="H10" s="3" t="n">
        <v>91</v>
      </c>
      <c r="I10" s="3" t="n">
        <v>98</v>
      </c>
      <c r="J10" s="3" t="s">
        <v>173</v>
      </c>
    </row>
    <row r="11" customFormat="false" ht="15" hidden="false" customHeight="true" outlineLevel="0" collapsed="false">
      <c r="A11" s="3" t="n">
        <v>1.25</v>
      </c>
      <c r="B11" s="3" t="n">
        <v>1.42</v>
      </c>
      <c r="C11" s="3" t="s">
        <v>182</v>
      </c>
      <c r="D11" s="3" t="n">
        <v>16</v>
      </c>
      <c r="E11" s="3" t="n">
        <v>0</v>
      </c>
      <c r="F11" s="3" t="n">
        <v>8</v>
      </c>
      <c r="G11" s="3" t="n">
        <v>0</v>
      </c>
      <c r="H11" s="3" t="n">
        <v>80</v>
      </c>
      <c r="I11" s="3" t="n">
        <v>100</v>
      </c>
      <c r="J11" s="3" t="s">
        <v>173</v>
      </c>
    </row>
    <row r="12" customFormat="false" ht="15" hidden="false" customHeight="true" outlineLevel="0" collapsed="false">
      <c r="A12" s="3" t="n">
        <v>0.25</v>
      </c>
      <c r="B12" s="3" t="n">
        <v>1.74</v>
      </c>
      <c r="C12" s="3" t="s">
        <v>183</v>
      </c>
      <c r="D12" s="3" t="n">
        <v>13.3</v>
      </c>
      <c r="E12" s="3" t="n">
        <v>0</v>
      </c>
      <c r="F12" s="3" t="n">
        <v>8.7</v>
      </c>
      <c r="G12" s="3" t="n">
        <v>0</v>
      </c>
      <c r="H12" s="3" t="n">
        <v>83</v>
      </c>
      <c r="I12" s="3" t="n">
        <v>100</v>
      </c>
      <c r="J12" s="3" t="s">
        <v>173</v>
      </c>
    </row>
    <row r="13" customFormat="false" ht="15" hidden="false" customHeight="true" outlineLevel="0" collapsed="false">
      <c r="A13" s="3" t="n">
        <v>0.5</v>
      </c>
      <c r="B13" s="3" t="n">
        <v>1.74</v>
      </c>
      <c r="C13" s="3" t="s">
        <v>184</v>
      </c>
      <c r="D13" s="3" t="n">
        <v>8</v>
      </c>
      <c r="E13" s="3" t="n">
        <v>0.7</v>
      </c>
      <c r="F13" s="3" t="n">
        <v>0.7</v>
      </c>
      <c r="G13" s="3" t="n">
        <v>0</v>
      </c>
      <c r="H13" s="3" t="n">
        <v>94</v>
      </c>
      <c r="I13" s="3" t="n">
        <v>100</v>
      </c>
      <c r="J13" s="3" t="s">
        <v>173</v>
      </c>
    </row>
    <row r="14" customFormat="false" ht="15" hidden="false" customHeight="true" outlineLevel="0" collapsed="false">
      <c r="A14" s="3" t="n">
        <v>0.75</v>
      </c>
      <c r="B14" s="3" t="n">
        <v>1.74</v>
      </c>
      <c r="C14" s="3" t="s">
        <v>185</v>
      </c>
      <c r="D14" s="3" t="n">
        <v>5.3</v>
      </c>
      <c r="E14" s="3" t="n">
        <v>0.7</v>
      </c>
      <c r="F14" s="3" t="n">
        <v>0</v>
      </c>
      <c r="G14" s="3" t="n">
        <v>0</v>
      </c>
      <c r="H14" s="3" t="n">
        <v>97</v>
      </c>
      <c r="I14" s="3" t="n">
        <v>100</v>
      </c>
      <c r="J14" s="3" t="s">
        <v>173</v>
      </c>
    </row>
    <row r="15" customFormat="false" ht="15" hidden="false" customHeight="true" outlineLevel="0" collapsed="false">
      <c r="A15" s="3" t="n">
        <v>1</v>
      </c>
      <c r="B15" s="3" t="n">
        <v>1.74</v>
      </c>
      <c r="C15" s="3" t="s">
        <v>186</v>
      </c>
      <c r="D15" s="3" t="n">
        <v>4.7</v>
      </c>
      <c r="E15" s="3" t="n">
        <v>0</v>
      </c>
      <c r="F15" s="3" t="n">
        <v>0</v>
      </c>
      <c r="G15" s="3" t="n">
        <v>0</v>
      </c>
      <c r="H15" s="3" t="n">
        <v>98</v>
      </c>
      <c r="I15" s="3" t="n">
        <v>100</v>
      </c>
      <c r="J15" s="3" t="s">
        <v>173</v>
      </c>
    </row>
    <row r="16" customFormat="false" ht="15" hidden="false" customHeight="true" outlineLevel="0" collapsed="false">
      <c r="A16" s="3" t="n">
        <v>1.25</v>
      </c>
      <c r="B16" s="3" t="n">
        <v>1.74</v>
      </c>
      <c r="C16" s="3" t="s">
        <v>187</v>
      </c>
      <c r="D16" s="3" t="n">
        <v>6.7</v>
      </c>
      <c r="E16" s="3" t="n">
        <v>0</v>
      </c>
      <c r="F16" s="3" t="n">
        <v>2</v>
      </c>
      <c r="G16" s="3" t="n">
        <v>0</v>
      </c>
      <c r="H16" s="3" t="n">
        <v>96</v>
      </c>
      <c r="I16" s="3" t="n">
        <v>100</v>
      </c>
      <c r="J16" s="3" t="s">
        <v>173</v>
      </c>
    </row>
    <row r="18" customFormat="false" ht="15" hidden="false" customHeight="true" outlineLevel="0" collapsed="false">
      <c r="A18" s="7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1" min="1" style="1" width="16"/>
  </cols>
  <sheetData>
    <row r="1" customFormat="false" ht="15" hidden="false" customHeight="true" outlineLevel="0" collapsed="false">
      <c r="A1" s="5" t="s">
        <v>189</v>
      </c>
      <c r="B1" s="5" t="s">
        <v>190</v>
      </c>
      <c r="C1" s="5" t="s">
        <v>191</v>
      </c>
      <c r="D1" s="5" t="s">
        <v>192</v>
      </c>
      <c r="E1" s="5" t="s">
        <v>193</v>
      </c>
      <c r="F1" s="5" t="s">
        <v>194</v>
      </c>
      <c r="G1" s="5" t="s">
        <v>195</v>
      </c>
      <c r="H1" s="5" t="s">
        <v>196</v>
      </c>
      <c r="I1" s="5" t="s">
        <v>197</v>
      </c>
      <c r="J1" s="5" t="s">
        <v>198</v>
      </c>
      <c r="K1" s="5" t="s">
        <v>199</v>
      </c>
    </row>
    <row r="2" customFormat="false" ht="15" hidden="false" customHeight="true" outlineLevel="0" collapsed="false">
      <c r="A2" s="3" t="s">
        <v>200</v>
      </c>
      <c r="B2" s="3" t="n">
        <v>0.25</v>
      </c>
      <c r="C2" s="3" t="n">
        <v>1.1</v>
      </c>
      <c r="D2" s="3" t="n">
        <v>0</v>
      </c>
      <c r="E2" s="3" t="n">
        <v>18</v>
      </c>
      <c r="F2" s="3" t="n">
        <v>4</v>
      </c>
      <c r="G2" s="3" t="n">
        <v>0.775</v>
      </c>
      <c r="H2" s="3" t="n">
        <v>0.771</v>
      </c>
      <c r="I2" s="3" t="n">
        <v>0.917</v>
      </c>
      <c r="J2" s="3" t="n">
        <v>0.0003</v>
      </c>
      <c r="K2" s="3" t="n">
        <v>0</v>
      </c>
    </row>
    <row r="3" customFormat="false" ht="15" hidden="false" customHeight="true" outlineLevel="0" collapsed="false">
      <c r="A3" s="3" t="s">
        <v>200</v>
      </c>
      <c r="B3" s="3" t="n">
        <v>0.25</v>
      </c>
      <c r="C3" s="3" t="n">
        <v>1.1</v>
      </c>
      <c r="D3" s="3" t="n">
        <v>1</v>
      </c>
      <c r="E3" s="3" t="n">
        <v>22</v>
      </c>
      <c r="F3" s="3" t="n">
        <v>4</v>
      </c>
      <c r="G3" s="3" t="n">
        <v>0.708</v>
      </c>
      <c r="H3" s="3" t="n">
        <v>0.642</v>
      </c>
      <c r="I3" s="3" t="n">
        <v>0.881</v>
      </c>
      <c r="J3" s="3" t="n">
        <v>0.0014</v>
      </c>
      <c r="K3" s="3" t="n">
        <v>0</v>
      </c>
    </row>
    <row r="4" customFormat="false" ht="15" hidden="false" customHeight="true" outlineLevel="0" collapsed="false">
      <c r="A4" s="3" t="s">
        <v>200</v>
      </c>
      <c r="B4" s="3" t="n">
        <v>0.25</v>
      </c>
      <c r="C4" s="3" t="n">
        <v>1.1</v>
      </c>
      <c r="D4" s="3" t="n">
        <v>2</v>
      </c>
      <c r="E4" s="3" t="n">
        <v>22</v>
      </c>
      <c r="F4" s="3" t="n">
        <v>6</v>
      </c>
      <c r="G4" s="3" t="n">
        <v>0.693</v>
      </c>
      <c r="H4" s="3" t="n">
        <v>0.708</v>
      </c>
      <c r="I4" s="3" t="n">
        <v>0.888</v>
      </c>
      <c r="J4" s="3" t="n">
        <v>0.0034</v>
      </c>
      <c r="K4" s="3" t="n">
        <v>0</v>
      </c>
    </row>
    <row r="5" customFormat="false" ht="15" hidden="false" customHeight="true" outlineLevel="0" collapsed="false">
      <c r="A5" s="3" t="s">
        <v>200</v>
      </c>
      <c r="B5" s="3" t="n">
        <v>0.5</v>
      </c>
      <c r="C5" s="3" t="n">
        <v>1.1</v>
      </c>
      <c r="D5" s="3" t="n">
        <v>0</v>
      </c>
      <c r="E5" s="3" t="n">
        <v>12</v>
      </c>
      <c r="F5" s="3" t="n">
        <v>0</v>
      </c>
      <c r="G5" s="3" t="n">
        <v>0.846</v>
      </c>
      <c r="H5" s="3" t="n">
        <v>0.774</v>
      </c>
      <c r="I5" s="3" t="n">
        <v>0.958</v>
      </c>
      <c r="J5" s="3" t="n">
        <v>0.0001</v>
      </c>
      <c r="K5" s="3" t="n">
        <v>0</v>
      </c>
    </row>
    <row r="6" customFormat="false" ht="15" hidden="false" customHeight="true" outlineLevel="0" collapsed="false">
      <c r="A6" s="3" t="s">
        <v>200</v>
      </c>
      <c r="B6" s="3" t="n">
        <v>0.5</v>
      </c>
      <c r="C6" s="3" t="n">
        <v>1.1</v>
      </c>
      <c r="D6" s="3" t="n">
        <v>1</v>
      </c>
      <c r="E6" s="3" t="n">
        <v>26</v>
      </c>
      <c r="F6" s="3" t="n">
        <v>4</v>
      </c>
      <c r="G6" s="3" t="n">
        <v>0.842</v>
      </c>
      <c r="H6" s="3" t="n">
        <v>0.77</v>
      </c>
      <c r="I6" s="3" t="n">
        <v>0.942</v>
      </c>
      <c r="J6" s="3" t="n">
        <v>0.0017</v>
      </c>
      <c r="K6" s="3" t="n">
        <v>0</v>
      </c>
    </row>
    <row r="7" customFormat="false" ht="15" hidden="false" customHeight="true" outlineLevel="0" collapsed="false">
      <c r="A7" s="3" t="s">
        <v>200</v>
      </c>
      <c r="B7" s="3" t="n">
        <v>0.5</v>
      </c>
      <c r="C7" s="3" t="n">
        <v>1.1</v>
      </c>
      <c r="D7" s="3" t="n">
        <v>2</v>
      </c>
      <c r="E7" s="3" t="n">
        <v>12</v>
      </c>
      <c r="F7" s="3" t="n">
        <v>2</v>
      </c>
      <c r="G7" s="3" t="n">
        <v>0.894</v>
      </c>
      <c r="H7" s="3" t="n">
        <v>0.809</v>
      </c>
      <c r="I7" s="3" t="n">
        <v>0.968</v>
      </c>
      <c r="J7" s="3" t="n">
        <v>0.0001</v>
      </c>
      <c r="K7" s="3" t="n">
        <v>0</v>
      </c>
    </row>
    <row r="8" customFormat="false" ht="15" hidden="false" customHeight="true" outlineLevel="0" collapsed="false">
      <c r="A8" s="3" t="s">
        <v>200</v>
      </c>
      <c r="B8" s="3" t="n">
        <v>0.75</v>
      </c>
      <c r="C8" s="3" t="n">
        <v>1.1</v>
      </c>
      <c r="D8" s="3" t="n">
        <v>0</v>
      </c>
      <c r="E8" s="3" t="n">
        <v>16</v>
      </c>
      <c r="F8" s="3" t="n">
        <v>0</v>
      </c>
      <c r="G8" s="3" t="n">
        <v>0.881</v>
      </c>
      <c r="H8" s="3" t="n">
        <v>0.769</v>
      </c>
      <c r="I8" s="3" t="n">
        <v>0.958</v>
      </c>
      <c r="J8" s="3" t="n">
        <v>0.0009</v>
      </c>
      <c r="K8" s="3" t="n">
        <v>0</v>
      </c>
    </row>
    <row r="9" customFormat="false" ht="15" hidden="false" customHeight="true" outlineLevel="0" collapsed="false">
      <c r="A9" s="3" t="s">
        <v>200</v>
      </c>
      <c r="B9" s="3" t="n">
        <v>0.75</v>
      </c>
      <c r="C9" s="3" t="n">
        <v>1.1</v>
      </c>
      <c r="D9" s="3" t="n">
        <v>1</v>
      </c>
      <c r="E9" s="3" t="n">
        <v>18</v>
      </c>
      <c r="F9" s="3" t="n">
        <v>0</v>
      </c>
      <c r="G9" s="3" t="n">
        <v>0.935</v>
      </c>
      <c r="H9" s="3" t="n">
        <v>0.835</v>
      </c>
      <c r="I9" s="3" t="n">
        <v>0.971</v>
      </c>
      <c r="J9" s="3" t="n">
        <v>0.0037</v>
      </c>
      <c r="K9" s="3" t="n">
        <v>0</v>
      </c>
    </row>
    <row r="10" customFormat="false" ht="15" hidden="false" customHeight="true" outlineLevel="0" collapsed="false">
      <c r="A10" s="3" t="s">
        <v>200</v>
      </c>
      <c r="B10" s="3" t="n">
        <v>0.75</v>
      </c>
      <c r="C10" s="3" t="n">
        <v>1.1</v>
      </c>
      <c r="D10" s="3" t="n">
        <v>2</v>
      </c>
      <c r="E10" s="3" t="n">
        <v>20</v>
      </c>
      <c r="F10" s="3" t="n">
        <v>0</v>
      </c>
      <c r="G10" s="3" t="n">
        <v>0.916</v>
      </c>
      <c r="H10" s="3" t="n">
        <v>0.799</v>
      </c>
      <c r="I10" s="3" t="n">
        <v>0.946</v>
      </c>
      <c r="J10" s="3" t="n">
        <v>0.0033</v>
      </c>
      <c r="K10" s="3" t="n">
        <v>0</v>
      </c>
    </row>
    <row r="11" customFormat="false" ht="15" hidden="false" customHeight="true" outlineLevel="0" collapsed="false">
      <c r="A11" s="3" t="s">
        <v>200</v>
      </c>
      <c r="B11" s="3" t="n">
        <v>1</v>
      </c>
      <c r="C11" s="3" t="n">
        <v>1.1</v>
      </c>
      <c r="D11" s="3" t="n">
        <v>0</v>
      </c>
      <c r="E11" s="3" t="n">
        <v>8</v>
      </c>
      <c r="F11" s="3" t="n">
        <v>4</v>
      </c>
      <c r="G11" s="3" t="n">
        <v>0.838</v>
      </c>
      <c r="H11" s="3" t="n">
        <v>0.842</v>
      </c>
      <c r="I11" s="3" t="n">
        <v>0.971</v>
      </c>
      <c r="J11" s="3" t="n">
        <v>0.0001</v>
      </c>
      <c r="K11" s="3" t="n">
        <v>0</v>
      </c>
    </row>
    <row r="12" customFormat="false" ht="15" hidden="false" customHeight="true" outlineLevel="0" collapsed="false">
      <c r="A12" s="3" t="s">
        <v>200</v>
      </c>
      <c r="B12" s="3" t="n">
        <v>1</v>
      </c>
      <c r="C12" s="3" t="n">
        <v>1.1</v>
      </c>
      <c r="D12" s="3" t="n">
        <v>1</v>
      </c>
      <c r="E12" s="3" t="n">
        <v>14</v>
      </c>
      <c r="F12" s="3" t="n">
        <v>2</v>
      </c>
      <c r="G12" s="3" t="n">
        <v>0.876</v>
      </c>
      <c r="H12" s="3" t="n">
        <v>0.729</v>
      </c>
      <c r="I12" s="3" t="n">
        <v>0.97</v>
      </c>
      <c r="J12" s="3" t="n">
        <v>0.0001</v>
      </c>
      <c r="K12" s="3" t="n">
        <v>0</v>
      </c>
    </row>
    <row r="13" customFormat="false" ht="15" hidden="false" customHeight="true" outlineLevel="0" collapsed="false">
      <c r="A13" s="3" t="s">
        <v>200</v>
      </c>
      <c r="B13" s="3" t="n">
        <v>1</v>
      </c>
      <c r="C13" s="3" t="n">
        <v>1.1</v>
      </c>
      <c r="D13" s="3" t="n">
        <v>2</v>
      </c>
      <c r="E13" s="3" t="n">
        <v>14</v>
      </c>
      <c r="F13" s="3" t="n">
        <v>2</v>
      </c>
      <c r="G13" s="3" t="n">
        <v>0.903</v>
      </c>
      <c r="H13" s="3" t="n">
        <v>0.809</v>
      </c>
      <c r="I13" s="3" t="n">
        <v>0.958</v>
      </c>
      <c r="J13" s="3" t="n">
        <v>0.0001</v>
      </c>
      <c r="K13" s="3" t="n">
        <v>0</v>
      </c>
    </row>
    <row r="14" customFormat="false" ht="15" hidden="false" customHeight="true" outlineLevel="0" collapsed="false">
      <c r="A14" s="3" t="s">
        <v>200</v>
      </c>
      <c r="B14" s="3" t="n">
        <v>1.25</v>
      </c>
      <c r="C14" s="3" t="n">
        <v>1.1</v>
      </c>
      <c r="D14" s="3" t="n">
        <v>0</v>
      </c>
      <c r="E14" s="3" t="n">
        <v>16</v>
      </c>
      <c r="F14" s="3" t="n">
        <v>6</v>
      </c>
      <c r="G14" s="3" t="n">
        <v>0.801</v>
      </c>
      <c r="H14" s="3" t="n">
        <v>0.816</v>
      </c>
      <c r="I14" s="3" t="n">
        <v>0.965</v>
      </c>
      <c r="J14" s="3" t="n">
        <v>0.0003</v>
      </c>
      <c r="K14" s="3" t="n">
        <v>0</v>
      </c>
    </row>
    <row r="15" customFormat="false" ht="15" hidden="false" customHeight="true" outlineLevel="0" collapsed="false">
      <c r="A15" s="3" t="s">
        <v>200</v>
      </c>
      <c r="B15" s="3" t="n">
        <v>1.25</v>
      </c>
      <c r="C15" s="3" t="n">
        <v>1.1</v>
      </c>
      <c r="D15" s="3" t="n">
        <v>1</v>
      </c>
      <c r="E15" s="3" t="n">
        <v>20</v>
      </c>
      <c r="F15" s="3" t="n">
        <v>6</v>
      </c>
      <c r="G15" s="3" t="n">
        <v>0.771</v>
      </c>
      <c r="H15" s="3" t="n">
        <v>0.725</v>
      </c>
      <c r="I15" s="3" t="n">
        <v>0.927</v>
      </c>
      <c r="J15" s="3" t="n">
        <v>0.0003</v>
      </c>
      <c r="K15" s="3" t="n">
        <v>0</v>
      </c>
    </row>
    <row r="16" customFormat="false" ht="15" hidden="false" customHeight="true" outlineLevel="0" collapsed="false">
      <c r="A16" s="3" t="s">
        <v>200</v>
      </c>
      <c r="B16" s="3" t="n">
        <v>1.25</v>
      </c>
      <c r="C16" s="3" t="n">
        <v>1.1</v>
      </c>
      <c r="D16" s="3" t="n">
        <v>2</v>
      </c>
      <c r="E16" s="3" t="n">
        <v>16</v>
      </c>
      <c r="F16" s="3" t="n">
        <v>4</v>
      </c>
      <c r="G16" s="3" t="n">
        <v>0.809</v>
      </c>
      <c r="H16" s="3" t="n">
        <v>0.743</v>
      </c>
      <c r="I16" s="3" t="n">
        <v>0.916</v>
      </c>
      <c r="J16" s="3" t="n">
        <v>0.0002</v>
      </c>
      <c r="K16" s="3" t="n">
        <v>0</v>
      </c>
    </row>
    <row r="17" customFormat="false" ht="15" hidden="false" customHeight="true" outlineLevel="0" collapsed="false">
      <c r="A17" s="3" t="s">
        <v>200</v>
      </c>
      <c r="B17" s="3" t="n">
        <v>0.25</v>
      </c>
      <c r="C17" s="3" t="n">
        <v>1.42</v>
      </c>
      <c r="D17" s="3" t="n">
        <v>0</v>
      </c>
      <c r="E17" s="3" t="n">
        <v>18</v>
      </c>
      <c r="F17" s="3" t="n">
        <v>10</v>
      </c>
      <c r="G17" s="3" t="n">
        <v>0.733</v>
      </c>
      <c r="H17" s="3" t="n">
        <v>0.697</v>
      </c>
      <c r="I17" s="3" t="n">
        <v>0.881</v>
      </c>
      <c r="J17" s="3" t="n">
        <v>0.0004</v>
      </c>
      <c r="K17" s="3" t="n">
        <v>0</v>
      </c>
    </row>
    <row r="18" customFormat="false" ht="15" hidden="false" customHeight="true" outlineLevel="0" collapsed="false">
      <c r="A18" s="3" t="s">
        <v>200</v>
      </c>
      <c r="B18" s="3" t="n">
        <v>0.25</v>
      </c>
      <c r="C18" s="3" t="n">
        <v>1.42</v>
      </c>
      <c r="D18" s="3" t="n">
        <v>1</v>
      </c>
      <c r="E18" s="3" t="n">
        <v>20</v>
      </c>
      <c r="F18" s="3" t="n">
        <v>8</v>
      </c>
      <c r="G18" s="3" t="n">
        <v>0.834</v>
      </c>
      <c r="H18" s="3" t="n">
        <v>0.742</v>
      </c>
      <c r="I18" s="3" t="n">
        <v>0.965</v>
      </c>
      <c r="J18" s="3" t="n">
        <v>0.0006</v>
      </c>
      <c r="K18" s="3" t="n">
        <v>0</v>
      </c>
    </row>
    <row r="19" customFormat="false" ht="15" hidden="false" customHeight="true" outlineLevel="0" collapsed="false">
      <c r="A19" s="3" t="s">
        <v>200</v>
      </c>
      <c r="B19" s="3" t="n">
        <v>0.25</v>
      </c>
      <c r="C19" s="3" t="n">
        <v>1.42</v>
      </c>
      <c r="D19" s="3" t="n">
        <v>2</v>
      </c>
      <c r="E19" s="3" t="n">
        <v>16</v>
      </c>
      <c r="F19" s="3" t="n">
        <v>6</v>
      </c>
      <c r="G19" s="3" t="n">
        <v>0.779</v>
      </c>
      <c r="H19" s="3" t="n">
        <v>0.724</v>
      </c>
      <c r="I19" s="3" t="n">
        <v>0.878</v>
      </c>
      <c r="J19" s="3" t="n">
        <v>0.0004</v>
      </c>
      <c r="K19" s="3" t="n">
        <v>0</v>
      </c>
    </row>
    <row r="20" customFormat="false" ht="15" hidden="false" customHeight="true" outlineLevel="0" collapsed="false">
      <c r="A20" s="3" t="s">
        <v>200</v>
      </c>
      <c r="B20" s="3" t="n">
        <v>0.5</v>
      </c>
      <c r="C20" s="3" t="n">
        <v>1.42</v>
      </c>
      <c r="D20" s="3" t="n">
        <v>0</v>
      </c>
      <c r="E20" s="3" t="n">
        <v>12</v>
      </c>
      <c r="F20" s="3" t="n">
        <v>10</v>
      </c>
      <c r="G20" s="3" t="n">
        <v>0.828</v>
      </c>
      <c r="H20" s="3" t="n">
        <v>0.834</v>
      </c>
      <c r="I20" s="3" t="n">
        <v>0.97</v>
      </c>
      <c r="J20" s="3" t="n">
        <v>0.0004</v>
      </c>
      <c r="K20" s="3" t="n">
        <v>0</v>
      </c>
    </row>
    <row r="21" customFormat="false" ht="15" hidden="false" customHeight="true" outlineLevel="0" collapsed="false">
      <c r="A21" s="3" t="s">
        <v>200</v>
      </c>
      <c r="B21" s="3" t="n">
        <v>0.5</v>
      </c>
      <c r="C21" s="3" t="n">
        <v>1.42</v>
      </c>
      <c r="D21" s="3" t="n">
        <v>1</v>
      </c>
      <c r="E21" s="3" t="n">
        <v>8</v>
      </c>
      <c r="F21" s="3" t="n">
        <v>12</v>
      </c>
      <c r="G21" s="3" t="n">
        <v>0.803</v>
      </c>
      <c r="H21" s="3" t="n">
        <v>0.85</v>
      </c>
      <c r="I21" s="3" t="n">
        <v>0.982</v>
      </c>
      <c r="J21" s="3" t="n">
        <v>0.0005</v>
      </c>
      <c r="K21" s="3" t="n">
        <v>0</v>
      </c>
    </row>
    <row r="22" customFormat="false" ht="15" hidden="false" customHeight="true" outlineLevel="0" collapsed="false">
      <c r="A22" s="3" t="s">
        <v>200</v>
      </c>
      <c r="B22" s="3" t="n">
        <v>0.5</v>
      </c>
      <c r="C22" s="3" t="n">
        <v>1.42</v>
      </c>
      <c r="D22" s="3" t="n">
        <v>2</v>
      </c>
      <c r="E22" s="3" t="n">
        <v>24</v>
      </c>
      <c r="F22" s="3" t="n">
        <v>8</v>
      </c>
      <c r="G22" s="3" t="n">
        <v>0.794</v>
      </c>
      <c r="H22" s="3" t="n">
        <v>0.812</v>
      </c>
      <c r="I22" s="3" t="n">
        <v>0.962</v>
      </c>
      <c r="J22" s="3" t="n">
        <v>0.0005</v>
      </c>
      <c r="K22" s="3" t="n">
        <v>0</v>
      </c>
    </row>
    <row r="23" customFormat="false" ht="15" hidden="false" customHeight="true" outlineLevel="0" collapsed="false">
      <c r="A23" s="3" t="s">
        <v>200</v>
      </c>
      <c r="B23" s="3" t="n">
        <v>0.75</v>
      </c>
      <c r="C23" s="3" t="n">
        <v>1.42</v>
      </c>
      <c r="D23" s="3" t="n">
        <v>0</v>
      </c>
      <c r="E23" s="3" t="n">
        <v>6</v>
      </c>
      <c r="F23" s="3" t="n">
        <v>0</v>
      </c>
      <c r="G23" s="3" t="n">
        <v>0.984</v>
      </c>
      <c r="H23" s="3" t="n">
        <v>0.898</v>
      </c>
      <c r="I23" s="3" t="n">
        <v>0.997</v>
      </c>
      <c r="J23" s="3" t="n">
        <v>0</v>
      </c>
      <c r="K23" s="3" t="n">
        <v>0</v>
      </c>
    </row>
    <row r="24" customFormat="false" ht="15" hidden="false" customHeight="true" outlineLevel="0" collapsed="false">
      <c r="A24" s="3" t="s">
        <v>200</v>
      </c>
      <c r="B24" s="3" t="n">
        <v>0.75</v>
      </c>
      <c r="C24" s="3" t="n">
        <v>1.42</v>
      </c>
      <c r="D24" s="3" t="n">
        <v>1</v>
      </c>
      <c r="E24" s="3" t="n">
        <v>8</v>
      </c>
      <c r="F24" s="3" t="n">
        <v>0</v>
      </c>
      <c r="G24" s="3" t="n">
        <v>0.97</v>
      </c>
      <c r="H24" s="3" t="n">
        <v>0.896</v>
      </c>
      <c r="I24" s="3" t="n">
        <v>0.986</v>
      </c>
      <c r="J24" s="3" t="n">
        <v>0</v>
      </c>
      <c r="K24" s="3" t="n">
        <v>0</v>
      </c>
    </row>
    <row r="25" customFormat="false" ht="15" hidden="false" customHeight="true" outlineLevel="0" collapsed="false">
      <c r="A25" s="3" t="s">
        <v>200</v>
      </c>
      <c r="B25" s="3" t="n">
        <v>0.75</v>
      </c>
      <c r="C25" s="3" t="n">
        <v>1.42</v>
      </c>
      <c r="D25" s="3" t="n">
        <v>2</v>
      </c>
      <c r="E25" s="3" t="n">
        <v>6</v>
      </c>
      <c r="F25" s="3" t="n">
        <v>2</v>
      </c>
      <c r="G25" s="3" t="n">
        <v>0.972</v>
      </c>
      <c r="H25" s="3" t="n">
        <v>0.885</v>
      </c>
      <c r="I25" s="3" t="n">
        <v>0.989</v>
      </c>
      <c r="J25" s="3" t="n">
        <v>0</v>
      </c>
      <c r="K25" s="3" t="n">
        <v>0</v>
      </c>
    </row>
    <row r="26" customFormat="false" ht="15" hidden="false" customHeight="true" outlineLevel="0" collapsed="false">
      <c r="A26" s="3" t="s">
        <v>200</v>
      </c>
      <c r="B26" s="3" t="n">
        <v>1</v>
      </c>
      <c r="C26" s="3" t="n">
        <v>1.42</v>
      </c>
      <c r="D26" s="3" t="n">
        <v>0</v>
      </c>
      <c r="E26" s="3" t="n">
        <v>2</v>
      </c>
      <c r="F26" s="3" t="n">
        <v>2</v>
      </c>
      <c r="G26" s="3" t="n">
        <v>0.96</v>
      </c>
      <c r="H26" s="3" t="n">
        <v>0.917</v>
      </c>
      <c r="I26" s="3" t="n">
        <v>0.997</v>
      </c>
      <c r="J26" s="3" t="n">
        <v>0.0002</v>
      </c>
      <c r="K26" s="3" t="n">
        <v>0</v>
      </c>
    </row>
    <row r="27" customFormat="false" ht="15" hidden="false" customHeight="true" outlineLevel="0" collapsed="false">
      <c r="A27" s="3" t="s">
        <v>200</v>
      </c>
      <c r="B27" s="3" t="n">
        <v>1</v>
      </c>
      <c r="C27" s="3" t="n">
        <v>1.42</v>
      </c>
      <c r="D27" s="3" t="n">
        <v>1</v>
      </c>
      <c r="E27" s="3" t="n">
        <v>14</v>
      </c>
      <c r="F27" s="3" t="n">
        <v>6</v>
      </c>
      <c r="G27" s="3" t="n">
        <v>0.813</v>
      </c>
      <c r="H27" s="3" t="n">
        <v>0.822</v>
      </c>
      <c r="I27" s="3" t="n">
        <v>0.971</v>
      </c>
      <c r="J27" s="3" t="n">
        <v>0.0003</v>
      </c>
      <c r="K27" s="3" t="n">
        <v>0</v>
      </c>
    </row>
    <row r="28" customFormat="false" ht="15" hidden="false" customHeight="true" outlineLevel="0" collapsed="false">
      <c r="A28" s="3" t="s">
        <v>200</v>
      </c>
      <c r="B28" s="3" t="n">
        <v>1</v>
      </c>
      <c r="C28" s="3" t="n">
        <v>1.42</v>
      </c>
      <c r="D28" s="3" t="n">
        <v>2</v>
      </c>
      <c r="E28" s="3" t="n">
        <v>6</v>
      </c>
      <c r="F28" s="3" t="n">
        <v>2</v>
      </c>
      <c r="G28" s="3" t="n">
        <v>0.958</v>
      </c>
      <c r="H28" s="3" t="n">
        <v>0.913</v>
      </c>
      <c r="I28" s="3" t="n">
        <v>0.977</v>
      </c>
      <c r="J28" s="3" t="n">
        <v>0.0002</v>
      </c>
      <c r="K28" s="3" t="n">
        <v>0</v>
      </c>
    </row>
    <row r="29" customFormat="false" ht="15" hidden="false" customHeight="true" outlineLevel="0" collapsed="false">
      <c r="A29" s="3" t="s">
        <v>200</v>
      </c>
      <c r="B29" s="3" t="n">
        <v>1.25</v>
      </c>
      <c r="C29" s="3" t="n">
        <v>1.42</v>
      </c>
      <c r="D29" s="3" t="n">
        <v>0</v>
      </c>
      <c r="E29" s="3" t="n">
        <v>14</v>
      </c>
      <c r="F29" s="3" t="n">
        <v>6</v>
      </c>
      <c r="G29" s="3" t="n">
        <v>0.83</v>
      </c>
      <c r="H29" s="3" t="n">
        <v>0.772</v>
      </c>
      <c r="I29" s="3" t="n">
        <v>0.967</v>
      </c>
      <c r="J29" s="3" t="n">
        <v>0.0004</v>
      </c>
      <c r="K29" s="3" t="n">
        <v>0</v>
      </c>
    </row>
    <row r="30" customFormat="false" ht="15" hidden="false" customHeight="true" outlineLevel="0" collapsed="false">
      <c r="A30" s="3" t="s">
        <v>200</v>
      </c>
      <c r="B30" s="3" t="n">
        <v>1.25</v>
      </c>
      <c r="C30" s="3" t="n">
        <v>1.42</v>
      </c>
      <c r="D30" s="3" t="n">
        <v>1</v>
      </c>
      <c r="E30" s="3" t="n">
        <v>20</v>
      </c>
      <c r="F30" s="3" t="n">
        <v>10</v>
      </c>
      <c r="G30" s="3" t="n">
        <v>0.752</v>
      </c>
      <c r="H30" s="3" t="n">
        <v>0.674</v>
      </c>
      <c r="I30" s="3" t="n">
        <v>0.903</v>
      </c>
      <c r="J30" s="3" t="n">
        <v>0.0008</v>
      </c>
      <c r="K30" s="3" t="n">
        <v>0</v>
      </c>
    </row>
    <row r="31" customFormat="false" ht="15" hidden="false" customHeight="true" outlineLevel="0" collapsed="false">
      <c r="A31" s="3" t="s">
        <v>200</v>
      </c>
      <c r="B31" s="3" t="n">
        <v>1.25</v>
      </c>
      <c r="C31" s="3" t="n">
        <v>1.42</v>
      </c>
      <c r="D31" s="3" t="n">
        <v>2</v>
      </c>
      <c r="E31" s="3" t="n">
        <v>14</v>
      </c>
      <c r="F31" s="3" t="n">
        <v>8</v>
      </c>
      <c r="G31" s="3" t="n">
        <v>0.826</v>
      </c>
      <c r="H31" s="3" t="n">
        <v>0.837</v>
      </c>
      <c r="I31" s="3" t="n">
        <v>0.929</v>
      </c>
      <c r="J31" s="3" t="n">
        <v>0.0004</v>
      </c>
      <c r="K31" s="3" t="n">
        <v>0</v>
      </c>
    </row>
    <row r="32" customFormat="false" ht="15" hidden="false" customHeight="true" outlineLevel="0" collapsed="false">
      <c r="A32" s="3" t="s">
        <v>200</v>
      </c>
      <c r="B32" s="3" t="n">
        <v>0.25</v>
      </c>
      <c r="C32" s="3" t="n">
        <v>1.74</v>
      </c>
      <c r="D32" s="3" t="n">
        <v>0</v>
      </c>
      <c r="E32" s="3" t="n">
        <v>14</v>
      </c>
      <c r="F32" s="3" t="n">
        <v>6</v>
      </c>
      <c r="G32" s="3" t="n">
        <v>0.882</v>
      </c>
      <c r="H32" s="3" t="n">
        <v>0.838</v>
      </c>
      <c r="I32" s="3" t="n">
        <v>0.978</v>
      </c>
      <c r="J32" s="3" t="n">
        <v>0.0003</v>
      </c>
      <c r="K32" s="3" t="n">
        <v>0</v>
      </c>
    </row>
    <row r="33" customFormat="false" ht="15" hidden="false" customHeight="true" outlineLevel="0" collapsed="false">
      <c r="A33" s="3" t="s">
        <v>200</v>
      </c>
      <c r="B33" s="3" t="n">
        <v>0.25</v>
      </c>
      <c r="C33" s="3" t="n">
        <v>1.74</v>
      </c>
      <c r="D33" s="3" t="n">
        <v>1</v>
      </c>
      <c r="E33" s="3" t="n">
        <v>16</v>
      </c>
      <c r="F33" s="3" t="n">
        <v>8</v>
      </c>
      <c r="G33" s="3" t="n">
        <v>0.752</v>
      </c>
      <c r="H33" s="3" t="n">
        <v>0.75</v>
      </c>
      <c r="I33" s="3" t="n">
        <v>0.921</v>
      </c>
      <c r="J33" s="3" t="n">
        <v>0.0003</v>
      </c>
      <c r="K33" s="3" t="n">
        <v>0</v>
      </c>
    </row>
    <row r="34" customFormat="false" ht="15" hidden="false" customHeight="true" outlineLevel="0" collapsed="false">
      <c r="A34" s="3" t="s">
        <v>200</v>
      </c>
      <c r="B34" s="3" t="n">
        <v>0.25</v>
      </c>
      <c r="C34" s="3" t="n">
        <v>1.74</v>
      </c>
      <c r="D34" s="3" t="n">
        <v>2</v>
      </c>
      <c r="E34" s="3" t="n">
        <v>10</v>
      </c>
      <c r="F34" s="3" t="n">
        <v>12</v>
      </c>
      <c r="G34" s="3" t="n">
        <v>0.852</v>
      </c>
      <c r="H34" s="3" t="n">
        <v>0.857</v>
      </c>
      <c r="I34" s="3" t="n">
        <v>0.986</v>
      </c>
      <c r="J34" s="3" t="n">
        <v>0.0003</v>
      </c>
      <c r="K34" s="3" t="n">
        <v>0</v>
      </c>
    </row>
    <row r="35" customFormat="false" ht="15" hidden="false" customHeight="true" outlineLevel="0" collapsed="false">
      <c r="A35" s="3" t="s">
        <v>200</v>
      </c>
      <c r="B35" s="3" t="n">
        <v>0.5</v>
      </c>
      <c r="C35" s="3" t="n">
        <v>1.74</v>
      </c>
      <c r="D35" s="3" t="n">
        <v>0</v>
      </c>
      <c r="E35" s="3" t="n">
        <v>8</v>
      </c>
      <c r="F35" s="3" t="n">
        <v>0</v>
      </c>
      <c r="G35" s="3" t="n">
        <v>0.947</v>
      </c>
      <c r="H35" s="3" t="n">
        <v>0.89</v>
      </c>
      <c r="I35" s="3" t="n">
        <v>0.983</v>
      </c>
      <c r="J35" s="3" t="n">
        <v>0</v>
      </c>
      <c r="K35" s="3" t="n">
        <v>0</v>
      </c>
    </row>
    <row r="36" customFormat="false" ht="15" hidden="false" customHeight="true" outlineLevel="0" collapsed="false">
      <c r="A36" s="3" t="s">
        <v>200</v>
      </c>
      <c r="B36" s="3" t="n">
        <v>0.5</v>
      </c>
      <c r="C36" s="3" t="n">
        <v>1.74</v>
      </c>
      <c r="D36" s="3" t="n">
        <v>1</v>
      </c>
      <c r="E36" s="3" t="n">
        <v>8</v>
      </c>
      <c r="F36" s="3" t="n">
        <v>0</v>
      </c>
      <c r="G36" s="3" t="n">
        <v>0.956</v>
      </c>
      <c r="H36" s="3" t="n">
        <v>0.878</v>
      </c>
      <c r="I36" s="3" t="n">
        <v>0.984</v>
      </c>
      <c r="J36" s="3" t="n">
        <v>0</v>
      </c>
      <c r="K36" s="3" t="n">
        <v>0</v>
      </c>
    </row>
    <row r="37" customFormat="false" ht="15" hidden="false" customHeight="true" outlineLevel="0" collapsed="false">
      <c r="A37" s="3" t="s">
        <v>200</v>
      </c>
      <c r="B37" s="3" t="n">
        <v>0.5</v>
      </c>
      <c r="C37" s="3" t="n">
        <v>1.74</v>
      </c>
      <c r="D37" s="3" t="n">
        <v>2</v>
      </c>
      <c r="E37" s="3" t="n">
        <v>8</v>
      </c>
      <c r="F37" s="3" t="n">
        <v>2</v>
      </c>
      <c r="G37" s="3" t="n">
        <v>0.924</v>
      </c>
      <c r="H37" s="3" t="n">
        <v>0.856</v>
      </c>
      <c r="I37" s="3" t="n">
        <v>0.971</v>
      </c>
      <c r="J37" s="3" t="n">
        <v>0</v>
      </c>
      <c r="K37" s="3" t="n">
        <v>0</v>
      </c>
    </row>
    <row r="38" customFormat="false" ht="15" hidden="false" customHeight="true" outlineLevel="0" collapsed="false">
      <c r="A38" s="3" t="s">
        <v>200</v>
      </c>
      <c r="B38" s="3" t="n">
        <v>0.75</v>
      </c>
      <c r="C38" s="3" t="n">
        <v>1.74</v>
      </c>
      <c r="D38" s="3" t="n">
        <v>0</v>
      </c>
      <c r="E38" s="3" t="n">
        <v>2</v>
      </c>
      <c r="F38" s="3" t="n">
        <v>0</v>
      </c>
      <c r="G38" s="3" t="n">
        <v>0.973</v>
      </c>
      <c r="H38" s="3" t="n">
        <v>0.918</v>
      </c>
      <c r="I38" s="3" t="n">
        <v>0.996</v>
      </c>
      <c r="J38" s="3" t="n">
        <v>0.0001</v>
      </c>
      <c r="K38" s="3" t="n">
        <v>0</v>
      </c>
    </row>
    <row r="39" customFormat="false" ht="15" hidden="false" customHeight="true" outlineLevel="0" collapsed="false">
      <c r="A39" s="3" t="s">
        <v>200</v>
      </c>
      <c r="B39" s="3" t="n">
        <v>0.75</v>
      </c>
      <c r="C39" s="3" t="n">
        <v>1.74</v>
      </c>
      <c r="D39" s="3" t="n">
        <v>1</v>
      </c>
      <c r="E39" s="3" t="n">
        <v>6</v>
      </c>
      <c r="F39" s="3" t="n">
        <v>0</v>
      </c>
      <c r="G39" s="3" t="n">
        <v>0.959</v>
      </c>
      <c r="H39" s="3" t="n">
        <v>0.916</v>
      </c>
      <c r="I39" s="3" t="n">
        <v>0.987</v>
      </c>
      <c r="J39" s="3" t="n">
        <v>0.0001</v>
      </c>
      <c r="K39" s="3" t="n">
        <v>0</v>
      </c>
    </row>
    <row r="40" customFormat="false" ht="15" hidden="false" customHeight="true" outlineLevel="0" collapsed="false">
      <c r="A40" s="3" t="s">
        <v>200</v>
      </c>
      <c r="B40" s="3" t="n">
        <v>0.75</v>
      </c>
      <c r="C40" s="3" t="n">
        <v>1.74</v>
      </c>
      <c r="D40" s="3" t="n">
        <v>2</v>
      </c>
      <c r="E40" s="3" t="n">
        <v>8</v>
      </c>
      <c r="F40" s="3" t="n">
        <v>0</v>
      </c>
      <c r="G40" s="3" t="n">
        <v>0.966</v>
      </c>
      <c r="H40" s="3" t="n">
        <v>0.861</v>
      </c>
      <c r="I40" s="3" t="n">
        <v>0.982</v>
      </c>
      <c r="J40" s="3" t="n">
        <v>0.0001</v>
      </c>
      <c r="K40" s="3" t="n">
        <v>0</v>
      </c>
    </row>
    <row r="41" customFormat="false" ht="15" hidden="false" customHeight="true" outlineLevel="0" collapsed="false">
      <c r="A41" s="3" t="s">
        <v>200</v>
      </c>
      <c r="B41" s="3" t="n">
        <v>1</v>
      </c>
      <c r="C41" s="3" t="n">
        <v>1.74</v>
      </c>
      <c r="D41" s="3" t="n">
        <v>0</v>
      </c>
      <c r="E41" s="3" t="n">
        <v>0</v>
      </c>
      <c r="F41" s="3" t="n">
        <v>0</v>
      </c>
      <c r="G41" s="3" t="n">
        <v>0.994</v>
      </c>
      <c r="H41" s="3" t="n">
        <v>0.941</v>
      </c>
      <c r="I41" s="3" t="n">
        <v>1</v>
      </c>
      <c r="J41" s="3" t="n">
        <v>0</v>
      </c>
      <c r="K41" s="3" t="n">
        <v>0</v>
      </c>
    </row>
    <row r="42" customFormat="false" ht="15" hidden="false" customHeight="true" outlineLevel="0" collapsed="false">
      <c r="A42" s="3" t="s">
        <v>200</v>
      </c>
      <c r="B42" s="3" t="n">
        <v>1</v>
      </c>
      <c r="C42" s="3" t="n">
        <v>1.74</v>
      </c>
      <c r="D42" s="3" t="n">
        <v>1</v>
      </c>
      <c r="E42" s="3" t="n">
        <v>8</v>
      </c>
      <c r="F42" s="3" t="n">
        <v>0</v>
      </c>
      <c r="G42" s="3" t="n">
        <v>0.964</v>
      </c>
      <c r="H42" s="3" t="n">
        <v>0.918</v>
      </c>
      <c r="I42" s="3" t="n">
        <v>0.986</v>
      </c>
      <c r="J42" s="3" t="n">
        <v>0</v>
      </c>
      <c r="K42" s="3" t="n">
        <v>0</v>
      </c>
    </row>
    <row r="43" customFormat="false" ht="15" hidden="false" customHeight="true" outlineLevel="0" collapsed="false">
      <c r="A43" s="3" t="s">
        <v>200</v>
      </c>
      <c r="B43" s="3" t="n">
        <v>1</v>
      </c>
      <c r="C43" s="3" t="n">
        <v>1.74</v>
      </c>
      <c r="D43" s="3" t="n">
        <v>2</v>
      </c>
      <c r="E43" s="3" t="n">
        <v>6</v>
      </c>
      <c r="F43" s="3" t="n">
        <v>0</v>
      </c>
      <c r="G43" s="3" t="n">
        <v>0.981</v>
      </c>
      <c r="H43" s="3" t="n">
        <v>0.887</v>
      </c>
      <c r="I43" s="3" t="n">
        <v>0.993</v>
      </c>
      <c r="J43" s="3" t="n">
        <v>0</v>
      </c>
      <c r="K43" s="3" t="n">
        <v>0</v>
      </c>
    </row>
    <row r="44" customFormat="false" ht="15" hidden="false" customHeight="true" outlineLevel="0" collapsed="false">
      <c r="A44" s="3" t="s">
        <v>200</v>
      </c>
      <c r="B44" s="3" t="n">
        <v>1.25</v>
      </c>
      <c r="C44" s="3" t="n">
        <v>1.74</v>
      </c>
      <c r="D44" s="3" t="n">
        <v>0</v>
      </c>
      <c r="E44" s="3" t="n">
        <v>6</v>
      </c>
      <c r="F44" s="3" t="n">
        <v>4</v>
      </c>
      <c r="G44" s="3" t="n">
        <v>0.956</v>
      </c>
      <c r="H44" s="3" t="n">
        <v>0.866</v>
      </c>
      <c r="I44" s="3" t="n">
        <v>0.975</v>
      </c>
      <c r="J44" s="3" t="n">
        <v>0.0003</v>
      </c>
      <c r="K44" s="3" t="n">
        <v>0</v>
      </c>
    </row>
    <row r="45" customFormat="false" ht="15" hidden="false" customHeight="true" outlineLevel="0" collapsed="false">
      <c r="A45" s="3" t="s">
        <v>200</v>
      </c>
      <c r="B45" s="3" t="n">
        <v>1.25</v>
      </c>
      <c r="C45" s="3" t="n">
        <v>1.74</v>
      </c>
      <c r="D45" s="3" t="n">
        <v>1</v>
      </c>
      <c r="E45" s="3" t="n">
        <v>6</v>
      </c>
      <c r="F45" s="3" t="n">
        <v>2</v>
      </c>
      <c r="G45" s="3" t="n">
        <v>0.946</v>
      </c>
      <c r="H45" s="3" t="n">
        <v>0.862</v>
      </c>
      <c r="I45" s="3" t="n">
        <v>0.979</v>
      </c>
      <c r="J45" s="3" t="n">
        <v>0.0003</v>
      </c>
      <c r="K45" s="3" t="n">
        <v>0</v>
      </c>
    </row>
    <row r="46" customFormat="false" ht="15" hidden="false" customHeight="true" outlineLevel="0" collapsed="false">
      <c r="A46" s="3" t="s">
        <v>200</v>
      </c>
      <c r="B46" s="3" t="n">
        <v>1.25</v>
      </c>
      <c r="C46" s="3" t="n">
        <v>1.74</v>
      </c>
      <c r="D46" s="3" t="n">
        <v>2</v>
      </c>
      <c r="E46" s="3" t="n">
        <v>8</v>
      </c>
      <c r="F46" s="3" t="n">
        <v>0</v>
      </c>
      <c r="G46" s="3" t="n">
        <v>0.966</v>
      </c>
      <c r="H46" s="3" t="n">
        <v>0.902</v>
      </c>
      <c r="I46" s="3" t="n">
        <v>0.977</v>
      </c>
      <c r="J46" s="3" t="n">
        <v>0.0003</v>
      </c>
      <c r="K46" s="3" t="n">
        <v>0</v>
      </c>
    </row>
    <row r="47" customFormat="false" ht="15" hidden="false" customHeight="true" outlineLevel="0" collapsed="false">
      <c r="A47" s="3" t="s">
        <v>201</v>
      </c>
      <c r="B47" s="3" t="n">
        <v>0.25</v>
      </c>
      <c r="C47" s="3" t="n">
        <v>1.1</v>
      </c>
      <c r="D47" s="3" t="n">
        <v>0</v>
      </c>
      <c r="E47" s="3" t="n">
        <v>2</v>
      </c>
      <c r="F47" s="3" t="n">
        <v>0</v>
      </c>
      <c r="G47" s="3" t="n">
        <v>0.999</v>
      </c>
      <c r="H47" s="3" t="n">
        <v>0.977</v>
      </c>
      <c r="I47" s="3" t="n">
        <v>0.999</v>
      </c>
      <c r="J47" s="3" t="n">
        <v>0.0002</v>
      </c>
      <c r="K47" s="3" t="n">
        <v>0</v>
      </c>
    </row>
    <row r="48" customFormat="false" ht="15" hidden="false" customHeight="true" outlineLevel="0" collapsed="false">
      <c r="A48" s="3" t="s">
        <v>201</v>
      </c>
      <c r="B48" s="3" t="n">
        <v>0.25</v>
      </c>
      <c r="C48" s="3" t="n">
        <v>1.1</v>
      </c>
      <c r="D48" s="3" t="n">
        <v>1</v>
      </c>
      <c r="E48" s="3" t="n">
        <v>4</v>
      </c>
      <c r="F48" s="3" t="n">
        <v>0</v>
      </c>
      <c r="G48" s="3" t="n">
        <v>0.996</v>
      </c>
      <c r="H48" s="3" t="n">
        <v>0.941</v>
      </c>
      <c r="I48" s="3" t="n">
        <v>0.998</v>
      </c>
      <c r="J48" s="3" t="n">
        <v>0</v>
      </c>
      <c r="K48" s="3" t="n">
        <v>0</v>
      </c>
    </row>
    <row r="49" customFormat="false" ht="15" hidden="false" customHeight="true" outlineLevel="0" collapsed="false">
      <c r="A49" s="3" t="s">
        <v>201</v>
      </c>
      <c r="B49" s="3" t="n">
        <v>0.25</v>
      </c>
      <c r="C49" s="3" t="n">
        <v>1.1</v>
      </c>
      <c r="D49" s="3" t="n">
        <v>2</v>
      </c>
      <c r="E49" s="3" t="n">
        <v>2</v>
      </c>
      <c r="F49" s="3" t="n">
        <v>0</v>
      </c>
      <c r="G49" s="3" t="n">
        <v>0.999</v>
      </c>
      <c r="H49" s="3" t="n">
        <v>0.968</v>
      </c>
      <c r="I49" s="3" t="n">
        <v>0.999</v>
      </c>
      <c r="J49" s="3" t="n">
        <v>0.0002</v>
      </c>
      <c r="K49" s="3" t="n">
        <v>0</v>
      </c>
    </row>
    <row r="50" customFormat="false" ht="15" hidden="false" customHeight="true" outlineLevel="0" collapsed="false">
      <c r="A50" s="3" t="s">
        <v>201</v>
      </c>
      <c r="B50" s="3" t="n">
        <v>0.5</v>
      </c>
      <c r="C50" s="3" t="n">
        <v>1.1</v>
      </c>
      <c r="D50" s="3" t="n">
        <v>0</v>
      </c>
      <c r="E50" s="3" t="n">
        <v>2</v>
      </c>
      <c r="F50" s="3" t="n">
        <v>0</v>
      </c>
      <c r="G50" s="3" t="n">
        <v>0.973</v>
      </c>
      <c r="H50" s="3" t="n">
        <v>0.966</v>
      </c>
      <c r="I50" s="3" t="n">
        <v>0.998</v>
      </c>
      <c r="J50" s="3" t="n">
        <v>0.0001</v>
      </c>
      <c r="K50" s="3" t="n">
        <v>0</v>
      </c>
    </row>
    <row r="51" customFormat="false" ht="15" hidden="false" customHeight="true" outlineLevel="0" collapsed="false">
      <c r="A51" s="3" t="s">
        <v>201</v>
      </c>
      <c r="B51" s="3" t="n">
        <v>0.5</v>
      </c>
      <c r="C51" s="3" t="n">
        <v>1.1</v>
      </c>
      <c r="D51" s="3" t="n">
        <v>1</v>
      </c>
      <c r="E51" s="3" t="n">
        <v>0</v>
      </c>
      <c r="F51" s="3" t="n">
        <v>0</v>
      </c>
      <c r="G51" s="3" t="n">
        <v>1</v>
      </c>
      <c r="H51" s="3" t="n">
        <v>0.95</v>
      </c>
      <c r="I51" s="3" t="n">
        <v>1</v>
      </c>
      <c r="J51" s="3" t="n">
        <v>0.0001</v>
      </c>
      <c r="K51" s="3" t="n">
        <v>0</v>
      </c>
    </row>
    <row r="52" customFormat="false" ht="15" hidden="false" customHeight="true" outlineLevel="0" collapsed="false">
      <c r="A52" s="3" t="s">
        <v>201</v>
      </c>
      <c r="B52" s="3" t="n">
        <v>0.5</v>
      </c>
      <c r="C52" s="3" t="n">
        <v>1.1</v>
      </c>
      <c r="D52" s="3" t="n">
        <v>2</v>
      </c>
      <c r="E52" s="3" t="n">
        <v>2</v>
      </c>
      <c r="F52" s="3" t="n">
        <v>0</v>
      </c>
      <c r="G52" s="3" t="n">
        <v>0.97</v>
      </c>
      <c r="H52" s="3" t="n">
        <v>0.947</v>
      </c>
      <c r="I52" s="3" t="n">
        <v>0.994</v>
      </c>
      <c r="J52" s="3" t="n">
        <v>0.0001</v>
      </c>
      <c r="K52" s="3" t="n">
        <v>0</v>
      </c>
    </row>
    <row r="53" customFormat="false" ht="15" hidden="false" customHeight="true" outlineLevel="0" collapsed="false">
      <c r="A53" s="3" t="s">
        <v>201</v>
      </c>
      <c r="B53" s="3" t="n">
        <v>0.75</v>
      </c>
      <c r="C53" s="3" t="n">
        <v>1.1</v>
      </c>
      <c r="D53" s="3" t="n">
        <v>0</v>
      </c>
      <c r="E53" s="3" t="n">
        <v>4</v>
      </c>
      <c r="F53" s="3" t="n">
        <v>0</v>
      </c>
      <c r="G53" s="3" t="n">
        <v>0.956</v>
      </c>
      <c r="H53" s="3" t="n">
        <v>0.878</v>
      </c>
      <c r="I53" s="3" t="n">
        <v>0.996</v>
      </c>
      <c r="J53" s="3" t="n">
        <v>0.0004</v>
      </c>
      <c r="K53" s="3" t="n">
        <v>0</v>
      </c>
    </row>
    <row r="54" customFormat="false" ht="15" hidden="false" customHeight="true" outlineLevel="0" collapsed="false">
      <c r="A54" s="3" t="s">
        <v>201</v>
      </c>
      <c r="B54" s="3" t="n">
        <v>0.75</v>
      </c>
      <c r="C54" s="3" t="n">
        <v>1.1</v>
      </c>
      <c r="D54" s="3" t="n">
        <v>1</v>
      </c>
      <c r="E54" s="3" t="n">
        <v>4</v>
      </c>
      <c r="F54" s="3" t="n">
        <v>0</v>
      </c>
      <c r="G54" s="3" t="n">
        <v>0.986</v>
      </c>
      <c r="H54" s="3" t="n">
        <v>0.899</v>
      </c>
      <c r="I54" s="3" t="n">
        <v>0.994</v>
      </c>
      <c r="J54" s="3" t="n">
        <v>0.0006</v>
      </c>
      <c r="K54" s="3" t="n">
        <v>0</v>
      </c>
    </row>
    <row r="55" customFormat="false" ht="15" hidden="false" customHeight="true" outlineLevel="0" collapsed="false">
      <c r="A55" s="3" t="s">
        <v>201</v>
      </c>
      <c r="B55" s="3" t="n">
        <v>0.75</v>
      </c>
      <c r="C55" s="3" t="n">
        <v>1.1</v>
      </c>
      <c r="D55" s="3" t="n">
        <v>2</v>
      </c>
      <c r="E55" s="3" t="n">
        <v>6</v>
      </c>
      <c r="F55" s="3" t="n">
        <v>0</v>
      </c>
      <c r="G55" s="3" t="n">
        <v>0.994</v>
      </c>
      <c r="H55" s="3" t="n">
        <v>0.929</v>
      </c>
      <c r="I55" s="3" t="n">
        <v>0.997</v>
      </c>
      <c r="J55" s="3" t="n">
        <v>0.0003</v>
      </c>
      <c r="K55" s="3" t="n">
        <v>0</v>
      </c>
    </row>
    <row r="56" customFormat="false" ht="15" hidden="false" customHeight="true" outlineLevel="0" collapsed="false">
      <c r="A56" s="3" t="s">
        <v>201</v>
      </c>
      <c r="B56" s="3" t="n">
        <v>1</v>
      </c>
      <c r="C56" s="3" t="n">
        <v>1.1</v>
      </c>
      <c r="D56" s="3" t="n">
        <v>0</v>
      </c>
      <c r="E56" s="3" t="n">
        <v>2</v>
      </c>
      <c r="F56" s="3" t="n">
        <v>0</v>
      </c>
      <c r="G56" s="3" t="n">
        <v>0.999</v>
      </c>
      <c r="H56" s="3" t="n">
        <v>0.974</v>
      </c>
      <c r="I56" s="3" t="n">
        <v>0.999</v>
      </c>
      <c r="J56" s="3" t="n">
        <v>0.0001</v>
      </c>
      <c r="K56" s="3" t="n">
        <v>0</v>
      </c>
    </row>
    <row r="57" customFormat="false" ht="15" hidden="false" customHeight="true" outlineLevel="0" collapsed="false">
      <c r="A57" s="3" t="s">
        <v>201</v>
      </c>
      <c r="B57" s="3" t="n">
        <v>1</v>
      </c>
      <c r="C57" s="3" t="n">
        <v>1.1</v>
      </c>
      <c r="D57" s="3" t="n">
        <v>1</v>
      </c>
      <c r="E57" s="3" t="n">
        <v>4</v>
      </c>
      <c r="F57" s="3" t="n">
        <v>0</v>
      </c>
      <c r="G57" s="3" t="n">
        <v>0.965</v>
      </c>
      <c r="H57" s="3" t="n">
        <v>0.949</v>
      </c>
      <c r="I57" s="3" t="n">
        <v>0.997</v>
      </c>
      <c r="J57" s="3" t="n">
        <v>0.0001</v>
      </c>
      <c r="K57" s="3" t="n">
        <v>0</v>
      </c>
    </row>
    <row r="58" customFormat="false" ht="15" hidden="false" customHeight="true" outlineLevel="0" collapsed="false">
      <c r="A58" s="3" t="s">
        <v>201</v>
      </c>
      <c r="B58" s="3" t="n">
        <v>1</v>
      </c>
      <c r="C58" s="3" t="n">
        <v>1.1</v>
      </c>
      <c r="D58" s="3" t="n">
        <v>2</v>
      </c>
      <c r="E58" s="3" t="n">
        <v>2</v>
      </c>
      <c r="F58" s="3" t="n">
        <v>0</v>
      </c>
      <c r="G58" s="3" t="n">
        <v>0.994</v>
      </c>
      <c r="H58" s="3" t="n">
        <v>0.923</v>
      </c>
      <c r="I58" s="3" t="n">
        <v>0.996</v>
      </c>
      <c r="J58" s="3" t="n">
        <v>0.0001</v>
      </c>
      <c r="K58" s="3" t="n">
        <v>0</v>
      </c>
    </row>
    <row r="59" customFormat="false" ht="15" hidden="false" customHeight="true" outlineLevel="0" collapsed="false">
      <c r="A59" s="3" t="s">
        <v>201</v>
      </c>
      <c r="B59" s="3" t="n">
        <v>1.25</v>
      </c>
      <c r="C59" s="3" t="n">
        <v>1.1</v>
      </c>
      <c r="D59" s="3" t="n">
        <v>0</v>
      </c>
      <c r="E59" s="3" t="n">
        <v>0</v>
      </c>
      <c r="F59" s="3" t="n">
        <v>0</v>
      </c>
      <c r="G59" s="3" t="n">
        <v>0.98</v>
      </c>
      <c r="H59" s="3" t="n">
        <v>0.952</v>
      </c>
      <c r="I59" s="3" t="n">
        <v>1</v>
      </c>
      <c r="J59" s="3" t="n">
        <v>0.0002</v>
      </c>
      <c r="K59" s="3" t="n">
        <v>0</v>
      </c>
    </row>
    <row r="60" customFormat="false" ht="15" hidden="false" customHeight="true" outlineLevel="0" collapsed="false">
      <c r="A60" s="3" t="s">
        <v>201</v>
      </c>
      <c r="B60" s="3" t="n">
        <v>1.25</v>
      </c>
      <c r="C60" s="3" t="n">
        <v>1.1</v>
      </c>
      <c r="D60" s="3" t="n">
        <v>1</v>
      </c>
      <c r="E60" s="3" t="n">
        <v>2</v>
      </c>
      <c r="F60" s="3" t="n">
        <v>0</v>
      </c>
      <c r="G60" s="3" t="n">
        <v>0.999</v>
      </c>
      <c r="H60" s="3" t="n">
        <v>0.961</v>
      </c>
      <c r="I60" s="3" t="n">
        <v>0.999</v>
      </c>
      <c r="J60" s="3" t="n">
        <v>0.0002</v>
      </c>
      <c r="K60" s="3" t="n">
        <v>0</v>
      </c>
    </row>
    <row r="61" customFormat="false" ht="15" hidden="false" customHeight="true" outlineLevel="0" collapsed="false">
      <c r="A61" s="3" t="s">
        <v>201</v>
      </c>
      <c r="B61" s="3" t="n">
        <v>1.25</v>
      </c>
      <c r="C61" s="3" t="n">
        <v>1.1</v>
      </c>
      <c r="D61" s="3" t="n">
        <v>2</v>
      </c>
      <c r="E61" s="3" t="n">
        <v>6</v>
      </c>
      <c r="F61" s="3" t="n">
        <v>0</v>
      </c>
      <c r="G61" s="3" t="n">
        <v>0.966</v>
      </c>
      <c r="H61" s="3" t="n">
        <v>0.911</v>
      </c>
      <c r="I61" s="3" t="n">
        <v>0.988</v>
      </c>
      <c r="J61" s="3" t="n">
        <v>0.0002</v>
      </c>
      <c r="K61" s="3" t="n">
        <v>0</v>
      </c>
    </row>
    <row r="62" customFormat="false" ht="15" hidden="false" customHeight="true" outlineLevel="0" collapsed="false">
      <c r="A62" s="3" t="s">
        <v>201</v>
      </c>
      <c r="B62" s="3" t="n">
        <v>0.25</v>
      </c>
      <c r="C62" s="3" t="n">
        <v>1.42</v>
      </c>
      <c r="D62" s="3" t="n">
        <v>0</v>
      </c>
      <c r="E62" s="3" t="n">
        <v>2</v>
      </c>
      <c r="F62" s="3" t="n">
        <v>0</v>
      </c>
      <c r="G62" s="3" t="n">
        <v>0.995</v>
      </c>
      <c r="H62" s="3" t="n">
        <v>0.988</v>
      </c>
      <c r="I62" s="3" t="n">
        <v>0.998</v>
      </c>
      <c r="J62" s="3" t="n">
        <v>0.0004</v>
      </c>
      <c r="K62" s="3" t="n">
        <v>0</v>
      </c>
    </row>
    <row r="63" customFormat="false" ht="15" hidden="false" customHeight="true" outlineLevel="0" collapsed="false">
      <c r="A63" s="3" t="s">
        <v>201</v>
      </c>
      <c r="B63" s="3" t="n">
        <v>0.25</v>
      </c>
      <c r="C63" s="3" t="n">
        <v>1.42</v>
      </c>
      <c r="D63" s="3" t="n">
        <v>1</v>
      </c>
      <c r="E63" s="3" t="n">
        <v>0</v>
      </c>
      <c r="F63" s="3" t="n">
        <v>0</v>
      </c>
      <c r="G63" s="3" t="n">
        <v>0.989</v>
      </c>
      <c r="H63" s="3" t="n">
        <v>0.962</v>
      </c>
      <c r="I63" s="3" t="n">
        <v>1</v>
      </c>
      <c r="J63" s="3" t="n">
        <v>0.0004</v>
      </c>
      <c r="K63" s="3" t="n">
        <v>0</v>
      </c>
    </row>
    <row r="64" customFormat="false" ht="15" hidden="false" customHeight="true" outlineLevel="0" collapsed="false">
      <c r="A64" s="3" t="s">
        <v>201</v>
      </c>
      <c r="B64" s="3" t="n">
        <v>0.25</v>
      </c>
      <c r="C64" s="3" t="n">
        <v>1.42</v>
      </c>
      <c r="D64" s="3" t="n">
        <v>2</v>
      </c>
      <c r="E64" s="3" t="n">
        <v>0</v>
      </c>
      <c r="F64" s="3" t="n">
        <v>0</v>
      </c>
      <c r="G64" s="3" t="n">
        <v>0.998</v>
      </c>
      <c r="H64" s="3" t="n">
        <v>0.978</v>
      </c>
      <c r="I64" s="3" t="n">
        <v>1</v>
      </c>
      <c r="J64" s="3" t="n">
        <v>0.0004</v>
      </c>
      <c r="K64" s="3" t="n">
        <v>0</v>
      </c>
    </row>
    <row r="65" customFormat="false" ht="15" hidden="false" customHeight="true" outlineLevel="0" collapsed="false">
      <c r="A65" s="3" t="s">
        <v>201</v>
      </c>
      <c r="B65" s="3" t="n">
        <v>0.5</v>
      </c>
      <c r="C65" s="3" t="n">
        <v>1.42</v>
      </c>
      <c r="D65" s="3" t="n">
        <v>0</v>
      </c>
      <c r="E65" s="3" t="n">
        <v>0</v>
      </c>
      <c r="F65" s="3" t="n">
        <v>0</v>
      </c>
      <c r="G65" s="3" t="n">
        <v>1</v>
      </c>
      <c r="H65" s="3" t="n">
        <v>0.977</v>
      </c>
      <c r="I65" s="3" t="n">
        <v>1</v>
      </c>
      <c r="J65" s="3" t="n">
        <v>0.0002</v>
      </c>
      <c r="K65" s="3" t="n">
        <v>0</v>
      </c>
    </row>
    <row r="66" customFormat="false" ht="15" hidden="false" customHeight="true" outlineLevel="0" collapsed="false">
      <c r="A66" s="3" t="s">
        <v>201</v>
      </c>
      <c r="B66" s="3" t="n">
        <v>0.5</v>
      </c>
      <c r="C66" s="3" t="n">
        <v>1.42</v>
      </c>
      <c r="D66" s="3" t="n">
        <v>1</v>
      </c>
      <c r="E66" s="3" t="n">
        <v>0</v>
      </c>
      <c r="F66" s="3" t="n">
        <v>0</v>
      </c>
      <c r="G66" s="3" t="n">
        <v>1</v>
      </c>
      <c r="H66" s="3" t="n">
        <v>0.968</v>
      </c>
      <c r="I66" s="3" t="n">
        <v>1</v>
      </c>
      <c r="J66" s="3" t="n">
        <v>0.0002</v>
      </c>
      <c r="K66" s="3" t="n">
        <v>0</v>
      </c>
    </row>
    <row r="67" customFormat="false" ht="15" hidden="false" customHeight="true" outlineLevel="0" collapsed="false">
      <c r="A67" s="3" t="s">
        <v>201</v>
      </c>
      <c r="B67" s="3" t="n">
        <v>0.5</v>
      </c>
      <c r="C67" s="3" t="n">
        <v>1.42</v>
      </c>
      <c r="D67" s="3" t="n">
        <v>2</v>
      </c>
      <c r="E67" s="3" t="n">
        <v>2</v>
      </c>
      <c r="F67" s="3" t="n">
        <v>0</v>
      </c>
      <c r="G67" s="3" t="n">
        <v>0.995</v>
      </c>
      <c r="H67" s="3" t="n">
        <v>0.978</v>
      </c>
      <c r="I67" s="3" t="n">
        <v>0.998</v>
      </c>
      <c r="J67" s="3" t="n">
        <v>0.0002</v>
      </c>
      <c r="K67" s="3" t="n">
        <v>0</v>
      </c>
    </row>
    <row r="68" customFormat="false" ht="15" hidden="false" customHeight="true" outlineLevel="0" collapsed="false">
      <c r="A68" s="3" t="s">
        <v>201</v>
      </c>
      <c r="B68" s="3" t="n">
        <v>0.75</v>
      </c>
      <c r="C68" s="3" t="n">
        <v>1.42</v>
      </c>
      <c r="D68" s="3" t="n">
        <v>0</v>
      </c>
      <c r="E68" s="3" t="n">
        <v>0</v>
      </c>
      <c r="F68" s="3" t="n">
        <v>0</v>
      </c>
      <c r="G68" s="3" t="n">
        <v>1</v>
      </c>
      <c r="H68" s="3" t="n">
        <v>0.973</v>
      </c>
      <c r="I68" s="3" t="n">
        <v>1</v>
      </c>
      <c r="J68" s="3" t="n">
        <v>0</v>
      </c>
      <c r="K68" s="3" t="n">
        <v>0</v>
      </c>
    </row>
    <row r="69" customFormat="false" ht="15" hidden="false" customHeight="true" outlineLevel="0" collapsed="false">
      <c r="A69" s="3" t="s">
        <v>201</v>
      </c>
      <c r="B69" s="3" t="n">
        <v>0.75</v>
      </c>
      <c r="C69" s="3" t="n">
        <v>1.42</v>
      </c>
      <c r="D69" s="3" t="n">
        <v>1</v>
      </c>
      <c r="E69" s="3" t="n">
        <v>0</v>
      </c>
      <c r="F69" s="3" t="n">
        <v>0</v>
      </c>
      <c r="G69" s="3" t="n">
        <v>1</v>
      </c>
      <c r="H69" s="3" t="n">
        <v>0.987</v>
      </c>
      <c r="I69" s="3" t="n">
        <v>1</v>
      </c>
      <c r="J69" s="3" t="n">
        <v>0</v>
      </c>
      <c r="K69" s="3" t="n">
        <v>0</v>
      </c>
    </row>
    <row r="70" customFormat="false" ht="15" hidden="false" customHeight="true" outlineLevel="0" collapsed="false">
      <c r="A70" s="3" t="s">
        <v>201</v>
      </c>
      <c r="B70" s="3" t="n">
        <v>0.75</v>
      </c>
      <c r="C70" s="3" t="n">
        <v>1.42</v>
      </c>
      <c r="D70" s="3" t="n">
        <v>2</v>
      </c>
      <c r="E70" s="3" t="n">
        <v>2</v>
      </c>
      <c r="F70" s="3" t="n">
        <v>0</v>
      </c>
      <c r="G70" s="3" t="n">
        <v>0.998</v>
      </c>
      <c r="H70" s="3" t="n">
        <v>0.979</v>
      </c>
      <c r="I70" s="3" t="n">
        <v>0.998</v>
      </c>
      <c r="J70" s="3" t="n">
        <v>0</v>
      </c>
      <c r="K70" s="3" t="n">
        <v>0</v>
      </c>
    </row>
    <row r="71" customFormat="false" ht="15" hidden="false" customHeight="true" outlineLevel="0" collapsed="false">
      <c r="A71" s="3" t="s">
        <v>201</v>
      </c>
      <c r="B71" s="3" t="n">
        <v>1</v>
      </c>
      <c r="C71" s="3" t="n">
        <v>1.42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0.991</v>
      </c>
      <c r="I71" s="3" t="n">
        <v>1</v>
      </c>
      <c r="J71" s="3" t="n">
        <v>0.0002</v>
      </c>
      <c r="K71" s="3" t="n">
        <v>0</v>
      </c>
    </row>
    <row r="72" customFormat="false" ht="15" hidden="false" customHeight="true" outlineLevel="0" collapsed="false">
      <c r="A72" s="3" t="s">
        <v>201</v>
      </c>
      <c r="B72" s="3" t="n">
        <v>1</v>
      </c>
      <c r="C72" s="3" t="n">
        <v>1.42</v>
      </c>
      <c r="D72" s="3" t="n">
        <v>1</v>
      </c>
      <c r="E72" s="3" t="n">
        <v>0</v>
      </c>
      <c r="F72" s="3" t="n">
        <v>0</v>
      </c>
      <c r="G72" s="3" t="n">
        <v>0.955</v>
      </c>
      <c r="H72" s="3" t="n">
        <v>0.953</v>
      </c>
      <c r="I72" s="3" t="n">
        <v>1</v>
      </c>
      <c r="J72" s="3" t="n">
        <v>0.0002</v>
      </c>
      <c r="K72" s="3" t="n">
        <v>0</v>
      </c>
    </row>
    <row r="73" customFormat="false" ht="15" hidden="false" customHeight="true" outlineLevel="0" collapsed="false">
      <c r="A73" s="3" t="s">
        <v>201</v>
      </c>
      <c r="B73" s="3" t="n">
        <v>1</v>
      </c>
      <c r="C73" s="3" t="n">
        <v>1.42</v>
      </c>
      <c r="D73" s="3" t="n">
        <v>2</v>
      </c>
      <c r="E73" s="3" t="n">
        <v>0</v>
      </c>
      <c r="F73" s="3" t="n">
        <v>0</v>
      </c>
      <c r="G73" s="3" t="n">
        <v>1</v>
      </c>
      <c r="H73" s="3" t="n">
        <v>0.996</v>
      </c>
      <c r="I73" s="3" t="n">
        <v>1</v>
      </c>
      <c r="J73" s="3" t="n">
        <v>0.0002</v>
      </c>
      <c r="K73" s="3" t="n">
        <v>0</v>
      </c>
    </row>
    <row r="74" customFormat="false" ht="15" hidden="false" customHeight="true" outlineLevel="0" collapsed="false">
      <c r="A74" s="3" t="s">
        <v>201</v>
      </c>
      <c r="B74" s="3" t="n">
        <v>1.25</v>
      </c>
      <c r="C74" s="3" t="n">
        <v>1.42</v>
      </c>
      <c r="D74" s="3" t="n">
        <v>0</v>
      </c>
      <c r="E74" s="3" t="n">
        <v>0</v>
      </c>
      <c r="F74" s="3" t="n">
        <v>0</v>
      </c>
      <c r="G74" s="3" t="n">
        <v>1</v>
      </c>
      <c r="H74" s="3" t="n">
        <v>0.974</v>
      </c>
      <c r="I74" s="3" t="n">
        <v>1</v>
      </c>
      <c r="J74" s="3" t="n">
        <v>0.0004</v>
      </c>
      <c r="K74" s="3" t="n">
        <v>0</v>
      </c>
    </row>
    <row r="75" customFormat="false" ht="15" hidden="false" customHeight="true" outlineLevel="0" collapsed="false">
      <c r="A75" s="3" t="s">
        <v>201</v>
      </c>
      <c r="B75" s="3" t="n">
        <v>1.25</v>
      </c>
      <c r="C75" s="3" t="n">
        <v>1.42</v>
      </c>
      <c r="D75" s="3" t="n">
        <v>1</v>
      </c>
      <c r="E75" s="3" t="n">
        <v>0</v>
      </c>
      <c r="F75" s="3" t="n">
        <v>0</v>
      </c>
      <c r="G75" s="3" t="n">
        <v>1</v>
      </c>
      <c r="H75" s="3" t="n">
        <v>0.942</v>
      </c>
      <c r="I75" s="3" t="n">
        <v>1</v>
      </c>
      <c r="J75" s="3" t="n">
        <v>0.0004</v>
      </c>
      <c r="K75" s="3" t="n">
        <v>0</v>
      </c>
    </row>
    <row r="76" customFormat="false" ht="15" hidden="false" customHeight="true" outlineLevel="0" collapsed="false">
      <c r="A76" s="3" t="s">
        <v>201</v>
      </c>
      <c r="B76" s="3" t="n">
        <v>1.25</v>
      </c>
      <c r="C76" s="3" t="n">
        <v>1.42</v>
      </c>
      <c r="D76" s="3" t="n">
        <v>2</v>
      </c>
      <c r="E76" s="3" t="n">
        <v>0</v>
      </c>
      <c r="F76" s="3" t="n">
        <v>0</v>
      </c>
      <c r="G76" s="3" t="n">
        <v>0.989</v>
      </c>
      <c r="H76" s="3" t="n">
        <v>0.964</v>
      </c>
      <c r="I76" s="3" t="n">
        <v>1</v>
      </c>
      <c r="J76" s="3" t="n">
        <v>0.0004</v>
      </c>
      <c r="K76" s="3" t="n">
        <v>0</v>
      </c>
    </row>
    <row r="77" customFormat="false" ht="15" hidden="false" customHeight="true" outlineLevel="0" collapsed="false">
      <c r="A77" s="3" t="s">
        <v>201</v>
      </c>
      <c r="B77" s="3" t="n">
        <v>0.25</v>
      </c>
      <c r="C77" s="3" t="n">
        <v>1.74</v>
      </c>
      <c r="D77" s="3" t="n">
        <v>0</v>
      </c>
      <c r="E77" s="3" t="n">
        <v>0</v>
      </c>
      <c r="F77" s="3" t="n">
        <v>0</v>
      </c>
      <c r="G77" s="3" t="n">
        <v>0.994</v>
      </c>
      <c r="H77" s="3" t="n">
        <v>1</v>
      </c>
      <c r="I77" s="3" t="n">
        <v>1</v>
      </c>
      <c r="J77" s="3" t="n">
        <v>0.0003</v>
      </c>
      <c r="K77" s="3" t="n">
        <v>0</v>
      </c>
    </row>
    <row r="78" customFormat="false" ht="15" hidden="false" customHeight="true" outlineLevel="0" collapsed="false">
      <c r="A78" s="3" t="s">
        <v>201</v>
      </c>
      <c r="B78" s="3" t="n">
        <v>0.25</v>
      </c>
      <c r="C78" s="3" t="n">
        <v>1.74</v>
      </c>
      <c r="D78" s="3" t="n">
        <v>1</v>
      </c>
      <c r="E78" s="3" t="n">
        <v>0</v>
      </c>
      <c r="F78" s="3" t="n">
        <v>0</v>
      </c>
      <c r="G78" s="3" t="n">
        <v>1</v>
      </c>
      <c r="H78" s="3" t="n">
        <v>0.994</v>
      </c>
      <c r="I78" s="3" t="n">
        <v>1</v>
      </c>
      <c r="J78" s="3" t="n">
        <v>0.0003</v>
      </c>
      <c r="K78" s="3" t="n">
        <v>0</v>
      </c>
    </row>
    <row r="79" customFormat="false" ht="15" hidden="false" customHeight="true" outlineLevel="0" collapsed="false">
      <c r="A79" s="3" t="s">
        <v>201</v>
      </c>
      <c r="B79" s="3" t="n">
        <v>0.25</v>
      </c>
      <c r="C79" s="3" t="n">
        <v>1.74</v>
      </c>
      <c r="D79" s="3" t="n">
        <v>2</v>
      </c>
      <c r="E79" s="3" t="n">
        <v>0</v>
      </c>
      <c r="F79" s="3" t="n">
        <v>0</v>
      </c>
      <c r="G79" s="3" t="n">
        <v>1</v>
      </c>
      <c r="H79" s="3" t="n">
        <v>0.999</v>
      </c>
      <c r="I79" s="3" t="n">
        <v>1</v>
      </c>
      <c r="J79" s="3" t="n">
        <v>0.0003</v>
      </c>
      <c r="K79" s="3" t="n">
        <v>0</v>
      </c>
    </row>
    <row r="80" customFormat="false" ht="15" hidden="false" customHeight="true" outlineLevel="0" collapsed="false">
      <c r="A80" s="3" t="s">
        <v>201</v>
      </c>
      <c r="B80" s="3" t="n">
        <v>0.5</v>
      </c>
      <c r="C80" s="3" t="n">
        <v>1.74</v>
      </c>
      <c r="D80" s="3" t="n">
        <v>0</v>
      </c>
      <c r="E80" s="3" t="n">
        <v>0</v>
      </c>
      <c r="F80" s="3" t="n">
        <v>0</v>
      </c>
      <c r="G80" s="3" t="n">
        <v>1</v>
      </c>
      <c r="H80" s="3" t="n">
        <v>0.976</v>
      </c>
      <c r="I80" s="3" t="n">
        <v>1</v>
      </c>
      <c r="J80" s="3" t="n">
        <v>0</v>
      </c>
      <c r="K80" s="3" t="n">
        <v>0</v>
      </c>
    </row>
    <row r="81" customFormat="false" ht="15" hidden="false" customHeight="true" outlineLevel="0" collapsed="false">
      <c r="A81" s="3" t="s">
        <v>201</v>
      </c>
      <c r="B81" s="3" t="n">
        <v>0.5</v>
      </c>
      <c r="C81" s="3" t="n">
        <v>1.74</v>
      </c>
      <c r="D81" s="3" t="n">
        <v>1</v>
      </c>
      <c r="E81" s="3" t="n">
        <v>0</v>
      </c>
      <c r="F81" s="3" t="n">
        <v>0</v>
      </c>
      <c r="G81" s="3" t="n">
        <v>1</v>
      </c>
      <c r="H81" s="3" t="n">
        <v>0.987</v>
      </c>
      <c r="I81" s="3" t="n">
        <v>1</v>
      </c>
      <c r="J81" s="3" t="n">
        <v>0</v>
      </c>
      <c r="K81" s="3" t="n">
        <v>0</v>
      </c>
    </row>
    <row r="82" customFormat="false" ht="15" hidden="false" customHeight="true" outlineLevel="0" collapsed="false">
      <c r="A82" s="3" t="s">
        <v>201</v>
      </c>
      <c r="B82" s="3" t="n">
        <v>0.5</v>
      </c>
      <c r="C82" s="3" t="n">
        <v>1.74</v>
      </c>
      <c r="D82" s="3" t="n">
        <v>2</v>
      </c>
      <c r="E82" s="3" t="n">
        <v>2</v>
      </c>
      <c r="F82" s="3" t="n">
        <v>0</v>
      </c>
      <c r="G82" s="3" t="n">
        <v>0.995</v>
      </c>
      <c r="H82" s="3" t="n">
        <v>0.979</v>
      </c>
      <c r="I82" s="3" t="n">
        <v>0.998</v>
      </c>
      <c r="J82" s="3" t="n">
        <v>0</v>
      </c>
      <c r="K82" s="3" t="n">
        <v>0</v>
      </c>
    </row>
    <row r="83" customFormat="false" ht="15" hidden="false" customHeight="true" outlineLevel="0" collapsed="false">
      <c r="A83" s="3" t="s">
        <v>201</v>
      </c>
      <c r="B83" s="3" t="n">
        <v>0.75</v>
      </c>
      <c r="C83" s="3" t="n">
        <v>1.74</v>
      </c>
      <c r="D83" s="3" t="n">
        <v>0</v>
      </c>
      <c r="E83" s="3" t="n">
        <v>0</v>
      </c>
      <c r="F83" s="3" t="n">
        <v>0</v>
      </c>
      <c r="G83" s="3" t="n">
        <v>1</v>
      </c>
      <c r="H83" s="3" t="n">
        <v>0.985</v>
      </c>
      <c r="I83" s="3" t="n">
        <v>1</v>
      </c>
      <c r="J83" s="3" t="n">
        <v>0.0001</v>
      </c>
      <c r="K83" s="3" t="n">
        <v>0</v>
      </c>
    </row>
    <row r="84" customFormat="false" ht="15" hidden="false" customHeight="true" outlineLevel="0" collapsed="false">
      <c r="A84" s="3" t="s">
        <v>201</v>
      </c>
      <c r="B84" s="3" t="n">
        <v>0.75</v>
      </c>
      <c r="C84" s="3" t="n">
        <v>1.74</v>
      </c>
      <c r="D84" s="3" t="n">
        <v>1</v>
      </c>
      <c r="E84" s="3" t="n">
        <v>0</v>
      </c>
      <c r="F84" s="3" t="n">
        <v>0</v>
      </c>
      <c r="G84" s="3" t="n">
        <v>0.994</v>
      </c>
      <c r="H84" s="3" t="n">
        <v>0.992</v>
      </c>
      <c r="I84" s="3" t="n">
        <v>1</v>
      </c>
      <c r="J84" s="3" t="n">
        <v>0.0001</v>
      </c>
      <c r="K84" s="3" t="n">
        <v>0</v>
      </c>
    </row>
    <row r="85" customFormat="false" ht="15" hidden="false" customHeight="true" outlineLevel="0" collapsed="false">
      <c r="A85" s="3" t="s">
        <v>201</v>
      </c>
      <c r="B85" s="3" t="n">
        <v>0.75</v>
      </c>
      <c r="C85" s="3" t="n">
        <v>1.74</v>
      </c>
      <c r="D85" s="3" t="n">
        <v>2</v>
      </c>
      <c r="E85" s="3" t="n">
        <v>2</v>
      </c>
      <c r="F85" s="3" t="n">
        <v>0</v>
      </c>
      <c r="G85" s="3" t="n">
        <v>0.998</v>
      </c>
      <c r="H85" s="3" t="n">
        <v>0.979</v>
      </c>
      <c r="I85" s="3" t="n">
        <v>0.998</v>
      </c>
      <c r="J85" s="3" t="n">
        <v>0.0001</v>
      </c>
      <c r="K85" s="3" t="n">
        <v>0</v>
      </c>
    </row>
    <row r="86" customFormat="false" ht="15" hidden="false" customHeight="true" outlineLevel="0" collapsed="false">
      <c r="A86" s="3" t="s">
        <v>201</v>
      </c>
      <c r="B86" s="3" t="n">
        <v>1</v>
      </c>
      <c r="C86" s="3" t="n">
        <v>1.74</v>
      </c>
      <c r="D86" s="3" t="n">
        <v>0</v>
      </c>
      <c r="E86" s="3" t="n">
        <v>0</v>
      </c>
      <c r="F86" s="3" t="n">
        <v>0</v>
      </c>
      <c r="G86" s="3" t="n">
        <v>0.994</v>
      </c>
      <c r="H86" s="3" t="n">
        <v>0.998</v>
      </c>
      <c r="I86" s="3" t="n">
        <v>1</v>
      </c>
      <c r="J86" s="3" t="n">
        <v>0</v>
      </c>
      <c r="K86" s="3" t="n">
        <v>0</v>
      </c>
    </row>
    <row r="87" customFormat="false" ht="15" hidden="false" customHeight="true" outlineLevel="0" collapsed="false">
      <c r="A87" s="3" t="s">
        <v>201</v>
      </c>
      <c r="B87" s="3" t="n">
        <v>1</v>
      </c>
      <c r="C87" s="3" t="n">
        <v>1.74</v>
      </c>
      <c r="D87" s="3" t="n">
        <v>1</v>
      </c>
      <c r="E87" s="3" t="n">
        <v>0</v>
      </c>
      <c r="F87" s="3" t="n">
        <v>0</v>
      </c>
      <c r="G87" s="3" t="n">
        <v>1</v>
      </c>
      <c r="H87" s="3" t="n">
        <v>0.992</v>
      </c>
      <c r="I87" s="3" t="n">
        <v>1</v>
      </c>
      <c r="J87" s="3" t="n">
        <v>0</v>
      </c>
      <c r="K87" s="3" t="n">
        <v>0</v>
      </c>
    </row>
    <row r="88" customFormat="false" ht="15" hidden="false" customHeight="true" outlineLevel="0" collapsed="false">
      <c r="A88" s="3" t="s">
        <v>201</v>
      </c>
      <c r="B88" s="3" t="n">
        <v>1</v>
      </c>
      <c r="C88" s="3" t="n">
        <v>1.74</v>
      </c>
      <c r="D88" s="3" t="n">
        <v>2</v>
      </c>
      <c r="E88" s="3" t="n">
        <v>0</v>
      </c>
      <c r="F88" s="3" t="n">
        <v>0</v>
      </c>
      <c r="G88" s="3" t="n">
        <v>1</v>
      </c>
      <c r="H88" s="3" t="n">
        <v>0.999</v>
      </c>
      <c r="I88" s="3" t="n">
        <v>1</v>
      </c>
      <c r="J88" s="3" t="n">
        <v>0</v>
      </c>
      <c r="K88" s="3" t="n">
        <v>0</v>
      </c>
    </row>
    <row r="89" customFormat="false" ht="15" hidden="false" customHeight="true" outlineLevel="0" collapsed="false">
      <c r="A89" s="3" t="s">
        <v>201</v>
      </c>
      <c r="B89" s="3" t="n">
        <v>1.25</v>
      </c>
      <c r="C89" s="3" t="n">
        <v>1.74</v>
      </c>
      <c r="D89" s="3" t="n">
        <v>0</v>
      </c>
      <c r="E89" s="3" t="n">
        <v>0</v>
      </c>
      <c r="F89" s="3" t="n">
        <v>0</v>
      </c>
      <c r="G89" s="3" t="n">
        <v>1</v>
      </c>
      <c r="H89" s="3" t="n">
        <v>0.983</v>
      </c>
      <c r="I89" s="3" t="n">
        <v>1</v>
      </c>
      <c r="J89" s="3" t="n">
        <v>0.0003</v>
      </c>
      <c r="K89" s="3" t="n">
        <v>0</v>
      </c>
    </row>
    <row r="90" customFormat="false" ht="15" hidden="false" customHeight="true" outlineLevel="0" collapsed="false">
      <c r="A90" s="3" t="s">
        <v>201</v>
      </c>
      <c r="B90" s="3" t="n">
        <v>1.25</v>
      </c>
      <c r="C90" s="3" t="n">
        <v>1.74</v>
      </c>
      <c r="D90" s="3" t="n">
        <v>1</v>
      </c>
      <c r="E90" s="3" t="n">
        <v>0</v>
      </c>
      <c r="F90" s="3" t="n">
        <v>0</v>
      </c>
      <c r="G90" s="3" t="n">
        <v>1</v>
      </c>
      <c r="H90" s="3" t="n">
        <v>0.981</v>
      </c>
      <c r="I90" s="3" t="n">
        <v>1</v>
      </c>
      <c r="J90" s="3" t="n">
        <v>0.0003</v>
      </c>
      <c r="K90" s="3" t="n">
        <v>0</v>
      </c>
    </row>
    <row r="91" customFormat="false" ht="15" hidden="false" customHeight="true" outlineLevel="0" collapsed="false">
      <c r="A91" s="3" t="s">
        <v>201</v>
      </c>
      <c r="B91" s="3" t="n">
        <v>1.25</v>
      </c>
      <c r="C91" s="3" t="n">
        <v>1.74</v>
      </c>
      <c r="D91" s="3" t="n">
        <v>2</v>
      </c>
      <c r="E91" s="3" t="n">
        <v>0</v>
      </c>
      <c r="F91" s="3" t="n">
        <v>0</v>
      </c>
      <c r="G91" s="3" t="n">
        <v>0.989</v>
      </c>
      <c r="H91" s="3" t="n">
        <v>0.972</v>
      </c>
      <c r="I91" s="3" t="n">
        <v>1</v>
      </c>
      <c r="J91" s="3" t="n">
        <v>0.0003</v>
      </c>
      <c r="K91" s="3" t="n">
        <v>0</v>
      </c>
    </row>
    <row r="93" customFormat="false" ht="15" hidden="false" customHeight="true" outlineLevel="0" collapsed="false">
      <c r="A93" s="7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1" width="16"/>
  </cols>
  <sheetData>
    <row r="1" customFormat="false" ht="15" hidden="false" customHeight="true" outlineLevel="0" collapsed="false">
      <c r="A1" s="5" t="s">
        <v>203</v>
      </c>
      <c r="B1" s="5" t="s">
        <v>204</v>
      </c>
      <c r="C1" s="5" t="s">
        <v>205</v>
      </c>
      <c r="D1" s="5" t="s">
        <v>206</v>
      </c>
      <c r="E1" s="5" t="s">
        <v>207</v>
      </c>
      <c r="F1" s="5" t="s">
        <v>133</v>
      </c>
      <c r="G1" s="5" t="s">
        <v>208</v>
      </c>
    </row>
    <row r="2" customFormat="false" ht="15" hidden="false" customHeight="true" outlineLevel="0" collapsed="false">
      <c r="A2" s="3" t="s">
        <v>209</v>
      </c>
      <c r="B2" s="3" t="n">
        <v>2</v>
      </c>
      <c r="C2" s="3" t="n">
        <v>0</v>
      </c>
      <c r="D2" s="3" t="n">
        <v>1</v>
      </c>
      <c r="E2" s="3" t="n">
        <v>1</v>
      </c>
      <c r="F2" s="3" t="n">
        <f aca="false">SUM(B2:E2)</f>
        <v>4</v>
      </c>
      <c r="G2" s="3"/>
    </row>
    <row r="3" customFormat="false" ht="15" hidden="false" customHeight="true" outlineLevel="0" collapsed="false">
      <c r="A3" s="3" t="s">
        <v>210</v>
      </c>
      <c r="B3" s="3" t="n">
        <v>2</v>
      </c>
      <c r="C3" s="3" t="n">
        <v>0</v>
      </c>
      <c r="D3" s="3" t="n">
        <v>0</v>
      </c>
      <c r="E3" s="3" t="n">
        <v>0</v>
      </c>
      <c r="F3" s="3" t="n">
        <f aca="false">SUM(B3:E3)</f>
        <v>2</v>
      </c>
      <c r="G3" s="3" t="s">
        <v>211</v>
      </c>
    </row>
    <row r="4" customFormat="false" ht="15" hidden="false" customHeight="true" outlineLevel="0" collapsed="false">
      <c r="A4" s="3" t="s">
        <v>212</v>
      </c>
      <c r="B4" s="3" t="n">
        <v>5</v>
      </c>
      <c r="C4" s="3" t="n">
        <v>0</v>
      </c>
      <c r="D4" s="3" t="n">
        <v>0</v>
      </c>
      <c r="E4" s="3" t="n">
        <v>1</v>
      </c>
      <c r="F4" s="3" t="n">
        <f aca="false">SUM(B4:E4)</f>
        <v>6</v>
      </c>
      <c r="G4" s="3" t="s">
        <v>213</v>
      </c>
    </row>
    <row r="5" customFormat="false" ht="15" hidden="false" customHeight="true" outlineLevel="0" collapsed="false">
      <c r="A5" s="3" t="s">
        <v>214</v>
      </c>
      <c r="B5" s="3" t="n">
        <v>0</v>
      </c>
      <c r="C5" s="3" t="n">
        <v>0</v>
      </c>
      <c r="D5" s="3" t="n">
        <v>0</v>
      </c>
      <c r="E5" s="3" t="n">
        <v>1</v>
      </c>
      <c r="F5" s="3" t="n">
        <f aca="false">SUM(B5:E5)</f>
        <v>1</v>
      </c>
      <c r="G5" s="3"/>
    </row>
    <row r="6" customFormat="false" ht="15" hidden="false" customHeight="true" outlineLevel="0" collapsed="false">
      <c r="A6" s="3" t="s">
        <v>215</v>
      </c>
      <c r="B6" s="3" t="n">
        <v>4</v>
      </c>
      <c r="C6" s="3" t="n">
        <v>6</v>
      </c>
      <c r="D6" s="3" t="n">
        <v>3</v>
      </c>
      <c r="E6" s="3" t="n">
        <v>2</v>
      </c>
      <c r="F6" s="3" t="n">
        <f aca="false">SUM(B6:E6)</f>
        <v>15</v>
      </c>
      <c r="G6" s="3" t="s">
        <v>216</v>
      </c>
    </row>
    <row r="7" customFormat="false" ht="15" hidden="false" customHeight="true" outlineLevel="0" collapsed="false">
      <c r="A7" s="3" t="s">
        <v>217</v>
      </c>
      <c r="B7" s="3" t="n">
        <v>0</v>
      </c>
      <c r="C7" s="3" t="n">
        <v>1</v>
      </c>
      <c r="D7" s="3" t="n">
        <v>0</v>
      </c>
      <c r="E7" s="3" t="n">
        <v>0</v>
      </c>
      <c r="F7" s="3" t="n">
        <f aca="false">SUM(B7:E7)</f>
        <v>1</v>
      </c>
      <c r="G7" s="3"/>
    </row>
    <row r="8" customFormat="false" ht="15" hidden="false" customHeight="true" outlineLevel="0" collapsed="false">
      <c r="A8" s="3" t="s">
        <v>218</v>
      </c>
      <c r="B8" s="3" t="n">
        <v>0</v>
      </c>
      <c r="C8" s="3" t="n">
        <v>2</v>
      </c>
      <c r="D8" s="3" t="n">
        <v>3</v>
      </c>
      <c r="E8" s="3" t="n">
        <v>2</v>
      </c>
      <c r="F8" s="3" t="n">
        <f aca="false">SUM(B8:E8)</f>
        <v>7</v>
      </c>
      <c r="G8" s="3"/>
    </row>
    <row r="9" customFormat="false" ht="15" hidden="false" customHeight="true" outlineLevel="0" collapsed="false">
      <c r="A9" s="3" t="s">
        <v>219</v>
      </c>
      <c r="B9" s="3" t="n">
        <v>1</v>
      </c>
      <c r="C9" s="3" t="n">
        <v>0</v>
      </c>
      <c r="D9" s="3" t="n">
        <v>1</v>
      </c>
      <c r="E9" s="3" t="n">
        <v>1</v>
      </c>
      <c r="F9" s="3" t="n">
        <f aca="false">SUM(B9:E9)</f>
        <v>3</v>
      </c>
      <c r="G9" s="3" t="s">
        <v>220</v>
      </c>
    </row>
    <row r="10" customFormat="false" ht="15" hidden="false" customHeight="true" outlineLevel="0" collapsed="false">
      <c r="A10" s="3" t="s">
        <v>221</v>
      </c>
      <c r="B10" s="3" t="n">
        <v>1</v>
      </c>
      <c r="C10" s="3" t="n">
        <v>0</v>
      </c>
      <c r="D10" s="3" t="n">
        <v>0</v>
      </c>
      <c r="E10" s="3" t="n">
        <v>1</v>
      </c>
      <c r="F10" s="3" t="n">
        <f aca="false">SUM(B10:E10)</f>
        <v>2</v>
      </c>
      <c r="G10" s="3" t="s">
        <v>222</v>
      </c>
    </row>
    <row r="11" customFormat="false" ht="15" hidden="false" customHeight="true" outlineLevel="0" collapsed="false">
      <c r="A11" s="10" t="s">
        <v>133</v>
      </c>
      <c r="B11" s="10" t="n">
        <f aca="false">SUM(B2:B10)</f>
        <v>15</v>
      </c>
      <c r="C11" s="10" t="n">
        <f aca="false">SUM(C2:C10)</f>
        <v>9</v>
      </c>
      <c r="D11" s="10" t="n">
        <f aca="false">SUM(D2:D10)</f>
        <v>8</v>
      </c>
      <c r="E11" s="10" t="n">
        <f aca="false">SUM(E2:E10)</f>
        <v>9</v>
      </c>
      <c r="F11" s="10" t="n">
        <f aca="false">SUM(F2:F10)</f>
        <v>41</v>
      </c>
    </row>
    <row r="12" customFormat="false" ht="15" hidden="false" customHeight="true" outlineLevel="0" collapsed="false">
      <c r="A12" s="7"/>
    </row>
    <row r="13" customFormat="false" ht="15" hidden="false" customHeight="true" outlineLevel="0" collapsed="false">
      <c r="A13" s="7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11</v>
      </c>
      <c r="B1" s="5" t="s">
        <v>224</v>
      </c>
      <c r="C1" s="5" t="s">
        <v>225</v>
      </c>
      <c r="D1" s="5" t="s">
        <v>226</v>
      </c>
    </row>
    <row r="2" customFormat="false" ht="15" hidden="false" customHeight="true" outlineLevel="0" collapsed="false">
      <c r="A2" s="3" t="s">
        <v>227</v>
      </c>
      <c r="B2" s="3" t="s">
        <v>228</v>
      </c>
      <c r="C2" s="3" t="s">
        <v>206</v>
      </c>
      <c r="D2" s="3" t="s">
        <v>229</v>
      </c>
    </row>
    <row r="3" customFormat="false" ht="15" hidden="false" customHeight="true" outlineLevel="0" collapsed="false">
      <c r="A3" s="3" t="s">
        <v>230</v>
      </c>
      <c r="B3" s="3" t="s">
        <v>231</v>
      </c>
      <c r="C3" s="3" t="s">
        <v>204</v>
      </c>
      <c r="D3" s="3" t="s">
        <v>232</v>
      </c>
    </row>
    <row r="4" customFormat="false" ht="15" hidden="false" customHeight="true" outlineLevel="0" collapsed="false">
      <c r="A4" s="3" t="s">
        <v>233</v>
      </c>
      <c r="B4" s="3" t="s">
        <v>234</v>
      </c>
      <c r="C4" s="3" t="s">
        <v>204</v>
      </c>
      <c r="D4" s="3" t="s">
        <v>235</v>
      </c>
    </row>
    <row r="5" customFormat="false" ht="15" hidden="false" customHeight="true" outlineLevel="0" collapsed="false">
      <c r="A5" s="3" t="s">
        <v>236</v>
      </c>
      <c r="B5" s="3" t="s">
        <v>237</v>
      </c>
      <c r="C5" s="3" t="s">
        <v>207</v>
      </c>
      <c r="D5" s="3" t="s">
        <v>238</v>
      </c>
    </row>
    <row r="6" customFormat="false" ht="15" hidden="false" customHeight="true" outlineLevel="0" collapsed="false">
      <c r="A6" s="3" t="s">
        <v>239</v>
      </c>
      <c r="B6" s="3" t="s">
        <v>240</v>
      </c>
      <c r="C6" s="3" t="s">
        <v>204</v>
      </c>
      <c r="D6" s="3" t="s">
        <v>241</v>
      </c>
    </row>
    <row r="7" customFormat="false" ht="15" hidden="false" customHeight="true" outlineLevel="0" collapsed="false">
      <c r="A7" s="3" t="s">
        <v>239</v>
      </c>
      <c r="B7" s="3" t="s">
        <v>242</v>
      </c>
      <c r="C7" s="3" t="s">
        <v>204</v>
      </c>
      <c r="D7" s="3" t="s">
        <v>243</v>
      </c>
    </row>
    <row r="8" customFormat="false" ht="15" hidden="false" customHeight="true" outlineLevel="0" collapsed="false">
      <c r="A8" s="3" t="s">
        <v>244</v>
      </c>
      <c r="B8" s="3" t="s">
        <v>245</v>
      </c>
      <c r="C8" s="3" t="s">
        <v>207</v>
      </c>
      <c r="D8" s="3" t="s">
        <v>246</v>
      </c>
    </row>
    <row r="9" customFormat="false" ht="15" hidden="false" customHeight="true" outlineLevel="0" collapsed="false">
      <c r="A9" s="3" t="s">
        <v>247</v>
      </c>
      <c r="B9" s="3" t="s">
        <v>248</v>
      </c>
      <c r="C9" s="3" t="s">
        <v>204</v>
      </c>
      <c r="D9" s="3" t="s">
        <v>249</v>
      </c>
    </row>
    <row r="10" customFormat="false" ht="15" hidden="false" customHeight="true" outlineLevel="0" collapsed="false">
      <c r="A10" s="3" t="s">
        <v>250</v>
      </c>
      <c r="B10" s="3" t="s">
        <v>251</v>
      </c>
      <c r="C10" s="3" t="s">
        <v>204</v>
      </c>
      <c r="D10" s="3" t="s">
        <v>252</v>
      </c>
    </row>
    <row r="11" customFormat="false" ht="15" hidden="false" customHeight="true" outlineLevel="0" collapsed="false">
      <c r="A11" s="3" t="s">
        <v>253</v>
      </c>
      <c r="B11" s="3" t="s">
        <v>254</v>
      </c>
      <c r="C11" s="3" t="s">
        <v>204</v>
      </c>
      <c r="D11" s="3" t="s">
        <v>255</v>
      </c>
    </row>
    <row r="12" customFormat="false" ht="15" hidden="false" customHeight="true" outlineLevel="0" collapsed="false">
      <c r="A12" s="3" t="s">
        <v>256</v>
      </c>
      <c r="B12" s="3" t="s">
        <v>257</v>
      </c>
      <c r="C12" s="3" t="s">
        <v>204</v>
      </c>
      <c r="D12" s="3" t="s">
        <v>258</v>
      </c>
    </row>
    <row r="13" customFormat="false" ht="15" hidden="false" customHeight="true" outlineLevel="0" collapsed="false">
      <c r="A13" s="3" t="s">
        <v>259</v>
      </c>
      <c r="B13" s="3" t="s">
        <v>260</v>
      </c>
      <c r="C13" s="3" t="s">
        <v>204</v>
      </c>
      <c r="D13" s="3" t="s">
        <v>261</v>
      </c>
    </row>
    <row r="14" customFormat="false" ht="15" hidden="false" customHeight="true" outlineLevel="0" collapsed="false">
      <c r="A14" s="3" t="s">
        <v>262</v>
      </c>
      <c r="B14" s="3" t="s">
        <v>263</v>
      </c>
      <c r="C14" s="3" t="s">
        <v>207</v>
      </c>
      <c r="D14" s="3" t="s">
        <v>264</v>
      </c>
    </row>
    <row r="15" customFormat="false" ht="15" hidden="false" customHeight="true" outlineLevel="0" collapsed="false">
      <c r="A15" s="3" t="s">
        <v>265</v>
      </c>
      <c r="B15" s="3" t="s">
        <v>266</v>
      </c>
      <c r="C15" s="3" t="s">
        <v>205</v>
      </c>
      <c r="D15" s="3" t="s">
        <v>267</v>
      </c>
    </row>
    <row r="16" customFormat="false" ht="15" hidden="false" customHeight="true" outlineLevel="0" collapsed="false">
      <c r="A16" s="3" t="s">
        <v>265</v>
      </c>
      <c r="B16" s="3" t="s">
        <v>268</v>
      </c>
      <c r="C16" s="3" t="s">
        <v>205</v>
      </c>
      <c r="D16" s="3" t="s">
        <v>269</v>
      </c>
    </row>
    <row r="17" customFormat="false" ht="15" hidden="false" customHeight="true" outlineLevel="0" collapsed="false">
      <c r="A17" s="3" t="s">
        <v>270</v>
      </c>
      <c r="B17" s="3" t="s">
        <v>271</v>
      </c>
      <c r="C17" s="3" t="s">
        <v>205</v>
      </c>
      <c r="D17" s="3" t="s">
        <v>272</v>
      </c>
    </row>
    <row r="18" customFormat="false" ht="15" hidden="false" customHeight="true" outlineLevel="0" collapsed="false">
      <c r="A18" s="3" t="s">
        <v>273</v>
      </c>
      <c r="B18" s="3" t="s">
        <v>274</v>
      </c>
      <c r="C18" s="3" t="s">
        <v>206</v>
      </c>
      <c r="D18" s="3" t="s">
        <v>275</v>
      </c>
    </row>
    <row r="19" customFormat="false" ht="15" hidden="false" customHeight="true" outlineLevel="0" collapsed="false">
      <c r="A19" s="3" t="s">
        <v>276</v>
      </c>
      <c r="B19" s="3" t="s">
        <v>277</v>
      </c>
      <c r="C19" s="3" t="s">
        <v>204</v>
      </c>
      <c r="D19" s="3" t="s">
        <v>278</v>
      </c>
    </row>
    <row r="20" customFormat="false" ht="15" hidden="false" customHeight="true" outlineLevel="0" collapsed="false">
      <c r="A20" s="3" t="s">
        <v>279</v>
      </c>
      <c r="B20" s="3" t="s">
        <v>280</v>
      </c>
      <c r="C20" s="3" t="s">
        <v>206</v>
      </c>
      <c r="D20" s="3" t="s">
        <v>281</v>
      </c>
    </row>
    <row r="21" customFormat="false" ht="15" hidden="false" customHeight="true" outlineLevel="0" collapsed="false">
      <c r="A21" s="3" t="s">
        <v>282</v>
      </c>
      <c r="B21" s="3" t="s">
        <v>283</v>
      </c>
      <c r="C21" s="3" t="s">
        <v>205</v>
      </c>
      <c r="D21" s="3" t="s">
        <v>284</v>
      </c>
    </row>
    <row r="22" customFormat="false" ht="15" hidden="false" customHeight="true" outlineLevel="0" collapsed="false">
      <c r="A22" s="3" t="s">
        <v>285</v>
      </c>
      <c r="B22" s="3" t="s">
        <v>286</v>
      </c>
      <c r="C22" s="3" t="s">
        <v>205</v>
      </c>
      <c r="D22" s="3" t="s">
        <v>287</v>
      </c>
    </row>
    <row r="23" customFormat="false" ht="15" hidden="false" customHeight="true" outlineLevel="0" collapsed="false">
      <c r="A23" s="3" t="s">
        <v>288</v>
      </c>
      <c r="B23" s="3" t="s">
        <v>289</v>
      </c>
      <c r="C23" s="3" t="s">
        <v>204</v>
      </c>
      <c r="D23" s="3" t="s">
        <v>290</v>
      </c>
    </row>
    <row r="24" customFormat="false" ht="15" hidden="false" customHeight="true" outlineLevel="0" collapsed="false">
      <c r="A24" s="3" t="s">
        <v>291</v>
      </c>
      <c r="B24" s="3" t="s">
        <v>292</v>
      </c>
      <c r="C24" s="3" t="s">
        <v>207</v>
      </c>
      <c r="D24" s="3" t="s">
        <v>293</v>
      </c>
    </row>
    <row r="25" customFormat="false" ht="15" hidden="false" customHeight="true" outlineLevel="0" collapsed="false">
      <c r="A25" s="3" t="s">
        <v>294</v>
      </c>
      <c r="B25" s="3" t="s">
        <v>295</v>
      </c>
      <c r="C25" s="3" t="s">
        <v>204</v>
      </c>
      <c r="D25" s="3" t="s">
        <v>296</v>
      </c>
    </row>
    <row r="26" customFormat="false" ht="15" hidden="false" customHeight="true" outlineLevel="0" collapsed="false">
      <c r="A26" s="3" t="s">
        <v>297</v>
      </c>
      <c r="B26" s="3" t="s">
        <v>298</v>
      </c>
      <c r="C26" s="3" t="s">
        <v>204</v>
      </c>
      <c r="D26" s="3" t="s">
        <v>299</v>
      </c>
    </row>
    <row r="27" customFormat="false" ht="15" hidden="false" customHeight="true" outlineLevel="0" collapsed="false">
      <c r="A27" s="3" t="s">
        <v>300</v>
      </c>
      <c r="B27" s="3" t="s">
        <v>301</v>
      </c>
      <c r="C27" s="3" t="s">
        <v>205</v>
      </c>
      <c r="D27" s="3" t="s">
        <v>302</v>
      </c>
    </row>
    <row r="28" customFormat="false" ht="15" hidden="false" customHeight="true" outlineLevel="0" collapsed="false">
      <c r="A28" s="3" t="s">
        <v>303</v>
      </c>
      <c r="B28" s="3" t="s">
        <v>304</v>
      </c>
      <c r="C28" s="3" t="s">
        <v>206</v>
      </c>
      <c r="D28" s="3" t="s">
        <v>305</v>
      </c>
    </row>
    <row r="29" customFormat="false" ht="15" hidden="false" customHeight="true" outlineLevel="0" collapsed="false">
      <c r="A29" s="3" t="s">
        <v>306</v>
      </c>
      <c r="B29" s="3" t="s">
        <v>307</v>
      </c>
      <c r="C29" s="3" t="s">
        <v>207</v>
      </c>
      <c r="D29" s="3" t="s">
        <v>308</v>
      </c>
    </row>
    <row r="30" customFormat="false" ht="15" hidden="false" customHeight="true" outlineLevel="0" collapsed="false">
      <c r="A30" s="3" t="s">
        <v>309</v>
      </c>
      <c r="B30" s="3" t="s">
        <v>310</v>
      </c>
      <c r="C30" s="3" t="s">
        <v>205</v>
      </c>
      <c r="D30" s="3" t="s">
        <v>311</v>
      </c>
    </row>
    <row r="31" customFormat="false" ht="15" hidden="false" customHeight="true" outlineLevel="0" collapsed="false">
      <c r="A31" s="3" t="s">
        <v>312</v>
      </c>
      <c r="B31" s="3" t="s">
        <v>313</v>
      </c>
      <c r="C31" s="3" t="s">
        <v>206</v>
      </c>
      <c r="D31" s="3" t="s">
        <v>314</v>
      </c>
    </row>
    <row r="32" customFormat="false" ht="15" hidden="false" customHeight="true" outlineLevel="0" collapsed="false">
      <c r="A32" s="3" t="s">
        <v>315</v>
      </c>
      <c r="B32" s="3" t="s">
        <v>316</v>
      </c>
      <c r="C32" s="3" t="s">
        <v>205</v>
      </c>
      <c r="D32" s="3" t="s">
        <v>317</v>
      </c>
    </row>
    <row r="33" customFormat="false" ht="15" hidden="false" customHeight="true" outlineLevel="0" collapsed="false">
      <c r="A33" s="3" t="s">
        <v>318</v>
      </c>
      <c r="B33" s="3" t="s">
        <v>319</v>
      </c>
      <c r="C33" s="3" t="s">
        <v>206</v>
      </c>
      <c r="D33" s="3" t="s">
        <v>320</v>
      </c>
    </row>
    <row r="34" customFormat="false" ht="15" hidden="false" customHeight="true" outlineLevel="0" collapsed="false">
      <c r="A34" s="3" t="s">
        <v>321</v>
      </c>
      <c r="B34" s="3" t="s">
        <v>322</v>
      </c>
      <c r="C34" s="3" t="s">
        <v>207</v>
      </c>
      <c r="D34" s="3" t="s">
        <v>323</v>
      </c>
    </row>
    <row r="35" customFormat="false" ht="15" hidden="false" customHeight="true" outlineLevel="0" collapsed="false">
      <c r="A35" s="3" t="s">
        <v>324</v>
      </c>
      <c r="B35" s="3" t="s">
        <v>325</v>
      </c>
      <c r="C35" s="3" t="s">
        <v>205</v>
      </c>
      <c r="D35" s="3" t="s">
        <v>326</v>
      </c>
    </row>
    <row r="36" customFormat="false" ht="15" hidden="false" customHeight="true" outlineLevel="0" collapsed="false">
      <c r="A36" s="3" t="s">
        <v>324</v>
      </c>
      <c r="B36" s="3" t="s">
        <v>327</v>
      </c>
      <c r="C36" s="3" t="s">
        <v>206</v>
      </c>
      <c r="D36" s="3" t="s">
        <v>328</v>
      </c>
    </row>
    <row r="37" customFormat="false" ht="15" hidden="false" customHeight="true" outlineLevel="0" collapsed="false">
      <c r="A37" s="3" t="s">
        <v>329</v>
      </c>
      <c r="B37" s="3" t="s">
        <v>330</v>
      </c>
      <c r="C37" s="3" t="s">
        <v>207</v>
      </c>
      <c r="D37" s="3" t="s">
        <v>331</v>
      </c>
    </row>
    <row r="38" customFormat="false" ht="15" hidden="false" customHeight="true" outlineLevel="0" collapsed="false">
      <c r="A38" s="3" t="s">
        <v>332</v>
      </c>
      <c r="B38" s="3" t="s">
        <v>333</v>
      </c>
      <c r="C38" s="3" t="s">
        <v>204</v>
      </c>
      <c r="D38" s="3" t="s">
        <v>334</v>
      </c>
    </row>
    <row r="39" customFormat="false" ht="15" hidden="false" customHeight="true" outlineLevel="0" collapsed="false">
      <c r="A39" s="3" t="s">
        <v>335</v>
      </c>
      <c r="B39" s="3" t="s">
        <v>336</v>
      </c>
      <c r="C39" s="3" t="s">
        <v>206</v>
      </c>
      <c r="D39" s="3" t="s">
        <v>337</v>
      </c>
    </row>
    <row r="40" customFormat="false" ht="15" hidden="false" customHeight="true" outlineLevel="0" collapsed="false">
      <c r="A40" s="3" t="s">
        <v>338</v>
      </c>
      <c r="B40" s="3" t="n">
        <v>3191700</v>
      </c>
      <c r="C40" s="3" t="s">
        <v>207</v>
      </c>
      <c r="D40" s="3" t="s">
        <v>339</v>
      </c>
    </row>
    <row r="41" customFormat="false" ht="15" hidden="false" customHeight="true" outlineLevel="0" collapsed="false">
      <c r="A41" s="3" t="s">
        <v>340</v>
      </c>
      <c r="B41" s="3" t="s">
        <v>341</v>
      </c>
      <c r="C41" s="3" t="s">
        <v>204</v>
      </c>
      <c r="D41" s="3" t="s">
        <v>342</v>
      </c>
    </row>
    <row r="42" customFormat="false" ht="15" hidden="false" customHeight="true" outlineLevel="0" collapsed="false">
      <c r="A42" s="3" t="s">
        <v>343</v>
      </c>
      <c r="B42" s="3" t="s">
        <v>344</v>
      </c>
      <c r="C42" s="3" t="s">
        <v>207</v>
      </c>
      <c r="D42" s="3" t="s">
        <v>345</v>
      </c>
    </row>
    <row r="44" customFormat="false" ht="15" hidden="false" customHeight="true" outlineLevel="0" collapsed="false">
      <c r="A44" s="7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7" min="6" style="0" width="9"/>
    <col collapsed="false" customWidth="true" hidden="false" outlineLevel="0" max="9" min="8" style="0" width="20"/>
  </cols>
  <sheetData>
    <row r="1" customFormat="false" ht="15" hidden="false" customHeight="false" outlineLevel="0" collapsed="false">
      <c r="A1" s="8" t="s">
        <v>347</v>
      </c>
      <c r="B1" s="8" t="s">
        <v>348</v>
      </c>
      <c r="C1" s="8" t="s">
        <v>349</v>
      </c>
      <c r="D1" s="8" t="s">
        <v>122</v>
      </c>
      <c r="E1" s="8" t="s">
        <v>123</v>
      </c>
      <c r="F1" s="8" t="s">
        <v>124</v>
      </c>
      <c r="G1" s="8" t="s">
        <v>125</v>
      </c>
      <c r="H1" s="8" t="s">
        <v>350</v>
      </c>
      <c r="I1" s="8" t="s">
        <v>351</v>
      </c>
    </row>
    <row r="2" customFormat="false" ht="15" hidden="false" customHeight="false" outlineLevel="0" collapsed="false">
      <c r="A2" s="9" t="n">
        <v>0.075</v>
      </c>
      <c r="B2" s="9" t="n">
        <v>0.15</v>
      </c>
      <c r="C2" s="4" t="s">
        <v>352</v>
      </c>
      <c r="D2" s="4" t="n">
        <f aca="false">COUNTIFS(raw_reacquire!$B$2:$B$71,"&gt;="&amp;A2,raw_reacquire!$B$2:$B$71,"&lt;"&amp;B2)</f>
        <v>15</v>
      </c>
      <c r="E2" s="4" t="n">
        <f aca="false">COUNTIFS(raw_reacquire!$B$72:$B$108,"&gt;="&amp;A2,raw_reacquire!$B$72:$B$108,"&lt;"&amp;B2)</f>
        <v>13</v>
      </c>
      <c r="F2" s="11" t="n">
        <f aca="false">ROUND(100*D2/$B$13,1)</f>
        <v>21.4</v>
      </c>
      <c r="G2" s="11" t="n">
        <f aca="false">ROUND(100*E2/$C$13,1)</f>
        <v>35.1</v>
      </c>
      <c r="H2" s="11" t="n">
        <f aca="false">ROUND(100*(NORMDIST(LN(B2),$B$18,$B$19,TRUE())-NORMDIST(LN(A2),$B$18,$B$19,TRUE())),1)</f>
        <v>11.3</v>
      </c>
      <c r="I2" s="11" t="n">
        <f aca="false">ROUND(100*(NORMDIST(LN(B2),$C$18,$C$19,TRUE())-NORMDIST(LN(A2),$C$18,$C$19,TRUE())),1)</f>
        <v>16.7</v>
      </c>
    </row>
    <row r="3" customFormat="false" ht="15" hidden="false" customHeight="false" outlineLevel="0" collapsed="false">
      <c r="A3" s="9" t="n">
        <v>0.15</v>
      </c>
      <c r="B3" s="9" t="n">
        <v>0.3</v>
      </c>
      <c r="C3" s="4" t="s">
        <v>353</v>
      </c>
      <c r="D3" s="4" t="n">
        <f aca="false">COUNTIFS(raw_reacquire!$B$2:$B$71,"&gt;="&amp;A3,raw_reacquire!$B$2:$B$71,"&lt;"&amp;B3)</f>
        <v>10</v>
      </c>
      <c r="E3" s="4" t="n">
        <f aca="false">COUNTIFS(raw_reacquire!$B$72:$B$108,"&gt;="&amp;A3,raw_reacquire!$B$72:$B$108,"&lt;"&amp;B3)</f>
        <v>6</v>
      </c>
      <c r="F3" s="11" t="n">
        <f aca="false">ROUND(100*D3/$B$13,1)</f>
        <v>14.3</v>
      </c>
      <c r="G3" s="11" t="n">
        <f aca="false">ROUND(100*E3/$C$13,1)</f>
        <v>16.2</v>
      </c>
      <c r="H3" s="11" t="n">
        <f aca="false">ROUND(100*(NORMDIST(LN(B3),$B$18,$B$19,TRUE())-NORMDIST(LN(A3),$B$18,$B$19,TRUE())),1)</f>
        <v>20.4</v>
      </c>
      <c r="I3" s="11" t="n">
        <f aca="false">ROUND(100*(NORMDIST(LN(B3),$C$18,$C$19,TRUE())-NORMDIST(LN(A3),$C$18,$C$19,TRUE())),1)</f>
        <v>26.1</v>
      </c>
    </row>
    <row r="4" customFormat="false" ht="15" hidden="false" customHeight="false" outlineLevel="0" collapsed="false">
      <c r="A4" s="9" t="n">
        <v>0.3</v>
      </c>
      <c r="B4" s="9" t="n">
        <v>0.6</v>
      </c>
      <c r="C4" s="4" t="s">
        <v>354</v>
      </c>
      <c r="D4" s="4" t="n">
        <f aca="false">COUNTIFS(raw_reacquire!$B$2:$B$71,"&gt;="&amp;A4,raw_reacquire!$B$2:$B$71,"&lt;"&amp;B4)</f>
        <v>15</v>
      </c>
      <c r="E4" s="4" t="n">
        <f aca="false">COUNTIFS(raw_reacquire!$B$72:$B$108,"&gt;="&amp;A4,raw_reacquire!$B$72:$B$108,"&lt;"&amp;B4)</f>
        <v>7</v>
      </c>
      <c r="F4" s="11" t="n">
        <f aca="false">ROUND(100*D4/$B$13,1)</f>
        <v>21.4</v>
      </c>
      <c r="G4" s="11" t="n">
        <f aca="false">ROUND(100*E4/$C$13,1)</f>
        <v>18.9</v>
      </c>
      <c r="H4" s="11" t="n">
        <f aca="false">ROUND(100*(NORMDIST(LN(B4),$B$18,$B$19,TRUE())-NORMDIST(LN(A4),$B$18,$B$19,TRUE())),1)</f>
        <v>24.9</v>
      </c>
      <c r="I4" s="11" t="n">
        <f aca="false">ROUND(100*(NORMDIST(LN(B4),$C$18,$C$19,TRUE())-NORMDIST(LN(A4),$C$18,$C$19,TRUE())),1)</f>
        <v>25.5</v>
      </c>
    </row>
    <row r="5" customFormat="false" ht="15" hidden="false" customHeight="false" outlineLevel="0" collapsed="false">
      <c r="A5" s="9" t="n">
        <v>0.6</v>
      </c>
      <c r="B5" s="9" t="n">
        <v>1.2</v>
      </c>
      <c r="C5" s="4" t="s">
        <v>355</v>
      </c>
      <c r="D5" s="4" t="n">
        <f aca="false">COUNTIFS(raw_reacquire!$B$2:$B$71,"&gt;="&amp;A5,raw_reacquire!$B$2:$B$71,"&lt;"&amp;B5)</f>
        <v>19</v>
      </c>
      <c r="E5" s="4" t="n">
        <f aca="false">COUNTIFS(raw_reacquire!$B$72:$B$108,"&gt;="&amp;A5,raw_reacquire!$B$72:$B$108,"&lt;"&amp;B5)</f>
        <v>9</v>
      </c>
      <c r="F5" s="11" t="n">
        <f aca="false">ROUND(100*D5/$B$13,1)</f>
        <v>27.1</v>
      </c>
      <c r="G5" s="11" t="n">
        <f aca="false">ROUND(100*E5/$C$13,1)</f>
        <v>24.3</v>
      </c>
      <c r="H5" s="11" t="n">
        <f aca="false">ROUND(100*(NORMDIST(LN(B5),$B$18,$B$19,TRUE())-NORMDIST(LN(A5),$B$18,$B$19,TRUE())),1)</f>
        <v>20.7</v>
      </c>
      <c r="I5" s="11" t="n">
        <f aca="false">ROUND(100*(NORMDIST(LN(B5),$C$18,$C$19,TRUE())-NORMDIST(LN(A5),$C$18,$C$19,TRUE())),1)</f>
        <v>15.5</v>
      </c>
    </row>
    <row r="6" customFormat="false" ht="15" hidden="false" customHeight="false" outlineLevel="0" collapsed="false">
      <c r="A6" s="9" t="n">
        <v>1.2</v>
      </c>
      <c r="B6" s="9" t="n">
        <v>2.4</v>
      </c>
      <c r="C6" s="4" t="s">
        <v>356</v>
      </c>
      <c r="D6" s="4" t="n">
        <f aca="false">COUNTIFS(raw_reacquire!$B$2:$B$71,"&gt;="&amp;A6,raw_reacquire!$B$2:$B$71,"&lt;"&amp;B6)</f>
        <v>7</v>
      </c>
      <c r="E6" s="4" t="n">
        <f aca="false">COUNTIFS(raw_reacquire!$B$72:$B$108,"&gt;="&amp;A6,raw_reacquire!$B$72:$B$108,"&lt;"&amp;B6)</f>
        <v>1</v>
      </c>
      <c r="F6" s="11" t="n">
        <f aca="false">ROUND(100*D6/$B$13,1)</f>
        <v>10</v>
      </c>
      <c r="G6" s="11" t="n">
        <f aca="false">ROUND(100*E6/$C$13,1)</f>
        <v>2.7</v>
      </c>
      <c r="H6" s="11" t="n">
        <f aca="false">ROUND(100*(NORMDIST(LN(B6),$B$18,$B$19,TRUE())-NORMDIST(LN(A6),$B$18,$B$19,TRUE())),1)</f>
        <v>11.6</v>
      </c>
      <c r="I6" s="11" t="n">
        <f aca="false">ROUND(100*(NORMDIST(LN(B6),$C$18,$C$19,TRUE())-NORMDIST(LN(A6),$C$18,$C$19,TRUE())),1)</f>
        <v>5.9</v>
      </c>
    </row>
    <row r="7" customFormat="false" ht="15" hidden="false" customHeight="false" outlineLevel="0" collapsed="false">
      <c r="A7" s="9" t="n">
        <v>2.4</v>
      </c>
      <c r="B7" s="9" t="n">
        <v>4.8</v>
      </c>
      <c r="C7" s="4" t="s">
        <v>357</v>
      </c>
      <c r="D7" s="4" t="n">
        <f aca="false">COUNTIFS(raw_reacquire!$B$2:$B$71,"&gt;="&amp;A7,raw_reacquire!$B$2:$B$71,"&lt;"&amp;B7)</f>
        <v>3</v>
      </c>
      <c r="E7" s="4" t="n">
        <f aca="false">COUNTIFS(raw_reacquire!$B$72:$B$108,"&gt;="&amp;A7,raw_reacquire!$B$72:$B$108,"&lt;"&amp;B7)</f>
        <v>1</v>
      </c>
      <c r="F7" s="11" t="n">
        <f aca="false">ROUND(100*D7/$B$13,1)</f>
        <v>4.3</v>
      </c>
      <c r="G7" s="11" t="n">
        <f aca="false">ROUND(100*E7/$C$13,1)</f>
        <v>2.7</v>
      </c>
      <c r="H7" s="11" t="n">
        <f aca="false">ROUND(100*(NORMDIST(LN(B7),$B$18,$B$19,TRUE())-NORMDIST(LN(A7),$B$18,$B$19,TRUE())),1)</f>
        <v>4.4</v>
      </c>
      <c r="I7" s="11" t="n">
        <f aca="false">ROUND(100*(NORMDIST(LN(B7),$C$18,$C$19,TRUE())-NORMDIST(LN(A7),$C$18,$C$19,TRUE())),1)</f>
        <v>1.4</v>
      </c>
    </row>
    <row r="8" customFormat="false" ht="15" hidden="false" customHeight="false" outlineLevel="0" collapsed="false">
      <c r="A8" s="9" t="n">
        <v>4.8</v>
      </c>
      <c r="B8" s="9" t="n">
        <v>9.6</v>
      </c>
      <c r="C8" s="4" t="s">
        <v>358</v>
      </c>
      <c r="D8" s="4" t="n">
        <f aca="false">COUNTIFS(raw_reacquire!$B$2:$B$71,"&gt;="&amp;A8,raw_reacquire!$B$2:$B$71,"&lt;"&amp;B8)</f>
        <v>1</v>
      </c>
      <c r="E8" s="4" t="n">
        <f aca="false">COUNTIFS(raw_reacquire!$B$72:$B$108,"&gt;="&amp;A8,raw_reacquire!$B$72:$B$108,"&lt;"&amp;B8)</f>
        <v>0</v>
      </c>
      <c r="F8" s="11" t="n">
        <f aca="false">ROUND(100*D8/$B$13,1)</f>
        <v>1.4</v>
      </c>
      <c r="G8" s="11" t="n">
        <f aca="false">ROUND(100*E8/$C$13,1)</f>
        <v>0</v>
      </c>
      <c r="H8" s="11" t="n">
        <f aca="false">ROUND(100*(NORMDIST(LN(B8),$B$18,$B$19,TRUE())-NORMDIST(LN(A8),$B$18,$B$19,TRUE())),1)</f>
        <v>1.1</v>
      </c>
      <c r="I8" s="11" t="n">
        <f aca="false">ROUND(100*(NORMDIST(LN(B8),$C$18,$C$19,TRUE())-NORMDIST(LN(A8),$C$18,$C$19,TRUE())),1)</f>
        <v>0.2</v>
      </c>
    </row>
    <row r="9" customFormat="false" ht="15" hidden="false" customHeight="false" outlineLevel="0" collapsed="false">
      <c r="C9" s="12" t="s">
        <v>133</v>
      </c>
      <c r="D9" s="12" t="n">
        <f aca="false">SUM(D2:D8)</f>
        <v>70</v>
      </c>
      <c r="E9" s="12" t="n">
        <f aca="false">SUM(E2:E8)</f>
        <v>37</v>
      </c>
    </row>
    <row r="10" customFormat="false" ht="15" hidden="false" customHeight="false" outlineLevel="0" collapsed="false">
      <c r="A10" s="13" t="s">
        <v>359</v>
      </c>
    </row>
    <row r="12" customFormat="false" ht="15" hidden="false" customHeight="false" outlineLevel="0" collapsed="false">
      <c r="A12" s="8" t="s">
        <v>360</v>
      </c>
      <c r="B12" s="8" t="s">
        <v>118</v>
      </c>
      <c r="C12" s="8" t="s">
        <v>119</v>
      </c>
      <c r="D12" s="8" t="s">
        <v>361</v>
      </c>
    </row>
    <row r="13" customFormat="false" ht="15" hidden="false" customHeight="false" outlineLevel="0" collapsed="false">
      <c r="A13" s="4" t="s">
        <v>362</v>
      </c>
      <c r="B13" s="14" t="n">
        <f aca="false">COUNT(raw_reacquire!$B$2:$B$71)</f>
        <v>70</v>
      </c>
      <c r="C13" s="14" t="n">
        <f aca="false">COUNT(raw_reacquire!$B$72:$B$108)</f>
        <v>37</v>
      </c>
    </row>
    <row r="14" customFormat="false" ht="15" hidden="false" customHeight="false" outlineLevel="0" collapsed="false">
      <c r="A14" s="4" t="s">
        <v>363</v>
      </c>
      <c r="B14" s="15" t="n">
        <f aca="false">MEDIAN(raw_reacquire!$B$2:$B$71)</f>
        <v>0.51</v>
      </c>
      <c r="C14" s="15" t="n">
        <f aca="false">MEDIAN(raw_reacquire!$B$72:$B$108)</f>
        <v>0.21</v>
      </c>
    </row>
    <row r="15" customFormat="false" ht="15" hidden="false" customHeight="false" outlineLevel="0" collapsed="false">
      <c r="A15" s="4" t="s">
        <v>364</v>
      </c>
      <c r="B15" s="15" t="n">
        <v>0.3</v>
      </c>
      <c r="C15" s="15" t="n">
        <v>0.1</v>
      </c>
      <c r="D15" s="13" t="s">
        <v>365</v>
      </c>
    </row>
    <row r="16" customFormat="false" ht="15" hidden="false" customHeight="false" outlineLevel="0" collapsed="false">
      <c r="A16" s="4" t="s">
        <v>366</v>
      </c>
      <c r="B16" s="15" t="n">
        <v>0.61</v>
      </c>
      <c r="C16" s="15" t="n">
        <v>0.41</v>
      </c>
      <c r="D16" s="13" t="s">
        <v>365</v>
      </c>
    </row>
    <row r="17" customFormat="false" ht="15" hidden="false" customHeight="false" outlineLevel="0" collapsed="false">
      <c r="A17" s="4" t="s">
        <v>367</v>
      </c>
      <c r="B17" s="15" t="n">
        <f aca="false">AVERAGE(raw_reacquire!$B$2:$B$71)</f>
        <v>0.788571428571429</v>
      </c>
      <c r="C17" s="15" t="n">
        <f aca="false">AVERAGE(raw_reacquire!$B$72:$B$108)</f>
        <v>0.46972972972973</v>
      </c>
    </row>
    <row r="18" customFormat="false" ht="15" hidden="false" customHeight="false" outlineLevel="0" collapsed="false">
      <c r="A18" s="4" t="s">
        <v>368</v>
      </c>
      <c r="B18" s="9" t="n">
        <f aca="false">AVERAGE(raw_reacquire!$C$2:$C$71)</f>
        <v>-0.845436511048218</v>
      </c>
      <c r="C18" s="9" t="n">
        <f aca="false">AVERAGE(raw_reacquire!$C$72:$C$108)</f>
        <v>-1.24029452937372</v>
      </c>
      <c r="D18" s="13" t="s">
        <v>369</v>
      </c>
    </row>
    <row r="19" customFormat="false" ht="15" hidden="false" customHeight="false" outlineLevel="0" collapsed="false">
      <c r="A19" s="4" t="s">
        <v>370</v>
      </c>
      <c r="B19" s="9" t="n">
        <f aca="false">STDEV(raw_reacquire!$C$2:$C$71)</f>
        <v>1.09023460450739</v>
      </c>
      <c r="C19" s="9" t="n">
        <f aca="false">STDEV(raw_reacquire!$C$72:$C$108)</f>
        <v>0.989354446658278</v>
      </c>
      <c r="D19" s="13" t="s">
        <v>371</v>
      </c>
    </row>
    <row r="20" customFormat="false" ht="15" hidden="false" customHeight="false" outlineLevel="0" collapsed="false">
      <c r="A20" s="4" t="s">
        <v>372</v>
      </c>
      <c r="B20" s="15" t="n">
        <f aca="false">STDEV(raw_reacquire!$B$2:$B$71)</f>
        <v>1.06119741735086</v>
      </c>
      <c r="C20" s="15" t="n">
        <f aca="false">STDEV(raw_reacquire!$B$72:$B$108)</f>
        <v>0.503457415646417</v>
      </c>
    </row>
    <row r="21" customFormat="false" ht="15" hidden="false" customHeight="false" outlineLevel="0" collapsed="false">
      <c r="A21" s="4" t="s">
        <v>373</v>
      </c>
      <c r="B21" s="15" t="n">
        <f aca="false">EXP(B18)</f>
        <v>0.42936989259642</v>
      </c>
      <c r="C21" s="15" t="n">
        <f aca="false">EXP(C18)</f>
        <v>0.289298998337031</v>
      </c>
      <c r="D21" s="13" t="s">
        <v>374</v>
      </c>
    </row>
    <row r="22" customFormat="false" ht="15" hidden="false" customHeight="false" outlineLevel="0" collapsed="false">
      <c r="A22" s="4" t="s">
        <v>375</v>
      </c>
      <c r="B22" s="15" t="n">
        <f aca="false">SMALL(raw_reacquire!$B$2:$B$71,INT(B13*0.9)+1)</f>
        <v>2.25</v>
      </c>
      <c r="C22" s="15" t="n">
        <f aca="false">SMALL(raw_reacquire!$B$72:$B$108,INT(C13*0.9)+1)</f>
        <v>1.12</v>
      </c>
      <c r="D22" s="13" t="s">
        <v>376</v>
      </c>
    </row>
    <row r="23" customFormat="false" ht="15" hidden="false" customHeight="false" outlineLevel="0" collapsed="false">
      <c r="A23" s="4" t="s">
        <v>377</v>
      </c>
      <c r="B23" s="15" t="n">
        <f aca="false">MAX(raw_reacquire!$B$2:$B$71)</f>
        <v>6.13</v>
      </c>
      <c r="C23" s="15" t="n">
        <f aca="false">MAX(raw_reacquire!$B$72:$B$108)</f>
        <v>2.45</v>
      </c>
    </row>
    <row r="24" customFormat="false" ht="15" hidden="false" customHeight="false" outlineLevel="0" collapsed="false">
      <c r="A24" s="4" t="s">
        <v>378</v>
      </c>
      <c r="C24" s="15" t="n">
        <f aca="false">C14/B14</f>
        <v>0.411764705882353</v>
      </c>
    </row>
    <row r="26" customFormat="false" ht="15" hidden="false" customHeight="false" outlineLevel="0" collapsed="false">
      <c r="A26" s="8" t="s">
        <v>379</v>
      </c>
      <c r="B26" s="8" t="s">
        <v>380</v>
      </c>
      <c r="C26" s="8"/>
      <c r="D26" s="8" t="s">
        <v>361</v>
      </c>
    </row>
    <row r="27" customFormat="false" ht="15" hidden="false" customHeight="false" outlineLevel="0" collapsed="false">
      <c r="A27" s="4" t="s">
        <v>381</v>
      </c>
      <c r="B27" s="15" t="n">
        <f aca="false">(B18-C18)/SQRT(B19^2/B13+C19^2/C13)</f>
        <v>1.8946192889835</v>
      </c>
    </row>
    <row r="28" customFormat="false" ht="15" hidden="false" customHeight="false" outlineLevel="0" collapsed="false">
      <c r="A28" s="4" t="s">
        <v>382</v>
      </c>
      <c r="B28" s="11" t="n">
        <f aca="false">(B19^2/B13+C19^2/C13)^2/((B19^2/B13)^2/(B13-1)+(C19^2/C13)^2/(C13-1))</f>
        <v>79.8760758885473</v>
      </c>
    </row>
    <row r="29" customFormat="false" ht="15" hidden="false" customHeight="false" outlineLevel="0" collapsed="false">
      <c r="A29" s="4" t="s">
        <v>383</v>
      </c>
      <c r="B29" s="9" t="n">
        <f aca="false">TDIST(ABS(B27),B28,1)</f>
        <v>0.0309009794359801</v>
      </c>
      <c r="D29" s="13" t="s">
        <v>384</v>
      </c>
    </row>
    <row r="30" customFormat="false" ht="15" hidden="false" customHeight="false" outlineLevel="0" collapsed="false">
      <c r="A30" s="4" t="s">
        <v>385</v>
      </c>
      <c r="B30" s="16" t="n">
        <v>0.016</v>
      </c>
      <c r="D30" s="13" t="s">
        <v>386</v>
      </c>
    </row>
    <row r="31" customFormat="false" ht="15" hidden="false" customHeight="false" outlineLevel="0" collapsed="false">
      <c r="A31" s="4" t="s">
        <v>387</v>
      </c>
      <c r="B31" s="16" t="n">
        <v>0.032</v>
      </c>
      <c r="D31" s="13" t="s">
        <v>386</v>
      </c>
    </row>
    <row r="32" customFormat="false" ht="15" hidden="false" customHeight="false" outlineLevel="0" collapsed="false">
      <c r="A32" s="4" t="s">
        <v>388</v>
      </c>
      <c r="B32" s="16" t="n">
        <v>0.067</v>
      </c>
      <c r="D32" s="13" t="s">
        <v>389</v>
      </c>
    </row>
    <row r="33" customFormat="false" ht="15" hidden="false" customHeight="false" outlineLevel="0" collapsed="false">
      <c r="A33" s="4" t="s">
        <v>390</v>
      </c>
      <c r="B33" s="16" t="n">
        <v>0.0026</v>
      </c>
      <c r="D33" s="13" t="s">
        <v>391</v>
      </c>
    </row>
    <row r="34" customFormat="false" ht="15" hidden="false" customHeight="false" outlineLevel="0" collapsed="false">
      <c r="A34" s="4" t="s">
        <v>392</v>
      </c>
      <c r="B34" s="16" t="n">
        <v>0.0006</v>
      </c>
      <c r="D34" s="13" t="s">
        <v>391</v>
      </c>
    </row>
    <row r="36" customFormat="false" ht="15" hidden="false" customHeight="false" outlineLevel="0" collapsed="false">
      <c r="A36" s="13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5" min="4" style="0" width="20"/>
    <col collapsed="false" customWidth="true" hidden="false" outlineLevel="0" max="7" min="7" style="0" width="24"/>
    <col collapsed="false" customWidth="true" hidden="false" outlineLevel="0" max="15" min="8" style="0" width="12"/>
  </cols>
  <sheetData>
    <row r="1" customFormat="false" ht="15" hidden="false" customHeight="false" outlineLevel="0" collapsed="false">
      <c r="A1" s="8" t="s">
        <v>394</v>
      </c>
      <c r="B1" s="8" t="s">
        <v>395</v>
      </c>
      <c r="C1" s="8" t="s">
        <v>396</v>
      </c>
      <c r="D1" s="8" t="s">
        <v>350</v>
      </c>
      <c r="E1" s="8" t="s">
        <v>351</v>
      </c>
      <c r="G1" s="8" t="s">
        <v>397</v>
      </c>
      <c r="H1" s="8" t="s">
        <v>398</v>
      </c>
      <c r="I1" s="8" t="s">
        <v>124</v>
      </c>
      <c r="J1" s="8" t="s">
        <v>399</v>
      </c>
      <c r="K1" s="8" t="s">
        <v>400</v>
      </c>
      <c r="L1" s="8" t="s">
        <v>401</v>
      </c>
      <c r="M1" s="8" t="s">
        <v>125</v>
      </c>
      <c r="N1" s="8" t="s">
        <v>402</v>
      </c>
      <c r="O1" s="8" t="s">
        <v>403</v>
      </c>
    </row>
    <row r="2" customFormat="false" ht="15" hidden="false" customHeight="false" outlineLevel="0" collapsed="false">
      <c r="A2" s="11" t="n">
        <v>0</v>
      </c>
      <c r="B2" s="11" t="n">
        <f aca="false">100*COUNTIFS(raw_reacquire!$B$2:$B$71,"&lt;="&amp;A2)/'08 Latency dist'!$B$13</f>
        <v>0</v>
      </c>
      <c r="C2" s="11" t="n">
        <f aca="false">100*COUNTIFS(raw_reacquire!$B$72:$B$108,"&lt;="&amp;A2)/'08 Latency dist'!$C$13</f>
        <v>0</v>
      </c>
      <c r="D2" s="11" t="n">
        <f aca="false">IF(A2&lt;=0,0,100*NORMDIST(LN(A2),'08 Latency dist'!$B$18,'08 Latency dist'!$B$19,TRUE()))</f>
        <v>0</v>
      </c>
      <c r="E2" s="11" t="n">
        <f aca="false">IF(A2&lt;=0,0,100*NORMDIST(LN(A2),'08 Latency dist'!$C$18,'08 Latency dist'!$C$19,TRUE()))</f>
        <v>0</v>
      </c>
      <c r="G2" s="11" t="n">
        <v>0.5</v>
      </c>
      <c r="H2" s="4" t="n">
        <f aca="false">COUNTIFS(raw_reacquire!$B$2:$B$71,"&lt;="&amp;G2)</f>
        <v>33</v>
      </c>
      <c r="I2" s="11" t="n">
        <f aca="false">100*H2/'08 Latency dist'!$B$13</f>
        <v>47.1428571428571</v>
      </c>
      <c r="J2" s="11" t="n">
        <f aca="false">100*(((H2/'08 Latency dist'!$B$13)+1.96^2/(2*'08 Latency dist'!$B$13))/(1+1.96^2/'08 Latency dist'!$B$13)-1.96*SQRT((H2/'08 Latency dist'!$B$13)*(1-(H2/'08 Latency dist'!$B$13))/'08 Latency dist'!$B$13+1.96^2/(4*'08 Latency dist'!$B$13^2))/(1+1.96^2/'08 Latency dist'!$B$13))</f>
        <v>35.9046831907719</v>
      </c>
      <c r="K2" s="11" t="n">
        <f aca="false">100*(((H2/'08 Latency dist'!$B$13)+1.96^2/(2*'08 Latency dist'!$B$13))/(1+1.96^2/'08 Latency dist'!$B$13)+1.96*SQRT((H2/'08 Latency dist'!$B$13)*(1-(H2/'08 Latency dist'!$B$13))/'08 Latency dist'!$B$13+1.96^2/(4*'08 Latency dist'!$B$13^2))/(1+1.96^2/'08 Latency dist'!$B$13))</f>
        <v>58.678316094184</v>
      </c>
      <c r="L2" s="4" t="n">
        <f aca="false">COUNTIFS(raw_reacquire!$B$72:$B$108,"&lt;="&amp;G2)</f>
        <v>26</v>
      </c>
      <c r="M2" s="11" t="n">
        <f aca="false">100*L2/'08 Latency dist'!$C$13</f>
        <v>70.2702702702703</v>
      </c>
      <c r="N2" s="11" t="n">
        <f aca="false">100*(((L2/'08 Latency dist'!$C$13)+1.96^2/(2*'08 Latency dist'!$C$13))/(1+1.96^2/'08 Latency dist'!$C$13)-1.96*SQRT((L2/'08 Latency dist'!$C$13)*(1-(L2/'08 Latency dist'!$C$13))/'08 Latency dist'!$C$13+1.96^2/(4*'08 Latency dist'!$C$13^2))/(1+1.96^2/'08 Latency dist'!$C$13))</f>
        <v>54.2165608279564</v>
      </c>
      <c r="O2" s="11" t="n">
        <f aca="false">100*(((L2/'08 Latency dist'!$C$13)+1.96^2/(2*'08 Latency dist'!$C$13))/(1+1.96^2/'08 Latency dist'!$C$13)+1.96*SQRT((L2/'08 Latency dist'!$C$13)*(1-(L2/'08 Latency dist'!$C$13))/'08 Latency dist'!$C$13+1.96^2/(4*'08 Latency dist'!$C$13^2))/(1+1.96^2/'08 Latency dist'!$C$13))</f>
        <v>82.5106976535918</v>
      </c>
    </row>
    <row r="3" customFormat="false" ht="15" hidden="false" customHeight="false" outlineLevel="0" collapsed="false">
      <c r="A3" s="11" t="n">
        <v>0.1</v>
      </c>
      <c r="B3" s="11" t="n">
        <f aca="false">100*COUNTIFS(raw_reacquire!$B$2:$B$71,"&lt;="&amp;A3)/'08 Latency dist'!$B$13</f>
        <v>21.4285714285714</v>
      </c>
      <c r="C3" s="11" t="n">
        <f aca="false">100*COUNTIFS(raw_reacquire!$B$72:$B$108,"&lt;="&amp;A3)/'08 Latency dist'!$C$13</f>
        <v>35.1351351351351</v>
      </c>
      <c r="D3" s="11" t="n">
        <f aca="false">IF(A3&lt;=0,0,100*NORMDIST(LN(A3),'08 Latency dist'!$B$18,'08 Latency dist'!$B$19,TRUE()))</f>
        <v>9.06854554842853</v>
      </c>
      <c r="E3" s="11" t="n">
        <f aca="false">IF(A3&lt;=0,0,100*NORMDIST(LN(A3),'08 Latency dist'!$C$18,'08 Latency dist'!$C$19,TRUE()))</f>
        <v>14.1473891814806</v>
      </c>
      <c r="G3" s="11" t="n">
        <v>1</v>
      </c>
      <c r="H3" s="4" t="n">
        <f aca="false">COUNTIFS(raw_reacquire!$B$2:$B$71,"&lt;="&amp;G3)</f>
        <v>56</v>
      </c>
      <c r="I3" s="11" t="n">
        <f aca="false">100*H3/'08 Latency dist'!$B$13</f>
        <v>80</v>
      </c>
      <c r="J3" s="11" t="n">
        <f aca="false">100*(((H3/'08 Latency dist'!$B$13)+1.96^2/(2*'08 Latency dist'!$B$13))/(1+1.96^2/'08 Latency dist'!$B$13)-1.96*SQRT((H3/'08 Latency dist'!$B$13)*(1-(H3/'08 Latency dist'!$B$13))/'08 Latency dist'!$B$13+1.96^2/(4*'08 Latency dist'!$B$13^2))/(1+1.96^2/'08 Latency dist'!$B$13))</f>
        <v>69.1831353109129</v>
      </c>
      <c r="K3" s="11" t="n">
        <f aca="false">100*(((H3/'08 Latency dist'!$B$13)+1.96^2/(2*'08 Latency dist'!$B$13))/(1+1.96^2/'08 Latency dist'!$B$13)+1.96*SQRT((H3/'08 Latency dist'!$B$13)*(1-(H3/'08 Latency dist'!$B$13))/'08 Latency dist'!$B$13+1.96^2/(4*'08 Latency dist'!$B$13^2))/(1+1.96^2/'08 Latency dist'!$B$13))</f>
        <v>87.6953721970501</v>
      </c>
      <c r="L3" s="4" t="n">
        <f aca="false">COUNTIFS(raw_reacquire!$B$72:$B$108,"&lt;="&amp;G3)</f>
        <v>31</v>
      </c>
      <c r="M3" s="11" t="n">
        <f aca="false">100*L3/'08 Latency dist'!$C$13</f>
        <v>83.7837837837838</v>
      </c>
      <c r="N3" s="11" t="n">
        <f aca="false">100*(((L3/'08 Latency dist'!$C$13)+1.96^2/(2*'08 Latency dist'!$C$13))/(1+1.96^2/'08 Latency dist'!$C$13)-1.96*SQRT((L3/'08 Latency dist'!$C$13)*(1-(L3/'08 Latency dist'!$C$13))/'08 Latency dist'!$C$13+1.96^2/(4*'08 Latency dist'!$C$13^2))/(1+1.96^2/'08 Latency dist'!$C$13))</f>
        <v>68.8632007045441</v>
      </c>
      <c r="O3" s="11" t="n">
        <f aca="false">100*(((L3/'08 Latency dist'!$C$13)+1.96^2/(2*'08 Latency dist'!$C$13))/(1+1.96^2/'08 Latency dist'!$C$13)+1.96*SQRT((L3/'08 Latency dist'!$C$13)*(1-(L3/'08 Latency dist'!$C$13))/'08 Latency dist'!$C$13+1.96^2/(4*'08 Latency dist'!$C$13^2))/(1+1.96^2/'08 Latency dist'!$C$13))</f>
        <v>92.3488967647029</v>
      </c>
    </row>
    <row r="4" customFormat="false" ht="15" hidden="false" customHeight="false" outlineLevel="0" collapsed="false">
      <c r="A4" s="11" t="n">
        <v>0.2</v>
      </c>
      <c r="B4" s="11" t="n">
        <f aca="false">100*COUNTIFS(raw_reacquire!$B$2:$B$71,"&lt;="&amp;A4)/'08 Latency dist'!$B$13</f>
        <v>30</v>
      </c>
      <c r="C4" s="11" t="n">
        <f aca="false">100*COUNTIFS(raw_reacquire!$B$72:$B$108,"&lt;="&amp;A4)/'08 Latency dist'!$C$13</f>
        <v>37.8378378378378</v>
      </c>
      <c r="D4" s="11" t="n">
        <f aca="false">IF(A4&lt;=0,0,100*NORMDIST(LN(A4),'08 Latency dist'!$B$18,'08 Latency dist'!$B$19,TRUE()))</f>
        <v>24.1723940583093</v>
      </c>
      <c r="E4" s="11" t="n">
        <f aca="false">IF(A4&lt;=0,0,100*NORMDIST(LN(A4),'08 Latency dist'!$C$18,'08 Latency dist'!$C$19,TRUE()))</f>
        <v>35.4531277605294</v>
      </c>
      <c r="G4" s="11" t="n">
        <v>2</v>
      </c>
      <c r="H4" s="4" t="n">
        <f aca="false">COUNTIFS(raw_reacquire!$B$2:$B$71,"&lt;="&amp;G4)</f>
        <v>63</v>
      </c>
      <c r="I4" s="11" t="n">
        <f aca="false">100*H4/'08 Latency dist'!$B$13</f>
        <v>90</v>
      </c>
      <c r="J4" s="11" t="n">
        <f aca="false">100*(((H4/'08 Latency dist'!$B$13)+1.96^2/(2*'08 Latency dist'!$B$13))/(1+1.96^2/'08 Latency dist'!$B$13)-1.96*SQRT((H4/'08 Latency dist'!$B$13)*(1-(H4/'08 Latency dist'!$B$13))/'08 Latency dist'!$B$13+1.96^2/(4*'08 Latency dist'!$B$13^2))/(1+1.96^2/'08 Latency dist'!$B$13))</f>
        <v>80.766877521232</v>
      </c>
      <c r="K4" s="11" t="n">
        <f aca="false">100*(((H4/'08 Latency dist'!$B$13)+1.96^2/(2*'08 Latency dist'!$B$13))/(1+1.96^2/'08 Latency dist'!$B$13)+1.96*SQRT((H4/'08 Latency dist'!$B$13)*(1-(H4/'08 Latency dist'!$B$13))/'08 Latency dist'!$B$13+1.96^2/(4*'08 Latency dist'!$B$13^2))/(1+1.96^2/'08 Latency dist'!$B$13))</f>
        <v>95.0711324893854</v>
      </c>
      <c r="L4" s="4" t="n">
        <f aca="false">COUNTIFS(raw_reacquire!$B$72:$B$108,"&lt;="&amp;G4)</f>
        <v>36</v>
      </c>
      <c r="M4" s="11" t="n">
        <f aca="false">100*L4/'08 Latency dist'!$C$13</f>
        <v>97.2972972972973</v>
      </c>
      <c r="N4" s="11" t="n">
        <f aca="false">100*(((L4/'08 Latency dist'!$C$13)+1.96^2/(2*'08 Latency dist'!$C$13))/(1+1.96^2/'08 Latency dist'!$C$13)-1.96*SQRT((L4/'08 Latency dist'!$C$13)*(1-(L4/'08 Latency dist'!$C$13))/'08 Latency dist'!$C$13+1.96^2/(4*'08 Latency dist'!$C$13^2))/(1+1.96^2/'08 Latency dist'!$C$13))</f>
        <v>86.1756215624367</v>
      </c>
      <c r="O4" s="11" t="n">
        <f aca="false">100*(((L4/'08 Latency dist'!$C$13)+1.96^2/(2*'08 Latency dist'!$C$13))/(1+1.96^2/'08 Latency dist'!$C$13)+1.96*SQRT((L4/'08 Latency dist'!$C$13)*(1-(L4/'08 Latency dist'!$C$13))/'08 Latency dist'!$C$13+1.96^2/(4*'08 Latency dist'!$C$13^2))/(1+1.96^2/'08 Latency dist'!$C$13))</f>
        <v>99.5213148945092</v>
      </c>
    </row>
    <row r="5" customFormat="false" ht="15" hidden="false" customHeight="false" outlineLevel="0" collapsed="false">
      <c r="A5" s="11" t="n">
        <v>0.3</v>
      </c>
      <c r="B5" s="11" t="n">
        <f aca="false">100*COUNTIFS(raw_reacquire!$B$2:$B$71,"&lt;="&amp;A5)/'08 Latency dist'!$B$13</f>
        <v>38.5714285714286</v>
      </c>
      <c r="C5" s="11" t="n">
        <f aca="false">100*COUNTIFS(raw_reacquire!$B$72:$B$108,"&lt;="&amp;A5)/'08 Latency dist'!$C$13</f>
        <v>51.3513513513514</v>
      </c>
      <c r="D5" s="11" t="n">
        <f aca="false">IF(A5&lt;=0,0,100*NORMDIST(LN(A5),'08 Latency dist'!$B$18,'08 Latency dist'!$B$19,TRUE()))</f>
        <v>37.1130151139882</v>
      </c>
      <c r="E5" s="11" t="n">
        <f aca="false">IF(A5&lt;=0,0,100*NORMDIST(LN(A5),'08 Latency dist'!$C$18,'08 Latency dist'!$C$19,TRUE()))</f>
        <v>51.4642899215827</v>
      </c>
      <c r="G5" s="11" t="n">
        <v>3</v>
      </c>
      <c r="H5" s="4" t="n">
        <f aca="false">COUNTIFS(raw_reacquire!$B$2:$B$71,"&lt;="&amp;G5)</f>
        <v>67</v>
      </c>
      <c r="I5" s="11" t="n">
        <f aca="false">100*H5/'08 Latency dist'!$B$13</f>
        <v>95.7142857142857</v>
      </c>
      <c r="J5" s="11" t="n">
        <f aca="false">100*(((H5/'08 Latency dist'!$B$13)+1.96^2/(2*'08 Latency dist'!$B$13))/(1+1.96^2/'08 Latency dist'!$B$13)-1.96*SQRT((H5/'08 Latency dist'!$B$13)*(1-(H5/'08 Latency dist'!$B$13))/'08 Latency dist'!$B$13+1.96^2/(4*'08 Latency dist'!$B$13^2))/(1+1.96^2/'08 Latency dist'!$B$13))</f>
        <v>88.1401389258199</v>
      </c>
      <c r="K5" s="11" t="n">
        <f aca="false">100*(((H5/'08 Latency dist'!$B$13)+1.96^2/(2*'08 Latency dist'!$B$13))/(1+1.96^2/'08 Latency dist'!$B$13)+1.96*SQRT((H5/'08 Latency dist'!$B$13)*(1-(H5/'08 Latency dist'!$B$13))/'08 Latency dist'!$B$13+1.96^2/(4*'08 Latency dist'!$B$13^2))/(1+1.96^2/'08 Latency dist'!$B$13))</f>
        <v>98.5318725148857</v>
      </c>
      <c r="L5" s="4" t="n">
        <f aca="false">COUNTIFS(raw_reacquire!$B$72:$B$108,"&lt;="&amp;G5)</f>
        <v>37</v>
      </c>
      <c r="M5" s="11" t="n">
        <f aca="false">100*L5/'08 Latency dist'!$C$13</f>
        <v>100</v>
      </c>
      <c r="N5" s="11" t="n">
        <f aca="false">100*(((L5/'08 Latency dist'!$C$13)+1.96^2/(2*'08 Latency dist'!$C$13))/(1+1.96^2/'08 Latency dist'!$C$13)-1.96*SQRT((L5/'08 Latency dist'!$C$13)*(1-(L5/'08 Latency dist'!$C$13))/'08 Latency dist'!$C$13+1.96^2/(4*'08 Latency dist'!$C$13^2))/(1+1.96^2/'08 Latency dist'!$C$13))</f>
        <v>90.5939042544856</v>
      </c>
      <c r="O5" s="11" t="n">
        <f aca="false">100*(((L5/'08 Latency dist'!$C$13)+1.96^2/(2*'08 Latency dist'!$C$13))/(1+1.96^2/'08 Latency dist'!$C$13)+1.96*SQRT((L5/'08 Latency dist'!$C$13)*(1-(L5/'08 Latency dist'!$C$13))/'08 Latency dist'!$C$13+1.96^2/(4*'08 Latency dist'!$C$13^2))/(1+1.96^2/'08 Latency dist'!$C$13))</f>
        <v>100</v>
      </c>
    </row>
    <row r="6" customFormat="false" ht="15" hidden="false" customHeight="false" outlineLevel="0" collapsed="false">
      <c r="A6" s="11" t="n">
        <v>0.4</v>
      </c>
      <c r="B6" s="11" t="n">
        <f aca="false">100*COUNTIFS(raw_reacquire!$B$2:$B$71,"&lt;="&amp;A6)/'08 Latency dist'!$B$13</f>
        <v>45.7142857142857</v>
      </c>
      <c r="C6" s="11" t="n">
        <f aca="false">100*COUNTIFS(raw_reacquire!$B$72:$B$108,"&lt;="&amp;A6)/'08 Latency dist'!$C$13</f>
        <v>62.1621621621622</v>
      </c>
      <c r="D6" s="11" t="n">
        <f aca="false">IF(A6&lt;=0,0,100*NORMDIST(LN(A6),'08 Latency dist'!$B$18,'08 Latency dist'!$B$19,TRUE()))</f>
        <v>47.409102718672</v>
      </c>
      <c r="E6" s="11" t="n">
        <f aca="false">IF(A6&lt;=0,0,100*NORMDIST(LN(A6),'08 Latency dist'!$C$18,'08 Latency dist'!$C$19,TRUE()))</f>
        <v>62.8351389349907</v>
      </c>
      <c r="G6" s="13" t="s">
        <v>404</v>
      </c>
    </row>
    <row r="7" customFormat="false" ht="15" hidden="false" customHeight="false" outlineLevel="0" collapsed="false">
      <c r="A7" s="11" t="n">
        <v>0.5</v>
      </c>
      <c r="B7" s="11" t="n">
        <f aca="false">100*COUNTIFS(raw_reacquire!$B$2:$B$71,"&lt;="&amp;A7)/'08 Latency dist'!$B$13</f>
        <v>47.1428571428571</v>
      </c>
      <c r="C7" s="11" t="n">
        <f aca="false">100*COUNTIFS(raw_reacquire!$B$72:$B$108,"&lt;="&amp;A7)/'08 Latency dist'!$C$13</f>
        <v>70.2702702702703</v>
      </c>
      <c r="D7" s="11" t="n">
        <f aca="false">IF(A7&lt;=0,0,100*NORMDIST(LN(A7),'08 Latency dist'!$B$18,'08 Latency dist'!$B$19,TRUE()))</f>
        <v>55.5545528064444</v>
      </c>
      <c r="E7" s="11" t="n">
        <f aca="false">IF(A7&lt;=0,0,100*NORMDIST(LN(A7),'08 Latency dist'!$C$18,'08 Latency dist'!$C$19,TRUE()))</f>
        <v>70.9880178469238</v>
      </c>
    </row>
    <row r="8" customFormat="false" ht="15" hidden="false" customHeight="false" outlineLevel="0" collapsed="false">
      <c r="A8" s="11" t="n">
        <v>0.6</v>
      </c>
      <c r="B8" s="11" t="n">
        <f aca="false">100*COUNTIFS(raw_reacquire!$B$2:$B$71,"&lt;="&amp;A8)/'08 Latency dist'!$B$13</f>
        <v>57.1428571428571</v>
      </c>
      <c r="C8" s="11" t="n">
        <f aca="false">100*COUNTIFS(raw_reacquire!$B$72:$B$108,"&lt;="&amp;A8)/'08 Latency dist'!$C$13</f>
        <v>70.2702702702703</v>
      </c>
      <c r="D8" s="11" t="n">
        <f aca="false">IF(A8&lt;=0,0,100*NORMDIST(LN(A8),'08 Latency dist'!$B$18,'08 Latency dist'!$B$19,TRUE()))</f>
        <v>62.054649967814</v>
      </c>
      <c r="E8" s="11" t="n">
        <f aca="false">IF(A8&lt;=0,0,100*NORMDIST(LN(A8),'08 Latency dist'!$C$18,'08 Latency dist'!$C$19,TRUE()))</f>
        <v>76.9535525336075</v>
      </c>
      <c r="G8" s="8" t="s">
        <v>405</v>
      </c>
      <c r="H8" s="8" t="s">
        <v>118</v>
      </c>
      <c r="I8" s="8" t="s">
        <v>119</v>
      </c>
      <c r="J8" s="8" t="s">
        <v>361</v>
      </c>
    </row>
    <row r="9" customFormat="false" ht="15" hidden="false" customHeight="false" outlineLevel="0" collapsed="false">
      <c r="A9" s="11" t="n">
        <v>0.7</v>
      </c>
      <c r="B9" s="11" t="n">
        <f aca="false">100*COUNTIFS(raw_reacquire!$B$2:$B$71,"&lt;="&amp;A9)/'08 Latency dist'!$B$13</f>
        <v>65.7142857142857</v>
      </c>
      <c r="C9" s="11" t="n">
        <f aca="false">100*COUNTIFS(raw_reacquire!$B$72:$B$108,"&lt;="&amp;A9)/'08 Latency dist'!$C$13</f>
        <v>70.2702702702703</v>
      </c>
      <c r="D9" s="11" t="n">
        <f aca="false">IF(A9&lt;=0,0,100*NORMDIST(LN(A9),'08 Latency dist'!$B$18,'08 Latency dist'!$B$19,TRUE()))</f>
        <v>67.3034758493953</v>
      </c>
      <c r="E9" s="11" t="n">
        <f aca="false">IF(A9&lt;=0,0,100*NORMDIST(LN(A9),'08 Latency dist'!$C$18,'08 Latency dist'!$C$19,TRUE()))</f>
        <v>81.4105530023021</v>
      </c>
      <c r="G9" s="4" t="s">
        <v>138</v>
      </c>
      <c r="H9" s="14" t="n">
        <f aca="false">'08 Latency dist'!B13</f>
        <v>70</v>
      </c>
      <c r="I9" s="14" t="n">
        <f aca="false">'08 Latency dist'!C13</f>
        <v>37</v>
      </c>
    </row>
    <row r="10" customFormat="false" ht="15" hidden="false" customHeight="false" outlineLevel="0" collapsed="false">
      <c r="A10" s="11" t="n">
        <v>0.8</v>
      </c>
      <c r="B10" s="11" t="n">
        <f aca="false">100*COUNTIFS(raw_reacquire!$B$2:$B$71,"&lt;="&amp;A10)/'08 Latency dist'!$B$13</f>
        <v>71.4285714285714</v>
      </c>
      <c r="C10" s="11" t="n">
        <f aca="false">100*COUNTIFS(raw_reacquire!$B$72:$B$108,"&lt;="&amp;A10)/'08 Latency dist'!$C$13</f>
        <v>72.972972972973</v>
      </c>
      <c r="D10" s="11" t="n">
        <f aca="false">IF(A10&lt;=0,0,100*NORMDIST(LN(A10),'08 Latency dist'!$B$18,'08 Latency dist'!$B$19,TRUE()))</f>
        <v>71.5928361390626</v>
      </c>
      <c r="E10" s="11" t="n">
        <f aca="false">IF(A10&lt;=0,0,100*NORMDIST(LN(A10),'08 Latency dist'!$C$18,'08 Latency dist'!$C$19,TRUE()))</f>
        <v>84.8047575761827</v>
      </c>
      <c r="G10" s="4" t="s">
        <v>406</v>
      </c>
      <c r="H10" s="4" t="n">
        <v>305</v>
      </c>
      <c r="I10" s="4" t="n">
        <v>112</v>
      </c>
      <c r="J10" s="13" t="s">
        <v>386</v>
      </c>
    </row>
    <row r="11" customFormat="false" ht="15" hidden="false" customHeight="false" outlineLevel="0" collapsed="false">
      <c r="A11" s="11" t="n">
        <v>0.9</v>
      </c>
      <c r="B11" s="11" t="n">
        <f aca="false">100*COUNTIFS(raw_reacquire!$B$2:$B$71,"&lt;="&amp;A11)/'08 Latency dist'!$B$13</f>
        <v>77.1428571428571</v>
      </c>
      <c r="C11" s="11" t="n">
        <f aca="false">100*COUNTIFS(raw_reacquire!$B$72:$B$108,"&lt;="&amp;A11)/'08 Latency dist'!$C$13</f>
        <v>78.3783783783784</v>
      </c>
      <c r="D11" s="11" t="n">
        <f aca="false">IF(A11&lt;=0,0,100*NORMDIST(LN(A11),'08 Latency dist'!$B$18,'08 Latency dist'!$B$19,TRUE()))</f>
        <v>75.1374894848256</v>
      </c>
      <c r="E11" s="11" t="n">
        <f aca="false">IF(A11&lt;=0,0,100*NORMDIST(LN(A11),'08 Latency dist'!$C$18,'08 Latency dist'!$C$19,TRUE()))</f>
        <v>87.4339361167384</v>
      </c>
      <c r="G11" s="4" t="s">
        <v>407</v>
      </c>
      <c r="H11" s="11" t="n">
        <f aca="false">H9/H10*60</f>
        <v>13.7704918032787</v>
      </c>
      <c r="I11" s="11" t="n">
        <f aca="false">I9/I10*60</f>
        <v>19.8214285714286</v>
      </c>
    </row>
    <row r="12" customFormat="false" ht="15" hidden="false" customHeight="false" outlineLevel="0" collapsed="false">
      <c r="A12" s="11" t="n">
        <v>1</v>
      </c>
      <c r="B12" s="11" t="n">
        <f aca="false">100*COUNTIFS(raw_reacquire!$B$2:$B$71,"&lt;="&amp;A12)/'08 Latency dist'!$B$13</f>
        <v>80</v>
      </c>
      <c r="C12" s="11" t="n">
        <f aca="false">100*COUNTIFS(raw_reacquire!$B$72:$B$108,"&lt;="&amp;A12)/'08 Latency dist'!$C$13</f>
        <v>83.7837837837838</v>
      </c>
      <c r="D12" s="11" t="n">
        <f aca="false">IF(A12&lt;=0,0,100*NORMDIST(LN(A12),'08 Latency dist'!$B$18,'08 Latency dist'!$B$19,TRUE()))</f>
        <v>78.0966916329615</v>
      </c>
      <c r="E12" s="11" t="n">
        <f aca="false">IF(A12&lt;=0,0,100*NORMDIST(LN(A12),'08 Latency dist'!$C$18,'08 Latency dist'!$C$19,TRUE()))</f>
        <v>89.5013597904605</v>
      </c>
      <c r="G12" s="4" t="s">
        <v>408</v>
      </c>
      <c r="H12" s="11" t="n">
        <f aca="false">CHIINV(0.975,2*H9)/2/H10*60</f>
        <v>10.7347739228745</v>
      </c>
      <c r="I12" s="11" t="n">
        <f aca="false">CHIINV(0.975,2*I9)/2/I10*60</f>
        <v>13.9561149466639</v>
      </c>
      <c r="J12" s="13" t="s">
        <v>409</v>
      </c>
    </row>
    <row r="13" customFormat="false" ht="15" hidden="false" customHeight="false" outlineLevel="0" collapsed="false">
      <c r="A13" s="11" t="n">
        <v>1.1</v>
      </c>
      <c r="B13" s="11" t="n">
        <f aca="false">100*COUNTIFS(raw_reacquire!$B$2:$B$71,"&lt;="&amp;A13)/'08 Latency dist'!$B$13</f>
        <v>84.2857142857143</v>
      </c>
      <c r="C13" s="11" t="n">
        <f aca="false">100*COUNTIFS(raw_reacquire!$B$72:$B$108,"&lt;="&amp;A13)/'08 Latency dist'!$C$13</f>
        <v>89.1891891891892</v>
      </c>
      <c r="D13" s="11" t="n">
        <f aca="false">IF(A13&lt;=0,0,100*NORMDIST(LN(A13),'08 Latency dist'!$B$18,'08 Latency dist'!$B$19,TRUE()))</f>
        <v>80.58995508445</v>
      </c>
      <c r="E13" s="11" t="n">
        <f aca="false">IF(A13&lt;=0,0,100*NORMDIST(LN(A13),'08 Latency dist'!$C$18,'08 Latency dist'!$C$19,TRUE()))</f>
        <v>91.1488151307514</v>
      </c>
      <c r="G13" s="4" t="s">
        <v>410</v>
      </c>
      <c r="H13" s="11" t="n">
        <f aca="false">CHIINV(0.025,2*H9+2)/2/H10*60</f>
        <v>17.3981879669585</v>
      </c>
      <c r="I13" s="11" t="n">
        <f aca="false">CHIINV(0.025,2*I9+2)/2/I10*60</f>
        <v>27.3212282903201</v>
      </c>
    </row>
    <row r="14" customFormat="false" ht="15" hidden="false" customHeight="false" outlineLevel="0" collapsed="false">
      <c r="A14" s="11" t="n">
        <v>1.2</v>
      </c>
      <c r="B14" s="11" t="n">
        <f aca="false">100*COUNTIFS(raw_reacquire!$B$2:$B$71,"&lt;="&amp;A14)/'08 Latency dist'!$B$13</f>
        <v>84.2857142857143</v>
      </c>
      <c r="C14" s="11" t="n">
        <f aca="false">100*COUNTIFS(raw_reacquire!$B$72:$B$108,"&lt;="&amp;A14)/'08 Latency dist'!$C$13</f>
        <v>94.5945945945946</v>
      </c>
      <c r="D14" s="11" t="n">
        <f aca="false">IF(A14&lt;=0,0,100*NORMDIST(LN(A14),'08 Latency dist'!$B$18,'08 Latency dist'!$B$19,TRUE()))</f>
        <v>82.7081383410035</v>
      </c>
      <c r="E14" s="11" t="n">
        <f aca="false">IF(A14&lt;=0,0,100*NORMDIST(LN(A14),'08 Latency dist'!$C$18,'08 Latency dist'!$C$19,TRUE()))</f>
        <v>92.4772130566765</v>
      </c>
      <c r="G14" s="4" t="s">
        <v>411</v>
      </c>
      <c r="I14" s="9" t="n">
        <v>0.099</v>
      </c>
      <c r="J14" s="13" t="s">
        <v>412</v>
      </c>
    </row>
    <row r="15" customFormat="false" ht="15" hidden="false" customHeight="false" outlineLevel="0" collapsed="false">
      <c r="A15" s="11" t="n">
        <v>1.3</v>
      </c>
      <c r="B15" s="11" t="n">
        <f aca="false">100*COUNTIFS(raw_reacquire!$B$2:$B$71,"&lt;="&amp;A15)/'08 Latency dist'!$B$13</f>
        <v>84.2857142857143</v>
      </c>
      <c r="C15" s="11" t="n">
        <f aca="false">100*COUNTIFS(raw_reacquire!$B$72:$B$108,"&lt;="&amp;A15)/'08 Latency dist'!$C$13</f>
        <v>94.5945945945946</v>
      </c>
      <c r="D15" s="11" t="n">
        <f aca="false">IF(A15&lt;=0,0,100*NORMDIST(LN(A15),'08 Latency dist'!$B$18,'08 Latency dist'!$B$19,TRUE()))</f>
        <v>84.5212040280209</v>
      </c>
      <c r="E15" s="11" t="n">
        <f aca="false">IF(A15&lt;=0,0,100*NORMDIST(LN(A15),'08 Latency dist'!$C$18,'08 Latency dist'!$C$19,TRUE()))</f>
        <v>93.5597045799016</v>
      </c>
      <c r="G15" s="4" t="s">
        <v>140</v>
      </c>
      <c r="H15" s="4" t="n">
        <v>70</v>
      </c>
      <c r="I15" s="4" t="n">
        <v>67</v>
      </c>
      <c r="J15" s="13" t="s">
        <v>386</v>
      </c>
    </row>
    <row r="16" customFormat="false" ht="15" hidden="false" customHeight="false" outlineLevel="0" collapsed="false">
      <c r="A16" s="11" t="n">
        <v>1.4</v>
      </c>
      <c r="B16" s="11" t="n">
        <f aca="false">100*COUNTIFS(raw_reacquire!$B$2:$B$71,"&lt;="&amp;A16)/'08 Latency dist'!$B$13</f>
        <v>84.2857142857143</v>
      </c>
      <c r="C16" s="11" t="n">
        <f aca="false">100*COUNTIFS(raw_reacquire!$B$72:$B$108,"&lt;="&amp;A16)/'08 Latency dist'!$C$13</f>
        <v>97.2972972972973</v>
      </c>
      <c r="D16" s="11" t="n">
        <f aca="false">IF(A16&lt;=0,0,100*NORMDIST(LN(A16),'08 Latency dist'!$B$18,'08 Latency dist'!$B$19,TRUE()))</f>
        <v>86.083680268719</v>
      </c>
      <c r="E16" s="11" t="n">
        <f aca="false">IF(A16&lt;=0,0,100*NORMDIST(LN(A16),'08 Latency dist'!$C$18,'08 Latency dist'!$C$19,TRUE()))</f>
        <v>94.4502067891709</v>
      </c>
    </row>
    <row r="17" customFormat="false" ht="15" hidden="false" customHeight="false" outlineLevel="0" collapsed="false">
      <c r="A17" s="11" t="n">
        <v>1.5</v>
      </c>
      <c r="B17" s="11" t="n">
        <f aca="false">100*COUNTIFS(raw_reacquire!$B$2:$B$71,"&lt;="&amp;A17)/'08 Latency dist'!$B$13</f>
        <v>84.2857142857143</v>
      </c>
      <c r="C17" s="11" t="n">
        <f aca="false">100*COUNTIFS(raw_reacquire!$B$72:$B$108,"&lt;="&amp;A17)/'08 Latency dist'!$C$13</f>
        <v>97.2972972972973</v>
      </c>
      <c r="D17" s="11" t="n">
        <f aca="false">IF(A17&lt;=0,0,100*NORMDIST(LN(A17),'08 Latency dist'!$B$18,'08 Latency dist'!$B$19,TRUE()))</f>
        <v>87.438546996997</v>
      </c>
      <c r="E17" s="11" t="n">
        <f aca="false">IF(A17&lt;=0,0,100*NORMDIST(LN(A17),'08 Latency dist'!$C$18,'08 Latency dist'!$C$19,TRUE()))</f>
        <v>95.1890622060821</v>
      </c>
    </row>
    <row r="18" customFormat="false" ht="15" hidden="false" customHeight="false" outlineLevel="0" collapsed="false">
      <c r="A18" s="11" t="n">
        <v>1.6</v>
      </c>
      <c r="B18" s="11" t="n">
        <f aca="false">100*COUNTIFS(raw_reacquire!$B$2:$B$71,"&lt;="&amp;A18)/'08 Latency dist'!$B$13</f>
        <v>85.7142857142857</v>
      </c>
      <c r="C18" s="11" t="n">
        <f aca="false">100*COUNTIFS(raw_reacquire!$B$72:$B$108,"&lt;="&amp;A18)/'08 Latency dist'!$C$13</f>
        <v>97.2972972972973</v>
      </c>
      <c r="D18" s="11" t="n">
        <f aca="false">IF(A18&lt;=0,0,100*NORMDIST(LN(A18),'08 Latency dist'!$B$18,'08 Latency dist'!$B$19,TRUE()))</f>
        <v>88.6200360146317</v>
      </c>
      <c r="E18" s="11" t="n">
        <f aca="false">IF(A18&lt;=0,0,100*NORMDIST(LN(A18),'08 Latency dist'!$C$18,'08 Latency dist'!$C$19,TRUE()))</f>
        <v>95.8068701281047</v>
      </c>
    </row>
    <row r="19" customFormat="false" ht="15" hidden="false" customHeight="false" outlineLevel="0" collapsed="false">
      <c r="A19" s="11" t="n">
        <v>1.7</v>
      </c>
      <c r="B19" s="11" t="n">
        <f aca="false">100*COUNTIFS(raw_reacquire!$B$2:$B$71,"&lt;="&amp;A19)/'08 Latency dist'!$B$13</f>
        <v>87.1428571428571</v>
      </c>
      <c r="C19" s="11" t="n">
        <f aca="false">100*COUNTIFS(raw_reacquire!$B$72:$B$108,"&lt;="&amp;A19)/'08 Latency dist'!$C$13</f>
        <v>97.2972972972973</v>
      </c>
      <c r="D19" s="11" t="n">
        <f aca="false">IF(A19&lt;=0,0,100*NORMDIST(LN(A19),'08 Latency dist'!$B$18,'08 Latency dist'!$B$19,TRUE()))</f>
        <v>89.6556742331078</v>
      </c>
      <c r="E19" s="11" t="n">
        <f aca="false">IF(A19&lt;=0,0,100*NORMDIST(LN(A19),'08 Latency dist'!$C$18,'08 Latency dist'!$C$19,TRUE()))</f>
        <v>96.3271282949525</v>
      </c>
    </row>
    <row r="20" customFormat="false" ht="15" hidden="false" customHeight="false" outlineLevel="0" collapsed="false">
      <c r="A20" s="11" t="n">
        <v>1.8</v>
      </c>
      <c r="B20" s="11" t="n">
        <f aca="false">100*COUNTIFS(raw_reacquire!$B$2:$B$71,"&lt;="&amp;A20)/'08 Latency dist'!$B$13</f>
        <v>88.5714285714286</v>
      </c>
      <c r="C20" s="11" t="n">
        <f aca="false">100*COUNTIFS(raw_reacquire!$B$72:$B$108,"&lt;="&amp;A20)/'08 Latency dist'!$C$13</f>
        <v>97.2972972972973</v>
      </c>
      <c r="D20" s="11" t="n">
        <f aca="false">IF(A20&lt;=0,0,100*NORMDIST(LN(A20),'08 Latency dist'!$B$18,'08 Latency dist'!$B$19,TRUE()))</f>
        <v>90.5677932887267</v>
      </c>
      <c r="E20" s="11" t="n">
        <f aca="false">IF(A20&lt;=0,0,100*NORMDIST(LN(A20),'08 Latency dist'!$C$18,'08 Latency dist'!$C$19,TRUE()))</f>
        <v>96.7680852286136</v>
      </c>
    </row>
    <row r="21" customFormat="false" ht="15" hidden="false" customHeight="false" outlineLevel="0" collapsed="false">
      <c r="A21" s="11" t="n">
        <v>1.9</v>
      </c>
      <c r="B21" s="11" t="n">
        <f aca="false">100*COUNTIFS(raw_reacquire!$B$2:$B$71,"&lt;="&amp;A21)/'08 Latency dist'!$B$13</f>
        <v>90</v>
      </c>
      <c r="C21" s="11" t="n">
        <f aca="false">100*COUNTIFS(raw_reacquire!$B$72:$B$108,"&lt;="&amp;A21)/'08 Latency dist'!$C$13</f>
        <v>97.2972972972973</v>
      </c>
      <c r="D21" s="11" t="n">
        <f aca="false">IF(A21&lt;=0,0,100*NORMDIST(LN(A21),'08 Latency dist'!$B$18,'08 Latency dist'!$B$19,TRUE()))</f>
        <v>91.3746581952014</v>
      </c>
      <c r="E21" s="11" t="n">
        <f aca="false">IF(A21&lt;=0,0,100*NORMDIST(LN(A21),'08 Latency dist'!$C$18,'08 Latency dist'!$C$19,TRUE()))</f>
        <v>97.1440593565201</v>
      </c>
    </row>
    <row r="22" customFormat="false" ht="15" hidden="false" customHeight="false" outlineLevel="0" collapsed="false">
      <c r="A22" s="11" t="n">
        <v>2</v>
      </c>
      <c r="B22" s="11" t="n">
        <f aca="false">100*COUNTIFS(raw_reacquire!$B$2:$B$71,"&lt;="&amp;A22)/'08 Latency dist'!$B$13</f>
        <v>90</v>
      </c>
      <c r="C22" s="11" t="n">
        <f aca="false">100*COUNTIFS(raw_reacquire!$B$72:$B$108,"&lt;="&amp;A22)/'08 Latency dist'!$C$13</f>
        <v>97.2972972972973</v>
      </c>
      <c r="D22" s="11" t="n">
        <f aca="false">IF(A22&lt;=0,0,100*NORMDIST(LN(A22),'08 Latency dist'!$B$18,'08 Latency dist'!$B$19,TRUE()))</f>
        <v>92.0913206606819</v>
      </c>
      <c r="E22" s="11" t="n">
        <f aca="false">IF(A22&lt;=0,0,100*NORMDIST(LN(A22),'08 Latency dist'!$C$18,'08 Latency dist'!$C$19,TRUE()))</f>
        <v>97.4663918651954</v>
      </c>
    </row>
    <row r="23" customFormat="false" ht="15" hidden="false" customHeight="false" outlineLevel="0" collapsed="false">
      <c r="A23" s="11" t="n">
        <v>2.1</v>
      </c>
      <c r="B23" s="11" t="n">
        <f aca="false">100*COUNTIFS(raw_reacquire!$B$2:$B$71,"&lt;="&amp;A23)/'08 Latency dist'!$B$13</f>
        <v>90</v>
      </c>
      <c r="C23" s="11" t="n">
        <f aca="false">100*COUNTIFS(raw_reacquire!$B$72:$B$108,"&lt;="&amp;A23)/'08 Latency dist'!$C$13</f>
        <v>97.2972972972973</v>
      </c>
      <c r="D23" s="11" t="n">
        <f aca="false">IF(A23&lt;=0,0,100*NORMDIST(LN(A23),'08 Latency dist'!$B$18,'08 Latency dist'!$B$19,TRUE()))</f>
        <v>92.7302710382775</v>
      </c>
      <c r="E23" s="11" t="n">
        <f aca="false">IF(A23&lt;=0,0,100*NORMDIST(LN(A23),'08 Latency dist'!$C$18,'08 Latency dist'!$C$19,TRUE()))</f>
        <v>97.7441440475638</v>
      </c>
    </row>
    <row r="24" customFormat="false" ht="15" hidden="false" customHeight="false" outlineLevel="0" collapsed="false">
      <c r="A24" s="11" t="n">
        <v>2.2</v>
      </c>
      <c r="B24" s="11" t="n">
        <f aca="false">100*COUNTIFS(raw_reacquire!$B$2:$B$71,"&lt;="&amp;A24)/'08 Latency dist'!$B$13</f>
        <v>90</v>
      </c>
      <c r="C24" s="11" t="n">
        <f aca="false">100*COUNTIFS(raw_reacquire!$B$72:$B$108,"&lt;="&amp;A24)/'08 Latency dist'!$C$13</f>
        <v>97.2972972972973</v>
      </c>
      <c r="D24" s="11" t="n">
        <f aca="false">IF(A24&lt;=0,0,100*NORMDIST(LN(A24),'08 Latency dist'!$B$18,'08 Latency dist'!$B$19,TRUE()))</f>
        <v>93.3019413375607</v>
      </c>
      <c r="E24" s="11" t="n">
        <f aca="false">IF(A24&lt;=0,0,100*NORMDIST(LN(A24),'08 Latency dist'!$C$18,'08 Latency dist'!$C$19,TRUE()))</f>
        <v>97.9846138497348</v>
      </c>
    </row>
    <row r="25" customFormat="false" ht="15" hidden="false" customHeight="false" outlineLevel="0" collapsed="false">
      <c r="A25" s="11" t="n">
        <v>2.3</v>
      </c>
      <c r="B25" s="11" t="n">
        <f aca="false">100*COUNTIFS(raw_reacquire!$B$2:$B$71,"&lt;="&amp;A25)/'08 Latency dist'!$B$13</f>
        <v>91.4285714285714</v>
      </c>
      <c r="C25" s="11" t="n">
        <f aca="false">100*COUNTIFS(raw_reacquire!$B$72:$B$108,"&lt;="&amp;A25)/'08 Latency dist'!$C$13</f>
        <v>97.2972972972973</v>
      </c>
      <c r="D25" s="11" t="n">
        <f aca="false">IF(A25&lt;=0,0,100*NORMDIST(LN(A25),'08 Latency dist'!$B$18,'08 Latency dist'!$B$19,TRUE()))</f>
        <v>93.8150968946673</v>
      </c>
      <c r="E25" s="11" t="n">
        <f aca="false">IF(A25&lt;=0,0,100*NORMDIST(LN(A25),'08 Latency dist'!$C$18,'08 Latency dist'!$C$19,TRUE()))</f>
        <v>98.1937227801881</v>
      </c>
    </row>
    <row r="26" customFormat="false" ht="15" hidden="false" customHeight="false" outlineLevel="0" collapsed="false">
      <c r="A26" s="11" t="n">
        <v>2.4</v>
      </c>
      <c r="B26" s="11" t="n">
        <f aca="false">100*COUNTIFS(raw_reacquire!$B$2:$B$71,"&lt;="&amp;A26)/'08 Latency dist'!$B$13</f>
        <v>94.2857142857143</v>
      </c>
      <c r="C26" s="11" t="n">
        <f aca="false">100*COUNTIFS(raw_reacquire!$B$72:$B$108,"&lt;="&amp;A26)/'08 Latency dist'!$C$13</f>
        <v>97.2972972972973</v>
      </c>
      <c r="D26" s="11" t="n">
        <f aca="false">IF(A26&lt;=0,0,100*NORMDIST(LN(A26),'08 Latency dist'!$B$18,'08 Latency dist'!$B$19,TRUE()))</f>
        <v>94.2771439685358</v>
      </c>
      <c r="E26" s="11" t="n">
        <f aca="false">IF(A26&lt;=0,0,100*NORMDIST(LN(A26),'08 Latency dist'!$C$18,'08 Latency dist'!$C$19,TRUE()))</f>
        <v>98.3763087222672</v>
      </c>
    </row>
    <row r="27" customFormat="false" ht="15" hidden="false" customHeight="false" outlineLevel="0" collapsed="false">
      <c r="A27" s="11" t="n">
        <v>2.5</v>
      </c>
      <c r="B27" s="11" t="n">
        <f aca="false">100*COUNTIFS(raw_reacquire!$B$2:$B$71,"&lt;="&amp;A27)/'08 Latency dist'!$B$13</f>
        <v>94.2857142857143</v>
      </c>
      <c r="C27" s="11" t="n">
        <f aca="false">100*COUNTIFS(raw_reacquire!$B$72:$B$108,"&lt;="&amp;A27)/'08 Latency dist'!$C$13</f>
        <v>100</v>
      </c>
      <c r="D27" s="11" t="n">
        <f aca="false">IF(A27&lt;=0,0,100*NORMDIST(LN(A27),'08 Latency dist'!$B$18,'08 Latency dist'!$B$19,TRUE()))</f>
        <v>94.6943732517317</v>
      </c>
      <c r="E27" s="11" t="n">
        <f aca="false">IF(A27&lt;=0,0,100*NORMDIST(LN(A27),'08 Latency dist'!$C$18,'08 Latency dist'!$C$19,TRUE()))</f>
        <v>98.5363496672795</v>
      </c>
    </row>
    <row r="28" customFormat="false" ht="15" hidden="false" customHeight="false" outlineLevel="0" collapsed="false">
      <c r="A28" s="11" t="n">
        <v>2.6</v>
      </c>
      <c r="B28" s="11" t="n">
        <f aca="false">100*COUNTIFS(raw_reacquire!$B$2:$B$71,"&lt;="&amp;A28)/'08 Latency dist'!$B$13</f>
        <v>94.2857142857143</v>
      </c>
      <c r="C28" s="11" t="n">
        <f aca="false">100*COUNTIFS(raw_reacquire!$B$72:$B$108,"&lt;="&amp;A28)/'08 Latency dist'!$C$13</f>
        <v>100</v>
      </c>
      <c r="D28" s="11" t="n">
        <f aca="false">IF(A28&lt;=0,0,100*NORMDIST(LN(A28),'08 Latency dist'!$B$18,'08 Latency dist'!$B$19,TRUE()))</f>
        <v>95.0721540976335</v>
      </c>
      <c r="E28" s="11" t="n">
        <f aca="false">IF(A28&lt;=0,0,100*NORMDIST(LN(A28),'08 Latency dist'!$C$18,'08 Latency dist'!$C$19,TRUE()))</f>
        <v>98.6771361958328</v>
      </c>
    </row>
    <row r="29" customFormat="false" ht="15" hidden="false" customHeight="false" outlineLevel="0" collapsed="false">
      <c r="A29" s="11" t="n">
        <v>2.7</v>
      </c>
      <c r="B29" s="11" t="n">
        <f aca="false">100*COUNTIFS(raw_reacquire!$B$2:$B$71,"&lt;="&amp;A29)/'08 Latency dist'!$B$13</f>
        <v>94.2857142857143</v>
      </c>
      <c r="C29" s="11" t="n">
        <f aca="false">100*COUNTIFS(raw_reacquire!$B$72:$B$108,"&lt;="&amp;A29)/'08 Latency dist'!$C$13</f>
        <v>100</v>
      </c>
      <c r="D29" s="11" t="n">
        <f aca="false">IF(A29&lt;=0,0,100*NORMDIST(LN(A29),'08 Latency dist'!$B$18,'08 Latency dist'!$B$19,TRUE()))</f>
        <v>95.415090530415</v>
      </c>
      <c r="E29" s="11" t="n">
        <f aca="false">IF(A29&lt;=0,0,100*NORMDIST(LN(A29),'08 Latency dist'!$C$18,'08 Latency dist'!$C$19,TRUE()))</f>
        <v>98.8014055580904</v>
      </c>
    </row>
    <row r="30" customFormat="false" ht="15" hidden="false" customHeight="false" outlineLevel="0" collapsed="false">
      <c r="A30" s="11" t="n">
        <v>2.8</v>
      </c>
      <c r="B30" s="11" t="n">
        <f aca="false">100*COUNTIFS(raw_reacquire!$B$2:$B$71,"&lt;="&amp;A30)/'08 Latency dist'!$B$13</f>
        <v>94.2857142857143</v>
      </c>
      <c r="C30" s="11" t="n">
        <f aca="false">100*COUNTIFS(raw_reacquire!$B$72:$B$108,"&lt;="&amp;A30)/'08 Latency dist'!$C$13</f>
        <v>100</v>
      </c>
      <c r="D30" s="11" t="n">
        <f aca="false">IF(A30&lt;=0,0,100*NORMDIST(LN(A30),'08 Latency dist'!$B$18,'08 Latency dist'!$B$19,TRUE()))</f>
        <v>95.727147386684</v>
      </c>
      <c r="E30" s="11" t="n">
        <f aca="false">IF(A30&lt;=0,0,100*NORMDIST(LN(A30),'08 Latency dist'!$C$18,'08 Latency dist'!$C$19,TRUE()))</f>
        <v>98.9114467157917</v>
      </c>
    </row>
    <row r="31" customFormat="false" ht="15" hidden="false" customHeight="false" outlineLevel="0" collapsed="false">
      <c r="A31" s="11" t="n">
        <v>2.9</v>
      </c>
      <c r="B31" s="11" t="n">
        <f aca="false">100*COUNTIFS(raw_reacquire!$B$2:$B$71,"&lt;="&amp;A31)/'08 Latency dist'!$B$13</f>
        <v>95.7142857142857</v>
      </c>
      <c r="C31" s="11" t="n">
        <f aca="false">100*COUNTIFS(raw_reacquire!$B$72:$B$108,"&lt;="&amp;A31)/'08 Latency dist'!$C$13</f>
        <v>100</v>
      </c>
      <c r="D31" s="11" t="n">
        <f aca="false">IF(A31&lt;=0,0,100*NORMDIST(LN(A31),'08 Latency dist'!$B$18,'08 Latency dist'!$B$19,TRUE()))</f>
        <v>96.0117529413671</v>
      </c>
      <c r="E31" s="11" t="n">
        <f aca="false">IF(A31&lt;=0,0,100*NORMDIST(LN(A31),'08 Latency dist'!$C$18,'08 Latency dist'!$C$19,TRUE()))</f>
        <v>99.009183236355</v>
      </c>
    </row>
    <row r="32" customFormat="false" ht="15" hidden="false" customHeight="false" outlineLevel="0" collapsed="false">
      <c r="A32" s="11" t="n">
        <v>3</v>
      </c>
      <c r="B32" s="11" t="n">
        <f aca="false">100*COUNTIFS(raw_reacquire!$B$2:$B$71,"&lt;="&amp;A32)/'08 Latency dist'!$B$13</f>
        <v>95.7142857142857</v>
      </c>
      <c r="C32" s="11" t="n">
        <f aca="false">100*COUNTIFS(raw_reacquire!$B$72:$B$108,"&lt;="&amp;A32)/'08 Latency dist'!$C$13</f>
        <v>100</v>
      </c>
      <c r="D32" s="11" t="n">
        <f aca="false">IF(A32&lt;=0,0,100*NORMDIST(LN(A32),'08 Latency dist'!$B$18,'08 Latency dist'!$B$19,TRUE()))</f>
        <v>96.2718828905413</v>
      </c>
      <c r="E32" s="11" t="n">
        <f aca="false">IF(A32&lt;=0,0,100*NORMDIST(LN(A32),'08 Latency dist'!$C$18,'08 Latency dist'!$C$19,TRUE()))</f>
        <v>99.0962391575916</v>
      </c>
    </row>
    <row r="33" customFormat="false" ht="15" hidden="false" customHeight="false" outlineLevel="0" collapsed="false">
      <c r="A33" s="11" t="n">
        <v>3.1</v>
      </c>
      <c r="B33" s="11" t="n">
        <f aca="false">100*COUNTIFS(raw_reacquire!$B$2:$B$71,"&lt;="&amp;A33)/'08 Latency dist'!$B$13</f>
        <v>95.7142857142857</v>
      </c>
      <c r="C33" s="11" t="n">
        <f aca="false">100*COUNTIFS(raw_reacquire!$B$72:$B$108,"&lt;="&amp;A33)/'08 Latency dist'!$C$13</f>
        <v>100</v>
      </c>
      <c r="D33" s="11" t="n">
        <f aca="false">IF(A33&lt;=0,0,100*NORMDIST(LN(A33),'08 Latency dist'!$B$18,'08 Latency dist'!$B$19,TRUE()))</f>
        <v>96.5101294573022</v>
      </c>
      <c r="E33" s="11" t="n">
        <f aca="false">IF(A33&lt;=0,0,100*NORMDIST(LN(A33),'08 Latency dist'!$C$18,'08 Latency dist'!$C$19,TRUE()))</f>
        <v>99.1739916590259</v>
      </c>
    </row>
    <row r="34" customFormat="false" ht="15" hidden="false" customHeight="false" outlineLevel="0" collapsed="false">
      <c r="A34" s="11" t="n">
        <v>3.2</v>
      </c>
      <c r="B34" s="11" t="n">
        <f aca="false">100*COUNTIFS(raw_reacquire!$B$2:$B$71,"&lt;="&amp;A34)/'08 Latency dist'!$B$13</f>
        <v>95.7142857142857</v>
      </c>
      <c r="C34" s="11" t="n">
        <f aca="false">100*COUNTIFS(raw_reacquire!$B$72:$B$108,"&lt;="&amp;A34)/'08 Latency dist'!$C$13</f>
        <v>100</v>
      </c>
      <c r="D34" s="11" t="n">
        <f aca="false">IF(A34&lt;=0,0,100*NORMDIST(LN(A34),'08 Latency dist'!$B$18,'08 Latency dist'!$B$19,TRUE()))</f>
        <v>96.7287585524479</v>
      </c>
      <c r="E34" s="11" t="n">
        <f aca="false">IF(A34&lt;=0,0,100*NORMDIST(LN(A34),'08 Latency dist'!$C$18,'08 Latency dist'!$C$19,TRUE()))</f>
        <v>99.2436134385564</v>
      </c>
    </row>
    <row r="35" customFormat="false" ht="15" hidden="false" customHeight="false" outlineLevel="0" collapsed="false">
      <c r="A35" s="11" t="n">
        <v>3.3</v>
      </c>
      <c r="B35" s="11" t="n">
        <f aca="false">100*COUNTIFS(raw_reacquire!$B$2:$B$71,"&lt;="&amp;A35)/'08 Latency dist'!$B$13</f>
        <v>95.7142857142857</v>
      </c>
      <c r="C35" s="11" t="n">
        <f aca="false">100*COUNTIFS(raw_reacquire!$B$72:$B$108,"&lt;="&amp;A35)/'08 Latency dist'!$C$13</f>
        <v>100</v>
      </c>
      <c r="D35" s="11" t="n">
        <f aca="false">IF(A35&lt;=0,0,100*NORMDIST(LN(A35),'08 Latency dist'!$B$18,'08 Latency dist'!$B$19,TRUE()))</f>
        <v>96.929757287839</v>
      </c>
      <c r="E35" s="11" t="n">
        <f aca="false">IF(A35&lt;=0,0,100*NORMDIST(LN(A35),'08 Latency dist'!$C$18,'08 Latency dist'!$C$19,TRUE()))</f>
        <v>99.3061070020958</v>
      </c>
    </row>
    <row r="36" customFormat="false" ht="15" hidden="false" customHeight="false" outlineLevel="0" collapsed="false">
      <c r="A36" s="11" t="n">
        <v>3.4</v>
      </c>
      <c r="B36" s="11" t="n">
        <f aca="false">100*COUNTIFS(raw_reacquire!$B$2:$B$71,"&lt;="&amp;A36)/'08 Latency dist'!$B$13</f>
        <v>95.7142857142857</v>
      </c>
      <c r="C36" s="11" t="n">
        <f aca="false">100*COUNTIFS(raw_reacquire!$B$72:$B$108,"&lt;="&amp;A36)/'08 Latency dist'!$C$13</f>
        <v>100</v>
      </c>
      <c r="D36" s="11" t="n">
        <f aca="false">IF(A36&lt;=0,0,100*NORMDIST(LN(A36),'08 Latency dist'!$B$18,'08 Latency dist'!$B$19,TRUE()))</f>
        <v>97.1148736550749</v>
      </c>
      <c r="E36" s="11" t="n">
        <f aca="false">IF(A36&lt;=0,0,100*NORMDIST(LN(A36),'08 Latency dist'!$C$18,'08 Latency dist'!$C$19,TRUE()))</f>
        <v>99.3623325599312</v>
      </c>
    </row>
    <row r="37" customFormat="false" ht="15" hidden="false" customHeight="false" outlineLevel="0" collapsed="false">
      <c r="A37" s="11" t="n">
        <v>3.5</v>
      </c>
      <c r="B37" s="11" t="n">
        <f aca="false">100*COUNTIFS(raw_reacquire!$B$2:$B$71,"&lt;="&amp;A37)/'08 Latency dist'!$B$13</f>
        <v>95.7142857142857</v>
      </c>
      <c r="C37" s="11" t="n">
        <f aca="false">100*COUNTIFS(raw_reacquire!$B$72:$B$108,"&lt;="&amp;A37)/'08 Latency dist'!$C$13</f>
        <v>100</v>
      </c>
      <c r="D37" s="11" t="n">
        <f aca="false">IF(A37&lt;=0,0,100*NORMDIST(LN(A37),'08 Latency dist'!$B$18,'08 Latency dist'!$B$19,TRUE()))</f>
        <v>97.2856498081194</v>
      </c>
      <c r="E37" s="11" t="n">
        <f aca="false">IF(A37&lt;=0,0,100*NORMDIST(LN(A37),'08 Latency dist'!$C$18,'08 Latency dist'!$C$19,TRUE()))</f>
        <v>99.4130308383439</v>
      </c>
    </row>
    <row r="38" customFormat="false" ht="15" hidden="false" customHeight="false" outlineLevel="0" collapsed="false">
      <c r="A38" s="11" t="n">
        <v>3.6</v>
      </c>
      <c r="B38" s="11" t="n">
        <f aca="false">100*COUNTIFS(raw_reacquire!$B$2:$B$71,"&lt;="&amp;A38)/'08 Latency dist'!$B$13</f>
        <v>95.7142857142857</v>
      </c>
      <c r="C38" s="11" t="n">
        <f aca="false">100*COUNTIFS(raw_reacquire!$B$72:$B$108,"&lt;="&amp;A38)/'08 Latency dist'!$C$13</f>
        <v>100</v>
      </c>
      <c r="D38" s="11" t="n">
        <f aca="false">IF(A38&lt;=0,0,100*NORMDIST(LN(A38),'08 Latency dist'!$B$18,'08 Latency dist'!$B$19,TRUE()))</f>
        <v>97.4434500982998</v>
      </c>
      <c r="E38" s="11" t="n">
        <f aca="false">IF(A38&lt;=0,0,100*NORMDIST(LN(A38),'08 Latency dist'!$C$18,'08 Latency dist'!$C$19,TRUE()))</f>
        <v>99.4588418241178</v>
      </c>
    </row>
    <row r="39" customFormat="false" ht="15" hidden="false" customHeight="false" outlineLevel="0" collapsed="false">
      <c r="A39" s="11" t="n">
        <v>3.7</v>
      </c>
      <c r="B39" s="11" t="n">
        <f aca="false">100*COUNTIFS(raw_reacquire!$B$2:$B$71,"&lt;="&amp;A39)/'08 Latency dist'!$B$13</f>
        <v>95.7142857142857</v>
      </c>
      <c r="C39" s="11" t="n">
        <f aca="false">100*COUNTIFS(raw_reacquire!$B$72:$B$108,"&lt;="&amp;A39)/'08 Latency dist'!$C$13</f>
        <v>100</v>
      </c>
      <c r="D39" s="11" t="n">
        <f aca="false">IF(A39&lt;=0,0,100*NORMDIST(LN(A39),'08 Latency dist'!$B$18,'08 Latency dist'!$B$19,TRUE()))</f>
        <v>97.5894847835019</v>
      </c>
      <c r="E39" s="11" t="n">
        <f aca="false">IF(A39&lt;=0,0,100*NORMDIST(LN(A39),'08 Latency dist'!$C$18,'08 Latency dist'!$C$19,TRUE()))</f>
        <v>99.5003202382809</v>
      </c>
    </row>
    <row r="40" customFormat="false" ht="15" hidden="false" customHeight="false" outlineLevel="0" collapsed="false">
      <c r="A40" s="11" t="n">
        <v>3.8</v>
      </c>
      <c r="B40" s="11" t="n">
        <f aca="false">100*COUNTIFS(raw_reacquire!$B$2:$B$71,"&lt;="&amp;A40)/'08 Latency dist'!$B$13</f>
        <v>95.7142857142857</v>
      </c>
      <c r="C40" s="11" t="n">
        <f aca="false">100*COUNTIFS(raw_reacquire!$B$72:$B$108,"&lt;="&amp;A40)/'08 Latency dist'!$C$13</f>
        <v>100</v>
      </c>
      <c r="D40" s="11" t="n">
        <f aca="false">IF(A40&lt;=0,0,100*NORMDIST(LN(A40),'08 Latency dist'!$B$18,'08 Latency dist'!$B$19,TRUE()))</f>
        <v>97.7248301553701</v>
      </c>
      <c r="E40" s="11" t="n">
        <f aca="false">IF(A40&lt;=0,0,100*NORMDIST(LN(A40),'08 Latency dist'!$C$18,'08 Latency dist'!$C$19,TRUE()))</f>
        <v>99.5379483659717</v>
      </c>
    </row>
    <row r="41" customFormat="false" ht="15" hidden="false" customHeight="false" outlineLevel="0" collapsed="false">
      <c r="A41" s="11" t="n">
        <v>3.9</v>
      </c>
      <c r="B41" s="11" t="n">
        <f aca="false">100*COUNTIFS(raw_reacquire!$B$2:$B$71,"&lt;="&amp;A41)/'08 Latency dist'!$B$13</f>
        <v>97.1428571428571</v>
      </c>
      <c r="C41" s="11" t="n">
        <f aca="false">100*COUNTIFS(raw_reacquire!$B$72:$B$108,"&lt;="&amp;A41)/'08 Latency dist'!$C$13</f>
        <v>100</v>
      </c>
      <c r="D41" s="11" t="n">
        <f aca="false">IF(A41&lt;=0,0,100*NORMDIST(LN(A41),'08 Latency dist'!$B$18,'08 Latency dist'!$B$19,TRUE()))</f>
        <v>97.8504456876906</v>
      </c>
      <c r="E41" s="11" t="n">
        <f aca="false">IF(A41&lt;=0,0,100*NORMDIST(LN(A41),'08 Latency dist'!$C$18,'08 Latency dist'!$C$19,TRUE()))</f>
        <v>99.5721467387035</v>
      </c>
    </row>
    <row r="42" customFormat="false" ht="15" hidden="false" customHeight="false" outlineLevel="0" collapsed="false">
      <c r="A42" s="11" t="n">
        <v>4</v>
      </c>
      <c r="B42" s="11" t="n">
        <f aca="false">100*COUNTIFS(raw_reacquire!$B$2:$B$71,"&lt;="&amp;A42)/'08 Latency dist'!$B$13</f>
        <v>97.1428571428571</v>
      </c>
      <c r="C42" s="11" t="n">
        <f aca="false">100*COUNTIFS(raw_reacquire!$B$72:$B$108,"&lt;="&amp;A42)/'08 Latency dist'!$C$13</f>
        <v>100</v>
      </c>
      <c r="D42" s="11" t="n">
        <f aca="false">IF(A42&lt;=0,0,100*NORMDIST(LN(A42),'08 Latency dist'!$B$18,'08 Latency dist'!$B$19,TRUE()))</f>
        <v>97.9671886974176</v>
      </c>
      <c r="E42" s="11" t="n">
        <f aca="false">IF(A42&lt;=0,0,100*NORMDIST(LN(A42),'08 Latency dist'!$C$18,'08 Latency dist'!$C$19,TRUE()))</f>
        <v>99.6032830640197</v>
      </c>
    </row>
    <row r="43" customFormat="false" ht="15" hidden="false" customHeight="false" outlineLevel="0" collapsed="false">
      <c r="A43" s="11" t="n">
        <v>4.1</v>
      </c>
      <c r="B43" s="11" t="n">
        <f aca="false">100*COUNTIFS(raw_reacquire!$B$2:$B$71,"&lt;="&amp;A43)/'08 Latency dist'!$B$13</f>
        <v>97.1428571428571</v>
      </c>
      <c r="C43" s="11" t="n">
        <f aca="false">100*COUNTIFS(raw_reacquire!$B$72:$B$108,"&lt;="&amp;A43)/'08 Latency dist'!$C$13</f>
        <v>100</v>
      </c>
      <c r="D43" s="11" t="n">
        <f aca="false">IF(A43&lt;=0,0,100*NORMDIST(LN(A43),'08 Latency dist'!$B$18,'08 Latency dist'!$B$19,TRUE()))</f>
        <v>98.0758269206017</v>
      </c>
      <c r="E43" s="11" t="n">
        <f aca="false">IF(A43&lt;=0,0,100*NORMDIST(LN(A43),'08 Latency dist'!$C$18,'08 Latency dist'!$C$19,TRUE()))</f>
        <v>99.6316797185252</v>
      </c>
    </row>
    <row r="44" customFormat="false" ht="15" hidden="false" customHeight="false" outlineLevel="0" collapsed="false">
      <c r="A44" s="11" t="n">
        <v>4.2</v>
      </c>
      <c r="B44" s="11" t="n">
        <f aca="false">100*COUNTIFS(raw_reacquire!$B$2:$B$71,"&lt;="&amp;A44)/'08 Latency dist'!$B$13</f>
        <v>97.1428571428571</v>
      </c>
      <c r="C44" s="11" t="n">
        <f aca="false">100*COUNTIFS(raw_reacquire!$B$72:$B$108,"&lt;="&amp;A44)/'08 Latency dist'!$C$13</f>
        <v>100</v>
      </c>
      <c r="D44" s="11" t="n">
        <f aca="false">IF(A44&lt;=0,0,100*NORMDIST(LN(A44),'08 Latency dist'!$B$18,'08 Latency dist'!$B$19,TRUE()))</f>
        <v>98.1770493338897</v>
      </c>
      <c r="E44" s="11" t="n">
        <f aca="false">IF(A44&lt;=0,0,100*NORMDIST(LN(A44),'08 Latency dist'!$C$18,'08 Latency dist'!$C$19,TRUE()))</f>
        <v>99.6576200583125</v>
      </c>
    </row>
    <row r="45" customFormat="false" ht="15" hidden="false" customHeight="false" outlineLevel="0" collapsed="false">
      <c r="A45" s="11" t="n">
        <v>4.3</v>
      </c>
      <c r="B45" s="11" t="n">
        <f aca="false">100*COUNTIFS(raw_reacquire!$B$2:$B$71,"&lt;="&amp;A45)/'08 Latency dist'!$B$13</f>
        <v>98.5714285714286</v>
      </c>
      <c r="C45" s="11" t="n">
        <f aca="false">100*COUNTIFS(raw_reacquire!$B$72:$B$108,"&lt;="&amp;A45)/'08 Latency dist'!$C$13</f>
        <v>100</v>
      </c>
      <c r="D45" s="11" t="n">
        <f aca="false">IF(A45&lt;=0,0,100*NORMDIST(LN(A45),'08 Latency dist'!$B$18,'08 Latency dist'!$B$19,TRUE()))</f>
        <v>98.2714754945566</v>
      </c>
      <c r="E45" s="11" t="n">
        <f aca="false">IF(A45&lt;=0,0,100*NORMDIST(LN(A45),'08 Latency dist'!$C$18,'08 Latency dist'!$C$19,TRUE()))</f>
        <v>99.6813537519383</v>
      </c>
    </row>
    <row r="46" customFormat="false" ht="15" hidden="false" customHeight="false" outlineLevel="0" collapsed="false">
      <c r="A46" s="11" t="n">
        <v>4.4</v>
      </c>
      <c r="B46" s="11" t="n">
        <f aca="false">100*COUNTIFS(raw_reacquire!$B$2:$B$71,"&lt;="&amp;A46)/'08 Latency dist'!$B$13</f>
        <v>98.5714285714286</v>
      </c>
      <c r="C46" s="11" t="n">
        <f aca="false">100*COUNTIFS(raw_reacquire!$B$72:$B$108,"&lt;="&amp;A46)/'08 Latency dist'!$C$13</f>
        <v>100</v>
      </c>
      <c r="D46" s="11" t="n">
        <f aca="false">IF(A46&lt;=0,0,100*NORMDIST(LN(A46),'08 Latency dist'!$B$18,'08 Latency dist'!$B$19,TRUE()))</f>
        <v>98.3596636252738</v>
      </c>
      <c r="E46" s="11" t="n">
        <f aca="false">IF(A46&lt;=0,0,100*NORMDIST(LN(A46),'08 Latency dist'!$C$18,'08 Latency dist'!$C$19,TRUE()))</f>
        <v>99.7031013023832</v>
      </c>
    </row>
    <row r="47" customFormat="false" ht="15" hidden="false" customHeight="false" outlineLevel="0" collapsed="false">
      <c r="A47" s="11" t="n">
        <v>4.5</v>
      </c>
      <c r="B47" s="11" t="n">
        <f aca="false">100*COUNTIFS(raw_reacquire!$B$2:$B$71,"&lt;="&amp;A47)/'08 Latency dist'!$B$13</f>
        <v>98.5714285714286</v>
      </c>
      <c r="C47" s="11" t="n">
        <f aca="false">100*COUNTIFS(raw_reacquire!$B$72:$B$108,"&lt;="&amp;A47)/'08 Latency dist'!$C$13</f>
        <v>100</v>
      </c>
      <c r="D47" s="11" t="n">
        <f aca="false">IF(A47&lt;=0,0,100*NORMDIST(LN(A47),'08 Latency dist'!$B$18,'08 Latency dist'!$B$19,TRUE()))</f>
        <v>98.4421176317958</v>
      </c>
      <c r="E47" s="11" t="n">
        <f aca="false">IF(A47&lt;=0,0,100*NORMDIST(LN(A47),'08 Latency dist'!$C$18,'08 Latency dist'!$C$19,TRUE()))</f>
        <v>99.7230578935853</v>
      </c>
    </row>
    <row r="48" customFormat="false" ht="15" hidden="false" customHeight="false" outlineLevel="0" collapsed="false">
      <c r="A48" s="11" t="n">
        <v>4.6</v>
      </c>
      <c r="B48" s="11" t="n">
        <f aca="false">100*COUNTIFS(raw_reacquire!$B$2:$B$71,"&lt;="&amp;A48)/'08 Latency dist'!$B$13</f>
        <v>98.5714285714286</v>
      </c>
      <c r="C48" s="11" t="n">
        <f aca="false">100*COUNTIFS(raw_reacquire!$B$72:$B$108,"&lt;="&amp;A48)/'08 Latency dist'!$C$13</f>
        <v>100</v>
      </c>
      <c r="D48" s="11" t="n">
        <f aca="false">IF(A48&lt;=0,0,100*NORMDIST(LN(A48),'08 Latency dist'!$B$18,'08 Latency dist'!$B$19,TRUE()))</f>
        <v>98.5192932106794</v>
      </c>
      <c r="E48" s="11" t="n">
        <f aca="false">IF(A48&lt;=0,0,100*NORMDIST(LN(A48),'08 Latency dist'!$C$18,'08 Latency dist'!$C$19,TRUE()))</f>
        <v>99.7413966724696</v>
      </c>
    </row>
    <row r="49" customFormat="false" ht="15" hidden="false" customHeight="false" outlineLevel="0" collapsed="false">
      <c r="A49" s="11" t="n">
        <v>4.7</v>
      </c>
      <c r="B49" s="11" t="n">
        <f aca="false">100*COUNTIFS(raw_reacquire!$B$2:$B$71,"&lt;="&amp;A49)/'08 Latency dist'!$B$13</f>
        <v>98.5714285714286</v>
      </c>
      <c r="C49" s="11" t="n">
        <f aca="false">100*COUNTIFS(raw_reacquire!$B$72:$B$108,"&lt;="&amp;A49)/'08 Latency dist'!$C$13</f>
        <v>100</v>
      </c>
      <c r="D49" s="11" t="n">
        <f aca="false">IF(A49&lt;=0,0,100*NORMDIST(LN(A49),'08 Latency dist'!$B$18,'08 Latency dist'!$B$19,TRUE()))</f>
        <v>98.5916031786729</v>
      </c>
      <c r="E49" s="11" t="n">
        <f aca="false">IF(A49&lt;=0,0,100*NORMDIST(LN(A49),'08 Latency dist'!$C$18,'08 Latency dist'!$C$19,TRUE()))</f>
        <v>99.7582715575629</v>
      </c>
    </row>
    <row r="50" customFormat="false" ht="15" hidden="false" customHeight="false" outlineLevel="0" collapsed="false">
      <c r="A50" s="11" t="n">
        <v>4.8</v>
      </c>
      <c r="B50" s="11" t="n">
        <f aca="false">100*COUNTIFS(raw_reacquire!$B$2:$B$71,"&lt;="&amp;A50)/'08 Latency dist'!$B$13</f>
        <v>98.5714285714286</v>
      </c>
      <c r="C50" s="11" t="n">
        <f aca="false">100*COUNTIFS(raw_reacquire!$B$72:$B$108,"&lt;="&amp;A50)/'08 Latency dist'!$C$13</f>
        <v>100</v>
      </c>
      <c r="D50" s="11" t="n">
        <f aca="false">IF(A50&lt;=0,0,100*NORMDIST(LN(A50),'08 Latency dist'!$B$18,'08 Latency dist'!$B$19,TRUE()))</f>
        <v>98.6594221344384</v>
      </c>
      <c r="E50" s="11" t="n">
        <f aca="false">IF(A50&lt;=0,0,100*NORMDIST(LN(A50),'08 Latency dist'!$C$18,'08 Latency dist'!$C$19,TRUE()))</f>
        <v>99.7738196492857</v>
      </c>
    </row>
    <row r="51" customFormat="false" ht="15" hidden="false" customHeight="false" outlineLevel="0" collapsed="false">
      <c r="A51" s="11" t="n">
        <v>4.9</v>
      </c>
      <c r="B51" s="11" t="n">
        <f aca="false">100*COUNTIFS(raw_reacquire!$B$2:$B$71,"&lt;="&amp;A51)/'08 Latency dist'!$B$13</f>
        <v>98.5714285714286</v>
      </c>
      <c r="C51" s="11" t="n">
        <f aca="false">100*COUNTIFS(raw_reacquire!$B$72:$B$108,"&lt;="&amp;A51)/'08 Latency dist'!$C$13</f>
        <v>100</v>
      </c>
      <c r="D51" s="11" t="n">
        <f aca="false">IF(A51&lt;=0,0,100*NORMDIST(LN(A51),'08 Latency dist'!$B$18,'08 Latency dist'!$B$19,TRUE()))</f>
        <v>98.7230905459367</v>
      </c>
      <c r="E51" s="11" t="n">
        <f aca="false">IF(A51&lt;=0,0,100*NORMDIST(LN(A51),'08 Latency dist'!$C$18,'08 Latency dist'!$C$19,TRUE()))</f>
        <v>99.788163304042</v>
      </c>
    </row>
    <row r="52" customFormat="false" ht="15" hidden="false" customHeight="false" outlineLevel="0" collapsed="false">
      <c r="A52" s="11" t="n">
        <v>5</v>
      </c>
      <c r="B52" s="11" t="n">
        <f aca="false">100*COUNTIFS(raw_reacquire!$B$2:$B$71,"&lt;="&amp;A52)/'08 Latency dist'!$B$13</f>
        <v>98.5714285714286</v>
      </c>
      <c r="C52" s="11" t="n">
        <f aca="false">100*COUNTIFS(raw_reacquire!$B$72:$B$108,"&lt;="&amp;A52)/'08 Latency dist'!$C$13</f>
        <v>100</v>
      </c>
      <c r="D52" s="11" t="n">
        <f aca="false">IF(A52&lt;=0,0,100*NORMDIST(LN(A52),'08 Latency dist'!$B$18,'08 Latency dist'!$B$19,TRUE()))</f>
        <v>98.782918342432</v>
      </c>
      <c r="E52" s="11" t="n">
        <f aca="false">IF(A52&lt;=0,0,100*NORMDIST(LN(A52),'08 Latency dist'!$C$18,'08 Latency dist'!$C$19,TRUE()))</f>
        <v>99.8014119236803</v>
      </c>
    </row>
    <row r="53" customFormat="false" ht="15" hidden="false" customHeight="false" outlineLevel="0" collapsed="false">
      <c r="A53" s="11" t="n">
        <v>5.1</v>
      </c>
      <c r="B53" s="11" t="n">
        <f aca="false">100*COUNTIFS(raw_reacquire!$B$2:$B$71,"&lt;="&amp;A53)/'08 Latency dist'!$B$13</f>
        <v>98.5714285714286</v>
      </c>
      <c r="C53" s="11" t="n">
        <f aca="false">100*COUNTIFS(raw_reacquire!$B$72:$B$108,"&lt;="&amp;A53)/'08 Latency dist'!$C$13</f>
        <v>100</v>
      </c>
      <c r="D53" s="11" t="n">
        <f aca="false">IF(A53&lt;=0,0,100*NORMDIST(LN(A53),'08 Latency dist'!$B$18,'08 Latency dist'!$B$19,TRUE()))</f>
        <v>98.8391880781117</v>
      </c>
      <c r="E53" s="11" t="n">
        <f aca="false">IF(A53&lt;=0,0,100*NORMDIST(LN(A53),'08 Latency dist'!$C$18,'08 Latency dist'!$C$19,TRUE()))</f>
        <v>99.8136635032836</v>
      </c>
    </row>
    <row r="54" customFormat="false" ht="15" hidden="false" customHeight="false" outlineLevel="0" collapsed="false">
      <c r="A54" s="11" t="n">
        <v>5.2</v>
      </c>
      <c r="B54" s="11" t="n">
        <f aca="false">100*COUNTIFS(raw_reacquire!$B$2:$B$71,"&lt;="&amp;A54)/'08 Latency dist'!$B$13</f>
        <v>98.5714285714286</v>
      </c>
      <c r="C54" s="11" t="n">
        <f aca="false">100*COUNTIFS(raw_reacquire!$B$72:$B$108,"&lt;="&amp;A54)/'08 Latency dist'!$C$13</f>
        <v>100</v>
      </c>
      <c r="D54" s="11" t="n">
        <f aca="false">IF(A54&lt;=0,0,100*NORMDIST(LN(A54),'08 Latency dist'!$B$18,'08 Latency dist'!$B$19,TRUE()))</f>
        <v>98.8921577243348</v>
      </c>
      <c r="E54" s="11" t="n">
        <f aca="false">IF(A54&lt;=0,0,100*NORMDIST(LN(A54),'08 Latency dist'!$C$18,'08 Latency dist'!$C$19,TRUE()))</f>
        <v>99.8250059731852</v>
      </c>
    </row>
    <row r="55" customFormat="false" ht="15" hidden="false" customHeight="false" outlineLevel="0" collapsed="false">
      <c r="A55" s="11" t="n">
        <v>5.3</v>
      </c>
      <c r="B55" s="11" t="n">
        <f aca="false">100*COUNTIFS(raw_reacquire!$B$2:$B$71,"&lt;="&amp;A55)/'08 Latency dist'!$B$13</f>
        <v>98.5714285714286</v>
      </c>
      <c r="C55" s="11" t="n">
        <f aca="false">100*COUNTIFS(raw_reacquire!$B$72:$B$108,"&lt;="&amp;A55)/'08 Latency dist'!$C$13</f>
        <v>100</v>
      </c>
      <c r="D55" s="11" t="n">
        <f aca="false">IF(A55&lt;=0,0,100*NORMDIST(LN(A55),'08 Latency dist'!$B$18,'08 Latency dist'!$B$19,TRUE()))</f>
        <v>98.9420631391585</v>
      </c>
      <c r="E55" s="11" t="n">
        <f aca="false">IF(A55&lt;=0,0,100*NORMDIST(LN(A55),'08 Latency dist'!$C$18,'08 Latency dist'!$C$19,TRUE()))</f>
        <v>99.8355183652986</v>
      </c>
    </row>
    <row r="56" customFormat="false" ht="15" hidden="false" customHeight="false" outlineLevel="0" collapsed="false">
      <c r="A56" s="11" t="n">
        <v>5.4</v>
      </c>
      <c r="B56" s="11" t="n">
        <f aca="false">100*COUNTIFS(raw_reacquire!$B$2:$B$71,"&lt;="&amp;A56)/'08 Latency dist'!$B$13</f>
        <v>98.5714285714286</v>
      </c>
      <c r="C56" s="11" t="n">
        <f aca="false">100*COUNTIFS(raw_reacquire!$B$72:$B$108,"&lt;="&amp;A56)/'08 Latency dist'!$C$13</f>
        <v>100</v>
      </c>
      <c r="D56" s="11" t="n">
        <f aca="false">IF(A56&lt;=0,0,100*NORMDIST(LN(A56),'08 Latency dist'!$B$18,'08 Latency dist'!$B$19,TRUE()))</f>
        <v>98.9891202557694</v>
      </c>
      <c r="E56" s="11" t="n">
        <f aca="false">IF(A56&lt;=0,0,100*NORMDIST(LN(A56),'08 Latency dist'!$C$18,'08 Latency dist'!$C$19,TRUE()))</f>
        <v>99.8452718290606</v>
      </c>
    </row>
    <row r="57" customFormat="false" ht="15" hidden="false" customHeight="false" outlineLevel="0" collapsed="false">
      <c r="A57" s="11" t="n">
        <v>5.5</v>
      </c>
      <c r="B57" s="11" t="n">
        <f aca="false">100*COUNTIFS(raw_reacquire!$B$2:$B$71,"&lt;="&amp;A57)/'08 Latency dist'!$B$13</f>
        <v>98.5714285714286</v>
      </c>
      <c r="C57" s="11" t="n">
        <f aca="false">100*COUNTIFS(raw_reacquire!$B$72:$B$108,"&lt;="&amp;A57)/'08 Latency dist'!$C$13</f>
        <v>100</v>
      </c>
      <c r="D57" s="11" t="n">
        <f aca="false">IF(A57&lt;=0,0,100*NORMDIST(LN(A57),'08 Latency dist'!$B$18,'08 Latency dist'!$B$19,TRUE()))</f>
        <v>99.033527025527</v>
      </c>
      <c r="E57" s="11" t="n">
        <f aca="false">IF(A57&lt;=0,0,100*NORMDIST(LN(A57),'08 Latency dist'!$C$18,'08 Latency dist'!$C$19,TRUE()))</f>
        <v>99.8543305183149</v>
      </c>
    </row>
    <row r="58" customFormat="false" ht="15" hidden="false" customHeight="false" outlineLevel="0" collapsed="false">
      <c r="A58" s="11" t="n">
        <v>5.6</v>
      </c>
      <c r="B58" s="11" t="n">
        <f aca="false">100*COUNTIFS(raw_reacquire!$B$2:$B$71,"&lt;="&amp;A58)/'08 Latency dist'!$B$13</f>
        <v>98.5714285714286</v>
      </c>
      <c r="C58" s="11" t="n">
        <f aca="false">100*COUNTIFS(raw_reacquire!$B$72:$B$108,"&lt;="&amp;A58)/'08 Latency dist'!$C$13</f>
        <v>100</v>
      </c>
      <c r="D58" s="11" t="n">
        <f aca="false">IF(A58&lt;=0,0,100*NORMDIST(LN(A58),'08 Latency dist'!$B$18,'08 Latency dist'!$B$19,TRUE()))</f>
        <v>99.0754651463284</v>
      </c>
      <c r="E58" s="11" t="n">
        <f aca="false">IF(A58&lt;=0,0,100*NORMDIST(LN(A58),'08 Latency dist'!$C$18,'08 Latency dist'!$C$19,TRUE()))</f>
        <v>99.8627523671706</v>
      </c>
    </row>
    <row r="59" customFormat="false" ht="15" hidden="false" customHeight="false" outlineLevel="0" collapsed="false">
      <c r="A59" s="11" t="n">
        <v>5.7</v>
      </c>
      <c r="B59" s="11" t="n">
        <f aca="false">100*COUNTIFS(raw_reacquire!$B$2:$B$71,"&lt;="&amp;A59)/'08 Latency dist'!$B$13</f>
        <v>98.5714285714286</v>
      </c>
      <c r="C59" s="11" t="n">
        <f aca="false">100*COUNTIFS(raw_reacquire!$B$72:$B$108,"&lt;="&amp;A59)/'08 Latency dist'!$C$13</f>
        <v>100</v>
      </c>
      <c r="D59" s="11" t="n">
        <f aca="false">IF(A59&lt;=0,0,100*NORMDIST(LN(A59),'08 Latency dist'!$B$18,'08 Latency dist'!$B$19,TRUE()))</f>
        <v>99.1151016027652</v>
      </c>
      <c r="E59" s="11" t="n">
        <f aca="false">IF(A59&lt;=0,0,100*NORMDIST(LN(A59),'08 Latency dist'!$C$18,'08 Latency dist'!$C$19,TRUE()))</f>
        <v>99.8705897701244</v>
      </c>
    </row>
    <row r="60" customFormat="false" ht="15" hidden="false" customHeight="false" outlineLevel="0" collapsed="false">
      <c r="A60" s="11" t="n">
        <v>5.8</v>
      </c>
      <c r="B60" s="11" t="n">
        <f aca="false">100*COUNTIFS(raw_reacquire!$B$2:$B$71,"&lt;="&amp;A60)/'08 Latency dist'!$B$13</f>
        <v>98.5714285714286</v>
      </c>
      <c r="C60" s="11" t="n">
        <f aca="false">100*COUNTIFS(raw_reacquire!$B$72:$B$108,"&lt;="&amp;A60)/'08 Latency dist'!$C$13</f>
        <v>100</v>
      </c>
      <c r="D60" s="11" t="n">
        <f aca="false">IF(A60&lt;=0,0,100*NORMDIST(LN(A60),'08 Latency dist'!$B$18,'08 Latency dist'!$B$19,TRUE()))</f>
        <v>99.1525900409468</v>
      </c>
      <c r="E60" s="11" t="n">
        <f aca="false">IF(A60&lt;=0,0,100*NORMDIST(LN(A60),'08 Latency dist'!$C$18,'08 Latency dist'!$C$19,TRUE()))</f>
        <v>99.8778901794404</v>
      </c>
    </row>
    <row r="61" customFormat="false" ht="15" hidden="false" customHeight="false" outlineLevel="0" collapsed="false">
      <c r="A61" s="11" t="n">
        <v>5.9</v>
      </c>
      <c r="B61" s="11" t="n">
        <f aca="false">100*COUNTIFS(raw_reacquire!$B$2:$B$71,"&lt;="&amp;A61)/'08 Latency dist'!$B$13</f>
        <v>98.5714285714286</v>
      </c>
      <c r="C61" s="11" t="n">
        <f aca="false">100*COUNTIFS(raw_reacquire!$B$72:$B$108,"&lt;="&amp;A61)/'08 Latency dist'!$C$13</f>
        <v>100</v>
      </c>
      <c r="D61" s="11" t="n">
        <f aca="false">IF(A61&lt;=0,0,100*NORMDIST(LN(A61),'08 Latency dist'!$B$18,'08 Latency dist'!$B$19,TRUE()))</f>
        <v>99.1880719977979</v>
      </c>
      <c r="E61" s="11" t="n">
        <f aca="false">IF(A61&lt;=0,0,100*NORMDIST(LN(A61),'08 Latency dist'!$C$18,'08 Latency dist'!$C$19,TRUE()))</f>
        <v>99.8846966308613</v>
      </c>
    </row>
    <row r="62" customFormat="false" ht="15" hidden="false" customHeight="false" outlineLevel="0" collapsed="false">
      <c r="A62" s="11" t="n">
        <v>6</v>
      </c>
      <c r="B62" s="11" t="n">
        <f aca="false">100*COUNTIFS(raw_reacquire!$B$2:$B$71,"&lt;="&amp;A62)/'08 Latency dist'!$B$13</f>
        <v>98.5714285714286</v>
      </c>
      <c r="C62" s="11" t="n">
        <f aca="false">100*COUNTIFS(raw_reacquire!$B$72:$B$108,"&lt;="&amp;A62)/'08 Latency dist'!$C$13</f>
        <v>100</v>
      </c>
      <c r="D62" s="11" t="n">
        <f aca="false">IF(A62&lt;=0,0,100*NORMDIST(LN(A62),'08 Latency dist'!$B$18,'08 Latency dist'!$B$19,TRUE()))</f>
        <v>99.2216780020229</v>
      </c>
      <c r="E62" s="11" t="n">
        <f aca="false">IF(A62&lt;=0,0,100*NORMDIST(LN(A62),'08 Latency dist'!$C$18,'08 Latency dist'!$C$19,TRUE()))</f>
        <v>99.8910482071089</v>
      </c>
    </row>
    <row r="63" customFormat="false" ht="15" hidden="false" customHeight="false" outlineLevel="0" collapsed="false">
      <c r="A63" s="11" t="n">
        <v>6.1</v>
      </c>
      <c r="B63" s="11" t="n">
        <f aca="false">100*COUNTIFS(raw_reacquire!$B$2:$B$71,"&lt;="&amp;A63)/'08 Latency dist'!$B$13</f>
        <v>98.5714285714286</v>
      </c>
      <c r="C63" s="11" t="n">
        <f aca="false">100*COUNTIFS(raw_reacquire!$B$72:$B$108,"&lt;="&amp;A63)/'08 Latency dist'!$C$13</f>
        <v>100</v>
      </c>
      <c r="D63" s="11" t="n">
        <f aca="false">IF(A63&lt;=0,0,100*NORMDIST(LN(A63),'08 Latency dist'!$B$18,'08 Latency dist'!$B$19,TRUE()))</f>
        <v>99.2535285616896</v>
      </c>
      <c r="E63" s="11" t="n">
        <f aca="false">IF(A63&lt;=0,0,100*NORMDIST(LN(A63),'08 Latency dist'!$C$18,'08 Latency dist'!$C$19,TRUE()))</f>
        <v>99.896980447272</v>
      </c>
    </row>
    <row r="64" customFormat="false" ht="15" hidden="false" customHeight="false" outlineLevel="0" collapsed="false">
      <c r="A64" s="11" t="n">
        <v>6.2</v>
      </c>
      <c r="B64" s="11" t="n">
        <f aca="false">100*COUNTIFS(raw_reacquire!$B$2:$B$71,"&lt;="&amp;A64)/'08 Latency dist'!$B$13</f>
        <v>100</v>
      </c>
      <c r="C64" s="11" t="n">
        <f aca="false">100*COUNTIFS(raw_reacquire!$B$72:$B$108,"&lt;="&amp;A64)/'08 Latency dist'!$C$13</f>
        <v>100</v>
      </c>
      <c r="D64" s="11" t="n">
        <f aca="false">IF(A64&lt;=0,0,100*NORMDIST(LN(A64),'08 Latency dist'!$B$18,'08 Latency dist'!$B$19,TRUE()))</f>
        <v>99.2837350514636</v>
      </c>
      <c r="E64" s="11" t="n">
        <f aca="false">IF(A64&lt;=0,0,100*NORMDIST(LN(A64),'08 Latency dist'!$C$18,'08 Latency dist'!$C$19,TRUE()))</f>
        <v>99.9025257090313</v>
      </c>
    </row>
    <row r="65" customFormat="false" ht="15" hidden="false" customHeight="false" outlineLevel="0" collapsed="false">
      <c r="A65" s="11" t="n">
        <v>6.3</v>
      </c>
      <c r="B65" s="11" t="n">
        <f aca="false">100*COUNTIFS(raw_reacquire!$B$2:$B$71,"&lt;="&amp;A65)/'08 Latency dist'!$B$13</f>
        <v>100</v>
      </c>
      <c r="C65" s="11" t="n">
        <f aca="false">100*COUNTIFS(raw_reacquire!$B$72:$B$108,"&lt;="&amp;A65)/'08 Latency dist'!$C$13</f>
        <v>100</v>
      </c>
      <c r="D65" s="11" t="n">
        <f aca="false">IF(A65&lt;=0,0,100*NORMDIST(LN(A65),'08 Latency dist'!$B$18,'08 Latency dist'!$B$19,TRUE()))</f>
        <v>99.3124005108737</v>
      </c>
      <c r="E65" s="11" t="n">
        <f aca="false">IF(A65&lt;=0,0,100*NORMDIST(LN(A65),'08 Latency dist'!$C$18,'08 Latency dist'!$C$19,TRUE()))</f>
        <v>99.9077134896985</v>
      </c>
    </row>
    <row r="66" customFormat="false" ht="15" hidden="false" customHeight="false" outlineLevel="0" collapsed="false">
      <c r="A66" s="11" t="n">
        <v>6.4</v>
      </c>
      <c r="B66" s="11" t="n">
        <f aca="false">100*COUNTIFS(raw_reacquire!$B$2:$B$71,"&lt;="&amp;A66)/'08 Latency dist'!$B$13</f>
        <v>100</v>
      </c>
      <c r="C66" s="11" t="n">
        <f aca="false">100*COUNTIFS(raw_reacquire!$B$72:$B$108,"&lt;="&amp;A66)/'08 Latency dist'!$C$13</f>
        <v>100</v>
      </c>
      <c r="D66" s="11" t="n">
        <f aca="false">IF(A66&lt;=0,0,100*NORMDIST(LN(A66),'08 Latency dist'!$B$18,'08 Latency dist'!$B$19,TRUE()))</f>
        <v>99.3396203635656</v>
      </c>
      <c r="E66" s="11" t="n">
        <f aca="false">IF(A66&lt;=0,0,100*NORMDIST(LN(A66),'08 Latency dist'!$C$18,'08 Latency dist'!$C$19,TRUE()))</f>
        <v>99.9125707112204</v>
      </c>
    </row>
    <row r="67" customFormat="false" ht="15" hidden="false" customHeight="false" outlineLevel="0" collapsed="false">
      <c r="A67" s="11" t="n">
        <v>6.5</v>
      </c>
      <c r="B67" s="11" t="n">
        <f aca="false">100*COUNTIFS(raw_reacquire!$B$2:$B$71,"&lt;="&amp;A67)/'08 Latency dist'!$B$13</f>
        <v>100</v>
      </c>
      <c r="C67" s="11" t="n">
        <f aca="false">100*COUNTIFS(raw_reacquire!$B$72:$B$108,"&lt;="&amp;A67)/'08 Latency dist'!$C$13</f>
        <v>100</v>
      </c>
      <c r="D67" s="11" t="n">
        <f aca="false">IF(A67&lt;=0,0,100*NORMDIST(LN(A67),'08 Latency dist'!$B$18,'08 Latency dist'!$B$19,TRUE()))</f>
        <v>99.3654830662713</v>
      </c>
      <c r="E67" s="11" t="n">
        <f aca="false">IF(A67&lt;=0,0,100*NORMDIST(LN(A67),'08 Latency dist'!$C$18,'08 Latency dist'!$C$19,TRUE()))</f>
        <v>99.917121973598</v>
      </c>
    </row>
    <row r="69" customFormat="false" ht="15" hidden="false" customHeight="false" outlineLevel="0" collapsed="false">
      <c r="A69" s="13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8" t="s">
        <v>47</v>
      </c>
      <c r="B1" s="8" t="s">
        <v>414</v>
      </c>
      <c r="C1" s="8" t="s">
        <v>415</v>
      </c>
      <c r="D1" s="8" t="s">
        <v>416</v>
      </c>
      <c r="E1" s="8" t="s">
        <v>417</v>
      </c>
    </row>
    <row r="2" customFormat="false" ht="15" hidden="false" customHeight="false" outlineLevel="0" collapsed="false">
      <c r="A2" s="4" t="n">
        <v>0</v>
      </c>
      <c r="B2" s="4" t="n">
        <f aca="false">COUNTIFS(raw_stand_bench!$E$2:$E$46,"&gt;="&amp;A2-1,raw_stand_bench!$E$2:$E$46,"&lt;"&amp;A2+1)</f>
        <v>1</v>
      </c>
      <c r="C2" s="4" t="n">
        <f aca="false">COUNTIFS(raw_stand_bench!$E$47:$E$91,"&gt;="&amp;A2-1,raw_stand_bench!$E$47:$E$91,"&lt;"&amp;A2+1)</f>
        <v>27</v>
      </c>
      <c r="D2" s="11" t="n">
        <f aca="false">$B$24*(NORMDIST(A2+1,$B$25,$B$26,TRUE())-NORMDIST(A2-1,$B$25,$B$26,TRUE()))</f>
        <v>0.842808779271349</v>
      </c>
      <c r="E2" s="11" t="n">
        <f aca="false">$C$24*(NORMDIST(A2+1,$C$25,$C$26,TRUE())-NORMDIST(A2-1,$C$25,$C$26,TRUE()))</f>
        <v>16.3614359597183</v>
      </c>
    </row>
    <row r="3" customFormat="false" ht="15" hidden="false" customHeight="false" outlineLevel="0" collapsed="false">
      <c r="A3" s="4" t="n">
        <v>2</v>
      </c>
      <c r="B3" s="4" t="n">
        <f aca="false">COUNTIFS(raw_stand_bench!$E$2:$E$46,"&gt;="&amp;A3-1,raw_stand_bench!$E$2:$E$46,"&lt;"&amp;A3+1)</f>
        <v>2</v>
      </c>
      <c r="C3" s="4" t="n">
        <f aca="false">COUNTIFS(raw_stand_bench!$E$47:$E$91,"&gt;="&amp;A3-1,raw_stand_bench!$E$47:$E$91,"&lt;"&amp;A3+1)</f>
        <v>12</v>
      </c>
      <c r="D3" s="11" t="n">
        <f aca="false">$B$24*(NORMDIST(A3+1,$B$25,$B$26,TRUE())-NORMDIST(A3-1,$B$25,$B$26,TRUE()))</f>
        <v>1.48653723662746</v>
      </c>
      <c r="E3" s="11" t="n">
        <f aca="false">$C$24*(NORMDIST(A3+1,$C$25,$C$26,TRUE())-NORMDIST(A3-1,$C$25,$C$26,TRUE()))</f>
        <v>18.0479091092792</v>
      </c>
    </row>
    <row r="4" customFormat="false" ht="15" hidden="false" customHeight="false" outlineLevel="0" collapsed="false">
      <c r="A4" s="4" t="n">
        <v>4</v>
      </c>
      <c r="B4" s="4" t="n">
        <f aca="false">COUNTIFS(raw_stand_bench!$E$2:$E$46,"&gt;="&amp;A4-1,raw_stand_bench!$E$2:$E$46,"&lt;"&amp;A4+1)</f>
        <v>0</v>
      </c>
      <c r="C4" s="4" t="n">
        <f aca="false">COUNTIFS(raw_stand_bench!$E$47:$E$91,"&gt;="&amp;A4-1,raw_stand_bench!$E$47:$E$91,"&lt;"&amp;A4+1)</f>
        <v>4</v>
      </c>
      <c r="D4" s="11" t="n">
        <f aca="false">$B$24*(NORMDIST(A4+1,$B$25,$B$26,TRUE())-NORMDIST(A4-1,$B$25,$B$26,TRUE()))</f>
        <v>2.37254301248113</v>
      </c>
      <c r="E4" s="11" t="n">
        <f aca="false">$C$24*(NORMDIST(A4+1,$C$25,$C$26,TRUE())-NORMDIST(A4-1,$C$25,$C$26,TRUE()))</f>
        <v>5.61949438273469</v>
      </c>
    </row>
    <row r="5" customFormat="false" ht="15" hidden="false" customHeight="false" outlineLevel="0" collapsed="false">
      <c r="A5" s="4" t="n">
        <v>6</v>
      </c>
      <c r="B5" s="4" t="n">
        <f aca="false">COUNTIFS(raw_stand_bench!$E$2:$E$46,"&gt;="&amp;A5-1,raw_stand_bench!$E$2:$E$46,"&lt;"&amp;A5+1)</f>
        <v>7</v>
      </c>
      <c r="C5" s="4" t="n">
        <f aca="false">COUNTIFS(raw_stand_bench!$E$47:$E$91,"&gt;="&amp;A5-1,raw_stand_bench!$E$47:$E$91,"&lt;"&amp;A5+1)</f>
        <v>2</v>
      </c>
      <c r="D5" s="11" t="n">
        <f aca="false">$B$24*(NORMDIST(A5+1,$B$25,$B$26,TRUE())-NORMDIST(A5-1,$B$25,$B$26,TRUE()))</f>
        <v>3.4264599218896</v>
      </c>
      <c r="E5" s="11" t="n">
        <f aca="false">$C$24*(NORMDIST(A5+1,$C$25,$C$26,TRUE())-NORMDIST(A5-1,$C$25,$C$26,TRUE()))</f>
        <v>0.483146900869536</v>
      </c>
    </row>
    <row r="6" customFormat="false" ht="15" hidden="false" customHeight="false" outlineLevel="0" collapsed="false">
      <c r="A6" s="4" t="n">
        <v>8</v>
      </c>
      <c r="B6" s="4" t="n">
        <f aca="false">COUNTIFS(raw_stand_bench!$E$2:$E$46,"&gt;="&amp;A6-1,raw_stand_bench!$E$2:$E$46,"&lt;"&amp;A6+1)</f>
        <v>9</v>
      </c>
      <c r="C6" s="4" t="n">
        <f aca="false">COUNTIFS(raw_stand_bench!$E$47:$E$91,"&gt;="&amp;A6-1,raw_stand_bench!$E$47:$E$91,"&lt;"&amp;A6+1)</f>
        <v>0</v>
      </c>
      <c r="D6" s="11" t="n">
        <f aca="false">$B$24*(NORMDIST(A6+1,$B$25,$B$26,TRUE())-NORMDIST(A6-1,$B$25,$B$26,TRUE()))</f>
        <v>4.4778735191024</v>
      </c>
      <c r="E6" s="11" t="n">
        <f aca="false">$C$24*(NORMDIST(A6+1,$C$25,$C$26,TRUE())-NORMDIST(A6-1,$C$25,$C$26,TRUE()))</f>
        <v>0.0111028808743469</v>
      </c>
    </row>
    <row r="7" customFormat="false" ht="15" hidden="false" customHeight="false" outlineLevel="0" collapsed="false">
      <c r="A7" s="4" t="n">
        <v>10</v>
      </c>
      <c r="B7" s="4" t="n">
        <f aca="false">COUNTIFS(raw_stand_bench!$E$2:$E$46,"&gt;="&amp;A7-1,raw_stand_bench!$E$2:$E$46,"&lt;"&amp;A7+1)</f>
        <v>1</v>
      </c>
      <c r="C7" s="4" t="n">
        <f aca="false">COUNTIFS(raw_stand_bench!$E$47:$E$91,"&gt;="&amp;A7-1,raw_stand_bench!$E$47:$E$91,"&lt;"&amp;A7+1)</f>
        <v>0</v>
      </c>
      <c r="D7" s="11" t="n">
        <f aca="false">$B$24*(NORMDIST(A7+1,$B$25,$B$26,TRUE())-NORMDIST(A7-1,$B$25,$B$26,TRUE()))</f>
        <v>5.29533666591449</v>
      </c>
      <c r="E7" s="11" t="n">
        <f aca="false">$C$24*(NORMDIST(A7+1,$C$25,$C$26,TRUE())-NORMDIST(A7-1,$C$25,$C$26,TRUE()))</f>
        <v>6.62067313272896E-005</v>
      </c>
    </row>
    <row r="8" customFormat="false" ht="15" hidden="false" customHeight="false" outlineLevel="0" collapsed="false">
      <c r="A8" s="4" t="n">
        <v>12</v>
      </c>
      <c r="B8" s="4" t="n">
        <f aca="false">COUNTIFS(raw_stand_bench!$E$2:$E$46,"&gt;="&amp;A8-1,raw_stand_bench!$E$2:$E$46,"&lt;"&amp;A8+1)</f>
        <v>3</v>
      </c>
      <c r="C8" s="4" t="n">
        <f aca="false">COUNTIFS(raw_stand_bench!$E$47:$E$91,"&gt;="&amp;A8-1,raw_stand_bench!$E$47:$E$91,"&lt;"&amp;A8+1)</f>
        <v>0</v>
      </c>
      <c r="D8" s="11" t="n">
        <f aca="false">$B$24*(NORMDIST(A8+1,$B$25,$B$26,TRUE())-NORMDIST(A8-1,$B$25,$B$26,TRUE()))</f>
        <v>5.66645622695872</v>
      </c>
      <c r="E8" s="11" t="n">
        <f aca="false">$C$24*(NORMDIST(A8+1,$C$25,$C$26,TRUE())-NORMDIST(A8-1,$C$25,$C$26,TRUE()))</f>
        <v>1.0024318375379E-007</v>
      </c>
    </row>
    <row r="9" customFormat="false" ht="15" hidden="false" customHeight="false" outlineLevel="0" collapsed="false">
      <c r="A9" s="4" t="n">
        <v>14</v>
      </c>
      <c r="B9" s="4" t="n">
        <f aca="false">COUNTIFS(raw_stand_bench!$E$2:$E$46,"&gt;="&amp;A9-1,raw_stand_bench!$E$2:$E$46,"&lt;"&amp;A9+1)</f>
        <v>6</v>
      </c>
      <c r="C9" s="4" t="n">
        <f aca="false">COUNTIFS(raw_stand_bench!$E$47:$E$91,"&gt;="&amp;A9-1,raw_stand_bench!$E$47:$E$91,"&lt;"&amp;A9+1)</f>
        <v>0</v>
      </c>
      <c r="D9" s="11" t="n">
        <f aca="false">$B$24*(NORMDIST(A9+1,$B$25,$B$26,TRUE())-NORMDIST(A9-1,$B$25,$B$26,TRUE()))</f>
        <v>5.48688625310278</v>
      </c>
      <c r="E9" s="11" t="n">
        <f aca="false">$C$24*(NORMDIST(A9+1,$C$25,$C$26,TRUE())-NORMDIST(A9-1,$C$25,$C$26,TRUE()))</f>
        <v>3.79846154530128E-011</v>
      </c>
    </row>
    <row r="10" customFormat="false" ht="15" hidden="false" customHeight="false" outlineLevel="0" collapsed="false">
      <c r="A10" s="4" t="n">
        <v>16</v>
      </c>
      <c r="B10" s="4" t="n">
        <f aca="false">COUNTIFS(raw_stand_bench!$E$2:$E$46,"&gt;="&amp;A10-1,raw_stand_bench!$E$2:$E$46,"&lt;"&amp;A10+1)</f>
        <v>5</v>
      </c>
      <c r="C10" s="4" t="n">
        <f aca="false">COUNTIFS(raw_stand_bench!$E$47:$E$91,"&gt;="&amp;A10-1,raw_stand_bench!$E$47:$E$91,"&lt;"&amp;A10+1)</f>
        <v>0</v>
      </c>
      <c r="D10" s="11" t="n">
        <f aca="false">$B$24*(NORMDIST(A10+1,$B$25,$B$26,TRUE())-NORMDIST(A10-1,$B$25,$B$26,TRUE()))</f>
        <v>4.80769285285194</v>
      </c>
      <c r="E10" s="11" t="n">
        <f aca="false">$C$24*(NORMDIST(A10+1,$C$25,$C$26,TRUE())-NORMDIST(A10-1,$C$25,$C$26,TRUE()))</f>
        <v>0</v>
      </c>
    </row>
    <row r="11" customFormat="false" ht="15" hidden="false" customHeight="false" outlineLevel="0" collapsed="false">
      <c r="A11" s="4" t="n">
        <v>18</v>
      </c>
      <c r="B11" s="4" t="n">
        <f aca="false">COUNTIFS(raw_stand_bench!$E$2:$E$46,"&gt;="&amp;A11-1,raw_stand_bench!$E$2:$E$46,"&lt;"&amp;A11+1)</f>
        <v>3</v>
      </c>
      <c r="C11" s="4" t="n">
        <f aca="false">COUNTIFS(raw_stand_bench!$E$47:$E$91,"&gt;="&amp;A11-1,raw_stand_bench!$E$47:$E$91,"&lt;"&amp;A11+1)</f>
        <v>0</v>
      </c>
      <c r="D11" s="11" t="n">
        <f aca="false">$B$24*(NORMDIST(A11+1,$B$25,$B$26,TRUE())-NORMDIST(A11-1,$B$25,$B$26,TRUE()))</f>
        <v>3.81191599967439</v>
      </c>
      <c r="E11" s="11" t="n">
        <f aca="false">$C$24*(NORMDIST(A11+1,$C$25,$C$26,TRUE())-NORMDIST(A11-1,$C$25,$C$26,TRUE()))</f>
        <v>0</v>
      </c>
    </row>
    <row r="12" customFormat="false" ht="15" hidden="false" customHeight="false" outlineLevel="0" collapsed="false">
      <c r="A12" s="4" t="n">
        <v>20</v>
      </c>
      <c r="B12" s="4" t="n">
        <f aca="false">COUNTIFS(raw_stand_bench!$E$2:$E$46,"&gt;="&amp;A12-1,raw_stand_bench!$E$2:$E$46,"&lt;"&amp;A12+1)</f>
        <v>4</v>
      </c>
      <c r="C12" s="4" t="n">
        <f aca="false">COUNTIFS(raw_stand_bench!$E$47:$E$91,"&gt;="&amp;A12-1,raw_stand_bench!$E$47:$E$91,"&lt;"&amp;A12+1)</f>
        <v>0</v>
      </c>
      <c r="D12" s="11" t="n">
        <f aca="false">$B$24*(NORMDIST(A12+1,$B$25,$B$26,TRUE())-NORMDIST(A12-1,$B$25,$B$26,TRUE()))</f>
        <v>2.7349218766275</v>
      </c>
      <c r="E12" s="11" t="n">
        <f aca="false">$C$24*(NORMDIST(A12+1,$C$25,$C$26,TRUE())-NORMDIST(A12-1,$C$25,$C$26,TRUE()))</f>
        <v>0</v>
      </c>
    </row>
    <row r="13" customFormat="false" ht="15" hidden="false" customHeight="false" outlineLevel="0" collapsed="false">
      <c r="A13" s="4" t="n">
        <v>22</v>
      </c>
      <c r="B13" s="4" t="n">
        <f aca="false">COUNTIFS(raw_stand_bench!$E$2:$E$46,"&gt;="&amp;A13-1,raw_stand_bench!$E$2:$E$46,"&lt;"&amp;A13+1)</f>
        <v>2</v>
      </c>
      <c r="C13" s="4" t="n">
        <f aca="false">COUNTIFS(raw_stand_bench!$E$47:$E$91,"&gt;="&amp;A13-1,raw_stand_bench!$E$47:$E$91,"&lt;"&amp;A13+1)</f>
        <v>0</v>
      </c>
      <c r="D13" s="11" t="n">
        <f aca="false">$B$24*(NORMDIST(A13+1,$B$25,$B$26,TRUE())-NORMDIST(A13-1,$B$25,$B$26,TRUE()))</f>
        <v>1.77558025603428</v>
      </c>
      <c r="E13" s="11" t="n">
        <f aca="false">$C$24*(NORMDIST(A13+1,$C$25,$C$26,TRUE())-NORMDIST(A13-1,$C$25,$C$26,TRUE()))</f>
        <v>0</v>
      </c>
    </row>
    <row r="14" customFormat="false" ht="15" hidden="false" customHeight="false" outlineLevel="0" collapsed="false">
      <c r="A14" s="4" t="n">
        <v>24</v>
      </c>
      <c r="B14" s="4" t="n">
        <f aca="false">COUNTIFS(raw_stand_bench!$E$2:$E$46,"&gt;="&amp;A14-1,raw_stand_bench!$E$2:$E$46,"&lt;"&amp;A14+1)</f>
        <v>1</v>
      </c>
      <c r="C14" s="4" t="n">
        <f aca="false">COUNTIFS(raw_stand_bench!$E$47:$E$91,"&gt;="&amp;A14-1,raw_stand_bench!$E$47:$E$91,"&lt;"&amp;A14+1)</f>
        <v>0</v>
      </c>
      <c r="D14" s="11" t="n">
        <f aca="false">$B$24*(NORMDIST(A14+1,$B$25,$B$26,TRUE())-NORMDIST(A14-1,$B$25,$B$26,TRUE()))</f>
        <v>1.0431046800638</v>
      </c>
      <c r="E14" s="11" t="n">
        <f aca="false">$C$24*(NORMDIST(A14+1,$C$25,$C$26,TRUE())-NORMDIST(A14-1,$C$25,$C$26,TRUE()))</f>
        <v>0</v>
      </c>
    </row>
    <row r="15" customFormat="false" ht="15" hidden="false" customHeight="false" outlineLevel="0" collapsed="false">
      <c r="A15" s="4" t="n">
        <v>26</v>
      </c>
      <c r="B15" s="4" t="n">
        <f aca="false">COUNTIFS(raw_stand_bench!$E$2:$E$46,"&gt;="&amp;A15-1,raw_stand_bench!$E$2:$E$46,"&lt;"&amp;A15+1)</f>
        <v>1</v>
      </c>
      <c r="C15" s="4" t="n">
        <f aca="false">COUNTIFS(raw_stand_bench!$E$47:$E$91,"&gt;="&amp;A15-1,raw_stand_bench!$E$47:$E$91,"&lt;"&amp;A15+1)</f>
        <v>0</v>
      </c>
      <c r="D15" s="11" t="n">
        <f aca="false">$B$24*(NORMDIST(A15+1,$B$25,$B$26,TRUE())-NORMDIST(A15-1,$B$25,$B$26,TRUE()))</f>
        <v>0.554505377782775</v>
      </c>
      <c r="E15" s="11" t="n">
        <f aca="false">$C$24*(NORMDIST(A15+1,$C$25,$C$26,TRUE())-NORMDIST(A15-1,$C$25,$C$26,TRUE()))</f>
        <v>0</v>
      </c>
    </row>
    <row r="16" customFormat="false" ht="15" hidden="false" customHeight="false" outlineLevel="0" collapsed="false">
      <c r="A16" s="4" t="n">
        <v>28</v>
      </c>
      <c r="B16" s="4" t="n">
        <f aca="false">COUNTIFS(raw_stand_bench!$E$2:$E$46,"&gt;="&amp;A16-1,raw_stand_bench!$E$2:$E$46,"&lt;"&amp;A16+1)</f>
        <v>0</v>
      </c>
      <c r="C16" s="4" t="n">
        <f aca="false">COUNTIFS(raw_stand_bench!$E$47:$E$91,"&gt;="&amp;A16-1,raw_stand_bench!$E$47:$E$91,"&lt;"&amp;A16+1)</f>
        <v>0</v>
      </c>
      <c r="D16" s="11" t="n">
        <f aca="false">$B$24*(NORMDIST(A16+1,$B$25,$B$26,TRUE())-NORMDIST(A16-1,$B$25,$B$26,TRUE()))</f>
        <v>0.266729867489275</v>
      </c>
      <c r="E16" s="11" t="n">
        <f aca="false">$C$24*(NORMDIST(A16+1,$C$25,$C$26,TRUE())-NORMDIST(A16-1,$C$25,$C$26,TRUE()))</f>
        <v>0</v>
      </c>
    </row>
    <row r="17" customFormat="false" ht="15" hidden="false" customHeight="false" outlineLevel="0" collapsed="false">
      <c r="A17" s="4" t="n">
        <v>30</v>
      </c>
      <c r="B17" s="4" t="n">
        <f aca="false">COUNTIFS(raw_stand_bench!$E$2:$E$46,"&gt;="&amp;A17-1,raw_stand_bench!$E$2:$E$46,"&lt;"&amp;A17+1)</f>
        <v>0</v>
      </c>
      <c r="C17" s="4" t="n">
        <f aca="false">COUNTIFS(raw_stand_bench!$E$47:$E$91,"&gt;="&amp;A17-1,raw_stand_bench!$E$47:$E$91,"&lt;"&amp;A17+1)</f>
        <v>0</v>
      </c>
      <c r="D17" s="11" t="n">
        <f aca="false">$B$24*(NORMDIST(A17+1,$B$25,$B$26,TRUE())-NORMDIST(A17-1,$B$25,$B$26,TRUE()))</f>
        <v>0.116097524874367</v>
      </c>
      <c r="E17" s="11" t="n">
        <f aca="false">$C$24*(NORMDIST(A17+1,$C$25,$C$26,TRUE())-NORMDIST(A17-1,$C$25,$C$26,TRUE()))</f>
        <v>0</v>
      </c>
    </row>
    <row r="18" customFormat="false" ht="15" hidden="false" customHeight="false" outlineLevel="0" collapsed="false">
      <c r="A18" s="4" t="n">
        <v>32</v>
      </c>
      <c r="B18" s="4" t="n">
        <f aca="false">COUNTIFS(raw_stand_bench!$E$2:$E$46,"&gt;="&amp;A18-1,raw_stand_bench!$E$2:$E$46,"&lt;"&amp;A18+1)</f>
        <v>0</v>
      </c>
      <c r="C18" s="4" t="n">
        <f aca="false">COUNTIFS(raw_stand_bench!$E$47:$E$91,"&gt;="&amp;A18-1,raw_stand_bench!$E$47:$E$91,"&lt;"&amp;A18+1)</f>
        <v>0</v>
      </c>
      <c r="D18" s="11" t="n">
        <f aca="false">$B$24*(NORMDIST(A18+1,$B$25,$B$26,TRUE())-NORMDIST(A18-1,$B$25,$B$26,TRUE()))</f>
        <v>0.0457253234612176</v>
      </c>
      <c r="E18" s="11" t="n">
        <f aca="false">$C$24*(NORMDIST(A18+1,$C$25,$C$26,TRUE())-NORMDIST(A18-1,$C$25,$C$26,TRUE()))</f>
        <v>0</v>
      </c>
    </row>
    <row r="19" customFormat="false" ht="15" hidden="false" customHeight="false" outlineLevel="0" collapsed="false">
      <c r="A19" s="12" t="s">
        <v>133</v>
      </c>
      <c r="B19" s="12" t="n">
        <f aca="false">SUM(B2:B18)</f>
        <v>45</v>
      </c>
      <c r="C19" s="12" t="n">
        <f aca="false">SUM(C2:C18)</f>
        <v>45</v>
      </c>
    </row>
    <row r="20" customFormat="false" ht="15" hidden="false" customHeight="false" outlineLevel="0" collapsed="false">
      <c r="A20" s="13" t="s">
        <v>418</v>
      </c>
    </row>
    <row r="23" customFormat="false" ht="15" hidden="false" customHeight="false" outlineLevel="0" collapsed="false">
      <c r="A23" s="8" t="s">
        <v>419</v>
      </c>
      <c r="B23" s="8" t="s">
        <v>153</v>
      </c>
      <c r="C23" s="8" t="s">
        <v>420</v>
      </c>
      <c r="D23" s="8" t="s">
        <v>361</v>
      </c>
    </row>
    <row r="24" customFormat="false" ht="15" hidden="false" customHeight="false" outlineLevel="0" collapsed="false">
      <c r="A24" s="4" t="s">
        <v>421</v>
      </c>
      <c r="B24" s="4" t="n">
        <f aca="false">COUNT(raw_stand_bench!$E$2:$E$46)</f>
        <v>45</v>
      </c>
      <c r="C24" s="4" t="n">
        <f aca="false">COUNT(raw_stand_bench!$E$47:$E$91)</f>
        <v>45</v>
      </c>
    </row>
    <row r="25" customFormat="false" ht="15" hidden="false" customHeight="false" outlineLevel="0" collapsed="false">
      <c r="A25" s="4" t="s">
        <v>422</v>
      </c>
      <c r="B25" s="15" t="n">
        <f aca="false">AVERAGE(raw_stand_bench!$E$2:$E$46)</f>
        <v>12.3555555555556</v>
      </c>
      <c r="C25" s="15" t="n">
        <f aca="false">AVERAGE(raw_stand_bench!$E$47:$E$91)</f>
        <v>1.15555555555556</v>
      </c>
    </row>
    <row r="26" customFormat="false" ht="15" hidden="false" customHeight="false" outlineLevel="0" collapsed="false">
      <c r="A26" s="4" t="s">
        <v>423</v>
      </c>
      <c r="B26" s="15" t="n">
        <f aca="false">STDEV(raw_stand_bench!$E$2:$E$46)</f>
        <v>6.29991181596131</v>
      </c>
      <c r="C26" s="15" t="n">
        <f aca="false">STDEV(raw_stand_bench!$E$47:$E$91)</f>
        <v>1.67814231105756</v>
      </c>
    </row>
    <row r="27" customFormat="false" ht="15" hidden="false" customHeight="false" outlineLevel="0" collapsed="false">
      <c r="A27" s="4" t="s">
        <v>424</v>
      </c>
      <c r="B27" s="15" t="n">
        <f aca="false">TINV(0.05,B24-1)*B26/SQRT(B24)</f>
        <v>1.89270304294595</v>
      </c>
      <c r="C27" s="15" t="n">
        <f aca="false">TINV(0.05,C24-1)*C26/SQRT(C24)</f>
        <v>0.504169764819214</v>
      </c>
    </row>
    <row r="28" customFormat="false" ht="15" hidden="false" customHeight="false" outlineLevel="0" collapsed="false">
      <c r="A28" s="4" t="s">
        <v>408</v>
      </c>
      <c r="B28" s="15" t="n">
        <f aca="false">B25-B27</f>
        <v>10.4628525126096</v>
      </c>
      <c r="C28" s="15" t="n">
        <f aca="false">C25-C27</f>
        <v>0.651385790736342</v>
      </c>
    </row>
    <row r="29" customFormat="false" ht="15" hidden="false" customHeight="false" outlineLevel="0" collapsed="false">
      <c r="A29" s="4" t="s">
        <v>410</v>
      </c>
      <c r="B29" s="15" t="n">
        <f aca="false">B25+B27</f>
        <v>14.2482585985015</v>
      </c>
      <c r="C29" s="15" t="n">
        <f aca="false">C25+C27</f>
        <v>1.65972532037477</v>
      </c>
    </row>
    <row r="30" customFormat="false" ht="15" hidden="false" customHeight="false" outlineLevel="0" collapsed="false">
      <c r="A30" s="4" t="s">
        <v>425</v>
      </c>
      <c r="B30" s="4" t="n">
        <f aca="false">COUNTIF(raw_stand_bench!$E$2:$E$46,0)</f>
        <v>1</v>
      </c>
      <c r="C30" s="4" t="n">
        <f aca="false">COUNTIF(raw_stand_bench!$E$47:$E$91,0)</f>
        <v>27</v>
      </c>
    </row>
    <row r="32" customFormat="false" ht="15" hidden="false" customHeight="false" outlineLevel="0" collapsed="false">
      <c r="A32" s="4" t="s">
        <v>426</v>
      </c>
      <c r="B32" s="15" t="n">
        <f aca="false">C25-B25</f>
        <v>-11.2</v>
      </c>
    </row>
    <row r="33" customFormat="false" ht="15" hidden="false" customHeight="false" outlineLevel="0" collapsed="false">
      <c r="A33" s="4" t="s">
        <v>427</v>
      </c>
      <c r="B33" s="14" t="n">
        <f aca="false">100*(C25/B25-1)</f>
        <v>-90.6474820143885</v>
      </c>
    </row>
    <row r="34" customFormat="false" ht="15" hidden="false" customHeight="false" outlineLevel="0" collapsed="false">
      <c r="A34" s="4" t="s">
        <v>428</v>
      </c>
      <c r="B34" s="15" t="n">
        <f aca="false">(B25-C25)/SQRT(B26^2/B24+C26^2/C24)</f>
        <v>11.5240202110676</v>
      </c>
    </row>
    <row r="35" customFormat="false" ht="15" hidden="false" customHeight="false" outlineLevel="0" collapsed="false">
      <c r="A35" s="4" t="s">
        <v>382</v>
      </c>
      <c r="B35" s="11" t="n">
        <f aca="false">(B26^2/B24+C26^2/C24)^2/((B26^2/B24)^2/(B24-1)+(C26^2/C24)^2/(C24-1))</f>
        <v>50.2128408862716</v>
      </c>
    </row>
    <row r="36" customFormat="false" ht="15" hidden="false" customHeight="false" outlineLevel="0" collapsed="false">
      <c r="A36" s="4" t="s">
        <v>429</v>
      </c>
      <c r="B36" s="17" t="n">
        <f aca="false">TDIST(ABS(B34),B35,2)</f>
        <v>1.09962428919277E-015</v>
      </c>
    </row>
    <row r="37" customFormat="false" ht="15" hidden="false" customHeight="false" outlineLevel="0" collapsed="false">
      <c r="A37" s="4" t="s">
        <v>430</v>
      </c>
      <c r="B37" s="15" t="n">
        <f aca="false">(B25-C25)/SQRT((B26^2+C26^2)/2)</f>
        <v>2.4294767779192</v>
      </c>
      <c r="D37" s="13" t="s">
        <v>431</v>
      </c>
    </row>
    <row r="38" customFormat="false" ht="15" hidden="false" customHeight="false" outlineLevel="0" collapsed="false">
      <c r="A38" s="4" t="s">
        <v>432</v>
      </c>
      <c r="B38" s="17" t="n">
        <v>6E-015</v>
      </c>
      <c r="D38" s="13" t="s">
        <v>433</v>
      </c>
    </row>
    <row r="40" customFormat="false" ht="15" hidden="false" customHeight="false" outlineLevel="0" collapsed="false">
      <c r="A40" s="8" t="s">
        <v>434</v>
      </c>
      <c r="B40" s="8" t="s">
        <v>435</v>
      </c>
      <c r="C40" s="8" t="s">
        <v>436</v>
      </c>
      <c r="D40" s="8" t="s">
        <v>437</v>
      </c>
      <c r="E40" s="8" t="s">
        <v>438</v>
      </c>
    </row>
    <row r="41" customFormat="false" ht="15" hidden="false" customHeight="false" outlineLevel="0" collapsed="false">
      <c r="A41" s="4" t="s">
        <v>439</v>
      </c>
      <c r="B41" s="11" t="n">
        <f aca="false">1*AVERAGE(raw_stand_bench!$F$2:$F$46)</f>
        <v>3.73333333333333</v>
      </c>
      <c r="C41" s="11" t="n">
        <f aca="false">1*STDEV(raw_stand_bench!$F$2:$F$46)</f>
        <v>3.68288424521276</v>
      </c>
      <c r="D41" s="11" t="n">
        <f aca="false">1*AVERAGE(raw_stand_bench!$F$47:$F$91)</f>
        <v>0</v>
      </c>
      <c r="E41" s="11" t="n">
        <f aca="false">1*STDEV(raw_stand_bench!$F$47:$F$91)</f>
        <v>0</v>
      </c>
    </row>
    <row r="42" customFormat="false" ht="15" hidden="false" customHeight="false" outlineLevel="0" collapsed="false">
      <c r="A42" s="4" t="s">
        <v>440</v>
      </c>
      <c r="B42" s="11" t="n">
        <f aca="false">100*AVERAGE(raw_stand_bench!$G$2:$G$46)</f>
        <v>87.4266666666667</v>
      </c>
      <c r="C42" s="11" t="n">
        <f aca="false">100*STDEV(raw_stand_bench!$G$2:$G$46)</f>
        <v>8.55778221057514</v>
      </c>
      <c r="D42" s="11" t="n">
        <f aca="false">100*AVERAGE(raw_stand_bench!$G$47:$G$91)</f>
        <v>99.2422222222222</v>
      </c>
      <c r="E42" s="11" t="n">
        <f aca="false">100*STDEV(raw_stand_bench!$G$47:$G$91)</f>
        <v>1.22780085905449</v>
      </c>
    </row>
    <row r="43" customFormat="false" ht="15" hidden="false" customHeight="false" outlineLevel="0" collapsed="false">
      <c r="A43" s="4" t="s">
        <v>441</v>
      </c>
      <c r="B43" s="11" t="n">
        <f aca="false">100*AVERAGE(raw_stand_bench!$H$2:$H$46)</f>
        <v>82.12</v>
      </c>
      <c r="C43" s="11" t="n">
        <f aca="false">100*STDEV(raw_stand_bench!$H$2:$H$46)</f>
        <v>7.44771471966096</v>
      </c>
      <c r="D43" s="11" t="n">
        <f aca="false">100*AVERAGE(raw_stand_bench!$H$47:$H$91)</f>
        <v>96.78</v>
      </c>
      <c r="E43" s="11" t="n">
        <f aca="false">100*STDEV(raw_stand_bench!$H$47:$H$91)</f>
        <v>2.71633108170829</v>
      </c>
    </row>
    <row r="44" customFormat="false" ht="15" hidden="false" customHeight="false" outlineLevel="0" collapsed="false">
      <c r="A44" s="4" t="s">
        <v>442</v>
      </c>
      <c r="B44" s="11" t="n">
        <f aca="false">100*AVERAGE(raw_stand_bench!$I$2:$I$46)</f>
        <v>95.9733333333333</v>
      </c>
      <c r="C44" s="11" t="n">
        <f aca="false">100*STDEV(raw_stand_bench!$I$2:$I$46)</f>
        <v>3.37964495176638</v>
      </c>
      <c r="D44" s="11" t="n">
        <f aca="false">100*AVERAGE(raw_stand_bench!$I$47:$I$91)</f>
        <v>99.8755555555556</v>
      </c>
      <c r="E44" s="11" t="n">
        <f aca="false">100*STDEV(raw_stand_bench!$I$47:$I$91)</f>
        <v>0.227791327510265</v>
      </c>
    </row>
    <row r="46" customFormat="false" ht="15" hidden="false" customHeight="false" outlineLevel="0" collapsed="false">
      <c r="A46" s="13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6" min="4" style="0" width="18"/>
    <col collapsed="false" customWidth="true" hidden="false" outlineLevel="0" max="7" min="7" style="0" width="12"/>
    <col collapsed="false" customWidth="true" hidden="false" outlineLevel="0" max="10" min="8" style="0" width="18"/>
  </cols>
  <sheetData>
    <row r="1" customFormat="false" ht="15" hidden="false" customHeight="false" outlineLevel="0" collapsed="false">
      <c r="A1" s="8" t="s">
        <v>444</v>
      </c>
      <c r="B1" s="8" t="s">
        <v>445</v>
      </c>
      <c r="C1" s="8" t="s">
        <v>446</v>
      </c>
      <c r="D1" s="8" t="s">
        <v>447</v>
      </c>
      <c r="E1" s="8" t="s">
        <v>448</v>
      </c>
      <c r="F1" s="8" t="s">
        <v>449</v>
      </c>
      <c r="G1" s="8" t="s">
        <v>450</v>
      </c>
      <c r="H1" s="8" t="s">
        <v>451</v>
      </c>
    </row>
    <row r="2" customFormat="false" ht="15" hidden="false" customHeight="false" outlineLevel="0" collapsed="false">
      <c r="A2" s="4" t="s">
        <v>153</v>
      </c>
      <c r="B2" s="4" t="n">
        <f aca="false">COUNT(raw_jump!$F$2:$F$161)</f>
        <v>160</v>
      </c>
      <c r="C2" s="15" t="n">
        <f aca="false">AVERAGE(raw_jump!$F$2:$F$161)</f>
        <v>3.497875</v>
      </c>
      <c r="D2" s="15" t="n">
        <f aca="false">STDEV(raw_jump!$F$2:$F$161)</f>
        <v>2.91962054644437</v>
      </c>
      <c r="E2" s="15" t="n">
        <f aca="false">TINV(0.05,B2-1)*D2/SQRT(B2)</f>
        <v>0.455861260585725</v>
      </c>
      <c r="F2" s="15" t="n">
        <f aca="false">MEDIAN(raw_jump!$F$2:$F$161)</f>
        <v>3.395</v>
      </c>
      <c r="G2" s="15" t="n">
        <f aca="false">PERCENTILE(raw_jump!$F$2:$F$161,0.95)</f>
        <v>9.1405</v>
      </c>
      <c r="H2" s="15" t="n">
        <f aca="false">MAX(raw_jump!$F$2:$F$161)</f>
        <v>9.25</v>
      </c>
    </row>
    <row r="3" customFormat="false" ht="15" hidden="false" customHeight="false" outlineLevel="0" collapsed="false">
      <c r="A3" s="4" t="s">
        <v>220</v>
      </c>
      <c r="B3" s="4" t="n">
        <f aca="false">COUNT(raw_jump!$F$162:$F$321)</f>
        <v>160</v>
      </c>
      <c r="C3" s="15" t="n">
        <f aca="false">AVERAGE(raw_jump!$F$162:$F$321)</f>
        <v>1.2095</v>
      </c>
      <c r="D3" s="15" t="n">
        <f aca="false">STDEV(raw_jump!$F$162:$F$321)</f>
        <v>0.453675139362376</v>
      </c>
      <c r="E3" s="15" t="n">
        <f aca="false">TINV(0.05,B3-1)*D3/SQRT(B3)</f>
        <v>0.0708355478515872</v>
      </c>
      <c r="F3" s="15" t="n">
        <f aca="false">MEDIAN(raw_jump!$F$162:$F$321)</f>
        <v>1.32</v>
      </c>
      <c r="G3" s="15" t="n">
        <f aca="false">PERCENTILE(raw_jump!$F$162:$F$321,0.95)</f>
        <v>1.88</v>
      </c>
      <c r="H3" s="15" t="n">
        <f aca="false">MAX(raw_jump!$F$162:$F$321)</f>
        <v>1.92</v>
      </c>
    </row>
    <row r="4" customFormat="false" ht="15" hidden="false" customHeight="false" outlineLevel="0" collapsed="false">
      <c r="A4" s="4" t="s">
        <v>452</v>
      </c>
      <c r="B4" s="4" t="n">
        <f aca="false">COUNT(raw_jump!$F$322:$F$481)</f>
        <v>160</v>
      </c>
      <c r="C4" s="15" t="n">
        <f aca="false">AVERAGE(raw_jump!$F$322:$F$481)</f>
        <v>1.22175</v>
      </c>
      <c r="D4" s="15" t="n">
        <f aca="false">STDEV(raw_jump!$F$322:$F$481)</f>
        <v>0.455307691939882</v>
      </c>
      <c r="E4" s="15" t="n">
        <f aca="false">TINV(0.05,B4-1)*D4/SQRT(B4)</f>
        <v>0.0710904499746938</v>
      </c>
      <c r="F4" s="15" t="n">
        <f aca="false">MEDIAN(raw_jump!$F$322:$F$481)</f>
        <v>1.36</v>
      </c>
      <c r="G4" s="15" t="n">
        <f aca="false">PERCENTILE(raw_jump!$F$322:$F$481,0.95)</f>
        <v>1.8205</v>
      </c>
      <c r="H4" s="15" t="n">
        <f aca="false">MAX(raw_jump!$F$322:$F$481)</f>
        <v>2.08</v>
      </c>
    </row>
    <row r="5" customFormat="false" ht="15" hidden="false" customHeight="false" outlineLevel="0" collapsed="false">
      <c r="A5" s="4" t="s">
        <v>453</v>
      </c>
      <c r="B5" s="4" t="n">
        <f aca="false">COUNT(raw_jump!$F$482:$F$641)</f>
        <v>160</v>
      </c>
      <c r="C5" s="15" t="n">
        <f aca="false">AVERAGE(raw_jump!$F$482:$F$641)</f>
        <v>0.848375</v>
      </c>
      <c r="D5" s="15" t="n">
        <f aca="false">STDEV(raw_jump!$F$482:$F$641)</f>
        <v>0.2170815210755</v>
      </c>
      <c r="E5" s="15" t="n">
        <f aca="false">TINV(0.05,B5-1)*D5/SQRT(B5)</f>
        <v>0.0338944922030571</v>
      </c>
      <c r="F5" s="15" t="n">
        <f aca="false">MEDIAN(raw_jump!$F$482:$F$641)</f>
        <v>0.86</v>
      </c>
      <c r="G5" s="15" t="n">
        <f aca="false">PERCENTILE(raw_jump!$F$482:$F$641,0.95)</f>
        <v>1.3105</v>
      </c>
      <c r="H5" s="15" t="n">
        <f aca="false">MAX(raw_jump!$F$482:$F$641)</f>
        <v>1.46</v>
      </c>
    </row>
    <row r="7" customFormat="false" ht="15" hidden="false" customHeight="false" outlineLevel="0" collapsed="false">
      <c r="A7" s="8" t="s">
        <v>454</v>
      </c>
      <c r="B7" s="8" t="s">
        <v>380</v>
      </c>
      <c r="C7" s="8" t="s">
        <v>361</v>
      </c>
    </row>
    <row r="8" customFormat="false" ht="15" hidden="false" customHeight="false" outlineLevel="0" collapsed="false">
      <c r="A8" s="4" t="s">
        <v>428</v>
      </c>
      <c r="B8" s="15" t="n">
        <f aca="false">(C2-C3)/SQRT(D2^2/B2+D3^2/B3)</f>
        <v>9.79670279624926</v>
      </c>
    </row>
    <row r="9" customFormat="false" ht="15" hidden="false" customHeight="false" outlineLevel="0" collapsed="false">
      <c r="A9" s="4" t="s">
        <v>382</v>
      </c>
      <c r="B9" s="11" t="n">
        <f aca="false">(D2^2/B2+D3^2/B3)^2/((D2^2/B2)^2/(B2-1)+(D3^2/B3)^2/(B3-1))</f>
        <v>166.673811673948</v>
      </c>
    </row>
    <row r="10" customFormat="false" ht="15" hidden="false" customHeight="false" outlineLevel="0" collapsed="false">
      <c r="A10" s="4" t="s">
        <v>429</v>
      </c>
      <c r="B10" s="17" t="n">
        <f aca="false">TDIST(ABS(B8),B9,2)</f>
        <v>3.61634671194689E-018</v>
      </c>
    </row>
    <row r="11" customFormat="false" ht="15" hidden="false" customHeight="false" outlineLevel="0" collapsed="false">
      <c r="A11" s="4" t="s">
        <v>455</v>
      </c>
      <c r="B11" s="17" t="n">
        <v>1E-034</v>
      </c>
      <c r="C11" s="13" t="s">
        <v>456</v>
      </c>
    </row>
    <row r="12" customFormat="false" ht="15" hidden="false" customHeight="false" outlineLevel="0" collapsed="false">
      <c r="A12" s="4" t="s">
        <v>457</v>
      </c>
      <c r="B12" s="11" t="n">
        <f aca="false">D2/D3</f>
        <v>6.43548718703826</v>
      </c>
    </row>
    <row r="13" customFormat="false" ht="15" hidden="false" customHeight="false" outlineLevel="0" collapsed="false">
      <c r="A13" s="13" t="s">
        <v>458</v>
      </c>
    </row>
    <row r="15" customFormat="false" ht="15" hidden="false" customHeight="false" outlineLevel="0" collapsed="false">
      <c r="A15" s="8" t="s">
        <v>347</v>
      </c>
      <c r="B15" s="8" t="s">
        <v>459</v>
      </c>
      <c r="C15" s="8" t="s">
        <v>153</v>
      </c>
      <c r="D15" s="8" t="s">
        <v>220</v>
      </c>
      <c r="E15" s="8" t="s">
        <v>452</v>
      </c>
      <c r="F15" s="8" t="s">
        <v>453</v>
      </c>
      <c r="G15" s="8" t="s">
        <v>460</v>
      </c>
      <c r="H15" s="8" t="s">
        <v>461</v>
      </c>
      <c r="I15" s="8" t="s">
        <v>462</v>
      </c>
      <c r="J15" s="8" t="s">
        <v>463</v>
      </c>
    </row>
    <row r="16" customFormat="false" ht="15" hidden="false" customHeight="false" outlineLevel="0" collapsed="false">
      <c r="A16" s="15" t="n">
        <v>0</v>
      </c>
      <c r="B16" s="9" t="n">
        <f aca="false">A16+0.125</f>
        <v>0.125</v>
      </c>
      <c r="C16" s="4" t="n">
        <f aca="false">COUNTIFS(raw_jump!$F$2:$F$161,"&gt;="&amp;A16,raw_jump!$F$2:$F$161,"&lt;"&amp;A16+0.25)</f>
        <v>0</v>
      </c>
      <c r="D16" s="4" t="n">
        <f aca="false">COUNTIFS(raw_jump!$F$162:$F$321,"&gt;="&amp;A16,raw_jump!$F$162:$F$321,"&lt;"&amp;A16+0.25)</f>
        <v>0</v>
      </c>
      <c r="E16" s="4" t="n">
        <f aca="false">COUNTIFS(raw_jump!$F$322:$F$481,"&gt;="&amp;A16,raw_jump!$F$322:$F$481,"&lt;"&amp;A16+0.25)</f>
        <v>0</v>
      </c>
      <c r="F16" s="4" t="n">
        <f aca="false">COUNTIFS(raw_jump!$F$482:$F$641,"&gt;="&amp;A16,raw_jump!$F$482:$F$641,"&lt;"&amp;A16+0.25)</f>
        <v>0</v>
      </c>
      <c r="G16" s="11" t="n">
        <f aca="false">$B$2*(NORMDIST(A16+0.25,$C$2,$D$2,TRUE())-NORMDIST(A16,$C$2,$D$2,TRUE()))</f>
        <v>2.80469468691039</v>
      </c>
      <c r="H16" s="11" t="n">
        <f aca="false">$B$3*(NORMDIST(A16+0.25,$C$3,$D$3,TRUE())-NORMDIST(A16,$C$3,$D$3,TRUE()))</f>
        <v>2.14067109430372</v>
      </c>
      <c r="I16" s="11" t="n">
        <f aca="false">$B$4*(NORMDIST(A16+0.25,$C$4,$D$4,TRUE())-NORMDIST(A16,$C$4,$D$4,TRUE()))</f>
        <v>2.04253942655863</v>
      </c>
      <c r="J16" s="11" t="n">
        <f aca="false">$B$5*(NORMDIST(A16+0.25,$C$5,$D$5,TRUE())-NORMDIST(A16,$C$5,$D$5,TRUE()))</f>
        <v>0.460013974833462</v>
      </c>
    </row>
    <row r="17" customFormat="false" ht="15" hidden="false" customHeight="false" outlineLevel="0" collapsed="false">
      <c r="A17" s="15" t="n">
        <v>0.25</v>
      </c>
      <c r="B17" s="9" t="n">
        <f aca="false">A17+0.125</f>
        <v>0.375</v>
      </c>
      <c r="C17" s="4" t="n">
        <f aca="false">COUNTIFS(raw_jump!$F$2:$F$161,"&gt;="&amp;A17,raw_jump!$F$2:$F$161,"&lt;"&amp;A17+0.25)</f>
        <v>1</v>
      </c>
      <c r="D17" s="4" t="n">
        <f aca="false">COUNTIFS(raw_jump!$F$162:$F$321,"&gt;="&amp;A17,raw_jump!$F$162:$F$321,"&lt;"&amp;A17+0.25)</f>
        <v>1</v>
      </c>
      <c r="E17" s="4" t="n">
        <f aca="false">COUNTIFS(raw_jump!$F$322:$F$481,"&gt;="&amp;A17,raw_jump!$F$322:$F$481,"&lt;"&amp;A17+0.25)</f>
        <v>1</v>
      </c>
      <c r="F17" s="4" t="n">
        <f aca="false">COUNTIFS(raw_jump!$F$482:$F$641,"&gt;="&amp;A17,raw_jump!$F$482:$F$641,"&lt;"&amp;A17+0.25)</f>
        <v>1</v>
      </c>
      <c r="G17" s="11" t="n">
        <f aca="false">$B$2*(NORMDIST(A17+0.25,$C$2,$D$2,TRUE())-NORMDIST(A17,$C$2,$D$2,TRUE()))</f>
        <v>3.08481357517353</v>
      </c>
      <c r="H17" s="11" t="n">
        <f aca="false">$B$3*(NORMDIST(A17+0.25,$C$3,$D$3,TRUE())-NORMDIST(A17,$C$3,$D$3,TRUE()))</f>
        <v>6.67264972752164</v>
      </c>
      <c r="I17" s="11" t="n">
        <f aca="false">$B$4*(NORMDIST(A17+0.25,$C$4,$D$4,TRUE())-NORMDIST(A17,$C$4,$D$4,TRUE()))</f>
        <v>6.40817348984551</v>
      </c>
      <c r="J17" s="11" t="n">
        <f aca="false">$B$5*(NORMDIST(A17+0.25,$C$5,$D$5,TRUE())-NORMDIST(A17,$C$5,$D$5,TRUE()))</f>
        <v>8.21536103621898</v>
      </c>
    </row>
    <row r="18" customFormat="false" ht="15" hidden="false" customHeight="false" outlineLevel="0" collapsed="false">
      <c r="A18" s="15" t="n">
        <v>0.5</v>
      </c>
      <c r="B18" s="9" t="n">
        <f aca="false">A18+0.125</f>
        <v>0.625</v>
      </c>
      <c r="C18" s="4" t="n">
        <f aca="false">COUNTIFS(raw_jump!$F$2:$F$161,"&gt;="&amp;A18,raw_jump!$F$2:$F$161,"&lt;"&amp;A18+0.25)</f>
        <v>46</v>
      </c>
      <c r="D18" s="4" t="n">
        <f aca="false">COUNTIFS(raw_jump!$F$162:$F$321,"&gt;="&amp;A18,raw_jump!$F$162:$F$321,"&lt;"&amp;A18+0.25)</f>
        <v>46</v>
      </c>
      <c r="E18" s="4" t="n">
        <f aca="false">COUNTIFS(raw_jump!$F$322:$F$481,"&gt;="&amp;A18,raw_jump!$F$322:$F$481,"&lt;"&amp;A18+0.25)</f>
        <v>46</v>
      </c>
      <c r="F18" s="4" t="n">
        <f aca="false">COUNTIFS(raw_jump!$F$482:$F$641,"&gt;="&amp;A18,raw_jump!$F$482:$F$641,"&lt;"&amp;A18+0.25)</f>
        <v>46</v>
      </c>
      <c r="G18" s="11" t="n">
        <f aca="false">$B$2*(NORMDIST(A18+0.25,$C$2,$D$2,TRUE())-NORMDIST(A18,$C$2,$D$2,TRUE()))</f>
        <v>3.36813831228058</v>
      </c>
      <c r="H18" s="11" t="n">
        <f aca="false">$B$3*(NORMDIST(A18+0.25,$C$3,$D$3,TRUE())-NORMDIST(A18,$C$3,$D$3,TRUE()))</f>
        <v>15.4635649437645</v>
      </c>
      <c r="I18" s="11" t="n">
        <f aca="false">$B$4*(NORMDIST(A18+0.25,$C$4,$D$4,TRUE())-NORMDIST(A18,$C$4,$D$4,TRUE()))</f>
        <v>14.9781503323037</v>
      </c>
      <c r="J18" s="11" t="n">
        <f aca="false">$B$5*(NORMDIST(A18+0.25,$C$5,$D$5,TRUE())-NORMDIST(A18,$C$5,$D$5,TRUE()))</f>
        <v>43.3512451224096</v>
      </c>
    </row>
    <row r="19" customFormat="false" ht="15" hidden="false" customHeight="false" outlineLevel="0" collapsed="false">
      <c r="A19" s="15" t="n">
        <v>0.75</v>
      </c>
      <c r="B19" s="9" t="n">
        <f aca="false">A19+0.125</f>
        <v>0.875</v>
      </c>
      <c r="C19" s="4" t="n">
        <f aca="false">COUNTIFS(raw_jump!$F$2:$F$161,"&gt;="&amp;A19,raw_jump!$F$2:$F$161,"&lt;"&amp;A19+0.25)</f>
        <v>0</v>
      </c>
      <c r="D19" s="4" t="n">
        <f aca="false">COUNTIFS(raw_jump!$F$162:$F$321,"&gt;="&amp;A19,raw_jump!$F$162:$F$321,"&lt;"&amp;A19+0.25)</f>
        <v>0</v>
      </c>
      <c r="E19" s="4" t="n">
        <f aca="false">COUNTIFS(raw_jump!$F$322:$F$481,"&gt;="&amp;A19,raw_jump!$F$322:$F$481,"&lt;"&amp;A19+0.25)</f>
        <v>0</v>
      </c>
      <c r="F19" s="4" t="n">
        <f aca="false">COUNTIFS(raw_jump!$F$482:$F$641,"&gt;="&amp;A19,raw_jump!$F$482:$F$641,"&lt;"&amp;A19+0.25)</f>
        <v>87</v>
      </c>
      <c r="G19" s="11" t="n">
        <f aca="false">$B$2*(NORMDIST(A19+0.25,$C$2,$D$2,TRUE())-NORMDIST(A19,$C$2,$D$2,TRUE()))</f>
        <v>3.65063635207565</v>
      </c>
      <c r="H19" s="11" t="n">
        <f aca="false">$B$3*(NORMDIST(A19+0.25,$C$3,$D$3,TRUE())-NORMDIST(A19,$C$3,$D$3,TRUE()))</f>
        <v>26.6479330838697</v>
      </c>
      <c r="I19" s="11" t="n">
        <f aca="false">$B$4*(NORMDIST(A19+0.25,$C$4,$D$4,TRUE())-NORMDIST(A19,$C$4,$D$4,TRUE()))</f>
        <v>26.0868074131211</v>
      </c>
      <c r="J19" s="11" t="n">
        <f aca="false">$B$5*(NORMDIST(A19+0.25,$C$5,$D$5,TRUE())-NORMDIST(A19,$C$5,$D$5,TRUE()))</f>
        <v>69.1752887836004</v>
      </c>
    </row>
    <row r="20" customFormat="false" ht="15" hidden="false" customHeight="false" outlineLevel="0" collapsed="false">
      <c r="A20" s="15" t="n">
        <v>1</v>
      </c>
      <c r="B20" s="9" t="n">
        <f aca="false">A20+0.125</f>
        <v>1.125</v>
      </c>
      <c r="C20" s="4" t="n">
        <f aca="false">COUNTIFS(raw_jump!$F$2:$F$161,"&gt;="&amp;A20,raw_jump!$F$2:$F$161,"&lt;"&amp;A20+0.25)</f>
        <v>20</v>
      </c>
      <c r="D20" s="4" t="n">
        <f aca="false">COUNTIFS(raw_jump!$F$162:$F$321,"&gt;="&amp;A20,raw_jump!$F$162:$F$321,"&lt;"&amp;A20+0.25)</f>
        <v>24</v>
      </c>
      <c r="E20" s="4" t="n">
        <f aca="false">COUNTIFS(raw_jump!$F$322:$F$481,"&gt;="&amp;A20,raw_jump!$F$322:$F$481,"&lt;"&amp;A20+0.25)</f>
        <v>13</v>
      </c>
      <c r="F20" s="4" t="n">
        <f aca="false">COUNTIFS(raw_jump!$F$482:$F$641,"&gt;="&amp;A20,raw_jump!$F$482:$F$641,"&lt;"&amp;A20+0.25)</f>
        <v>13</v>
      </c>
      <c r="G20" s="11" t="n">
        <f aca="false">$B$2*(NORMDIST(A20+0.25,$C$2,$D$2,TRUE())-NORMDIST(A20,$C$2,$D$2,TRUE()))</f>
        <v>3.92794043537715</v>
      </c>
      <c r="H20" s="11" t="n">
        <f aca="false">$B$3*(NORMDIST(A20+0.25,$C$3,$D$3,TRUE())-NORMDIST(A20,$C$3,$D$3,TRUE()))</f>
        <v>34.1517840451159</v>
      </c>
      <c r="I20" s="11" t="n">
        <f aca="false">$B$4*(NORMDIST(A20+0.25,$C$4,$D$4,TRUE())-NORMDIST(A20,$C$4,$D$4,TRUE()))</f>
        <v>33.859121491345</v>
      </c>
      <c r="J20" s="11" t="n">
        <f aca="false">$B$5*(NORMDIST(A20+0.25,$C$5,$D$5,TRUE())-NORMDIST(A20,$C$5,$D$5,TRUE()))</f>
        <v>33.6468494660459</v>
      </c>
    </row>
    <row r="21" customFormat="false" ht="15" hidden="false" customHeight="false" outlineLevel="0" collapsed="false">
      <c r="A21" s="15" t="n">
        <v>1.25</v>
      </c>
      <c r="B21" s="9" t="n">
        <f aca="false">A21+0.125</f>
        <v>1.375</v>
      </c>
      <c r="C21" s="4" t="n">
        <f aca="false">COUNTIFS(raw_jump!$F$2:$F$161,"&gt;="&amp;A21,raw_jump!$F$2:$F$161,"&lt;"&amp;A21+0.25)</f>
        <v>0</v>
      </c>
      <c r="D21" s="4" t="n">
        <f aca="false">COUNTIFS(raw_jump!$F$162:$F$321,"&gt;="&amp;A21,raw_jump!$F$162:$F$321,"&lt;"&amp;A21+0.25)</f>
        <v>46</v>
      </c>
      <c r="E21" s="4" t="n">
        <f aca="false">COUNTIFS(raw_jump!$F$322:$F$481,"&gt;="&amp;A21,raw_jump!$F$322:$F$481,"&lt;"&amp;A21+0.25)</f>
        <v>58</v>
      </c>
      <c r="F21" s="4" t="n">
        <f aca="false">COUNTIFS(raw_jump!$F$482:$F$641,"&gt;="&amp;A21,raw_jump!$F$482:$F$641,"&lt;"&amp;A21+0.25)</f>
        <v>13</v>
      </c>
      <c r="G21" s="11" t="n">
        <f aca="false">$B$2*(NORMDIST(A21+0.25,$C$2,$D$2,TRUE())-NORMDIST(A21,$C$2,$D$2,TRUE()))</f>
        <v>4.19545314720418</v>
      </c>
      <c r="H21" s="11" t="n">
        <f aca="false">$B$3*(NORMDIST(A21+0.25,$C$3,$D$3,TRUE())-NORMDIST(A21,$C$3,$D$3,TRUE()))</f>
        <v>32.5524749150013</v>
      </c>
      <c r="I21" s="11" t="n">
        <f aca="false">$B$4*(NORMDIST(A21+0.25,$C$4,$D$4,TRUE())-NORMDIST(A21,$C$4,$D$4,TRUE()))</f>
        <v>32.7527625974352</v>
      </c>
      <c r="J21" s="11" t="n">
        <f aca="false">$B$5*(NORMDIST(A21+0.25,$C$5,$D$5,TRUE())-NORMDIST(A21,$C$5,$D$5,TRUE()))</f>
        <v>4.92905519734396</v>
      </c>
    </row>
    <row r="22" customFormat="false" ht="15" hidden="false" customHeight="false" outlineLevel="0" collapsed="false">
      <c r="A22" s="15" t="n">
        <v>1.5</v>
      </c>
      <c r="B22" s="9" t="n">
        <f aca="false">A22+0.125</f>
        <v>1.625</v>
      </c>
      <c r="C22" s="4" t="n">
        <f aca="false">COUNTIFS(raw_jump!$F$2:$F$161,"&gt;="&amp;A22,raw_jump!$F$2:$F$161,"&lt;"&amp;A22+0.25)</f>
        <v>0</v>
      </c>
      <c r="D22" s="4" t="n">
        <f aca="false">COUNTIFS(raw_jump!$F$162:$F$321,"&gt;="&amp;A22,raw_jump!$F$162:$F$321,"&lt;"&amp;A22+0.25)</f>
        <v>16</v>
      </c>
      <c r="E22" s="4" t="n">
        <f aca="false">COUNTIFS(raw_jump!$F$322:$F$481,"&gt;="&amp;A22,raw_jump!$F$322:$F$481,"&lt;"&amp;A22+0.25)</f>
        <v>25</v>
      </c>
      <c r="F22" s="4" t="n">
        <f aca="false">COUNTIFS(raw_jump!$F$482:$F$641,"&gt;="&amp;A22,raw_jump!$F$482:$F$641,"&lt;"&amp;A22+0.25)</f>
        <v>0</v>
      </c>
      <c r="G22" s="11" t="n">
        <f aca="false">$B$2*(NORMDIST(A22+0.25,$C$2,$D$2,TRUE())-NORMDIST(A22,$C$2,$D$2,TRUE()))</f>
        <v>4.44846850812473</v>
      </c>
      <c r="H22" s="11" t="n">
        <f aca="false">$B$3*(NORMDIST(A22+0.25,$C$3,$D$3,TRUE())-NORMDIST(A22,$C$3,$D$3,TRUE()))</f>
        <v>23.0765332139109</v>
      </c>
      <c r="I22" s="11" t="n">
        <f aca="false">$B$4*(NORMDIST(A22+0.25,$C$4,$D$4,TRUE())-NORMDIST(A22,$C$4,$D$4,TRUE()))</f>
        <v>23.6120895479135</v>
      </c>
      <c r="J22" s="11" t="n">
        <f aca="false">$B$5*(NORMDIST(A22+0.25,$C$5,$D$5,TRUE())-NORMDIST(A22,$C$5,$D$5,TRUE()))</f>
        <v>0.212123607293719</v>
      </c>
    </row>
    <row r="23" customFormat="false" ht="15" hidden="false" customHeight="false" outlineLevel="0" collapsed="false">
      <c r="A23" s="15" t="n">
        <v>1.75</v>
      </c>
      <c r="B23" s="9" t="n">
        <f aca="false">A23+0.125</f>
        <v>1.875</v>
      </c>
      <c r="C23" s="4" t="n">
        <f aca="false">COUNTIFS(raw_jump!$F$2:$F$161,"&gt;="&amp;A23,raw_jump!$F$2:$F$161,"&lt;"&amp;A23+0.25)</f>
        <v>0</v>
      </c>
      <c r="D23" s="4" t="n">
        <f aca="false">COUNTIFS(raw_jump!$F$162:$F$321,"&gt;="&amp;A23,raw_jump!$F$162:$F$321,"&lt;"&amp;A23+0.25)</f>
        <v>27</v>
      </c>
      <c r="E23" s="4" t="n">
        <f aca="false">COUNTIFS(raw_jump!$F$322:$F$481,"&gt;="&amp;A23,raw_jump!$F$322:$F$481,"&lt;"&amp;A23+0.25)</f>
        <v>11</v>
      </c>
      <c r="F23" s="4" t="n">
        <f aca="false">COUNTIFS(raw_jump!$F$482:$F$641,"&gt;="&amp;A23,raw_jump!$F$482:$F$641,"&lt;"&amp;A23+0.25)</f>
        <v>0</v>
      </c>
      <c r="G23" s="11" t="n">
        <f aca="false">$B$2*(NORMDIST(A23+0.25,$C$2,$D$2,TRUE())-NORMDIST(A23,$C$2,$D$2,TRUE()))</f>
        <v>4.68230638684764</v>
      </c>
      <c r="H23" s="11" t="n">
        <f aca="false">$B$3*(NORMDIST(A23+0.25,$C$3,$D$3,TRUE())-NORMDIST(A23,$C$3,$D$3,TRUE()))</f>
        <v>12.1657485411474</v>
      </c>
      <c r="I23" s="11" t="n">
        <f aca="false">$B$4*(NORMDIST(A23+0.25,$C$4,$D$4,TRUE())-NORMDIST(A23,$C$4,$D$4,TRUE()))</f>
        <v>12.6853733653354</v>
      </c>
      <c r="J23" s="11" t="n">
        <f aca="false">$B$5*(NORMDIST(A23+0.25,$C$5,$D$5,TRUE())-NORMDIST(A23,$C$5,$D$5,TRUE()))</f>
        <v>0.00261163241054518</v>
      </c>
    </row>
    <row r="24" customFormat="false" ht="15" hidden="false" customHeight="false" outlineLevel="0" collapsed="false">
      <c r="A24" s="15" t="n">
        <v>2</v>
      </c>
      <c r="B24" s="9" t="n">
        <f aca="false">A24+0.125</f>
        <v>2.125</v>
      </c>
      <c r="C24" s="4" t="n">
        <f aca="false">COUNTIFS(raw_jump!$F$2:$F$161,"&gt;="&amp;A24,raw_jump!$F$2:$F$161,"&lt;"&amp;A24+0.25)</f>
        <v>0</v>
      </c>
      <c r="D24" s="4" t="n">
        <f aca="false">COUNTIFS(raw_jump!$F$162:$F$321,"&gt;="&amp;A24,raw_jump!$F$162:$F$321,"&lt;"&amp;A24+0.25)</f>
        <v>0</v>
      </c>
      <c r="E24" s="4" t="n">
        <f aca="false">COUNTIFS(raw_jump!$F$322:$F$481,"&gt;="&amp;A24,raw_jump!$F$322:$F$481,"&lt;"&amp;A24+0.25)</f>
        <v>6</v>
      </c>
      <c r="F24" s="4" t="n">
        <f aca="false">COUNTIFS(raw_jump!$F$482:$F$641,"&gt;="&amp;A24,raw_jump!$F$482:$F$641,"&lt;"&amp;A24+0.25)</f>
        <v>0</v>
      </c>
      <c r="G24" s="11" t="n">
        <f aca="false">$B$2*(NORMDIST(A24+0.25,$C$2,$D$2,TRUE())-NORMDIST(A24,$C$2,$D$2,TRUE()))</f>
        <v>4.89245454432904</v>
      </c>
      <c r="H24" s="11" t="n">
        <f aca="false">$B$3*(NORMDIST(A24+0.25,$C$3,$D$3,TRUE())-NORMDIST(A24,$C$3,$D$3,TRUE()))</f>
        <v>4.76899255695669</v>
      </c>
      <c r="I24" s="11" t="n">
        <f aca="false">$B$4*(NORMDIST(A24+0.25,$C$4,$D$4,TRUE())-NORMDIST(A24,$C$4,$D$4,TRUE()))</f>
        <v>5.0780299283244</v>
      </c>
      <c r="J24" s="11" t="n">
        <f aca="false">$B$5*(NORMDIST(A24+0.25,$C$5,$D$5,TRUE())-NORMDIST(A24,$C$5,$D$5,TRUE()))</f>
        <v>9.00356340594044E-006</v>
      </c>
    </row>
    <row r="25" customFormat="false" ht="15" hidden="false" customHeight="false" outlineLevel="0" collapsed="false">
      <c r="A25" s="15" t="n">
        <v>2.25</v>
      </c>
      <c r="B25" s="9" t="n">
        <f aca="false">A25+0.125</f>
        <v>2.375</v>
      </c>
      <c r="C25" s="4" t="n">
        <f aca="false">COUNTIFS(raw_jump!$F$2:$F$161,"&gt;="&amp;A25,raw_jump!$F$2:$F$161,"&lt;"&amp;A25+0.25)</f>
        <v>0</v>
      </c>
      <c r="D25" s="4" t="n">
        <f aca="false">COUNTIFS(raw_jump!$F$162:$F$321,"&gt;="&amp;A25,raw_jump!$F$162:$F$321,"&lt;"&amp;A25+0.25)</f>
        <v>0</v>
      </c>
      <c r="E25" s="4" t="n">
        <f aca="false">COUNTIFS(raw_jump!$F$322:$F$481,"&gt;="&amp;A25,raw_jump!$F$322:$F$481,"&lt;"&amp;A25+0.25)</f>
        <v>0</v>
      </c>
      <c r="F25" s="4" t="n">
        <f aca="false">COUNTIFS(raw_jump!$F$482:$F$641,"&gt;="&amp;A25,raw_jump!$F$482:$F$641,"&lt;"&amp;A25+0.25)</f>
        <v>0</v>
      </c>
      <c r="G25" s="11" t="n">
        <f aca="false">$B$2*(NORMDIST(A25+0.25,$C$2,$D$2,TRUE())-NORMDIST(A25,$C$2,$D$2,TRUE()))</f>
        <v>5.07471238780257</v>
      </c>
      <c r="H25" s="11" t="n">
        <f aca="false">$B$3*(NORMDIST(A25+0.25,$C$3,$D$3,TRUE())-NORMDIST(A25,$C$3,$D$3,TRUE()))</f>
        <v>1.38978107987374</v>
      </c>
      <c r="I25" s="11" t="n">
        <f aca="false">$B$4*(NORMDIST(A25+0.25,$C$4,$D$4,TRUE())-NORMDIST(A25,$C$4,$D$4,TRUE()))</f>
        <v>1.51435029346787</v>
      </c>
      <c r="J25" s="11" t="n">
        <f aca="false">$B$5*(NORMDIST(A25+0.25,$C$5,$D$5,TRUE())-NORMDIST(A25,$C$5,$D$5,TRUE()))</f>
        <v>8.56001491911229E-009</v>
      </c>
    </row>
    <row r="26" customFormat="false" ht="15" hidden="false" customHeight="false" outlineLevel="0" collapsed="false">
      <c r="A26" s="15" t="n">
        <v>2.5</v>
      </c>
      <c r="B26" s="9" t="n">
        <f aca="false">A26+0.125</f>
        <v>2.625</v>
      </c>
      <c r="C26" s="4" t="n">
        <f aca="false">COUNTIFS(raw_jump!$F$2:$F$161,"&gt;="&amp;A26,raw_jump!$F$2:$F$161,"&lt;"&amp;A26+0.25)</f>
        <v>0</v>
      </c>
      <c r="D26" s="4" t="n">
        <f aca="false">COUNTIFS(raw_jump!$F$162:$F$321,"&gt;="&amp;A26,raw_jump!$F$162:$F$321,"&lt;"&amp;A26+0.25)</f>
        <v>0</v>
      </c>
      <c r="E26" s="4" t="n">
        <f aca="false">COUNTIFS(raw_jump!$F$322:$F$481,"&gt;="&amp;A26,raw_jump!$F$322:$F$481,"&lt;"&amp;A26+0.25)</f>
        <v>0</v>
      </c>
      <c r="F26" s="4" t="n">
        <f aca="false">COUNTIFS(raw_jump!$F$482:$F$641,"&gt;="&amp;A26,raw_jump!$F$482:$F$641,"&lt;"&amp;A26+0.25)</f>
        <v>0</v>
      </c>
      <c r="G26" s="11" t="n">
        <f aca="false">$B$2*(NORMDIST(A26+0.25,$C$2,$D$2,TRUE())-NORMDIST(A26,$C$2,$D$2,TRUE()))</f>
        <v>5.22533009112687</v>
      </c>
      <c r="H26" s="11" t="n">
        <f aca="false">$B$3*(NORMDIST(A26+0.25,$C$3,$D$3,TRUE())-NORMDIST(A26,$C$3,$D$3,TRUE()))</f>
        <v>0.301015247275576</v>
      </c>
      <c r="I26" s="11" t="n">
        <f aca="false">$B$4*(NORMDIST(A26+0.25,$C$4,$D$4,TRUE())-NORMDIST(A26,$C$4,$D$4,TRUE()))</f>
        <v>0.336349504978095</v>
      </c>
      <c r="J26" s="11" t="n">
        <f aca="false">$B$5*(NORMDIST(A26+0.25,$C$5,$D$5,TRUE())-NORMDIST(A26,$C$5,$D$5,TRUE()))</f>
        <v>2.22044604925031E-012</v>
      </c>
    </row>
    <row r="27" customFormat="false" ht="15" hidden="false" customHeight="false" outlineLevel="0" collapsed="false">
      <c r="A27" s="15" t="n">
        <v>2.75</v>
      </c>
      <c r="B27" s="9" t="n">
        <f aca="false">A27+0.125</f>
        <v>2.875</v>
      </c>
      <c r="C27" s="4" t="n">
        <f aca="false">COUNTIFS(raw_jump!$F$2:$F$161,"&gt;="&amp;A27,raw_jump!$F$2:$F$161,"&lt;"&amp;A27+0.25)</f>
        <v>0</v>
      </c>
      <c r="D27" s="4" t="n">
        <f aca="false">COUNTIFS(raw_jump!$F$162:$F$321,"&gt;="&amp;A27,raw_jump!$F$162:$F$321,"&lt;"&amp;A27+0.25)</f>
        <v>0</v>
      </c>
      <c r="E27" s="4" t="n">
        <f aca="false">COUNTIFS(raw_jump!$F$322:$F$481,"&gt;="&amp;A27,raw_jump!$F$322:$F$481,"&lt;"&amp;A27+0.25)</f>
        <v>0</v>
      </c>
      <c r="F27" s="4" t="n">
        <f aca="false">COUNTIFS(raw_jump!$F$482:$F$641,"&gt;="&amp;A27,raw_jump!$F$482:$F$641,"&lt;"&amp;A27+0.25)</f>
        <v>0</v>
      </c>
      <c r="G27" s="11" t="n">
        <f aca="false">$B$2*(NORMDIST(A27+0.25,$C$2,$D$2,TRUE())-NORMDIST(A27,$C$2,$D$2,TRUE()))</f>
        <v>5.34113667133662</v>
      </c>
      <c r="H27" s="11" t="n">
        <f aca="false">$B$3*(NORMDIST(A27+0.25,$C$3,$D$3,TRUE())-NORMDIST(A27,$C$3,$D$3,TRUE()))</f>
        <v>0.0484423692930136</v>
      </c>
      <c r="I27" s="11" t="n">
        <f aca="false">$B$4*(NORMDIST(A27+0.25,$C$4,$D$4,TRUE())-NORMDIST(A27,$C$4,$D$4,TRUE()))</f>
        <v>0.0556243644398791</v>
      </c>
      <c r="J27" s="11" t="n">
        <f aca="false">$B$5*(NORMDIST(A27+0.25,$C$5,$D$5,TRUE())-NORMDIST(A27,$C$5,$D$5,TRUE()))</f>
        <v>0</v>
      </c>
    </row>
    <row r="28" customFormat="false" ht="15" hidden="false" customHeight="false" outlineLevel="0" collapsed="false">
      <c r="A28" s="15" t="n">
        <v>3</v>
      </c>
      <c r="B28" s="9" t="n">
        <f aca="false">A28+0.125</f>
        <v>3.125</v>
      </c>
      <c r="C28" s="4" t="n">
        <f aca="false">COUNTIFS(raw_jump!$F$2:$F$161,"&gt;="&amp;A28,raw_jump!$F$2:$F$161,"&lt;"&amp;A28+0.25)</f>
        <v>0</v>
      </c>
      <c r="D28" s="4" t="n">
        <f aca="false">COUNTIFS(raw_jump!$F$162:$F$321,"&gt;="&amp;A28,raw_jump!$F$162:$F$321,"&lt;"&amp;A28+0.25)</f>
        <v>0</v>
      </c>
      <c r="E28" s="4" t="n">
        <f aca="false">COUNTIFS(raw_jump!$F$322:$F$481,"&gt;="&amp;A28,raw_jump!$F$322:$F$481,"&lt;"&amp;A28+0.25)</f>
        <v>0</v>
      </c>
      <c r="F28" s="4" t="n">
        <f aca="false">COUNTIFS(raw_jump!$F$482:$F$641,"&gt;="&amp;A28,raw_jump!$F$482:$F$641,"&lt;"&amp;A28+0.25)</f>
        <v>0</v>
      </c>
      <c r="G28" s="11" t="n">
        <f aca="false">$B$2*(NORMDIST(A28+0.25,$C$2,$D$2,TRUE())-NORMDIST(A28,$C$2,$D$2,TRUE()))</f>
        <v>5.41965092194533</v>
      </c>
      <c r="H28" s="11" t="n">
        <f aca="false">$B$3*(NORMDIST(A28+0.25,$C$3,$D$3,TRUE())-NORMDIST(A28,$C$3,$D$3,TRUE()))</f>
        <v>0.00579049663942399</v>
      </c>
      <c r="I28" s="11" t="n">
        <f aca="false">$B$4*(NORMDIST(A28+0.25,$C$4,$D$4,TRUE())-NORMDIST(A28,$C$4,$D$4,TRUE()))</f>
        <v>0.00684718348713531</v>
      </c>
      <c r="J28" s="11" t="n">
        <f aca="false">$B$5*(NORMDIST(A28+0.25,$C$5,$D$5,TRUE())-NORMDIST(A28,$C$5,$D$5,TRUE()))</f>
        <v>0</v>
      </c>
    </row>
    <row r="29" customFormat="false" ht="15" hidden="false" customHeight="false" outlineLevel="0" collapsed="false">
      <c r="A29" s="15" t="n">
        <v>3.25</v>
      </c>
      <c r="B29" s="9" t="n">
        <f aca="false">A29+0.125</f>
        <v>3.375</v>
      </c>
      <c r="C29" s="4" t="n">
        <f aca="false">COUNTIFS(raw_jump!$F$2:$F$161,"&gt;="&amp;A29,raw_jump!$F$2:$F$161,"&lt;"&amp;A29+0.25)</f>
        <v>19</v>
      </c>
      <c r="D29" s="4" t="n">
        <f aca="false">COUNTIFS(raw_jump!$F$162:$F$321,"&gt;="&amp;A29,raw_jump!$F$162:$F$321,"&lt;"&amp;A29+0.25)</f>
        <v>0</v>
      </c>
      <c r="E29" s="4" t="n">
        <f aca="false">COUNTIFS(raw_jump!$F$322:$F$481,"&gt;="&amp;A29,raw_jump!$F$322:$F$481,"&lt;"&amp;A29+0.25)</f>
        <v>0</v>
      </c>
      <c r="F29" s="4" t="n">
        <f aca="false">COUNTIFS(raw_jump!$F$482:$F$641,"&gt;="&amp;A29,raw_jump!$F$482:$F$641,"&lt;"&amp;A29+0.25)</f>
        <v>0</v>
      </c>
      <c r="G29" s="11" t="n">
        <f aca="false">$B$2*(NORMDIST(A29+0.25,$C$2,$D$2,TRUE())-NORMDIST(A29,$C$2,$D$2,TRUE()))</f>
        <v>5.45916978611772</v>
      </c>
      <c r="H29" s="11" t="n">
        <f aca="false">$B$3*(NORMDIST(A29+0.25,$C$3,$D$3,TRUE())-NORMDIST(A29,$C$3,$D$3,TRUE()))</f>
        <v>0.000513936239983082</v>
      </c>
      <c r="I29" s="11" t="n">
        <f aca="false">$B$4*(NORMDIST(A29+0.25,$C$4,$D$4,TRUE())-NORMDIST(A29,$C$4,$D$4,TRUE()))</f>
        <v>0.000627169380127413</v>
      </c>
      <c r="J29" s="11" t="n">
        <f aca="false">$B$5*(NORMDIST(A29+0.25,$C$5,$D$5,TRUE())-NORMDIST(A29,$C$5,$D$5,TRUE()))</f>
        <v>0</v>
      </c>
    </row>
    <row r="30" customFormat="false" ht="15" hidden="false" customHeight="false" outlineLevel="0" collapsed="false">
      <c r="A30" s="15" t="n">
        <v>3.5</v>
      </c>
      <c r="B30" s="9" t="n">
        <f aca="false">A30+0.125</f>
        <v>3.625</v>
      </c>
      <c r="C30" s="4" t="n">
        <f aca="false">COUNTIFS(raw_jump!$F$2:$F$161,"&gt;="&amp;A30,raw_jump!$F$2:$F$161,"&lt;"&amp;A30+0.25)</f>
        <v>22</v>
      </c>
      <c r="D30" s="4" t="n">
        <f aca="false">COUNTIFS(raw_jump!$F$162:$F$321,"&gt;="&amp;A30,raw_jump!$F$162:$F$321,"&lt;"&amp;A30+0.25)</f>
        <v>0</v>
      </c>
      <c r="E30" s="4" t="n">
        <f aca="false">COUNTIFS(raw_jump!$F$322:$F$481,"&gt;="&amp;A30,raw_jump!$F$322:$F$481,"&lt;"&amp;A30+0.25)</f>
        <v>0</v>
      </c>
      <c r="F30" s="4" t="n">
        <f aca="false">COUNTIFS(raw_jump!$F$482:$F$641,"&gt;="&amp;A30,raw_jump!$F$482:$F$641,"&lt;"&amp;A30+0.25)</f>
        <v>0</v>
      </c>
      <c r="G30" s="11" t="n">
        <f aca="false">$B$2*(NORMDIST(A30+0.25,$C$2,$D$2,TRUE())-NORMDIST(A30,$C$2,$D$2,TRUE()))</f>
        <v>5.45882977444704</v>
      </c>
      <c r="H30" s="11" t="n">
        <f aca="false">$B$3*(NORMDIST(A30+0.25,$C$3,$D$3,TRUE())-NORMDIST(A30,$C$3,$D$3,TRUE()))</f>
        <v>3.38571067715066E-005</v>
      </c>
      <c r="I30" s="11" t="n">
        <f aca="false">$B$4*(NORMDIST(A30+0.25,$C$4,$D$4,TRUE())-NORMDIST(A30,$C$4,$D$4,TRUE()))</f>
        <v>4.27298676086707E-005</v>
      </c>
      <c r="J30" s="11" t="n">
        <f aca="false">$B$5*(NORMDIST(A30+0.25,$C$5,$D$5,TRUE())-NORMDIST(A30,$C$5,$D$5,TRUE()))</f>
        <v>0</v>
      </c>
    </row>
    <row r="31" customFormat="false" ht="15" hidden="false" customHeight="false" outlineLevel="0" collapsed="false">
      <c r="A31" s="15" t="n">
        <v>3.75</v>
      </c>
      <c r="B31" s="9" t="n">
        <f aca="false">A31+0.125</f>
        <v>3.875</v>
      </c>
      <c r="C31" s="4" t="n">
        <f aca="false">COUNTIFS(raw_jump!$F$2:$F$161,"&gt;="&amp;A31,raw_jump!$F$2:$F$161,"&lt;"&amp;A31+0.25)</f>
        <v>6</v>
      </c>
      <c r="D31" s="4" t="n">
        <f aca="false">COUNTIFS(raw_jump!$F$162:$F$321,"&gt;="&amp;A31,raw_jump!$F$162:$F$321,"&lt;"&amp;A31+0.25)</f>
        <v>0</v>
      </c>
      <c r="E31" s="4" t="n">
        <f aca="false">COUNTIFS(raw_jump!$F$322:$F$481,"&gt;="&amp;A31,raw_jump!$F$322:$F$481,"&lt;"&amp;A31+0.25)</f>
        <v>0</v>
      </c>
      <c r="F31" s="4" t="n">
        <f aca="false">COUNTIFS(raw_jump!$F$482:$F$641,"&gt;="&amp;A31,raw_jump!$F$482:$F$641,"&lt;"&amp;A31+0.25)</f>
        <v>0</v>
      </c>
      <c r="G31" s="11" t="n">
        <f aca="false">$B$2*(NORMDIST(A31+0.25,$C$2,$D$2,TRUE())-NORMDIST(A31,$C$2,$D$2,TRUE()))</f>
        <v>5.41863833402253</v>
      </c>
      <c r="H31" s="11" t="n">
        <f aca="false">$B$3*(NORMDIST(A31+0.25,$C$3,$D$3,TRUE())-NORMDIST(A31,$C$3,$D$3,TRUE()))</f>
        <v>1.65493217352264E-006</v>
      </c>
      <c r="I31" s="11" t="n">
        <f aca="false">$B$4*(NORMDIST(A31+0.25,$C$4,$D$4,TRUE())-NORMDIST(A31,$C$4,$D$4,TRUE()))</f>
        <v>2.16470139591252E-006</v>
      </c>
      <c r="J31" s="11" t="n">
        <f aca="false">$B$5*(NORMDIST(A31+0.25,$C$5,$D$5,TRUE())-NORMDIST(A31,$C$5,$D$5,TRUE()))</f>
        <v>0</v>
      </c>
    </row>
    <row r="32" customFormat="false" ht="15" hidden="false" customHeight="false" outlineLevel="0" collapsed="false">
      <c r="A32" s="15" t="n">
        <v>4</v>
      </c>
      <c r="B32" s="9" t="n">
        <f aca="false">A32+0.125</f>
        <v>4.125</v>
      </c>
      <c r="C32" s="4" t="n">
        <f aca="false">COUNTIFS(raw_jump!$F$2:$F$161,"&gt;="&amp;A32,raw_jump!$F$2:$F$161,"&lt;"&amp;A32+0.25)</f>
        <v>0</v>
      </c>
      <c r="D32" s="4" t="n">
        <f aca="false">COUNTIFS(raw_jump!$F$162:$F$321,"&gt;="&amp;A32,raw_jump!$F$162:$F$321,"&lt;"&amp;A32+0.25)</f>
        <v>0</v>
      </c>
      <c r="E32" s="4" t="n">
        <f aca="false">COUNTIFS(raw_jump!$F$322:$F$481,"&gt;="&amp;A32,raw_jump!$F$322:$F$481,"&lt;"&amp;A32+0.25)</f>
        <v>0</v>
      </c>
      <c r="F32" s="4" t="n">
        <f aca="false">COUNTIFS(raw_jump!$F$482:$F$641,"&gt;="&amp;A32,raw_jump!$F$482:$F$641,"&lt;"&amp;A32+0.25)</f>
        <v>0</v>
      </c>
      <c r="G32" s="11" t="n">
        <f aca="false">$B$2*(NORMDIST(A32+0.25,$C$2,$D$2,TRUE())-NORMDIST(A32,$C$2,$D$2,TRUE()))</f>
        <v>5.33947357724214</v>
      </c>
      <c r="H32" s="11" t="n">
        <f aca="false">$B$3*(NORMDIST(A32+0.25,$C$3,$D$3,TRUE())-NORMDIST(A32,$C$3,$D$3,TRUE()))</f>
        <v>5.99990634952974E-008</v>
      </c>
      <c r="I32" s="11" t="n">
        <f aca="false">$B$4*(NORMDIST(A32+0.25,$C$4,$D$4,TRUE())-NORMDIST(A32,$C$4,$D$4,TRUE()))</f>
        <v>8.1513835681335E-008</v>
      </c>
      <c r="J32" s="11" t="n">
        <f aca="false">$B$5*(NORMDIST(A32+0.25,$C$5,$D$5,TRUE())-NORMDIST(A32,$C$5,$D$5,TRUE()))</f>
        <v>0</v>
      </c>
    </row>
    <row r="33" customFormat="false" ht="15" hidden="false" customHeight="false" outlineLevel="0" collapsed="false">
      <c r="A33" s="15" t="n">
        <v>4.25</v>
      </c>
      <c r="B33" s="9" t="n">
        <f aca="false">A33+0.125</f>
        <v>4.375</v>
      </c>
      <c r="C33" s="4" t="n">
        <f aca="false">COUNTIFS(raw_jump!$F$2:$F$161,"&gt;="&amp;A33,raw_jump!$F$2:$F$161,"&lt;"&amp;A33+0.25)</f>
        <v>6</v>
      </c>
      <c r="D33" s="4" t="n">
        <f aca="false">COUNTIFS(raw_jump!$F$162:$F$321,"&gt;="&amp;A33,raw_jump!$F$162:$F$321,"&lt;"&amp;A33+0.25)</f>
        <v>0</v>
      </c>
      <c r="E33" s="4" t="n">
        <f aca="false">COUNTIFS(raw_jump!$F$322:$F$481,"&gt;="&amp;A33,raw_jump!$F$322:$F$481,"&lt;"&amp;A33+0.25)</f>
        <v>0</v>
      </c>
      <c r="F33" s="4" t="n">
        <f aca="false">COUNTIFS(raw_jump!$F$482:$F$641,"&gt;="&amp;A33,raw_jump!$F$482:$F$641,"&lt;"&amp;A33+0.25)</f>
        <v>0</v>
      </c>
      <c r="G33" s="11" t="n">
        <f aca="false">$B$2*(NORMDIST(A33+0.25,$C$2,$D$2,TRUE())-NORMDIST(A33,$C$2,$D$2,TRUE()))</f>
        <v>5.22305238416134</v>
      </c>
      <c r="H33" s="11" t="n">
        <f aca="false">$B$3*(NORMDIST(A33+0.25,$C$3,$D$3,TRUE())-NORMDIST(A33,$C$3,$D$3,TRUE()))</f>
        <v>1.61284319233346E-009</v>
      </c>
      <c r="I33" s="11" t="n">
        <f aca="false">$B$4*(NORMDIST(A33+0.25,$C$4,$D$4,TRUE())-NORMDIST(A33,$C$4,$D$4,TRUE()))</f>
        <v>2.28077112751635E-009</v>
      </c>
      <c r="J33" s="11" t="n">
        <f aca="false">$B$5*(NORMDIST(A33+0.25,$C$5,$D$5,TRUE())-NORMDIST(A33,$C$5,$D$5,TRUE()))</f>
        <v>0</v>
      </c>
    </row>
    <row r="34" customFormat="false" ht="15" hidden="false" customHeight="false" outlineLevel="0" collapsed="false">
      <c r="A34" s="15" t="n">
        <v>4.5</v>
      </c>
      <c r="B34" s="9" t="n">
        <f aca="false">A34+0.125</f>
        <v>4.625</v>
      </c>
      <c r="C34" s="4" t="n">
        <f aca="false">COUNTIFS(raw_jump!$F$2:$F$161,"&gt;="&amp;A34,raw_jump!$F$2:$F$161,"&lt;"&amp;A34+0.25)</f>
        <v>0</v>
      </c>
      <c r="D34" s="4" t="n">
        <f aca="false">COUNTIFS(raw_jump!$F$162:$F$321,"&gt;="&amp;A34,raw_jump!$F$162:$F$321,"&lt;"&amp;A34+0.25)</f>
        <v>0</v>
      </c>
      <c r="E34" s="4" t="n">
        <f aca="false">COUNTIFS(raw_jump!$F$322:$F$481,"&gt;="&amp;A34,raw_jump!$F$322:$F$481,"&lt;"&amp;A34+0.25)</f>
        <v>0</v>
      </c>
      <c r="F34" s="4" t="n">
        <f aca="false">COUNTIFS(raw_jump!$F$482:$F$641,"&gt;="&amp;A34,raw_jump!$F$482:$F$641,"&lt;"&amp;A34+0.25)</f>
        <v>0</v>
      </c>
      <c r="G34" s="11" t="n">
        <f aca="false">$B$2*(NORMDIST(A34+0.25,$C$2,$D$2,TRUE())-NORMDIST(A34,$C$2,$D$2,TRUE()))</f>
        <v>5.07186849660886</v>
      </c>
      <c r="H34" s="11" t="n">
        <f aca="false">$B$3*(NORMDIST(A34+0.25,$C$3,$D$3,TRUE())-NORMDIST(A34,$C$3,$D$3,TRUE()))</f>
        <v>3.21342952247505E-011</v>
      </c>
      <c r="I34" s="11" t="n">
        <f aca="false">$B$4*(NORMDIST(A34+0.25,$C$4,$D$4,TRUE())-NORMDIST(A34,$C$4,$D$4,TRUE()))</f>
        <v>4.73932004751987E-011</v>
      </c>
      <c r="J34" s="11" t="n">
        <f aca="false">$B$5*(NORMDIST(A34+0.25,$C$5,$D$5,TRUE())-NORMDIST(A34,$C$5,$D$5,TRUE()))</f>
        <v>0</v>
      </c>
    </row>
    <row r="35" customFormat="false" ht="15" hidden="false" customHeight="false" outlineLevel="0" collapsed="false">
      <c r="A35" s="15" t="n">
        <v>4.75</v>
      </c>
      <c r="B35" s="9" t="n">
        <f aca="false">A35+0.125</f>
        <v>4.875</v>
      </c>
      <c r="C35" s="4" t="n">
        <f aca="false">COUNTIFS(raw_jump!$F$2:$F$161,"&gt;="&amp;A35,raw_jump!$F$2:$F$161,"&lt;"&amp;A35+0.25)</f>
        <v>0</v>
      </c>
      <c r="D35" s="4" t="n">
        <f aca="false">COUNTIFS(raw_jump!$F$162:$F$321,"&gt;="&amp;A35,raw_jump!$F$162:$F$321,"&lt;"&amp;A35+0.25)</f>
        <v>0</v>
      </c>
      <c r="E35" s="4" t="n">
        <f aca="false">COUNTIFS(raw_jump!$F$322:$F$481,"&gt;="&amp;A35,raw_jump!$F$322:$F$481,"&lt;"&amp;A35+0.25)</f>
        <v>0</v>
      </c>
      <c r="F35" s="4" t="n">
        <f aca="false">COUNTIFS(raw_jump!$F$482:$F$641,"&gt;="&amp;A35,raw_jump!$F$482:$F$641,"&lt;"&amp;A35+0.25)</f>
        <v>0</v>
      </c>
      <c r="G35" s="11" t="n">
        <f aca="false">$B$2*(NORMDIST(A35+0.25,$C$2,$D$2,TRUE())-NORMDIST(A35,$C$2,$D$2,TRUE()))</f>
        <v>4.88910372143998</v>
      </c>
      <c r="H35" s="11" t="n">
        <f aca="false">$B$3*(NORMDIST(A35+0.25,$C$3,$D$3,TRUE())-NORMDIST(A35,$C$3,$D$3,TRUE()))</f>
        <v>0</v>
      </c>
      <c r="I35" s="11" t="n">
        <f aca="false">$B$4*(NORMDIST(A35+0.25,$C$4,$D$4,TRUE())-NORMDIST(A35,$C$4,$D$4,TRUE()))</f>
        <v>7.46069872548105E-013</v>
      </c>
      <c r="J35" s="11" t="n">
        <f aca="false">$B$5*(NORMDIST(A35+0.25,$C$5,$D$5,TRUE())-NORMDIST(A35,$C$5,$D$5,TRUE()))</f>
        <v>0</v>
      </c>
    </row>
    <row r="36" customFormat="false" ht="15" hidden="false" customHeight="false" outlineLevel="0" collapsed="false">
      <c r="A36" s="15" t="n">
        <v>5</v>
      </c>
      <c r="B36" s="9" t="n">
        <f aca="false">A36+0.125</f>
        <v>5.125</v>
      </c>
      <c r="C36" s="4" t="n">
        <f aca="false">COUNTIFS(raw_jump!$F$2:$F$161,"&gt;="&amp;A36,raw_jump!$F$2:$F$161,"&lt;"&amp;A36+0.25)</f>
        <v>0</v>
      </c>
      <c r="D36" s="4" t="n">
        <f aca="false">COUNTIFS(raw_jump!$F$162:$F$321,"&gt;="&amp;A36,raw_jump!$F$162:$F$321,"&lt;"&amp;A36+0.25)</f>
        <v>0</v>
      </c>
      <c r="E36" s="4" t="n">
        <f aca="false">COUNTIFS(raw_jump!$F$322:$F$481,"&gt;="&amp;A36,raw_jump!$F$322:$F$481,"&lt;"&amp;A36+0.25)</f>
        <v>0</v>
      </c>
      <c r="F36" s="4" t="n">
        <f aca="false">COUNTIFS(raw_jump!$F$482:$F$641,"&gt;="&amp;A36,raw_jump!$F$482:$F$641,"&lt;"&amp;A36+0.25)</f>
        <v>0</v>
      </c>
      <c r="G36" s="11" t="n">
        <f aca="false">$B$2*(NORMDIST(A36+0.25,$C$2,$D$2,TRUE())-NORMDIST(A36,$C$2,$D$2,TRUE()))</f>
        <v>4.67851665810203</v>
      </c>
      <c r="H36" s="11" t="n">
        <f aca="false">$B$3*(NORMDIST(A36+0.25,$C$3,$D$3,TRUE())-NORMDIST(A36,$C$3,$D$3,TRUE()))</f>
        <v>0</v>
      </c>
      <c r="I36" s="11" t="n">
        <f aca="false">$B$4*(NORMDIST(A36+0.25,$C$4,$D$4,TRUE())-NORMDIST(A36,$C$4,$D$4,TRUE()))</f>
        <v>0</v>
      </c>
      <c r="J36" s="11" t="n">
        <f aca="false">$B$5*(NORMDIST(A36+0.25,$C$5,$D$5,TRUE())-NORMDIST(A36,$C$5,$D$5,TRUE()))</f>
        <v>0</v>
      </c>
    </row>
    <row r="37" customFormat="false" ht="15" hidden="false" customHeight="false" outlineLevel="0" collapsed="false">
      <c r="A37" s="15" t="n">
        <v>5.25</v>
      </c>
      <c r="B37" s="9" t="n">
        <f aca="false">A37+0.125</f>
        <v>5.375</v>
      </c>
      <c r="C37" s="4" t="n">
        <f aca="false">COUNTIFS(raw_jump!$F$2:$F$161,"&gt;="&amp;A37,raw_jump!$F$2:$F$161,"&lt;"&amp;A37+0.25)</f>
        <v>0</v>
      </c>
      <c r="D37" s="4" t="n">
        <f aca="false">COUNTIFS(raw_jump!$F$162:$F$321,"&gt;="&amp;A37,raw_jump!$F$162:$F$321,"&lt;"&amp;A37+0.25)</f>
        <v>0</v>
      </c>
      <c r="E37" s="4" t="n">
        <f aca="false">COUNTIFS(raw_jump!$F$322:$F$481,"&gt;="&amp;A37,raw_jump!$F$322:$F$481,"&lt;"&amp;A37+0.25)</f>
        <v>0</v>
      </c>
      <c r="F37" s="4" t="n">
        <f aca="false">COUNTIFS(raw_jump!$F$482:$F$641,"&gt;="&amp;A37,raw_jump!$F$482:$F$641,"&lt;"&amp;A37+0.25)</f>
        <v>0</v>
      </c>
      <c r="G37" s="11" t="n">
        <f aca="false">$B$2*(NORMDIST(A37+0.25,$C$2,$D$2,TRUE())-NORMDIST(A37,$C$2,$D$2,TRUE()))</f>
        <v>4.4443143819618</v>
      </c>
      <c r="H37" s="11" t="n">
        <f aca="false">$B$3*(NORMDIST(A37+0.25,$C$3,$D$3,TRUE())-NORMDIST(A37,$C$3,$D$3,TRUE()))</f>
        <v>0</v>
      </c>
      <c r="I37" s="11" t="n">
        <f aca="false">$B$4*(NORMDIST(A37+0.25,$C$4,$D$4,TRUE())-NORMDIST(A37,$C$4,$D$4,TRUE()))</f>
        <v>0</v>
      </c>
      <c r="J37" s="11" t="n">
        <f aca="false">$B$5*(NORMDIST(A37+0.25,$C$5,$D$5,TRUE())-NORMDIST(A37,$C$5,$D$5,TRUE()))</f>
        <v>0</v>
      </c>
    </row>
    <row r="38" customFormat="false" ht="15" hidden="false" customHeight="false" outlineLevel="0" collapsed="false">
      <c r="A38" s="15" t="n">
        <v>5.5</v>
      </c>
      <c r="B38" s="9" t="n">
        <f aca="false">A38+0.125</f>
        <v>5.625</v>
      </c>
      <c r="C38" s="4" t="n">
        <f aca="false">COUNTIFS(raw_jump!$F$2:$F$161,"&gt;="&amp;A38,raw_jump!$F$2:$F$161,"&lt;"&amp;A38+0.25)</f>
        <v>0</v>
      </c>
      <c r="D38" s="4" t="n">
        <f aca="false">COUNTIFS(raw_jump!$F$162:$F$321,"&gt;="&amp;A38,raw_jump!$F$162:$F$321,"&lt;"&amp;A38+0.25)</f>
        <v>0</v>
      </c>
      <c r="E38" s="4" t="n">
        <f aca="false">COUNTIFS(raw_jump!$F$322:$F$481,"&gt;="&amp;A38,raw_jump!$F$322:$F$481,"&lt;"&amp;A38+0.25)</f>
        <v>0</v>
      </c>
      <c r="F38" s="4" t="n">
        <f aca="false">COUNTIFS(raw_jump!$F$482:$F$641,"&gt;="&amp;A38,raw_jump!$F$482:$F$641,"&lt;"&amp;A38+0.25)</f>
        <v>0</v>
      </c>
      <c r="G38" s="11" t="n">
        <f aca="false">$B$2*(NORMDIST(A38+0.25,$C$2,$D$2,TRUE())-NORMDIST(A38,$C$2,$D$2,TRUE()))</f>
        <v>4.19101319128952</v>
      </c>
      <c r="H38" s="11" t="n">
        <f aca="false">$B$3*(NORMDIST(A38+0.25,$C$3,$D$3,TRUE())-NORMDIST(A38,$C$3,$D$3,TRUE()))</f>
        <v>0</v>
      </c>
      <c r="I38" s="11" t="n">
        <f aca="false">$B$4*(NORMDIST(A38+0.25,$C$4,$D$4,TRUE())-NORMDIST(A38,$C$4,$D$4,TRUE()))</f>
        <v>0</v>
      </c>
      <c r="J38" s="11" t="n">
        <f aca="false">$B$5*(NORMDIST(A38+0.25,$C$5,$D$5,TRUE())-NORMDIST(A38,$C$5,$D$5,TRUE()))</f>
        <v>0</v>
      </c>
    </row>
    <row r="39" customFormat="false" ht="15" hidden="false" customHeight="false" outlineLevel="0" collapsed="false">
      <c r="A39" s="15" t="n">
        <v>5.75</v>
      </c>
      <c r="B39" s="9" t="n">
        <f aca="false">A39+0.125</f>
        <v>5.875</v>
      </c>
      <c r="C39" s="4" t="n">
        <f aca="false">COUNTIFS(raw_jump!$F$2:$F$161,"&gt;="&amp;A39,raw_jump!$F$2:$F$161,"&lt;"&amp;A39+0.25)</f>
        <v>0</v>
      </c>
      <c r="D39" s="4" t="n">
        <f aca="false">COUNTIFS(raw_jump!$F$162:$F$321,"&gt;="&amp;A39,raw_jump!$F$162:$F$321,"&lt;"&amp;A39+0.25)</f>
        <v>0</v>
      </c>
      <c r="E39" s="4" t="n">
        <f aca="false">COUNTIFS(raw_jump!$F$322:$F$481,"&gt;="&amp;A39,raw_jump!$F$322:$F$481,"&lt;"&amp;A39+0.25)</f>
        <v>0</v>
      </c>
      <c r="F39" s="4" t="n">
        <f aca="false">COUNTIFS(raw_jump!$F$482:$F$641,"&gt;="&amp;A39,raw_jump!$F$482:$F$641,"&lt;"&amp;A39+0.25)</f>
        <v>0</v>
      </c>
      <c r="G39" s="11" t="n">
        <f aca="false">$B$2*(NORMDIST(A39+0.25,$C$2,$D$2,TRUE())-NORMDIST(A39,$C$2,$D$2,TRUE()))</f>
        <v>3.92329483000882</v>
      </c>
      <c r="H39" s="11" t="n">
        <f aca="false">$B$3*(NORMDIST(A39+0.25,$C$3,$D$3,TRUE())-NORMDIST(A39,$C$3,$D$3,TRUE()))</f>
        <v>0</v>
      </c>
      <c r="I39" s="11" t="n">
        <f aca="false">$B$4*(NORMDIST(A39+0.25,$C$4,$D$4,TRUE())-NORMDIST(A39,$C$4,$D$4,TRUE()))</f>
        <v>0</v>
      </c>
      <c r="J39" s="11" t="n">
        <f aca="false">$B$5*(NORMDIST(A39+0.25,$C$5,$D$5,TRUE())-NORMDIST(A39,$C$5,$D$5,TRUE()))</f>
        <v>0</v>
      </c>
    </row>
    <row r="40" customFormat="false" ht="15" hidden="false" customHeight="false" outlineLevel="0" collapsed="false">
      <c r="A40" s="15" t="n">
        <v>6</v>
      </c>
      <c r="B40" s="9" t="n">
        <f aca="false">A40+0.125</f>
        <v>6.125</v>
      </c>
      <c r="C40" s="4" t="n">
        <f aca="false">COUNTIFS(raw_jump!$F$2:$F$161,"&gt;="&amp;A40,raw_jump!$F$2:$F$161,"&lt;"&amp;A40+0.25)</f>
        <v>0</v>
      </c>
      <c r="D40" s="4" t="n">
        <f aca="false">COUNTIFS(raw_jump!$F$162:$F$321,"&gt;="&amp;A40,raw_jump!$F$162:$F$321,"&lt;"&amp;A40+0.25)</f>
        <v>0</v>
      </c>
      <c r="E40" s="4" t="n">
        <f aca="false">COUNTIFS(raw_jump!$F$322:$F$481,"&gt;="&amp;A40,raw_jump!$F$322:$F$481,"&lt;"&amp;A40+0.25)</f>
        <v>0</v>
      </c>
      <c r="F40" s="4" t="n">
        <f aca="false">COUNTIFS(raw_jump!$F$482:$F$641,"&gt;="&amp;A40,raw_jump!$F$482:$F$641,"&lt;"&amp;A40+0.25)</f>
        <v>0</v>
      </c>
      <c r="G40" s="11" t="n">
        <f aca="false">$B$2*(NORMDIST(A40+0.25,$C$2,$D$2,TRUE())-NORMDIST(A40,$C$2,$D$2,TRUE()))</f>
        <v>3.64586452551853</v>
      </c>
      <c r="H40" s="11" t="n">
        <f aca="false">$B$3*(NORMDIST(A40+0.25,$C$3,$D$3,TRUE())-NORMDIST(A40,$C$3,$D$3,TRUE()))</f>
        <v>0</v>
      </c>
      <c r="I40" s="11" t="n">
        <f aca="false">$B$4*(NORMDIST(A40+0.25,$C$4,$D$4,TRUE())-NORMDIST(A40,$C$4,$D$4,TRUE()))</f>
        <v>0</v>
      </c>
      <c r="J40" s="11" t="n">
        <f aca="false">$B$5*(NORMDIST(A40+0.25,$C$5,$D$5,TRUE())-NORMDIST(A40,$C$5,$D$5,TRUE()))</f>
        <v>0</v>
      </c>
    </row>
    <row r="41" customFormat="false" ht="15" hidden="false" customHeight="false" outlineLevel="0" collapsed="false">
      <c r="A41" s="15" t="n">
        <v>6.25</v>
      </c>
      <c r="B41" s="9" t="n">
        <f aca="false">A41+0.125</f>
        <v>6.375</v>
      </c>
      <c r="C41" s="4" t="n">
        <f aca="false">COUNTIFS(raw_jump!$F$2:$F$161,"&gt;="&amp;A41,raw_jump!$F$2:$F$161,"&lt;"&amp;A41+0.25)</f>
        <v>0</v>
      </c>
      <c r="D41" s="4" t="n">
        <f aca="false">COUNTIFS(raw_jump!$F$162:$F$321,"&gt;="&amp;A41,raw_jump!$F$162:$F$321,"&lt;"&amp;A41+0.25)</f>
        <v>0</v>
      </c>
      <c r="E41" s="4" t="n">
        <f aca="false">COUNTIFS(raw_jump!$F$322:$F$481,"&gt;="&amp;A41,raw_jump!$F$322:$F$481,"&lt;"&amp;A41+0.25)</f>
        <v>0</v>
      </c>
      <c r="F41" s="4" t="n">
        <f aca="false">COUNTIFS(raw_jump!$F$482:$F$641,"&gt;="&amp;A41,raw_jump!$F$482:$F$641,"&lt;"&amp;A41+0.25)</f>
        <v>0</v>
      </c>
      <c r="G41" s="11" t="n">
        <f aca="false">$B$2*(NORMDIST(A41+0.25,$C$2,$D$2,TRUE())-NORMDIST(A41,$C$2,$D$2,TRUE()))</f>
        <v>3.36331675316286</v>
      </c>
      <c r="H41" s="11" t="n">
        <f aca="false">$B$3*(NORMDIST(A41+0.25,$C$3,$D$3,TRUE())-NORMDIST(A41,$C$3,$D$3,TRUE()))</f>
        <v>0</v>
      </c>
      <c r="I41" s="11" t="n">
        <f aca="false">$B$4*(NORMDIST(A41+0.25,$C$4,$D$4,TRUE())-NORMDIST(A41,$C$4,$D$4,TRUE()))</f>
        <v>0</v>
      </c>
      <c r="J41" s="11" t="n">
        <f aca="false">$B$5*(NORMDIST(A41+0.25,$C$5,$D$5,TRUE())-NORMDIST(A41,$C$5,$D$5,TRUE()))</f>
        <v>0</v>
      </c>
    </row>
    <row r="42" customFormat="false" ht="15" hidden="false" customHeight="false" outlineLevel="0" collapsed="false">
      <c r="A42" s="15" t="n">
        <v>6.5</v>
      </c>
      <c r="B42" s="9" t="n">
        <f aca="false">A42+0.125</f>
        <v>6.625</v>
      </c>
      <c r="C42" s="4" t="n">
        <f aca="false">COUNTIFS(raw_jump!$F$2:$F$161,"&gt;="&amp;A42,raw_jump!$F$2:$F$161,"&lt;"&amp;A42+0.25)</f>
        <v>12</v>
      </c>
      <c r="D42" s="4" t="n">
        <f aca="false">COUNTIFS(raw_jump!$F$162:$F$321,"&gt;="&amp;A42,raw_jump!$F$162:$F$321,"&lt;"&amp;A42+0.25)</f>
        <v>0</v>
      </c>
      <c r="E42" s="4" t="n">
        <f aca="false">COUNTIFS(raw_jump!$F$322:$F$481,"&gt;="&amp;A42,raw_jump!$F$322:$F$481,"&lt;"&amp;A42+0.25)</f>
        <v>0</v>
      </c>
      <c r="F42" s="4" t="n">
        <f aca="false">COUNTIFS(raw_jump!$F$482:$F$641,"&gt;="&amp;A42,raw_jump!$F$482:$F$641,"&lt;"&amp;A42+0.25)</f>
        <v>0</v>
      </c>
      <c r="G42" s="11" t="n">
        <f aca="false">$B$2*(NORMDIST(A42+0.25,$C$2,$D$2,TRUE())-NORMDIST(A42,$C$2,$D$2,TRUE()))</f>
        <v>3.0800139023151</v>
      </c>
      <c r="H42" s="11" t="n">
        <f aca="false">$B$3*(NORMDIST(A42+0.25,$C$3,$D$3,TRUE())-NORMDIST(A42,$C$3,$D$3,TRUE()))</f>
        <v>0</v>
      </c>
      <c r="I42" s="11" t="n">
        <f aca="false">$B$4*(NORMDIST(A42+0.25,$C$4,$D$4,TRUE())-NORMDIST(A42,$C$4,$D$4,TRUE()))</f>
        <v>0</v>
      </c>
      <c r="J42" s="11" t="n">
        <f aca="false">$B$5*(NORMDIST(A42+0.25,$C$5,$D$5,TRUE())-NORMDIST(A42,$C$5,$D$5,TRUE()))</f>
        <v>0</v>
      </c>
    </row>
    <row r="43" customFormat="false" ht="15" hidden="false" customHeight="false" outlineLevel="0" collapsed="false">
      <c r="A43" s="15" t="n">
        <v>6.75</v>
      </c>
      <c r="B43" s="9" t="n">
        <f aca="false">A43+0.125</f>
        <v>6.875</v>
      </c>
      <c r="C43" s="4" t="n">
        <f aca="false">COUNTIFS(raw_jump!$F$2:$F$161,"&gt;="&amp;A43,raw_jump!$F$2:$F$161,"&lt;"&amp;A43+0.25)</f>
        <v>8</v>
      </c>
      <c r="D43" s="4" t="n">
        <f aca="false">COUNTIFS(raw_jump!$F$162:$F$321,"&gt;="&amp;A43,raw_jump!$F$162:$F$321,"&lt;"&amp;A43+0.25)</f>
        <v>0</v>
      </c>
      <c r="E43" s="4" t="n">
        <f aca="false">COUNTIFS(raw_jump!$F$322:$F$481,"&gt;="&amp;A43,raw_jump!$F$322:$F$481,"&lt;"&amp;A43+0.25)</f>
        <v>0</v>
      </c>
      <c r="F43" s="4" t="n">
        <f aca="false">COUNTIFS(raw_jump!$F$482:$F$641,"&gt;="&amp;A43,raw_jump!$F$482:$F$641,"&lt;"&amp;A43+0.25)</f>
        <v>0</v>
      </c>
      <c r="G43" s="11" t="n">
        <f aca="false">$B$2*(NORMDIST(A43+0.25,$C$2,$D$2,TRUE())-NORMDIST(A43,$C$2,$D$2,TRUE()))</f>
        <v>2.79998203866786</v>
      </c>
      <c r="H43" s="11" t="n">
        <f aca="false">$B$3*(NORMDIST(A43+0.25,$C$3,$D$3,TRUE())-NORMDIST(A43,$C$3,$D$3,TRUE()))</f>
        <v>0</v>
      </c>
      <c r="I43" s="11" t="n">
        <f aca="false">$B$4*(NORMDIST(A43+0.25,$C$4,$D$4,TRUE())-NORMDIST(A43,$C$4,$D$4,TRUE()))</f>
        <v>0</v>
      </c>
      <c r="J43" s="11" t="n">
        <f aca="false">$B$5*(NORMDIST(A43+0.25,$C$5,$D$5,TRUE())-NORMDIST(A43,$C$5,$D$5,TRUE()))</f>
        <v>0</v>
      </c>
    </row>
    <row r="44" customFormat="false" ht="15" hidden="false" customHeight="false" outlineLevel="0" collapsed="false">
      <c r="A44" s="15" t="n">
        <v>7</v>
      </c>
      <c r="B44" s="9" t="n">
        <f aca="false">A44+0.125</f>
        <v>7.125</v>
      </c>
      <c r="C44" s="4" t="n">
        <f aca="false">COUNTIFS(raw_jump!$F$2:$F$161,"&gt;="&amp;A44,raw_jump!$F$2:$F$161,"&lt;"&amp;A44+0.25)</f>
        <v>0</v>
      </c>
      <c r="D44" s="4" t="n">
        <f aca="false">COUNTIFS(raw_jump!$F$162:$F$321,"&gt;="&amp;A44,raw_jump!$F$162:$F$321,"&lt;"&amp;A44+0.25)</f>
        <v>0</v>
      </c>
      <c r="E44" s="4" t="n">
        <f aca="false">COUNTIFS(raw_jump!$F$322:$F$481,"&gt;="&amp;A44,raw_jump!$F$322:$F$481,"&lt;"&amp;A44+0.25)</f>
        <v>0</v>
      </c>
      <c r="F44" s="4" t="n">
        <f aca="false">COUNTIFS(raw_jump!$F$482:$F$641,"&gt;="&amp;A44,raw_jump!$F$482:$F$641,"&lt;"&amp;A44+0.25)</f>
        <v>0</v>
      </c>
      <c r="G44" s="11" t="n">
        <f aca="false">$B$2*(NORMDIST(A44+0.25,$C$2,$D$2,TRUE())-NORMDIST(A44,$C$2,$D$2,TRUE()))</f>
        <v>2.52682681126258</v>
      </c>
      <c r="H44" s="11" t="n">
        <f aca="false">$B$3*(NORMDIST(A44+0.25,$C$3,$D$3,TRUE())-NORMDIST(A44,$C$3,$D$3,TRUE()))</f>
        <v>0</v>
      </c>
      <c r="I44" s="11" t="n">
        <f aca="false">$B$4*(NORMDIST(A44+0.25,$C$4,$D$4,TRUE())-NORMDIST(A44,$C$4,$D$4,TRUE()))</f>
        <v>0</v>
      </c>
      <c r="J44" s="11" t="n">
        <f aca="false">$B$5*(NORMDIST(A44+0.25,$C$5,$D$5,TRUE())-NORMDIST(A44,$C$5,$D$5,TRUE()))</f>
        <v>0</v>
      </c>
    </row>
    <row r="45" customFormat="false" ht="15" hidden="false" customHeight="false" outlineLevel="0" collapsed="false">
      <c r="A45" s="15" t="n">
        <v>7.25</v>
      </c>
      <c r="B45" s="9" t="n">
        <f aca="false">A45+0.125</f>
        <v>7.375</v>
      </c>
      <c r="C45" s="4" t="n">
        <f aca="false">COUNTIFS(raw_jump!$F$2:$F$161,"&gt;="&amp;A45,raw_jump!$F$2:$F$161,"&lt;"&amp;A45+0.25)</f>
        <v>0</v>
      </c>
      <c r="D45" s="4" t="n">
        <f aca="false">COUNTIFS(raw_jump!$F$162:$F$321,"&gt;="&amp;A45,raw_jump!$F$162:$F$321,"&lt;"&amp;A45+0.25)</f>
        <v>0</v>
      </c>
      <c r="E45" s="4" t="n">
        <f aca="false">COUNTIFS(raw_jump!$F$322:$F$481,"&gt;="&amp;A45,raw_jump!$F$322:$F$481,"&lt;"&amp;A45+0.25)</f>
        <v>0</v>
      </c>
      <c r="F45" s="4" t="n">
        <f aca="false">COUNTIFS(raw_jump!$F$482:$F$641,"&gt;="&amp;A45,raw_jump!$F$482:$F$641,"&lt;"&amp;A45+0.25)</f>
        <v>0</v>
      </c>
      <c r="G45" s="11" t="n">
        <f aca="false">$B$2*(NORMDIST(A45+0.25,$C$2,$D$2,TRUE())-NORMDIST(A45,$C$2,$D$2,TRUE()))</f>
        <v>2.26367132517906</v>
      </c>
      <c r="H45" s="11" t="n">
        <f aca="false">$B$3*(NORMDIST(A45+0.25,$C$3,$D$3,TRUE())-NORMDIST(A45,$C$3,$D$3,TRUE()))</f>
        <v>0</v>
      </c>
      <c r="I45" s="11" t="n">
        <f aca="false">$B$4*(NORMDIST(A45+0.25,$C$4,$D$4,TRUE())-NORMDIST(A45,$C$4,$D$4,TRUE()))</f>
        <v>0</v>
      </c>
      <c r="J45" s="11" t="n">
        <f aca="false">$B$5*(NORMDIST(A45+0.25,$C$5,$D$5,TRUE())-NORMDIST(A45,$C$5,$D$5,TRUE()))</f>
        <v>0</v>
      </c>
    </row>
    <row r="46" customFormat="false" ht="15" hidden="false" customHeight="false" outlineLevel="0" collapsed="false">
      <c r="A46" s="15" t="n">
        <v>7.5</v>
      </c>
      <c r="B46" s="9" t="n">
        <f aca="false">A46+0.125</f>
        <v>7.625</v>
      </c>
      <c r="C46" s="4" t="n">
        <f aca="false">COUNTIFS(raw_jump!$F$2:$F$161,"&gt;="&amp;A46,raw_jump!$F$2:$F$161,"&lt;"&amp;A46+0.25)</f>
        <v>0</v>
      </c>
      <c r="D46" s="4" t="n">
        <f aca="false">COUNTIFS(raw_jump!$F$162:$F$321,"&gt;="&amp;A46,raw_jump!$F$162:$F$321,"&lt;"&amp;A46+0.25)</f>
        <v>0</v>
      </c>
      <c r="E46" s="4" t="n">
        <f aca="false">COUNTIFS(raw_jump!$F$322:$F$481,"&gt;="&amp;A46,raw_jump!$F$322:$F$481,"&lt;"&amp;A46+0.25)</f>
        <v>0</v>
      </c>
      <c r="F46" s="4" t="n">
        <f aca="false">COUNTIFS(raw_jump!$F$482:$F$641,"&gt;="&amp;A46,raw_jump!$F$482:$F$641,"&lt;"&amp;A46+0.25)</f>
        <v>0</v>
      </c>
      <c r="G46" s="11" t="n">
        <f aca="false">$B$2*(NORMDIST(A46+0.25,$C$2,$D$2,TRUE())-NORMDIST(A46,$C$2,$D$2,TRUE()))</f>
        <v>2.01311657496309</v>
      </c>
      <c r="H46" s="11" t="n">
        <f aca="false">$B$3*(NORMDIST(A46+0.25,$C$3,$D$3,TRUE())-NORMDIST(A46,$C$3,$D$3,TRUE()))</f>
        <v>0</v>
      </c>
      <c r="I46" s="11" t="n">
        <f aca="false">$B$4*(NORMDIST(A46+0.25,$C$4,$D$4,TRUE())-NORMDIST(A46,$C$4,$D$4,TRUE()))</f>
        <v>0</v>
      </c>
      <c r="J46" s="11" t="n">
        <f aca="false">$B$5*(NORMDIST(A46+0.25,$C$5,$D$5,TRUE())-NORMDIST(A46,$C$5,$D$5,TRUE()))</f>
        <v>0</v>
      </c>
    </row>
    <row r="47" customFormat="false" ht="15" hidden="false" customHeight="false" outlineLevel="0" collapsed="false">
      <c r="A47" s="15" t="n">
        <v>7.75</v>
      </c>
      <c r="B47" s="9" t="n">
        <f aca="false">A47+0.125</f>
        <v>7.875</v>
      </c>
      <c r="C47" s="4" t="n">
        <f aca="false">COUNTIFS(raw_jump!$F$2:$F$161,"&gt;="&amp;A47,raw_jump!$F$2:$F$161,"&lt;"&amp;A47+0.25)</f>
        <v>0</v>
      </c>
      <c r="D47" s="4" t="n">
        <f aca="false">COUNTIFS(raw_jump!$F$162:$F$321,"&gt;="&amp;A47,raw_jump!$F$162:$F$321,"&lt;"&amp;A47+0.25)</f>
        <v>0</v>
      </c>
      <c r="E47" s="4" t="n">
        <f aca="false">COUNTIFS(raw_jump!$F$322:$F$481,"&gt;="&amp;A47,raw_jump!$F$322:$F$481,"&lt;"&amp;A47+0.25)</f>
        <v>0</v>
      </c>
      <c r="F47" s="4" t="n">
        <f aca="false">COUNTIFS(raw_jump!$F$482:$F$641,"&gt;="&amp;A47,raw_jump!$F$482:$F$641,"&lt;"&amp;A47+0.25)</f>
        <v>0</v>
      </c>
      <c r="G47" s="11" t="n">
        <f aca="false">$B$2*(NORMDIST(A47+0.25,$C$2,$D$2,TRUE())-NORMDIST(A47,$C$2,$D$2,TRUE()))</f>
        <v>1.77722388602565</v>
      </c>
      <c r="H47" s="11" t="n">
        <f aca="false">$B$3*(NORMDIST(A47+0.25,$C$3,$D$3,TRUE())-NORMDIST(A47,$C$3,$D$3,TRUE()))</f>
        <v>0</v>
      </c>
      <c r="I47" s="11" t="n">
        <f aca="false">$B$4*(NORMDIST(A47+0.25,$C$4,$D$4,TRUE())-NORMDIST(A47,$C$4,$D$4,TRUE()))</f>
        <v>0</v>
      </c>
      <c r="J47" s="11" t="n">
        <f aca="false">$B$5*(NORMDIST(A47+0.25,$C$5,$D$5,TRUE())-NORMDIST(A47,$C$5,$D$5,TRUE()))</f>
        <v>0</v>
      </c>
    </row>
    <row r="48" customFormat="false" ht="15" hidden="false" customHeight="false" outlineLevel="0" collapsed="false">
      <c r="A48" s="15" t="n">
        <v>8</v>
      </c>
      <c r="B48" s="9" t="n">
        <f aca="false">A48+0.125</f>
        <v>8.125</v>
      </c>
      <c r="C48" s="4" t="n">
        <f aca="false">COUNTIFS(raw_jump!$F$2:$F$161,"&gt;="&amp;A48,raw_jump!$F$2:$F$161,"&lt;"&amp;A48+0.25)</f>
        <v>0</v>
      </c>
      <c r="D48" s="4" t="n">
        <f aca="false">COUNTIFS(raw_jump!$F$162:$F$321,"&gt;="&amp;A48,raw_jump!$F$162:$F$321,"&lt;"&amp;A48+0.25)</f>
        <v>0</v>
      </c>
      <c r="E48" s="4" t="n">
        <f aca="false">COUNTIFS(raw_jump!$F$322:$F$481,"&gt;="&amp;A48,raw_jump!$F$322:$F$481,"&lt;"&amp;A48+0.25)</f>
        <v>0</v>
      </c>
      <c r="F48" s="4" t="n">
        <f aca="false">COUNTIFS(raw_jump!$F$482:$F$641,"&gt;="&amp;A48,raw_jump!$F$482:$F$641,"&lt;"&amp;A48+0.25)</f>
        <v>0</v>
      </c>
      <c r="G48" s="11" t="n">
        <f aca="false">$B$2*(NORMDIST(A48+0.25,$C$2,$D$2,TRUE())-NORMDIST(A48,$C$2,$D$2,TRUE()))</f>
        <v>1.55751780535107</v>
      </c>
      <c r="H48" s="11" t="n">
        <f aca="false">$B$3*(NORMDIST(A48+0.25,$C$3,$D$3,TRUE())-NORMDIST(A48,$C$3,$D$3,TRUE()))</f>
        <v>0</v>
      </c>
      <c r="I48" s="11" t="n">
        <f aca="false">$B$4*(NORMDIST(A48+0.25,$C$4,$D$4,TRUE())-NORMDIST(A48,$C$4,$D$4,TRUE()))</f>
        <v>0</v>
      </c>
      <c r="J48" s="11" t="n">
        <f aca="false">$B$5*(NORMDIST(A48+0.25,$C$5,$D$5,TRUE())-NORMDIST(A48,$C$5,$D$5,TRUE()))</f>
        <v>0</v>
      </c>
    </row>
    <row r="49" customFormat="false" ht="15" hidden="false" customHeight="false" outlineLevel="0" collapsed="false">
      <c r="A49" s="15" t="n">
        <v>8.25</v>
      </c>
      <c r="B49" s="9" t="n">
        <f aca="false">A49+0.125</f>
        <v>8.375</v>
      </c>
      <c r="C49" s="4" t="n">
        <f aca="false">COUNTIFS(raw_jump!$F$2:$F$161,"&gt;="&amp;A49,raw_jump!$F$2:$F$161,"&lt;"&amp;A49+0.25)</f>
        <v>0</v>
      </c>
      <c r="D49" s="4" t="n">
        <f aca="false">COUNTIFS(raw_jump!$F$162:$F$321,"&gt;="&amp;A49,raw_jump!$F$162:$F$321,"&lt;"&amp;A49+0.25)</f>
        <v>0</v>
      </c>
      <c r="E49" s="4" t="n">
        <f aca="false">COUNTIFS(raw_jump!$F$322:$F$481,"&gt;="&amp;A49,raw_jump!$F$322:$F$481,"&lt;"&amp;A49+0.25)</f>
        <v>0</v>
      </c>
      <c r="F49" s="4" t="n">
        <f aca="false">COUNTIFS(raw_jump!$F$482:$F$641,"&gt;="&amp;A49,raw_jump!$F$482:$F$641,"&lt;"&amp;A49+0.25)</f>
        <v>0</v>
      </c>
      <c r="G49" s="11" t="n">
        <f aca="false">$B$2*(NORMDIST(A49+0.25,$C$2,$D$2,TRUE())-NORMDIST(A49,$C$2,$D$2,TRUE()))</f>
        <v>1.35500706688456</v>
      </c>
      <c r="H49" s="11" t="n">
        <f aca="false">$B$3*(NORMDIST(A49+0.25,$C$3,$D$3,TRUE())-NORMDIST(A49,$C$3,$D$3,TRUE()))</f>
        <v>0</v>
      </c>
      <c r="I49" s="11" t="n">
        <f aca="false">$B$4*(NORMDIST(A49+0.25,$C$4,$D$4,TRUE())-NORMDIST(A49,$C$4,$D$4,TRUE()))</f>
        <v>0</v>
      </c>
      <c r="J49" s="11" t="n">
        <f aca="false">$B$5*(NORMDIST(A49+0.25,$C$5,$D$5,TRUE())-NORMDIST(A49,$C$5,$D$5,TRUE()))</f>
        <v>0</v>
      </c>
    </row>
    <row r="50" customFormat="false" ht="15" hidden="false" customHeight="false" outlineLevel="0" collapsed="false">
      <c r="A50" s="15" t="n">
        <v>8.5</v>
      </c>
      <c r="B50" s="9" t="n">
        <f aca="false">A50+0.125</f>
        <v>8.625</v>
      </c>
      <c r="C50" s="4" t="n">
        <f aca="false">COUNTIFS(raw_jump!$F$2:$F$161,"&gt;="&amp;A50,raw_jump!$F$2:$F$161,"&lt;"&amp;A50+0.25)</f>
        <v>0</v>
      </c>
      <c r="D50" s="4" t="n">
        <f aca="false">COUNTIFS(raw_jump!$F$162:$F$321,"&gt;="&amp;A50,raw_jump!$F$162:$F$321,"&lt;"&amp;A50+0.25)</f>
        <v>0</v>
      </c>
      <c r="E50" s="4" t="n">
        <f aca="false">COUNTIFS(raw_jump!$F$322:$F$481,"&gt;="&amp;A50,raw_jump!$F$322:$F$481,"&lt;"&amp;A50+0.25)</f>
        <v>0</v>
      </c>
      <c r="F50" s="4" t="n">
        <f aca="false">COUNTIFS(raw_jump!$F$482:$F$641,"&gt;="&amp;A50,raw_jump!$F$482:$F$641,"&lt;"&amp;A50+0.25)</f>
        <v>0</v>
      </c>
      <c r="G50" s="11" t="n">
        <f aca="false">$B$2*(NORMDIST(A50+0.25,$C$2,$D$2,TRUE())-NORMDIST(A50,$C$2,$D$2,TRUE()))</f>
        <v>1.17022066093796</v>
      </c>
      <c r="H50" s="11" t="n">
        <f aca="false">$B$3*(NORMDIST(A50+0.25,$C$3,$D$3,TRUE())-NORMDIST(A50,$C$3,$D$3,TRUE()))</f>
        <v>0</v>
      </c>
      <c r="I50" s="11" t="n">
        <f aca="false">$B$4*(NORMDIST(A50+0.25,$C$4,$D$4,TRUE())-NORMDIST(A50,$C$4,$D$4,TRUE()))</f>
        <v>0</v>
      </c>
      <c r="J50" s="11" t="n">
        <f aca="false">$B$5*(NORMDIST(A50+0.25,$C$5,$D$5,TRUE())-NORMDIST(A50,$C$5,$D$5,TRUE()))</f>
        <v>0</v>
      </c>
    </row>
    <row r="51" customFormat="false" ht="15" hidden="false" customHeight="false" outlineLevel="0" collapsed="false">
      <c r="A51" s="15" t="n">
        <v>8.75</v>
      </c>
      <c r="B51" s="9" t="n">
        <f aca="false">A51+0.125</f>
        <v>8.875</v>
      </c>
      <c r="C51" s="4" t="n">
        <f aca="false">COUNTIFS(raw_jump!$F$2:$F$161,"&gt;="&amp;A51,raw_jump!$F$2:$F$161,"&lt;"&amp;A51+0.25)</f>
        <v>1</v>
      </c>
      <c r="D51" s="4" t="n">
        <f aca="false">COUNTIFS(raw_jump!$F$162:$F$321,"&gt;="&amp;A51,raw_jump!$F$162:$F$321,"&lt;"&amp;A51+0.25)</f>
        <v>0</v>
      </c>
      <c r="E51" s="4" t="n">
        <f aca="false">COUNTIFS(raw_jump!$F$322:$F$481,"&gt;="&amp;A51,raw_jump!$F$322:$F$481,"&lt;"&amp;A51+0.25)</f>
        <v>0</v>
      </c>
      <c r="F51" s="4" t="n">
        <f aca="false">COUNTIFS(raw_jump!$F$482:$F$641,"&gt;="&amp;A51,raw_jump!$F$482:$F$641,"&lt;"&amp;A51+0.25)</f>
        <v>0</v>
      </c>
      <c r="G51" s="11" t="n">
        <f aca="false">$B$2*(NORMDIST(A51+0.25,$C$2,$D$2,TRUE())-NORMDIST(A51,$C$2,$D$2,TRUE()))</f>
        <v>1.00325567253266</v>
      </c>
      <c r="H51" s="11" t="n">
        <f aca="false">$B$3*(NORMDIST(A51+0.25,$C$3,$D$3,TRUE())-NORMDIST(A51,$C$3,$D$3,TRUE()))</f>
        <v>0</v>
      </c>
      <c r="I51" s="11" t="n">
        <f aca="false">$B$4*(NORMDIST(A51+0.25,$C$4,$D$4,TRUE())-NORMDIST(A51,$C$4,$D$4,TRUE()))</f>
        <v>0</v>
      </c>
      <c r="J51" s="11" t="n">
        <f aca="false">$B$5*(NORMDIST(A51+0.25,$C$5,$D$5,TRUE())-NORMDIST(A51,$C$5,$D$5,TRUE()))</f>
        <v>0</v>
      </c>
    </row>
    <row r="52" customFormat="false" ht="15" hidden="false" customHeight="false" outlineLevel="0" collapsed="false">
      <c r="A52" s="15" t="n">
        <v>9</v>
      </c>
      <c r="B52" s="9" t="n">
        <f aca="false">A52+0.125</f>
        <v>9.125</v>
      </c>
      <c r="C52" s="4" t="n">
        <f aca="false">COUNTIFS(raw_jump!$F$2:$F$161,"&gt;="&amp;A52,raw_jump!$F$2:$F$161,"&lt;"&amp;A52+0.25)</f>
        <v>18</v>
      </c>
      <c r="D52" s="4" t="n">
        <f aca="false">COUNTIFS(raw_jump!$F$162:$F$321,"&gt;="&amp;A52,raw_jump!$F$162:$F$321,"&lt;"&amp;A52+0.25)</f>
        <v>0</v>
      </c>
      <c r="E52" s="4" t="n">
        <f aca="false">COUNTIFS(raw_jump!$F$322:$F$481,"&gt;="&amp;A52,raw_jump!$F$322:$F$481,"&lt;"&amp;A52+0.25)</f>
        <v>0</v>
      </c>
      <c r="F52" s="4" t="n">
        <f aca="false">COUNTIFS(raw_jump!$F$482:$F$641,"&gt;="&amp;A52,raw_jump!$F$482:$F$641,"&lt;"&amp;A52+0.25)</f>
        <v>0</v>
      </c>
      <c r="G52" s="11" t="n">
        <f aca="false">$B$2*(NORMDIST(A52+0.25,$C$2,$D$2,TRUE())-NORMDIST(A52,$C$2,$D$2,TRUE()))</f>
        <v>0.85383341534909</v>
      </c>
      <c r="H52" s="11" t="n">
        <f aca="false">$B$3*(NORMDIST(A52+0.25,$C$3,$D$3,TRUE())-NORMDIST(A52,$C$3,$D$3,TRUE()))</f>
        <v>0</v>
      </c>
      <c r="I52" s="11" t="n">
        <f aca="false">$B$4*(NORMDIST(A52+0.25,$C$4,$D$4,TRUE())-NORMDIST(A52,$C$4,$D$4,TRUE()))</f>
        <v>0</v>
      </c>
      <c r="J52" s="11" t="n">
        <f aca="false">$B$5*(NORMDIST(A52+0.25,$C$5,$D$5,TRUE())-NORMDIST(A52,$C$5,$D$5,TRUE()))</f>
        <v>0</v>
      </c>
    </row>
    <row r="53" customFormat="false" ht="15" hidden="false" customHeight="false" outlineLevel="0" collapsed="false">
      <c r="A53" s="15" t="n">
        <v>9.25</v>
      </c>
      <c r="B53" s="9" t="n">
        <f aca="false">A53+0.125</f>
        <v>9.375</v>
      </c>
      <c r="C53" s="4" t="n">
        <f aca="false">COUNTIFS(raw_jump!$F$2:$F$161,"&gt;="&amp;A53,raw_jump!$F$2:$F$161,"&lt;"&amp;A53+0.25)</f>
        <v>1</v>
      </c>
      <c r="D53" s="4" t="n">
        <f aca="false">COUNTIFS(raw_jump!$F$162:$F$321,"&gt;="&amp;A53,raw_jump!$F$162:$F$321,"&lt;"&amp;A53+0.25)</f>
        <v>0</v>
      </c>
      <c r="E53" s="4" t="n">
        <f aca="false">COUNTIFS(raw_jump!$F$322:$F$481,"&gt;="&amp;A53,raw_jump!$F$322:$F$481,"&lt;"&amp;A53+0.25)</f>
        <v>0</v>
      </c>
      <c r="F53" s="4" t="n">
        <f aca="false">COUNTIFS(raw_jump!$F$482:$F$641,"&gt;="&amp;A53,raw_jump!$F$482:$F$641,"&lt;"&amp;A53+0.25)</f>
        <v>0</v>
      </c>
      <c r="G53" s="11" t="n">
        <f aca="false">$B$2*(NORMDIST(A53+0.25,$C$2,$D$2,TRUE())-NORMDIST(A53,$C$2,$D$2,TRUE()))</f>
        <v>0.7213604557694</v>
      </c>
      <c r="H53" s="11" t="n">
        <f aca="false">$B$3*(NORMDIST(A53+0.25,$C$3,$D$3,TRUE())-NORMDIST(A53,$C$3,$D$3,TRUE()))</f>
        <v>0</v>
      </c>
      <c r="I53" s="11" t="n">
        <f aca="false">$B$4*(NORMDIST(A53+0.25,$C$4,$D$4,TRUE())-NORMDIST(A53,$C$4,$D$4,TRUE()))</f>
        <v>0</v>
      </c>
      <c r="J53" s="11" t="n">
        <f aca="false">$B$5*(NORMDIST(A53+0.25,$C$5,$D$5,TRUE())-NORMDIST(A53,$C$5,$D$5,TRUE()))</f>
        <v>0</v>
      </c>
    </row>
    <row r="54" customFormat="false" ht="15" hidden="false" customHeight="false" outlineLevel="0" collapsed="false">
      <c r="A54" s="15" t="n">
        <v>9.5</v>
      </c>
      <c r="B54" s="9" t="n">
        <f aca="false">A54+0.125</f>
        <v>9.625</v>
      </c>
      <c r="C54" s="4" t="n">
        <f aca="false">COUNTIFS(raw_jump!$F$2:$F$161,"&gt;="&amp;A54,raw_jump!$F$2:$F$161,"&lt;"&amp;A54+0.25)</f>
        <v>0</v>
      </c>
      <c r="D54" s="4" t="n">
        <f aca="false">COUNTIFS(raw_jump!$F$162:$F$321,"&gt;="&amp;A54,raw_jump!$F$162:$F$321,"&lt;"&amp;A54+0.25)</f>
        <v>0</v>
      </c>
      <c r="E54" s="4" t="n">
        <f aca="false">COUNTIFS(raw_jump!$F$322:$F$481,"&gt;="&amp;A54,raw_jump!$F$322:$F$481,"&lt;"&amp;A54+0.25)</f>
        <v>0</v>
      </c>
      <c r="F54" s="4" t="n">
        <f aca="false">COUNTIFS(raw_jump!$F$482:$F$641,"&gt;="&amp;A54,raw_jump!$F$482:$F$641,"&lt;"&amp;A54+0.25)</f>
        <v>0</v>
      </c>
      <c r="G54" s="11" t="n">
        <f aca="false">$B$2*(NORMDIST(A54+0.25,$C$2,$D$2,TRUE())-NORMDIST(A54,$C$2,$D$2,TRUE()))</f>
        <v>0.604991363950589</v>
      </c>
      <c r="H54" s="11" t="n">
        <f aca="false">$B$3*(NORMDIST(A54+0.25,$C$3,$D$3,TRUE())-NORMDIST(A54,$C$3,$D$3,TRUE()))</f>
        <v>0</v>
      </c>
      <c r="I54" s="11" t="n">
        <f aca="false">$B$4*(NORMDIST(A54+0.25,$C$4,$D$4,TRUE())-NORMDIST(A54,$C$4,$D$4,TRUE()))</f>
        <v>0</v>
      </c>
      <c r="J54" s="11" t="n">
        <f aca="false">$B$5*(NORMDIST(A54+0.25,$C$5,$D$5,TRUE())-NORMDIST(A54,$C$5,$D$5,TRUE()))</f>
        <v>0</v>
      </c>
    </row>
    <row r="55" customFormat="false" ht="15" hidden="false" customHeight="false" outlineLevel="0" collapsed="false">
      <c r="A55" s="15" t="n">
        <v>9.75</v>
      </c>
      <c r="B55" s="9" t="n">
        <f aca="false">A55+0.125</f>
        <v>9.875</v>
      </c>
      <c r="C55" s="4" t="n">
        <f aca="false">COUNTIFS(raw_jump!$F$2:$F$161,"&gt;="&amp;A55,raw_jump!$F$2:$F$161,"&lt;"&amp;A55+0.25)</f>
        <v>0</v>
      </c>
      <c r="D55" s="4" t="n">
        <f aca="false">COUNTIFS(raw_jump!$F$162:$F$321,"&gt;="&amp;A55,raw_jump!$F$162:$F$321,"&lt;"&amp;A55+0.25)</f>
        <v>0</v>
      </c>
      <c r="E55" s="4" t="n">
        <f aca="false">COUNTIFS(raw_jump!$F$322:$F$481,"&gt;="&amp;A55,raw_jump!$F$322:$F$481,"&lt;"&amp;A55+0.25)</f>
        <v>0</v>
      </c>
      <c r="F55" s="4" t="n">
        <f aca="false">COUNTIFS(raw_jump!$F$482:$F$641,"&gt;="&amp;A55,raw_jump!$F$482:$F$641,"&lt;"&amp;A55+0.25)</f>
        <v>0</v>
      </c>
      <c r="G55" s="11" t="n">
        <f aca="false">$B$2*(NORMDIST(A55+0.25,$C$2,$D$2,TRUE())-NORMDIST(A55,$C$2,$D$2,TRUE()))</f>
        <v>0.503690407027779</v>
      </c>
      <c r="H55" s="11" t="n">
        <f aca="false">$B$3*(NORMDIST(A55+0.25,$C$3,$D$3,TRUE())-NORMDIST(A55,$C$3,$D$3,TRUE()))</f>
        <v>0</v>
      </c>
      <c r="I55" s="11" t="n">
        <f aca="false">$B$4*(NORMDIST(A55+0.25,$C$4,$D$4,TRUE())-NORMDIST(A55,$C$4,$D$4,TRUE()))</f>
        <v>0</v>
      </c>
      <c r="J55" s="11" t="n">
        <f aca="false">$B$5*(NORMDIST(A55+0.25,$C$5,$D$5,TRUE())-NORMDIST(A55,$C$5,$D$5,TRUE()))</f>
        <v>0</v>
      </c>
    </row>
    <row r="56" customFormat="false" ht="15" hidden="false" customHeight="false" outlineLevel="0" collapsed="false">
      <c r="A56" s="12" t="s">
        <v>133</v>
      </c>
      <c r="C56" s="12" t="n">
        <f aca="false">SUM(C16:C55)</f>
        <v>160</v>
      </c>
      <c r="D56" s="12" t="n">
        <f aca="false">SUM(D16:D55)</f>
        <v>160</v>
      </c>
      <c r="E56" s="12" t="n">
        <f aca="false">SUM(E16:E55)</f>
        <v>160</v>
      </c>
      <c r="F56" s="12" t="n">
        <f aca="false">SUM(F16:F55)</f>
        <v>160</v>
      </c>
    </row>
    <row r="57" customFormat="false" ht="15" hidden="false" customHeight="false" outlineLevel="0" collapsed="false">
      <c r="A57" s="13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8" t="s">
        <v>189</v>
      </c>
      <c r="B1" s="8" t="s">
        <v>465</v>
      </c>
      <c r="C1" s="8" t="s">
        <v>466</v>
      </c>
      <c r="D1" s="8" t="s">
        <v>467</v>
      </c>
      <c r="E1" s="8" t="s">
        <v>468</v>
      </c>
      <c r="F1" s="8" t="s">
        <v>469</v>
      </c>
      <c r="G1" s="8" t="s">
        <v>470</v>
      </c>
    </row>
    <row r="2" customFormat="false" ht="15" hidden="false" customHeight="false" outlineLevel="0" collapsed="false">
      <c r="A2" s="4" t="s">
        <v>200</v>
      </c>
      <c r="B2" s="4" t="n">
        <v>1</v>
      </c>
      <c r="C2" s="4" t="n">
        <v>3</v>
      </c>
      <c r="D2" s="4" t="n">
        <v>0.6</v>
      </c>
      <c r="E2" s="4" t="n">
        <v>6</v>
      </c>
      <c r="F2" s="4" t="n">
        <v>3.64</v>
      </c>
      <c r="G2" s="4" t="n">
        <v>3.72</v>
      </c>
    </row>
    <row r="3" customFormat="false" ht="15" hidden="false" customHeight="false" outlineLevel="0" collapsed="false">
      <c r="A3" s="4" t="s">
        <v>200</v>
      </c>
      <c r="B3" s="4" t="n">
        <v>1</v>
      </c>
      <c r="C3" s="4" t="n">
        <v>3</v>
      </c>
      <c r="D3" s="4" t="n">
        <v>0.6</v>
      </c>
      <c r="E3" s="4" t="n">
        <v>6.05</v>
      </c>
      <c r="F3" s="4" t="n">
        <v>3.59</v>
      </c>
      <c r="G3" s="4" t="n">
        <v>3.67</v>
      </c>
    </row>
    <row r="4" customFormat="false" ht="15" hidden="false" customHeight="false" outlineLevel="0" collapsed="false">
      <c r="A4" s="4" t="s">
        <v>200</v>
      </c>
      <c r="B4" s="4" t="n">
        <v>1</v>
      </c>
      <c r="C4" s="4" t="n">
        <v>3</v>
      </c>
      <c r="D4" s="4" t="n">
        <v>0.6</v>
      </c>
      <c r="E4" s="4" t="n">
        <v>6.1</v>
      </c>
      <c r="F4" s="4" t="n">
        <v>3.8</v>
      </c>
      <c r="G4" s="4" t="n">
        <v>3.8</v>
      </c>
    </row>
    <row r="5" customFormat="false" ht="15" hidden="false" customHeight="false" outlineLevel="0" collapsed="false">
      <c r="A5" s="4" t="s">
        <v>200</v>
      </c>
      <c r="B5" s="4" t="n">
        <v>1</v>
      </c>
      <c r="C5" s="4" t="n">
        <v>3</v>
      </c>
      <c r="D5" s="4" t="n">
        <v>0.6</v>
      </c>
      <c r="E5" s="4" t="n">
        <v>6.15</v>
      </c>
      <c r="F5" s="4" t="n">
        <v>3.75</v>
      </c>
      <c r="G5" s="4" t="n">
        <v>3.75</v>
      </c>
    </row>
    <row r="6" customFormat="false" ht="15" hidden="false" customHeight="false" outlineLevel="0" collapsed="false">
      <c r="A6" s="4" t="s">
        <v>200</v>
      </c>
      <c r="B6" s="4" t="n">
        <v>1</v>
      </c>
      <c r="C6" s="4" t="n">
        <v>3</v>
      </c>
      <c r="D6" s="4" t="n">
        <v>0.6</v>
      </c>
      <c r="E6" s="4" t="n">
        <v>6.2</v>
      </c>
      <c r="F6" s="4" t="n">
        <v>3.7</v>
      </c>
      <c r="G6" s="4" t="n">
        <v>3.78</v>
      </c>
    </row>
    <row r="7" customFormat="false" ht="15" hidden="false" customHeight="false" outlineLevel="0" collapsed="false">
      <c r="A7" s="4" t="s">
        <v>200</v>
      </c>
      <c r="B7" s="4" t="n">
        <v>1</v>
      </c>
      <c r="C7" s="4" t="n">
        <v>3</v>
      </c>
      <c r="D7" s="4" t="n">
        <v>0.6</v>
      </c>
      <c r="E7" s="4" t="n">
        <v>6.25</v>
      </c>
      <c r="F7" s="4" t="n">
        <v>3.63</v>
      </c>
      <c r="G7" s="4" t="n">
        <v>3.71</v>
      </c>
    </row>
    <row r="8" customFormat="false" ht="15" hidden="false" customHeight="false" outlineLevel="0" collapsed="false">
      <c r="A8" s="4" t="s">
        <v>200</v>
      </c>
      <c r="B8" s="4" t="n">
        <v>1</v>
      </c>
      <c r="C8" s="4" t="n">
        <v>3</v>
      </c>
      <c r="D8" s="4" t="n">
        <v>0.6</v>
      </c>
      <c r="E8" s="4" t="n">
        <v>6.3</v>
      </c>
      <c r="F8" s="4" t="n">
        <v>3.58</v>
      </c>
      <c r="G8" s="4" t="n">
        <v>3.66</v>
      </c>
    </row>
    <row r="9" customFormat="false" ht="15" hidden="false" customHeight="false" outlineLevel="0" collapsed="false">
      <c r="A9" s="4" t="s">
        <v>200</v>
      </c>
      <c r="B9" s="4" t="n">
        <v>1</v>
      </c>
      <c r="C9" s="4" t="n">
        <v>3</v>
      </c>
      <c r="D9" s="4" t="n">
        <v>0.6</v>
      </c>
      <c r="E9" s="4" t="n">
        <v>6.35</v>
      </c>
      <c r="F9" s="4" t="n">
        <v>3.79</v>
      </c>
      <c r="G9" s="4" t="n">
        <v>3.79</v>
      </c>
    </row>
    <row r="10" customFormat="false" ht="15" hidden="false" customHeight="false" outlineLevel="0" collapsed="false">
      <c r="A10" s="4" t="s">
        <v>200</v>
      </c>
      <c r="B10" s="4" t="n">
        <v>1</v>
      </c>
      <c r="C10" s="4" t="n">
        <v>3</v>
      </c>
      <c r="D10" s="4" t="n">
        <v>0.6</v>
      </c>
      <c r="E10" s="4" t="n">
        <v>6.4</v>
      </c>
      <c r="F10" s="4" t="n">
        <v>3.74</v>
      </c>
      <c r="G10" s="4" t="n">
        <v>3.82</v>
      </c>
    </row>
    <row r="11" customFormat="false" ht="15" hidden="false" customHeight="false" outlineLevel="0" collapsed="false">
      <c r="A11" s="4" t="s">
        <v>200</v>
      </c>
      <c r="B11" s="4" t="n">
        <v>1</v>
      </c>
      <c r="C11" s="4" t="n">
        <v>3</v>
      </c>
      <c r="D11" s="4" t="n">
        <v>0.6</v>
      </c>
      <c r="E11" s="4" t="n">
        <v>6.45</v>
      </c>
      <c r="F11" s="4" t="n">
        <v>3.69</v>
      </c>
      <c r="G11" s="4" t="n">
        <v>3.77</v>
      </c>
    </row>
    <row r="12" customFormat="false" ht="15" hidden="false" customHeight="false" outlineLevel="0" collapsed="false">
      <c r="A12" s="4" t="s">
        <v>200</v>
      </c>
      <c r="B12" s="4" t="n">
        <v>1</v>
      </c>
      <c r="C12" s="4" t="n">
        <v>3</v>
      </c>
      <c r="D12" s="4" t="n">
        <v>0.6</v>
      </c>
      <c r="E12" s="4" t="n">
        <v>6.5</v>
      </c>
      <c r="F12" s="4" t="n">
        <v>3.62</v>
      </c>
      <c r="G12" s="4" t="n">
        <v>3.7</v>
      </c>
    </row>
    <row r="13" customFormat="false" ht="15" hidden="false" customHeight="false" outlineLevel="0" collapsed="false">
      <c r="A13" s="4" t="s">
        <v>200</v>
      </c>
      <c r="B13" s="4" t="n">
        <v>1</v>
      </c>
      <c r="C13" s="4" t="n">
        <v>3</v>
      </c>
      <c r="D13" s="4" t="n">
        <v>0.6</v>
      </c>
      <c r="E13" s="4" t="n">
        <v>6.55</v>
      </c>
      <c r="F13" s="4" t="n">
        <v>3.57</v>
      </c>
      <c r="G13" s="4" t="n">
        <v>3.65</v>
      </c>
    </row>
    <row r="14" customFormat="false" ht="15" hidden="false" customHeight="false" outlineLevel="0" collapsed="false">
      <c r="A14" s="4" t="s">
        <v>200</v>
      </c>
      <c r="B14" s="4" t="n">
        <v>1</v>
      </c>
      <c r="C14" s="4" t="n">
        <v>3</v>
      </c>
      <c r="D14" s="4" t="n">
        <v>0.6</v>
      </c>
      <c r="E14" s="4" t="n">
        <v>6.6</v>
      </c>
      <c r="F14" s="4" t="n">
        <v>3.78</v>
      </c>
      <c r="G14" s="4" t="n">
        <v>3.78</v>
      </c>
    </row>
    <row r="15" customFormat="false" ht="15" hidden="false" customHeight="false" outlineLevel="0" collapsed="false">
      <c r="A15" s="4" t="s">
        <v>200</v>
      </c>
      <c r="B15" s="4" t="n">
        <v>1</v>
      </c>
      <c r="C15" s="4" t="n">
        <v>3</v>
      </c>
      <c r="D15" s="4" t="n">
        <v>0.6</v>
      </c>
      <c r="E15" s="4" t="n">
        <v>6.65</v>
      </c>
      <c r="F15" s="4" t="n">
        <v>3.73</v>
      </c>
      <c r="G15" s="4" t="n">
        <v>3.81</v>
      </c>
    </row>
    <row r="16" customFormat="false" ht="15" hidden="false" customHeight="false" outlineLevel="0" collapsed="false">
      <c r="A16" s="4" t="s">
        <v>200</v>
      </c>
      <c r="B16" s="4" t="n">
        <v>1</v>
      </c>
      <c r="C16" s="4" t="n">
        <v>3</v>
      </c>
      <c r="D16" s="4" t="n">
        <v>0.6</v>
      </c>
      <c r="E16" s="4" t="n">
        <v>6.7</v>
      </c>
      <c r="F16" s="4" t="n">
        <v>3.68</v>
      </c>
      <c r="G16" s="4" t="n">
        <v>3.76</v>
      </c>
    </row>
    <row r="17" customFormat="false" ht="15" hidden="false" customHeight="false" outlineLevel="0" collapsed="false">
      <c r="A17" s="4" t="s">
        <v>200</v>
      </c>
      <c r="B17" s="4" t="n">
        <v>1</v>
      </c>
      <c r="C17" s="4" t="n">
        <v>3</v>
      </c>
      <c r="D17" s="4" t="n">
        <v>0.6</v>
      </c>
      <c r="E17" s="4" t="n">
        <v>6.75</v>
      </c>
      <c r="F17" s="4" t="n">
        <v>3.61</v>
      </c>
      <c r="G17" s="4" t="n">
        <v>3.69</v>
      </c>
    </row>
    <row r="18" customFormat="false" ht="15" hidden="false" customHeight="false" outlineLevel="0" collapsed="false">
      <c r="A18" s="4" t="s">
        <v>200</v>
      </c>
      <c r="B18" s="4" t="n">
        <v>1</v>
      </c>
      <c r="C18" s="4" t="n">
        <v>3</v>
      </c>
      <c r="D18" s="4" t="n">
        <v>0.6</v>
      </c>
      <c r="E18" s="4" t="n">
        <v>6.8</v>
      </c>
      <c r="F18" s="4" t="n">
        <v>3.82</v>
      </c>
      <c r="G18" s="4" t="n">
        <v>3.82</v>
      </c>
    </row>
    <row r="19" customFormat="false" ht="15" hidden="false" customHeight="false" outlineLevel="0" collapsed="false">
      <c r="A19" s="4" t="s">
        <v>200</v>
      </c>
      <c r="B19" s="4" t="n">
        <v>1</v>
      </c>
      <c r="C19" s="4" t="n">
        <v>3</v>
      </c>
      <c r="D19" s="4" t="n">
        <v>0.6</v>
      </c>
      <c r="E19" s="4" t="n">
        <v>6.85</v>
      </c>
      <c r="F19" s="4" t="n">
        <v>3.77</v>
      </c>
      <c r="G19" s="4" t="n">
        <v>3.77</v>
      </c>
    </row>
    <row r="20" customFormat="false" ht="15" hidden="false" customHeight="false" outlineLevel="0" collapsed="false">
      <c r="A20" s="4" t="s">
        <v>200</v>
      </c>
      <c r="B20" s="4" t="n">
        <v>1</v>
      </c>
      <c r="C20" s="4" t="n">
        <v>3</v>
      </c>
      <c r="D20" s="4" t="n">
        <v>0.6</v>
      </c>
      <c r="E20" s="4" t="n">
        <v>6.9</v>
      </c>
      <c r="F20" s="4" t="n">
        <v>3.72</v>
      </c>
      <c r="G20" s="4" t="n">
        <v>3.8</v>
      </c>
    </row>
    <row r="21" customFormat="false" ht="15" hidden="false" customHeight="false" outlineLevel="0" collapsed="false">
      <c r="A21" s="4" t="s">
        <v>200</v>
      </c>
      <c r="B21" s="4" t="n">
        <v>1</v>
      </c>
      <c r="C21" s="4" t="n">
        <v>3</v>
      </c>
      <c r="D21" s="4" t="n">
        <v>0.6</v>
      </c>
      <c r="E21" s="4" t="n">
        <v>6.95</v>
      </c>
      <c r="F21" s="4" t="n">
        <v>3.67</v>
      </c>
      <c r="G21" s="4" t="n">
        <v>3.75</v>
      </c>
    </row>
    <row r="22" customFormat="false" ht="15" hidden="false" customHeight="false" outlineLevel="0" collapsed="false">
      <c r="A22" s="4" t="s">
        <v>200</v>
      </c>
      <c r="B22" s="4" t="n">
        <v>3</v>
      </c>
      <c r="C22" s="4" t="n">
        <v>1</v>
      </c>
      <c r="D22" s="4" t="n">
        <v>0.6</v>
      </c>
      <c r="E22" s="4" t="n">
        <v>6</v>
      </c>
      <c r="F22" s="4" t="n">
        <v>6.62</v>
      </c>
      <c r="G22" s="4" t="n">
        <v>7.38</v>
      </c>
    </row>
    <row r="23" customFormat="false" ht="15" hidden="false" customHeight="false" outlineLevel="0" collapsed="false">
      <c r="A23" s="4" t="s">
        <v>200</v>
      </c>
      <c r="B23" s="4" t="n">
        <v>3</v>
      </c>
      <c r="C23" s="4" t="n">
        <v>1</v>
      </c>
      <c r="D23" s="4" t="n">
        <v>0.6</v>
      </c>
      <c r="E23" s="4" t="n">
        <v>6.05</v>
      </c>
      <c r="F23" s="4" t="n">
        <v>6.85</v>
      </c>
      <c r="G23" s="4" t="n">
        <v>7.53</v>
      </c>
    </row>
    <row r="24" customFormat="false" ht="15" hidden="false" customHeight="false" outlineLevel="0" collapsed="false">
      <c r="A24" s="4" t="s">
        <v>200</v>
      </c>
      <c r="B24" s="4" t="n">
        <v>3</v>
      </c>
      <c r="C24" s="4" t="n">
        <v>1</v>
      </c>
      <c r="D24" s="4" t="n">
        <v>0.6</v>
      </c>
      <c r="E24" s="4" t="n">
        <v>6.1</v>
      </c>
      <c r="F24" s="4" t="n">
        <v>6.8</v>
      </c>
      <c r="G24" s="4" t="n">
        <v>7.48</v>
      </c>
    </row>
    <row r="25" customFormat="false" ht="15" hidden="false" customHeight="false" outlineLevel="0" collapsed="false">
      <c r="A25" s="4" t="s">
        <v>200</v>
      </c>
      <c r="B25" s="4" t="n">
        <v>3</v>
      </c>
      <c r="C25" s="4" t="n">
        <v>1</v>
      </c>
      <c r="D25" s="4" t="n">
        <v>0.6</v>
      </c>
      <c r="E25" s="4" t="n">
        <v>6.15</v>
      </c>
      <c r="F25" s="4" t="n">
        <v>6.73</v>
      </c>
      <c r="G25" s="4" t="n">
        <v>7.49</v>
      </c>
    </row>
    <row r="26" customFormat="false" ht="15" hidden="false" customHeight="false" outlineLevel="0" collapsed="false">
      <c r="A26" s="4" t="s">
        <v>200</v>
      </c>
      <c r="B26" s="4" t="n">
        <v>3</v>
      </c>
      <c r="C26" s="4" t="n">
        <v>1</v>
      </c>
      <c r="D26" s="4" t="n">
        <v>0.6</v>
      </c>
      <c r="E26" s="4" t="n">
        <v>6.2</v>
      </c>
      <c r="F26" s="4" t="n">
        <v>6.66</v>
      </c>
      <c r="G26" s="4" t="n">
        <v>7.42</v>
      </c>
    </row>
    <row r="27" customFormat="false" ht="15" hidden="false" customHeight="false" outlineLevel="0" collapsed="false">
      <c r="A27" s="4" t="s">
        <v>200</v>
      </c>
      <c r="B27" s="4" t="n">
        <v>3</v>
      </c>
      <c r="C27" s="4" t="n">
        <v>1</v>
      </c>
      <c r="D27" s="4" t="n">
        <v>0.6</v>
      </c>
      <c r="E27" s="4" t="n">
        <v>6.25</v>
      </c>
      <c r="F27" s="4" t="n">
        <v>6.61</v>
      </c>
      <c r="G27" s="4" t="n">
        <v>7.37</v>
      </c>
    </row>
    <row r="28" customFormat="false" ht="15" hidden="false" customHeight="false" outlineLevel="0" collapsed="false">
      <c r="A28" s="4" t="s">
        <v>200</v>
      </c>
      <c r="B28" s="4" t="n">
        <v>3</v>
      </c>
      <c r="C28" s="4" t="n">
        <v>1</v>
      </c>
      <c r="D28" s="4" t="n">
        <v>0.6</v>
      </c>
      <c r="E28" s="4" t="n">
        <v>6.3</v>
      </c>
      <c r="F28" s="4" t="n">
        <v>6.84</v>
      </c>
      <c r="G28" s="4" t="n">
        <v>7.52</v>
      </c>
    </row>
    <row r="29" customFormat="false" ht="15" hidden="false" customHeight="false" outlineLevel="0" collapsed="false">
      <c r="A29" s="4" t="s">
        <v>200</v>
      </c>
      <c r="B29" s="4" t="n">
        <v>3</v>
      </c>
      <c r="C29" s="4" t="n">
        <v>1</v>
      </c>
      <c r="D29" s="4" t="n">
        <v>0.6</v>
      </c>
      <c r="E29" s="4" t="n">
        <v>6.35</v>
      </c>
      <c r="F29" s="4" t="n">
        <v>6.79</v>
      </c>
      <c r="G29" s="4" t="n">
        <v>7.47</v>
      </c>
    </row>
    <row r="30" customFormat="false" ht="15" hidden="false" customHeight="false" outlineLevel="0" collapsed="false">
      <c r="A30" s="4" t="s">
        <v>200</v>
      </c>
      <c r="B30" s="4" t="n">
        <v>3</v>
      </c>
      <c r="C30" s="4" t="n">
        <v>1</v>
      </c>
      <c r="D30" s="4" t="n">
        <v>0.6</v>
      </c>
      <c r="E30" s="4" t="n">
        <v>6.4</v>
      </c>
      <c r="F30" s="4" t="n">
        <v>6.72</v>
      </c>
      <c r="G30" s="4" t="n">
        <v>7.48</v>
      </c>
    </row>
    <row r="31" customFormat="false" ht="15" hidden="false" customHeight="false" outlineLevel="0" collapsed="false">
      <c r="A31" s="4" t="s">
        <v>200</v>
      </c>
      <c r="B31" s="4" t="n">
        <v>3</v>
      </c>
      <c r="C31" s="4" t="n">
        <v>1</v>
      </c>
      <c r="D31" s="4" t="n">
        <v>0.6</v>
      </c>
      <c r="E31" s="4" t="n">
        <v>6.45</v>
      </c>
      <c r="F31" s="4" t="n">
        <v>6.65</v>
      </c>
      <c r="G31" s="4" t="n">
        <v>7.41</v>
      </c>
    </row>
    <row r="32" customFormat="false" ht="15" hidden="false" customHeight="false" outlineLevel="0" collapsed="false">
      <c r="A32" s="4" t="s">
        <v>200</v>
      </c>
      <c r="B32" s="4" t="n">
        <v>3</v>
      </c>
      <c r="C32" s="4" t="n">
        <v>1</v>
      </c>
      <c r="D32" s="4" t="n">
        <v>0.6</v>
      </c>
      <c r="E32" s="4" t="n">
        <v>6.5</v>
      </c>
      <c r="F32" s="4" t="n">
        <v>6.6</v>
      </c>
      <c r="G32" s="4" t="n">
        <v>7.36</v>
      </c>
    </row>
    <row r="33" customFormat="false" ht="15" hidden="false" customHeight="false" outlineLevel="0" collapsed="false">
      <c r="A33" s="4" t="s">
        <v>200</v>
      </c>
      <c r="B33" s="4" t="n">
        <v>3</v>
      </c>
      <c r="C33" s="4" t="n">
        <v>1</v>
      </c>
      <c r="D33" s="4" t="n">
        <v>0.6</v>
      </c>
      <c r="E33" s="4" t="n">
        <v>6.55</v>
      </c>
      <c r="F33" s="4" t="n">
        <v>6.83</v>
      </c>
      <c r="G33" s="4" t="n">
        <v>7.51</v>
      </c>
    </row>
    <row r="34" customFormat="false" ht="15" hidden="false" customHeight="false" outlineLevel="0" collapsed="false">
      <c r="A34" s="4" t="s">
        <v>200</v>
      </c>
      <c r="B34" s="4" t="n">
        <v>3</v>
      </c>
      <c r="C34" s="4" t="n">
        <v>1</v>
      </c>
      <c r="D34" s="4" t="n">
        <v>0.6</v>
      </c>
      <c r="E34" s="4" t="n">
        <v>6.6</v>
      </c>
      <c r="F34" s="4" t="n">
        <v>6.76</v>
      </c>
      <c r="G34" s="4" t="n">
        <v>7.52</v>
      </c>
    </row>
    <row r="35" customFormat="false" ht="15" hidden="false" customHeight="false" outlineLevel="0" collapsed="false">
      <c r="A35" s="4" t="s">
        <v>200</v>
      </c>
      <c r="B35" s="4" t="n">
        <v>3</v>
      </c>
      <c r="C35" s="4" t="n">
        <v>1</v>
      </c>
      <c r="D35" s="4" t="n">
        <v>0.6</v>
      </c>
      <c r="E35" s="4" t="n">
        <v>6.65</v>
      </c>
      <c r="F35" s="4" t="n">
        <v>6.71</v>
      </c>
      <c r="G35" s="4" t="n">
        <v>7.47</v>
      </c>
    </row>
    <row r="36" customFormat="false" ht="15" hidden="false" customHeight="false" outlineLevel="0" collapsed="false">
      <c r="A36" s="4" t="s">
        <v>200</v>
      </c>
      <c r="B36" s="4" t="n">
        <v>3</v>
      </c>
      <c r="C36" s="4" t="n">
        <v>1</v>
      </c>
      <c r="D36" s="4" t="n">
        <v>0.6</v>
      </c>
      <c r="E36" s="4" t="n">
        <v>6.7</v>
      </c>
      <c r="F36" s="4" t="n">
        <v>6.64</v>
      </c>
      <c r="G36" s="4" t="n">
        <v>7.4</v>
      </c>
    </row>
    <row r="37" customFormat="false" ht="15" hidden="false" customHeight="false" outlineLevel="0" collapsed="false">
      <c r="A37" s="4" t="s">
        <v>200</v>
      </c>
      <c r="B37" s="4" t="n">
        <v>3</v>
      </c>
      <c r="C37" s="4" t="n">
        <v>1</v>
      </c>
      <c r="D37" s="4" t="n">
        <v>0.6</v>
      </c>
      <c r="E37" s="4" t="n">
        <v>6.75</v>
      </c>
      <c r="F37" s="4" t="n">
        <v>6.59</v>
      </c>
      <c r="G37" s="4" t="n">
        <v>7.35</v>
      </c>
    </row>
    <row r="38" customFormat="false" ht="15" hidden="false" customHeight="false" outlineLevel="0" collapsed="false">
      <c r="A38" s="4" t="s">
        <v>200</v>
      </c>
      <c r="B38" s="4" t="n">
        <v>3</v>
      </c>
      <c r="C38" s="4" t="n">
        <v>1</v>
      </c>
      <c r="D38" s="4" t="n">
        <v>0.6</v>
      </c>
      <c r="E38" s="4" t="n">
        <v>6.8</v>
      </c>
      <c r="F38" s="4" t="n">
        <v>6.82</v>
      </c>
      <c r="G38" s="4" t="n">
        <v>7.5</v>
      </c>
    </row>
    <row r="39" customFormat="false" ht="15" hidden="false" customHeight="false" outlineLevel="0" collapsed="false">
      <c r="A39" s="4" t="s">
        <v>200</v>
      </c>
      <c r="B39" s="4" t="n">
        <v>3</v>
      </c>
      <c r="C39" s="4" t="n">
        <v>1</v>
      </c>
      <c r="D39" s="4" t="n">
        <v>0.6</v>
      </c>
      <c r="E39" s="4" t="n">
        <v>6.85</v>
      </c>
      <c r="F39" s="4" t="n">
        <v>6.75</v>
      </c>
      <c r="G39" s="4" t="n">
        <v>7.51</v>
      </c>
    </row>
    <row r="40" customFormat="false" ht="15" hidden="false" customHeight="false" outlineLevel="0" collapsed="false">
      <c r="A40" s="4" t="s">
        <v>200</v>
      </c>
      <c r="B40" s="4" t="n">
        <v>3</v>
      </c>
      <c r="C40" s="4" t="n">
        <v>1</v>
      </c>
      <c r="D40" s="4" t="n">
        <v>0.6</v>
      </c>
      <c r="E40" s="4" t="n">
        <v>6.9</v>
      </c>
      <c r="F40" s="4" t="n">
        <v>6.7</v>
      </c>
      <c r="G40" s="4" t="n">
        <v>7.46</v>
      </c>
    </row>
    <row r="41" customFormat="false" ht="15" hidden="false" customHeight="false" outlineLevel="0" collapsed="false">
      <c r="A41" s="4" t="s">
        <v>200</v>
      </c>
      <c r="B41" s="4" t="n">
        <v>3</v>
      </c>
      <c r="C41" s="4" t="n">
        <v>1</v>
      </c>
      <c r="D41" s="4" t="n">
        <v>0.6</v>
      </c>
      <c r="E41" s="4" t="n">
        <v>6.95</v>
      </c>
      <c r="F41" s="4" t="n">
        <v>6.63</v>
      </c>
      <c r="G41" s="4" t="n">
        <v>7.39</v>
      </c>
    </row>
    <row r="42" customFormat="false" ht="15" hidden="false" customHeight="false" outlineLevel="0" collapsed="false">
      <c r="A42" s="4" t="s">
        <v>200</v>
      </c>
      <c r="B42" s="4" t="n">
        <v>1</v>
      </c>
      <c r="C42" s="4" t="n">
        <v>2</v>
      </c>
      <c r="D42" s="4" t="n">
        <v>0.6</v>
      </c>
      <c r="E42" s="4" t="n">
        <v>6</v>
      </c>
      <c r="F42" s="4" t="n">
        <v>0.64</v>
      </c>
      <c r="G42" s="4" t="n">
        <v>1.32</v>
      </c>
    </row>
    <row r="43" customFormat="false" ht="15" hidden="false" customHeight="false" outlineLevel="0" collapsed="false">
      <c r="A43" s="4" t="s">
        <v>200</v>
      </c>
      <c r="B43" s="4" t="n">
        <v>1</v>
      </c>
      <c r="C43" s="4" t="n">
        <v>2</v>
      </c>
      <c r="D43" s="4" t="n">
        <v>0.6</v>
      </c>
      <c r="E43" s="4" t="n">
        <v>6.05</v>
      </c>
      <c r="F43" s="4" t="n">
        <v>0.59</v>
      </c>
      <c r="G43" s="4" t="n">
        <v>1.27</v>
      </c>
    </row>
    <row r="44" customFormat="false" ht="15" hidden="false" customHeight="false" outlineLevel="0" collapsed="false">
      <c r="A44" s="4" t="s">
        <v>200</v>
      </c>
      <c r="B44" s="4" t="n">
        <v>1</v>
      </c>
      <c r="C44" s="4" t="n">
        <v>2</v>
      </c>
      <c r="D44" s="4" t="n">
        <v>0.6</v>
      </c>
      <c r="E44" s="4" t="n">
        <v>6.1</v>
      </c>
      <c r="F44" s="4" t="n">
        <v>0.54</v>
      </c>
      <c r="G44" s="4" t="n">
        <v>1.22</v>
      </c>
    </row>
    <row r="45" customFormat="false" ht="15" hidden="false" customHeight="false" outlineLevel="0" collapsed="false">
      <c r="A45" s="4" t="s">
        <v>200</v>
      </c>
      <c r="B45" s="4" t="n">
        <v>1</v>
      </c>
      <c r="C45" s="4" t="n">
        <v>2</v>
      </c>
      <c r="D45" s="4" t="n">
        <v>0.6</v>
      </c>
      <c r="E45" s="4" t="n">
        <v>6.15</v>
      </c>
      <c r="F45" s="4" t="n">
        <v>0.49</v>
      </c>
      <c r="G45" s="4" t="n">
        <v>1.17</v>
      </c>
    </row>
    <row r="46" customFormat="false" ht="15" hidden="false" customHeight="false" outlineLevel="0" collapsed="false">
      <c r="A46" s="4" t="s">
        <v>200</v>
      </c>
      <c r="B46" s="4" t="n">
        <v>1</v>
      </c>
      <c r="C46" s="4" t="n">
        <v>2</v>
      </c>
      <c r="D46" s="4" t="n">
        <v>0.6</v>
      </c>
      <c r="E46" s="4" t="n">
        <v>6.2</v>
      </c>
      <c r="F46" s="4" t="n">
        <v>1.08</v>
      </c>
      <c r="G46" s="4" t="n">
        <v>1.5</v>
      </c>
    </row>
    <row r="47" customFormat="false" ht="15" hidden="false" customHeight="false" outlineLevel="0" collapsed="false">
      <c r="A47" s="4" t="s">
        <v>200</v>
      </c>
      <c r="B47" s="4" t="n">
        <v>1</v>
      </c>
      <c r="C47" s="4" t="n">
        <v>2</v>
      </c>
      <c r="D47" s="4" t="n">
        <v>0.6</v>
      </c>
      <c r="E47" s="4" t="n">
        <v>6.25</v>
      </c>
      <c r="F47" s="4" t="n">
        <v>0.63</v>
      </c>
      <c r="G47" s="4" t="n">
        <v>1.31</v>
      </c>
    </row>
    <row r="48" customFormat="false" ht="15" hidden="false" customHeight="false" outlineLevel="0" collapsed="false">
      <c r="A48" s="4" t="s">
        <v>200</v>
      </c>
      <c r="B48" s="4" t="n">
        <v>1</v>
      </c>
      <c r="C48" s="4" t="n">
        <v>2</v>
      </c>
      <c r="D48" s="4" t="n">
        <v>0.6</v>
      </c>
      <c r="E48" s="4" t="n">
        <v>6.3</v>
      </c>
      <c r="F48" s="4" t="n">
        <v>0.58</v>
      </c>
      <c r="G48" s="4" t="n">
        <v>1.26</v>
      </c>
    </row>
    <row r="49" customFormat="false" ht="15" hidden="false" customHeight="false" outlineLevel="0" collapsed="false">
      <c r="A49" s="4" t="s">
        <v>200</v>
      </c>
      <c r="B49" s="4" t="n">
        <v>1</v>
      </c>
      <c r="C49" s="4" t="n">
        <v>2</v>
      </c>
      <c r="D49" s="4" t="n">
        <v>0.6</v>
      </c>
      <c r="E49" s="4" t="n">
        <v>6.35</v>
      </c>
      <c r="F49" s="4" t="n">
        <v>0.53</v>
      </c>
      <c r="G49" s="4" t="n">
        <v>1.21</v>
      </c>
    </row>
    <row r="50" customFormat="false" ht="15" hidden="false" customHeight="false" outlineLevel="0" collapsed="false">
      <c r="A50" s="4" t="s">
        <v>200</v>
      </c>
      <c r="B50" s="4" t="n">
        <v>1</v>
      </c>
      <c r="C50" s="4" t="n">
        <v>2</v>
      </c>
      <c r="D50" s="4" t="n">
        <v>0.6</v>
      </c>
      <c r="E50" s="4" t="n">
        <v>6.4</v>
      </c>
      <c r="F50" s="4" t="n">
        <v>1.12</v>
      </c>
      <c r="G50" s="4" t="n">
        <v>1.54</v>
      </c>
    </row>
    <row r="51" customFormat="false" ht="15" hidden="false" customHeight="false" outlineLevel="0" collapsed="false">
      <c r="A51" s="4" t="s">
        <v>200</v>
      </c>
      <c r="B51" s="4" t="n">
        <v>1</v>
      </c>
      <c r="C51" s="4" t="n">
        <v>2</v>
      </c>
      <c r="D51" s="4" t="n">
        <v>0.6</v>
      </c>
      <c r="E51" s="4" t="n">
        <v>6.45</v>
      </c>
      <c r="F51" s="4" t="n">
        <v>1.07</v>
      </c>
      <c r="G51" s="4" t="n">
        <v>1.49</v>
      </c>
    </row>
    <row r="52" customFormat="false" ht="15" hidden="false" customHeight="false" outlineLevel="0" collapsed="false">
      <c r="A52" s="4" t="s">
        <v>200</v>
      </c>
      <c r="B52" s="4" t="n">
        <v>1</v>
      </c>
      <c r="C52" s="4" t="n">
        <v>2</v>
      </c>
      <c r="D52" s="4" t="n">
        <v>0.6</v>
      </c>
      <c r="E52" s="4" t="n">
        <v>6.5</v>
      </c>
      <c r="F52" s="4" t="n">
        <v>0.62</v>
      </c>
      <c r="G52" s="4" t="n">
        <v>1.3</v>
      </c>
    </row>
    <row r="53" customFormat="false" ht="15" hidden="false" customHeight="false" outlineLevel="0" collapsed="false">
      <c r="A53" s="4" t="s">
        <v>200</v>
      </c>
      <c r="B53" s="4" t="n">
        <v>1</v>
      </c>
      <c r="C53" s="4" t="n">
        <v>2</v>
      </c>
      <c r="D53" s="4" t="n">
        <v>0.6</v>
      </c>
      <c r="E53" s="4" t="n">
        <v>6.55</v>
      </c>
      <c r="F53" s="4" t="n">
        <v>0.57</v>
      </c>
      <c r="G53" s="4" t="n">
        <v>1.25</v>
      </c>
    </row>
    <row r="54" customFormat="false" ht="15" hidden="false" customHeight="false" outlineLevel="0" collapsed="false">
      <c r="A54" s="4" t="s">
        <v>200</v>
      </c>
      <c r="B54" s="4" t="n">
        <v>1</v>
      </c>
      <c r="C54" s="4" t="n">
        <v>2</v>
      </c>
      <c r="D54" s="4" t="n">
        <v>0.6</v>
      </c>
      <c r="E54" s="4" t="n">
        <v>6.6</v>
      </c>
      <c r="F54" s="4" t="n">
        <v>0.52</v>
      </c>
      <c r="G54" s="4" t="n">
        <v>1.2</v>
      </c>
    </row>
    <row r="55" customFormat="false" ht="15" hidden="false" customHeight="false" outlineLevel="0" collapsed="false">
      <c r="A55" s="4" t="s">
        <v>200</v>
      </c>
      <c r="B55" s="4" t="n">
        <v>1</v>
      </c>
      <c r="C55" s="4" t="n">
        <v>2</v>
      </c>
      <c r="D55" s="4" t="n">
        <v>0.6</v>
      </c>
      <c r="E55" s="4" t="n">
        <v>6.65</v>
      </c>
      <c r="F55" s="4" t="n">
        <v>1.11</v>
      </c>
      <c r="G55" s="4" t="n">
        <v>1.53</v>
      </c>
    </row>
    <row r="56" customFormat="false" ht="15" hidden="false" customHeight="false" outlineLevel="0" collapsed="false">
      <c r="A56" s="4" t="s">
        <v>200</v>
      </c>
      <c r="B56" s="4" t="n">
        <v>1</v>
      </c>
      <c r="C56" s="4" t="n">
        <v>2</v>
      </c>
      <c r="D56" s="4" t="n">
        <v>0.6</v>
      </c>
      <c r="E56" s="4" t="n">
        <v>6.7</v>
      </c>
      <c r="F56" s="4" t="n">
        <v>1.06</v>
      </c>
      <c r="G56" s="4" t="n">
        <v>1.48</v>
      </c>
    </row>
    <row r="57" customFormat="false" ht="15" hidden="false" customHeight="false" outlineLevel="0" collapsed="false">
      <c r="A57" s="4" t="s">
        <v>200</v>
      </c>
      <c r="B57" s="4" t="n">
        <v>1</v>
      </c>
      <c r="C57" s="4" t="n">
        <v>2</v>
      </c>
      <c r="D57" s="4" t="n">
        <v>0.6</v>
      </c>
      <c r="E57" s="4" t="n">
        <v>6.75</v>
      </c>
      <c r="F57" s="4" t="n">
        <v>0.61</v>
      </c>
      <c r="G57" s="4" t="n">
        <v>1.29</v>
      </c>
    </row>
    <row r="58" customFormat="false" ht="15" hidden="false" customHeight="false" outlineLevel="0" collapsed="false">
      <c r="A58" s="4" t="s">
        <v>200</v>
      </c>
      <c r="B58" s="4" t="n">
        <v>1</v>
      </c>
      <c r="C58" s="4" t="n">
        <v>2</v>
      </c>
      <c r="D58" s="4" t="n">
        <v>0.6</v>
      </c>
      <c r="E58" s="4" t="n">
        <v>6.8</v>
      </c>
      <c r="F58" s="4" t="n">
        <v>0.56</v>
      </c>
      <c r="G58" s="4" t="n">
        <v>1.24</v>
      </c>
    </row>
    <row r="59" customFormat="false" ht="15" hidden="false" customHeight="false" outlineLevel="0" collapsed="false">
      <c r="A59" s="4" t="s">
        <v>200</v>
      </c>
      <c r="B59" s="4" t="n">
        <v>1</v>
      </c>
      <c r="C59" s="4" t="n">
        <v>2</v>
      </c>
      <c r="D59" s="4" t="n">
        <v>0.6</v>
      </c>
      <c r="E59" s="4" t="n">
        <v>6.85</v>
      </c>
      <c r="F59" s="4" t="n">
        <v>0.51</v>
      </c>
      <c r="G59" s="4" t="n">
        <v>1.19</v>
      </c>
    </row>
    <row r="60" customFormat="false" ht="15" hidden="false" customHeight="false" outlineLevel="0" collapsed="false">
      <c r="A60" s="4" t="s">
        <v>200</v>
      </c>
      <c r="B60" s="4" t="n">
        <v>1</v>
      </c>
      <c r="C60" s="4" t="n">
        <v>2</v>
      </c>
      <c r="D60" s="4" t="n">
        <v>0.6</v>
      </c>
      <c r="E60" s="4" t="n">
        <v>6.9</v>
      </c>
      <c r="F60" s="4" t="n">
        <v>1.1</v>
      </c>
      <c r="G60" s="4" t="n">
        <v>1.52</v>
      </c>
    </row>
    <row r="61" customFormat="false" ht="15" hidden="false" customHeight="false" outlineLevel="0" collapsed="false">
      <c r="A61" s="4" t="s">
        <v>200</v>
      </c>
      <c r="B61" s="4" t="n">
        <v>1</v>
      </c>
      <c r="C61" s="4" t="n">
        <v>2</v>
      </c>
      <c r="D61" s="4" t="n">
        <v>0.6</v>
      </c>
      <c r="E61" s="4" t="n">
        <v>6.95</v>
      </c>
      <c r="F61" s="4" t="n">
        <v>1.05</v>
      </c>
      <c r="G61" s="4" t="n">
        <v>1.47</v>
      </c>
    </row>
    <row r="62" customFormat="false" ht="15" hidden="false" customHeight="false" outlineLevel="0" collapsed="false">
      <c r="A62" s="4" t="s">
        <v>200</v>
      </c>
      <c r="B62" s="4" t="n">
        <v>2</v>
      </c>
      <c r="C62" s="4" t="n">
        <v>3</v>
      </c>
      <c r="D62" s="4" t="n">
        <v>0.6</v>
      </c>
      <c r="E62" s="4" t="n">
        <v>6</v>
      </c>
      <c r="F62" s="4" t="n">
        <v>0.58</v>
      </c>
      <c r="G62" s="4" t="n">
        <v>1.26</v>
      </c>
    </row>
    <row r="63" customFormat="false" ht="15" hidden="false" customHeight="false" outlineLevel="0" collapsed="false">
      <c r="A63" s="4" t="s">
        <v>200</v>
      </c>
      <c r="B63" s="4" t="n">
        <v>2</v>
      </c>
      <c r="C63" s="4" t="n">
        <v>3</v>
      </c>
      <c r="D63" s="4" t="n">
        <v>0.6</v>
      </c>
      <c r="E63" s="4" t="n">
        <v>6.05</v>
      </c>
      <c r="F63" s="4" t="n">
        <v>0.61</v>
      </c>
      <c r="G63" s="4" t="n">
        <v>1.29</v>
      </c>
    </row>
    <row r="64" customFormat="false" ht="15" hidden="false" customHeight="false" outlineLevel="0" collapsed="false">
      <c r="A64" s="4" t="s">
        <v>200</v>
      </c>
      <c r="B64" s="4" t="n">
        <v>2</v>
      </c>
      <c r="C64" s="4" t="n">
        <v>3</v>
      </c>
      <c r="D64" s="4" t="n">
        <v>0.6</v>
      </c>
      <c r="E64" s="4" t="n">
        <v>6.1</v>
      </c>
      <c r="F64" s="4" t="n">
        <v>3.58</v>
      </c>
      <c r="G64" s="4" t="n">
        <v>3.58</v>
      </c>
    </row>
    <row r="65" customFormat="false" ht="15" hidden="false" customHeight="false" outlineLevel="0" collapsed="false">
      <c r="A65" s="4" t="s">
        <v>200</v>
      </c>
      <c r="B65" s="4" t="n">
        <v>2</v>
      </c>
      <c r="C65" s="4" t="n">
        <v>3</v>
      </c>
      <c r="D65" s="4" t="n">
        <v>0.6</v>
      </c>
      <c r="E65" s="4" t="n">
        <v>6.15</v>
      </c>
      <c r="F65" s="4" t="n">
        <v>3.53</v>
      </c>
      <c r="G65" s="4" t="n">
        <v>3.53</v>
      </c>
    </row>
    <row r="66" customFormat="false" ht="15" hidden="false" customHeight="false" outlineLevel="0" collapsed="false">
      <c r="A66" s="4" t="s">
        <v>200</v>
      </c>
      <c r="B66" s="4" t="n">
        <v>2</v>
      </c>
      <c r="C66" s="4" t="n">
        <v>3</v>
      </c>
      <c r="D66" s="4" t="n">
        <v>0.6</v>
      </c>
      <c r="E66" s="4" t="n">
        <v>6.2</v>
      </c>
      <c r="F66" s="4" t="n">
        <v>0.62</v>
      </c>
      <c r="G66" s="4" t="n">
        <v>1.3</v>
      </c>
    </row>
    <row r="67" customFormat="false" ht="15" hidden="false" customHeight="false" outlineLevel="0" collapsed="false">
      <c r="A67" s="4" t="s">
        <v>200</v>
      </c>
      <c r="B67" s="4" t="n">
        <v>2</v>
      </c>
      <c r="C67" s="4" t="n">
        <v>3</v>
      </c>
      <c r="D67" s="4" t="n">
        <v>0.6</v>
      </c>
      <c r="E67" s="4" t="n">
        <v>6.25</v>
      </c>
      <c r="F67" s="4" t="n">
        <v>0.57</v>
      </c>
      <c r="G67" s="4" t="n">
        <v>1.25</v>
      </c>
    </row>
    <row r="68" customFormat="false" ht="15" hidden="false" customHeight="false" outlineLevel="0" collapsed="false">
      <c r="A68" s="4" t="s">
        <v>200</v>
      </c>
      <c r="B68" s="4" t="n">
        <v>2</v>
      </c>
      <c r="C68" s="4" t="n">
        <v>3</v>
      </c>
      <c r="D68" s="4" t="n">
        <v>0.6</v>
      </c>
      <c r="E68" s="4" t="n">
        <v>6.3</v>
      </c>
      <c r="F68" s="4" t="n">
        <v>0.6</v>
      </c>
      <c r="G68" s="4" t="n">
        <v>1.28</v>
      </c>
    </row>
    <row r="69" customFormat="false" ht="15" hidden="false" customHeight="false" outlineLevel="0" collapsed="false">
      <c r="A69" s="4" t="s">
        <v>200</v>
      </c>
      <c r="B69" s="4" t="n">
        <v>2</v>
      </c>
      <c r="C69" s="4" t="n">
        <v>3</v>
      </c>
      <c r="D69" s="4" t="n">
        <v>0.6</v>
      </c>
      <c r="E69" s="4" t="n">
        <v>6.35</v>
      </c>
      <c r="F69" s="4" t="n">
        <v>3.57</v>
      </c>
      <c r="G69" s="4" t="n">
        <v>3.57</v>
      </c>
    </row>
    <row r="70" customFormat="false" ht="15" hidden="false" customHeight="false" outlineLevel="0" collapsed="false">
      <c r="A70" s="4" t="s">
        <v>200</v>
      </c>
      <c r="B70" s="4" t="n">
        <v>2</v>
      </c>
      <c r="C70" s="4" t="n">
        <v>3</v>
      </c>
      <c r="D70" s="4" t="n">
        <v>0.6</v>
      </c>
      <c r="E70" s="4" t="n">
        <v>6.4</v>
      </c>
      <c r="F70" s="4" t="n">
        <v>3.52</v>
      </c>
      <c r="G70" s="4" t="n">
        <v>3.52</v>
      </c>
    </row>
    <row r="71" customFormat="false" ht="15" hidden="false" customHeight="false" outlineLevel="0" collapsed="false">
      <c r="A71" s="4" t="s">
        <v>200</v>
      </c>
      <c r="B71" s="4" t="n">
        <v>2</v>
      </c>
      <c r="C71" s="4" t="n">
        <v>3</v>
      </c>
      <c r="D71" s="4" t="n">
        <v>0.6</v>
      </c>
      <c r="E71" s="4" t="n">
        <v>6.45</v>
      </c>
      <c r="F71" s="4" t="n">
        <v>0.61</v>
      </c>
      <c r="G71" s="4" t="n">
        <v>1.29</v>
      </c>
    </row>
    <row r="72" customFormat="false" ht="15" hidden="false" customHeight="false" outlineLevel="0" collapsed="false">
      <c r="A72" s="4" t="s">
        <v>200</v>
      </c>
      <c r="B72" s="4" t="n">
        <v>2</v>
      </c>
      <c r="C72" s="4" t="n">
        <v>3</v>
      </c>
      <c r="D72" s="4" t="n">
        <v>0.6</v>
      </c>
      <c r="E72" s="4" t="n">
        <v>6.5</v>
      </c>
      <c r="F72" s="4" t="n">
        <v>0.64</v>
      </c>
      <c r="G72" s="4" t="n">
        <v>1.32</v>
      </c>
    </row>
    <row r="73" customFormat="false" ht="15" hidden="false" customHeight="false" outlineLevel="0" collapsed="false">
      <c r="A73" s="4" t="s">
        <v>200</v>
      </c>
      <c r="B73" s="4" t="n">
        <v>2</v>
      </c>
      <c r="C73" s="4" t="n">
        <v>3</v>
      </c>
      <c r="D73" s="4" t="n">
        <v>0.6</v>
      </c>
      <c r="E73" s="4" t="n">
        <v>6.55</v>
      </c>
      <c r="F73" s="4" t="n">
        <v>0.59</v>
      </c>
      <c r="G73" s="4" t="n">
        <v>1.27</v>
      </c>
    </row>
    <row r="74" customFormat="false" ht="15" hidden="false" customHeight="false" outlineLevel="0" collapsed="false">
      <c r="A74" s="4" t="s">
        <v>200</v>
      </c>
      <c r="B74" s="4" t="n">
        <v>2</v>
      </c>
      <c r="C74" s="4" t="n">
        <v>3</v>
      </c>
      <c r="D74" s="4" t="n">
        <v>0.6</v>
      </c>
      <c r="E74" s="4" t="n">
        <v>6.6</v>
      </c>
      <c r="F74" s="4" t="n">
        <v>3.56</v>
      </c>
      <c r="G74" s="4" t="n">
        <v>3.56</v>
      </c>
    </row>
    <row r="75" customFormat="false" ht="15" hidden="false" customHeight="false" outlineLevel="0" collapsed="false">
      <c r="A75" s="4" t="s">
        <v>200</v>
      </c>
      <c r="B75" s="4" t="n">
        <v>2</v>
      </c>
      <c r="C75" s="4" t="n">
        <v>3</v>
      </c>
      <c r="D75" s="4" t="n">
        <v>0.6</v>
      </c>
      <c r="E75" s="4" t="n">
        <v>6.65</v>
      </c>
      <c r="F75" s="4" t="n">
        <v>3.51</v>
      </c>
      <c r="G75" s="4" t="n">
        <v>3.51</v>
      </c>
    </row>
    <row r="76" customFormat="false" ht="15" hidden="false" customHeight="false" outlineLevel="0" collapsed="false">
      <c r="A76" s="4" t="s">
        <v>200</v>
      </c>
      <c r="B76" s="4" t="n">
        <v>2</v>
      </c>
      <c r="C76" s="4" t="n">
        <v>3</v>
      </c>
      <c r="D76" s="4" t="n">
        <v>0.6</v>
      </c>
      <c r="E76" s="4" t="n">
        <v>6.7</v>
      </c>
      <c r="F76" s="4" t="n">
        <v>0.6</v>
      </c>
      <c r="G76" s="4" t="n">
        <v>1.28</v>
      </c>
    </row>
    <row r="77" customFormat="false" ht="15" hidden="false" customHeight="false" outlineLevel="0" collapsed="false">
      <c r="A77" s="4" t="s">
        <v>200</v>
      </c>
      <c r="B77" s="4" t="n">
        <v>2</v>
      </c>
      <c r="C77" s="4" t="n">
        <v>3</v>
      </c>
      <c r="D77" s="4" t="n">
        <v>0.6</v>
      </c>
      <c r="E77" s="4" t="n">
        <v>6.75</v>
      </c>
      <c r="F77" s="4" t="n">
        <v>0.63</v>
      </c>
      <c r="G77" s="4" t="n">
        <v>1.31</v>
      </c>
    </row>
    <row r="78" customFormat="false" ht="15" hidden="false" customHeight="false" outlineLevel="0" collapsed="false">
      <c r="A78" s="4" t="s">
        <v>200</v>
      </c>
      <c r="B78" s="4" t="n">
        <v>2</v>
      </c>
      <c r="C78" s="4" t="n">
        <v>3</v>
      </c>
      <c r="D78" s="4" t="n">
        <v>0.6</v>
      </c>
      <c r="E78" s="4" t="n">
        <v>6.8</v>
      </c>
      <c r="F78" s="4" t="n">
        <v>0.58</v>
      </c>
      <c r="G78" s="4" t="n">
        <v>1.26</v>
      </c>
    </row>
    <row r="79" customFormat="false" ht="15" hidden="false" customHeight="false" outlineLevel="0" collapsed="false">
      <c r="A79" s="4" t="s">
        <v>200</v>
      </c>
      <c r="B79" s="4" t="n">
        <v>2</v>
      </c>
      <c r="C79" s="4" t="n">
        <v>3</v>
      </c>
      <c r="D79" s="4" t="n">
        <v>0.6</v>
      </c>
      <c r="E79" s="4" t="n">
        <v>6.85</v>
      </c>
      <c r="F79" s="4" t="n">
        <v>3.55</v>
      </c>
      <c r="G79" s="4" t="n">
        <v>3.55</v>
      </c>
    </row>
    <row r="80" customFormat="false" ht="15" hidden="false" customHeight="false" outlineLevel="0" collapsed="false">
      <c r="A80" s="4" t="s">
        <v>200</v>
      </c>
      <c r="B80" s="4" t="n">
        <v>2</v>
      </c>
      <c r="C80" s="4" t="n">
        <v>3</v>
      </c>
      <c r="D80" s="4" t="n">
        <v>0.6</v>
      </c>
      <c r="E80" s="4" t="n">
        <v>6.9</v>
      </c>
      <c r="F80" s="4" t="n">
        <v>0.64</v>
      </c>
      <c r="G80" s="4" t="n">
        <v>1.32</v>
      </c>
    </row>
    <row r="81" customFormat="false" ht="15" hidden="false" customHeight="false" outlineLevel="0" collapsed="false">
      <c r="A81" s="4" t="s">
        <v>200</v>
      </c>
      <c r="B81" s="4" t="n">
        <v>2</v>
      </c>
      <c r="C81" s="4" t="n">
        <v>3</v>
      </c>
      <c r="D81" s="4" t="n">
        <v>0.6</v>
      </c>
      <c r="E81" s="4" t="n">
        <v>6.95</v>
      </c>
      <c r="F81" s="4" t="n">
        <v>0.59</v>
      </c>
      <c r="G81" s="4" t="n">
        <v>1.27</v>
      </c>
    </row>
    <row r="82" customFormat="false" ht="15" hidden="false" customHeight="false" outlineLevel="0" collapsed="false">
      <c r="A82" s="4" t="s">
        <v>200</v>
      </c>
      <c r="B82" s="4" t="n">
        <v>2</v>
      </c>
      <c r="C82" s="4" t="n">
        <v>1</v>
      </c>
      <c r="D82" s="4" t="n">
        <v>0.6</v>
      </c>
      <c r="E82" s="4" t="n">
        <v>6</v>
      </c>
      <c r="F82" s="4" t="n">
        <v>1.18</v>
      </c>
      <c r="G82" s="4" t="n">
        <v>1.18</v>
      </c>
    </row>
    <row r="83" customFormat="false" ht="15" hidden="false" customHeight="false" outlineLevel="0" collapsed="false">
      <c r="A83" s="4" t="s">
        <v>200</v>
      </c>
      <c r="B83" s="4" t="n">
        <v>2</v>
      </c>
      <c r="C83" s="4" t="n">
        <v>1</v>
      </c>
      <c r="D83" s="4" t="n">
        <v>0.6</v>
      </c>
      <c r="E83" s="4" t="n">
        <v>6.05</v>
      </c>
      <c r="F83" s="4" t="n">
        <v>4.43</v>
      </c>
      <c r="G83" s="4" t="n">
        <v>4.43</v>
      </c>
    </row>
    <row r="84" customFormat="false" ht="15" hidden="false" customHeight="false" outlineLevel="0" collapsed="false">
      <c r="A84" s="4" t="s">
        <v>200</v>
      </c>
      <c r="B84" s="4" t="n">
        <v>2</v>
      </c>
      <c r="C84" s="4" t="n">
        <v>1</v>
      </c>
      <c r="D84" s="4" t="n">
        <v>0.6</v>
      </c>
      <c r="E84" s="4" t="n">
        <v>6.1</v>
      </c>
      <c r="F84" s="4" t="n">
        <v>0.64</v>
      </c>
      <c r="G84" s="4" t="n">
        <v>1.32</v>
      </c>
    </row>
    <row r="85" customFormat="false" ht="15" hidden="false" customHeight="false" outlineLevel="0" collapsed="false">
      <c r="A85" s="4" t="s">
        <v>200</v>
      </c>
      <c r="B85" s="4" t="n">
        <v>2</v>
      </c>
      <c r="C85" s="4" t="n">
        <v>1</v>
      </c>
      <c r="D85" s="4" t="n">
        <v>0.6</v>
      </c>
      <c r="E85" s="4" t="n">
        <v>6.15</v>
      </c>
      <c r="F85" s="4" t="n">
        <v>0.59</v>
      </c>
      <c r="G85" s="4" t="n">
        <v>1.27</v>
      </c>
    </row>
    <row r="86" customFormat="false" ht="15" hidden="false" customHeight="false" outlineLevel="0" collapsed="false">
      <c r="A86" s="4" t="s">
        <v>200</v>
      </c>
      <c r="B86" s="4" t="n">
        <v>2</v>
      </c>
      <c r="C86" s="4" t="n">
        <v>1</v>
      </c>
      <c r="D86" s="4" t="n">
        <v>0.6</v>
      </c>
      <c r="E86" s="4" t="n">
        <v>6.2</v>
      </c>
      <c r="F86" s="4" t="n">
        <v>1.22</v>
      </c>
      <c r="G86" s="4" t="n">
        <v>1.22</v>
      </c>
    </row>
    <row r="87" customFormat="false" ht="15" hidden="false" customHeight="false" outlineLevel="0" collapsed="false">
      <c r="A87" s="4" t="s">
        <v>200</v>
      </c>
      <c r="B87" s="4" t="n">
        <v>2</v>
      </c>
      <c r="C87" s="4" t="n">
        <v>1</v>
      </c>
      <c r="D87" s="4" t="n">
        <v>0.6</v>
      </c>
      <c r="E87" s="4" t="n">
        <v>6.25</v>
      </c>
      <c r="F87" s="4" t="n">
        <v>1.17</v>
      </c>
      <c r="G87" s="4" t="n">
        <v>1.17</v>
      </c>
    </row>
    <row r="88" customFormat="false" ht="15" hidden="false" customHeight="false" outlineLevel="0" collapsed="false">
      <c r="A88" s="4" t="s">
        <v>200</v>
      </c>
      <c r="B88" s="4" t="n">
        <v>2</v>
      </c>
      <c r="C88" s="4" t="n">
        <v>1</v>
      </c>
      <c r="D88" s="4" t="n">
        <v>0.6</v>
      </c>
      <c r="E88" s="4" t="n">
        <v>6.3</v>
      </c>
      <c r="F88" s="4" t="n">
        <v>4.42</v>
      </c>
      <c r="G88" s="4" t="n">
        <v>4.42</v>
      </c>
    </row>
    <row r="89" customFormat="false" ht="15" hidden="false" customHeight="false" outlineLevel="0" collapsed="false">
      <c r="A89" s="4" t="s">
        <v>200</v>
      </c>
      <c r="B89" s="4" t="n">
        <v>2</v>
      </c>
      <c r="C89" s="4" t="n">
        <v>1</v>
      </c>
      <c r="D89" s="4" t="n">
        <v>0.6</v>
      </c>
      <c r="E89" s="4" t="n">
        <v>6.35</v>
      </c>
      <c r="F89" s="4" t="n">
        <v>0.63</v>
      </c>
      <c r="G89" s="4" t="n">
        <v>1.31</v>
      </c>
    </row>
    <row r="90" customFormat="false" ht="15" hidden="false" customHeight="false" outlineLevel="0" collapsed="false">
      <c r="A90" s="4" t="s">
        <v>200</v>
      </c>
      <c r="B90" s="4" t="n">
        <v>2</v>
      </c>
      <c r="C90" s="4" t="n">
        <v>1</v>
      </c>
      <c r="D90" s="4" t="n">
        <v>0.6</v>
      </c>
      <c r="E90" s="4" t="n">
        <v>6.4</v>
      </c>
      <c r="F90" s="4" t="n">
        <v>0.58</v>
      </c>
      <c r="G90" s="4" t="n">
        <v>1.26</v>
      </c>
    </row>
    <row r="91" customFormat="false" ht="15" hidden="false" customHeight="false" outlineLevel="0" collapsed="false">
      <c r="A91" s="4" t="s">
        <v>200</v>
      </c>
      <c r="B91" s="4" t="n">
        <v>2</v>
      </c>
      <c r="C91" s="4" t="n">
        <v>1</v>
      </c>
      <c r="D91" s="4" t="n">
        <v>0.6</v>
      </c>
      <c r="E91" s="4" t="n">
        <v>6.45</v>
      </c>
      <c r="F91" s="4" t="n">
        <v>1.21</v>
      </c>
      <c r="G91" s="4" t="n">
        <v>1.21</v>
      </c>
    </row>
    <row r="92" customFormat="false" ht="15" hidden="false" customHeight="false" outlineLevel="0" collapsed="false">
      <c r="A92" s="4" t="s">
        <v>200</v>
      </c>
      <c r="B92" s="4" t="n">
        <v>2</v>
      </c>
      <c r="C92" s="4" t="n">
        <v>1</v>
      </c>
      <c r="D92" s="4" t="n">
        <v>0.6</v>
      </c>
      <c r="E92" s="4" t="n">
        <v>6.5</v>
      </c>
      <c r="F92" s="4" t="n">
        <v>4.46</v>
      </c>
      <c r="G92" s="4" t="n">
        <v>4.46</v>
      </c>
    </row>
    <row r="93" customFormat="false" ht="15" hidden="false" customHeight="false" outlineLevel="0" collapsed="false">
      <c r="A93" s="4" t="s">
        <v>200</v>
      </c>
      <c r="B93" s="4" t="n">
        <v>2</v>
      </c>
      <c r="C93" s="4" t="n">
        <v>1</v>
      </c>
      <c r="D93" s="4" t="n">
        <v>0.6</v>
      </c>
      <c r="E93" s="4" t="n">
        <v>6.55</v>
      </c>
      <c r="F93" s="4" t="n">
        <v>4.41</v>
      </c>
      <c r="G93" s="4" t="n">
        <v>4.41</v>
      </c>
    </row>
    <row r="94" customFormat="false" ht="15" hidden="false" customHeight="false" outlineLevel="0" collapsed="false">
      <c r="A94" s="4" t="s">
        <v>200</v>
      </c>
      <c r="B94" s="4" t="n">
        <v>2</v>
      </c>
      <c r="C94" s="4" t="n">
        <v>1</v>
      </c>
      <c r="D94" s="4" t="n">
        <v>0.6</v>
      </c>
      <c r="E94" s="4" t="n">
        <v>6.6</v>
      </c>
      <c r="F94" s="4" t="n">
        <v>0.62</v>
      </c>
      <c r="G94" s="4" t="n">
        <v>1.3</v>
      </c>
    </row>
    <row r="95" customFormat="false" ht="15" hidden="false" customHeight="false" outlineLevel="0" collapsed="false">
      <c r="A95" s="4" t="s">
        <v>200</v>
      </c>
      <c r="B95" s="4" t="n">
        <v>2</v>
      </c>
      <c r="C95" s="4" t="n">
        <v>1</v>
      </c>
      <c r="D95" s="4" t="n">
        <v>0.6</v>
      </c>
      <c r="E95" s="4" t="n">
        <v>6.65</v>
      </c>
      <c r="F95" s="4" t="n">
        <v>0.57</v>
      </c>
      <c r="G95" s="4" t="n">
        <v>1.25</v>
      </c>
    </row>
    <row r="96" customFormat="false" ht="15" hidden="false" customHeight="false" outlineLevel="0" collapsed="false">
      <c r="A96" s="4" t="s">
        <v>200</v>
      </c>
      <c r="B96" s="4" t="n">
        <v>2</v>
      </c>
      <c r="C96" s="4" t="n">
        <v>1</v>
      </c>
      <c r="D96" s="4" t="n">
        <v>0.6</v>
      </c>
      <c r="E96" s="4" t="n">
        <v>6.7</v>
      </c>
      <c r="F96" s="4" t="n">
        <v>1.2</v>
      </c>
      <c r="G96" s="4" t="n">
        <v>1.2</v>
      </c>
    </row>
    <row r="97" customFormat="false" ht="15" hidden="false" customHeight="false" outlineLevel="0" collapsed="false">
      <c r="A97" s="4" t="s">
        <v>200</v>
      </c>
      <c r="B97" s="4" t="n">
        <v>2</v>
      </c>
      <c r="C97" s="4" t="n">
        <v>1</v>
      </c>
      <c r="D97" s="4" t="n">
        <v>0.6</v>
      </c>
      <c r="E97" s="4" t="n">
        <v>6.75</v>
      </c>
      <c r="F97" s="4" t="n">
        <v>4.45</v>
      </c>
      <c r="G97" s="4" t="n">
        <v>4.45</v>
      </c>
    </row>
    <row r="98" customFormat="false" ht="15" hidden="false" customHeight="false" outlineLevel="0" collapsed="false">
      <c r="A98" s="4" t="s">
        <v>200</v>
      </c>
      <c r="B98" s="4" t="n">
        <v>2</v>
      </c>
      <c r="C98" s="4" t="n">
        <v>1</v>
      </c>
      <c r="D98" s="4" t="n">
        <v>0.6</v>
      </c>
      <c r="E98" s="4" t="n">
        <v>6.8</v>
      </c>
      <c r="F98" s="4" t="n">
        <v>4.4</v>
      </c>
      <c r="G98" s="4" t="n">
        <v>4.4</v>
      </c>
    </row>
    <row r="99" customFormat="false" ht="15" hidden="false" customHeight="false" outlineLevel="0" collapsed="false">
      <c r="A99" s="4" t="s">
        <v>200</v>
      </c>
      <c r="B99" s="4" t="n">
        <v>2</v>
      </c>
      <c r="C99" s="4" t="n">
        <v>1</v>
      </c>
      <c r="D99" s="4" t="n">
        <v>0.6</v>
      </c>
      <c r="E99" s="4" t="n">
        <v>6.85</v>
      </c>
      <c r="F99" s="4" t="n">
        <v>0.61</v>
      </c>
      <c r="G99" s="4" t="n">
        <v>1.29</v>
      </c>
    </row>
    <row r="100" customFormat="false" ht="15" hidden="false" customHeight="false" outlineLevel="0" collapsed="false">
      <c r="A100" s="4" t="s">
        <v>200</v>
      </c>
      <c r="B100" s="4" t="n">
        <v>2</v>
      </c>
      <c r="C100" s="4" t="n">
        <v>1</v>
      </c>
      <c r="D100" s="4" t="n">
        <v>0.6</v>
      </c>
      <c r="E100" s="4" t="n">
        <v>6.9</v>
      </c>
      <c r="F100" s="4" t="n">
        <v>1.24</v>
      </c>
      <c r="G100" s="4" t="n">
        <v>1.24</v>
      </c>
    </row>
    <row r="101" customFormat="false" ht="15" hidden="false" customHeight="false" outlineLevel="0" collapsed="false">
      <c r="A101" s="4" t="s">
        <v>200</v>
      </c>
      <c r="B101" s="4" t="n">
        <v>2</v>
      </c>
      <c r="C101" s="4" t="n">
        <v>1</v>
      </c>
      <c r="D101" s="4" t="n">
        <v>0.6</v>
      </c>
      <c r="E101" s="4" t="n">
        <v>6.95</v>
      </c>
      <c r="F101" s="4" t="n">
        <v>1.19</v>
      </c>
      <c r="G101" s="4" t="n">
        <v>1.19</v>
      </c>
    </row>
    <row r="102" customFormat="false" ht="15" hidden="false" customHeight="false" outlineLevel="0" collapsed="false">
      <c r="A102" s="4" t="s">
        <v>200</v>
      </c>
      <c r="B102" s="4" t="n">
        <v>3</v>
      </c>
      <c r="C102" s="4" t="n">
        <v>2</v>
      </c>
      <c r="D102" s="4" t="n">
        <v>0.6</v>
      </c>
      <c r="E102" s="4" t="n">
        <v>6</v>
      </c>
      <c r="F102" s="4" t="n">
        <v>0.6</v>
      </c>
      <c r="G102" s="4" t="n">
        <v>1.2</v>
      </c>
    </row>
    <row r="103" customFormat="false" ht="15" hidden="false" customHeight="false" outlineLevel="0" collapsed="false">
      <c r="A103" s="4" t="s">
        <v>200</v>
      </c>
      <c r="B103" s="4" t="n">
        <v>3</v>
      </c>
      <c r="C103" s="4" t="n">
        <v>2</v>
      </c>
      <c r="D103" s="4" t="n">
        <v>0.6</v>
      </c>
      <c r="E103" s="4" t="n">
        <v>6.05</v>
      </c>
      <c r="F103" s="4" t="n">
        <v>1.09</v>
      </c>
      <c r="G103" s="4" t="n">
        <v>1.17</v>
      </c>
    </row>
    <row r="104" customFormat="false" ht="15" hidden="false" customHeight="false" outlineLevel="0" collapsed="false">
      <c r="A104" s="4" t="s">
        <v>200</v>
      </c>
      <c r="B104" s="4" t="n">
        <v>3</v>
      </c>
      <c r="C104" s="4" t="n">
        <v>2</v>
      </c>
      <c r="D104" s="4" t="n">
        <v>0.6</v>
      </c>
      <c r="E104" s="4" t="n">
        <v>6.1</v>
      </c>
      <c r="F104" s="4" t="n">
        <v>1.04</v>
      </c>
      <c r="G104" s="4" t="n">
        <v>1.12</v>
      </c>
    </row>
    <row r="105" customFormat="false" ht="15" hidden="false" customHeight="false" outlineLevel="0" collapsed="false">
      <c r="A105" s="4" t="s">
        <v>200</v>
      </c>
      <c r="B105" s="4" t="n">
        <v>3</v>
      </c>
      <c r="C105" s="4" t="n">
        <v>2</v>
      </c>
      <c r="D105" s="4" t="n">
        <v>0.6</v>
      </c>
      <c r="E105" s="4" t="n">
        <v>6.15</v>
      </c>
      <c r="F105" s="4" t="n">
        <v>0.61</v>
      </c>
      <c r="G105" s="4" t="n">
        <v>1.29</v>
      </c>
    </row>
    <row r="106" customFormat="false" ht="15" hidden="false" customHeight="false" outlineLevel="0" collapsed="false">
      <c r="A106" s="4" t="s">
        <v>200</v>
      </c>
      <c r="B106" s="4" t="n">
        <v>3</v>
      </c>
      <c r="C106" s="4" t="n">
        <v>2</v>
      </c>
      <c r="D106" s="4" t="n">
        <v>0.6</v>
      </c>
      <c r="E106" s="4" t="n">
        <v>6.2</v>
      </c>
      <c r="F106" s="4" t="n">
        <v>0.64</v>
      </c>
      <c r="G106" s="4" t="n">
        <v>1.24</v>
      </c>
    </row>
    <row r="107" customFormat="false" ht="15" hidden="false" customHeight="false" outlineLevel="0" collapsed="false">
      <c r="A107" s="4" t="s">
        <v>200</v>
      </c>
      <c r="B107" s="4" t="n">
        <v>3</v>
      </c>
      <c r="C107" s="4" t="n">
        <v>2</v>
      </c>
      <c r="D107" s="4" t="n">
        <v>0.6</v>
      </c>
      <c r="E107" s="4" t="n">
        <v>6.25</v>
      </c>
      <c r="F107" s="4" t="n">
        <v>0.59</v>
      </c>
      <c r="G107" s="4" t="n">
        <v>1.19</v>
      </c>
    </row>
    <row r="108" customFormat="false" ht="15" hidden="false" customHeight="false" outlineLevel="0" collapsed="false">
      <c r="A108" s="4" t="s">
        <v>200</v>
      </c>
      <c r="B108" s="4" t="n">
        <v>3</v>
      </c>
      <c r="C108" s="4" t="n">
        <v>2</v>
      </c>
      <c r="D108" s="4" t="n">
        <v>0.6</v>
      </c>
      <c r="E108" s="4" t="n">
        <v>6.3</v>
      </c>
      <c r="F108" s="4" t="n">
        <v>1.08</v>
      </c>
      <c r="G108" s="4" t="n">
        <v>1.16</v>
      </c>
    </row>
    <row r="109" customFormat="false" ht="15" hidden="false" customHeight="false" outlineLevel="0" collapsed="false">
      <c r="A109" s="4" t="s">
        <v>200</v>
      </c>
      <c r="B109" s="4" t="n">
        <v>3</v>
      </c>
      <c r="C109" s="4" t="n">
        <v>2</v>
      </c>
      <c r="D109" s="4" t="n">
        <v>0.6</v>
      </c>
      <c r="E109" s="4" t="n">
        <v>6.35</v>
      </c>
      <c r="F109" s="4" t="n">
        <v>1.03</v>
      </c>
      <c r="G109" s="4" t="n">
        <v>1.11</v>
      </c>
    </row>
    <row r="110" customFormat="false" ht="15" hidden="false" customHeight="false" outlineLevel="0" collapsed="false">
      <c r="A110" s="4" t="s">
        <v>200</v>
      </c>
      <c r="B110" s="4" t="n">
        <v>3</v>
      </c>
      <c r="C110" s="4" t="n">
        <v>2</v>
      </c>
      <c r="D110" s="4" t="n">
        <v>0.6</v>
      </c>
      <c r="E110" s="4" t="n">
        <v>6.4</v>
      </c>
      <c r="F110" s="4" t="n">
        <v>0.6</v>
      </c>
      <c r="G110" s="4" t="n">
        <v>1.28</v>
      </c>
    </row>
    <row r="111" customFormat="false" ht="15" hidden="false" customHeight="false" outlineLevel="0" collapsed="false">
      <c r="A111" s="4" t="s">
        <v>200</v>
      </c>
      <c r="B111" s="4" t="n">
        <v>3</v>
      </c>
      <c r="C111" s="4" t="n">
        <v>2</v>
      </c>
      <c r="D111" s="4" t="n">
        <v>0.6</v>
      </c>
      <c r="E111" s="4" t="n">
        <v>6.45</v>
      </c>
      <c r="F111" s="4" t="n">
        <v>0.63</v>
      </c>
      <c r="G111" s="4" t="n">
        <v>1.23</v>
      </c>
    </row>
    <row r="112" customFormat="false" ht="15" hidden="false" customHeight="false" outlineLevel="0" collapsed="false">
      <c r="A112" s="4" t="s">
        <v>200</v>
      </c>
      <c r="B112" s="4" t="n">
        <v>3</v>
      </c>
      <c r="C112" s="4" t="n">
        <v>2</v>
      </c>
      <c r="D112" s="4" t="n">
        <v>0.6</v>
      </c>
      <c r="E112" s="4" t="n">
        <v>6.5</v>
      </c>
      <c r="F112" s="4" t="n">
        <v>0.58</v>
      </c>
      <c r="G112" s="4" t="n">
        <v>1.18</v>
      </c>
    </row>
    <row r="113" customFormat="false" ht="15" hidden="false" customHeight="false" outlineLevel="0" collapsed="false">
      <c r="A113" s="4" t="s">
        <v>200</v>
      </c>
      <c r="B113" s="4" t="n">
        <v>3</v>
      </c>
      <c r="C113" s="4" t="n">
        <v>2</v>
      </c>
      <c r="D113" s="4" t="n">
        <v>0.6</v>
      </c>
      <c r="E113" s="4" t="n">
        <v>6.55</v>
      </c>
      <c r="F113" s="4" t="n">
        <v>1.07</v>
      </c>
      <c r="G113" s="4" t="n">
        <v>1.15</v>
      </c>
    </row>
    <row r="114" customFormat="false" ht="15" hidden="false" customHeight="false" outlineLevel="0" collapsed="false">
      <c r="A114" s="4" t="s">
        <v>200</v>
      </c>
      <c r="B114" s="4" t="n">
        <v>3</v>
      </c>
      <c r="C114" s="4" t="n">
        <v>2</v>
      </c>
      <c r="D114" s="4" t="n">
        <v>0.6</v>
      </c>
      <c r="E114" s="4" t="n">
        <v>6.6</v>
      </c>
      <c r="F114" s="4" t="n">
        <v>0.64</v>
      </c>
      <c r="G114" s="4" t="n">
        <v>1.32</v>
      </c>
    </row>
    <row r="115" customFormat="false" ht="15" hidden="false" customHeight="false" outlineLevel="0" collapsed="false">
      <c r="A115" s="4" t="s">
        <v>200</v>
      </c>
      <c r="B115" s="4" t="n">
        <v>3</v>
      </c>
      <c r="C115" s="4" t="n">
        <v>2</v>
      </c>
      <c r="D115" s="4" t="n">
        <v>0.6</v>
      </c>
      <c r="E115" s="4" t="n">
        <v>6.65</v>
      </c>
      <c r="F115" s="4" t="n">
        <v>0.59</v>
      </c>
      <c r="G115" s="4" t="n">
        <v>1.27</v>
      </c>
    </row>
    <row r="116" customFormat="false" ht="15" hidden="false" customHeight="false" outlineLevel="0" collapsed="false">
      <c r="A116" s="4" t="s">
        <v>200</v>
      </c>
      <c r="B116" s="4" t="n">
        <v>3</v>
      </c>
      <c r="C116" s="4" t="n">
        <v>2</v>
      </c>
      <c r="D116" s="4" t="n">
        <v>0.6</v>
      </c>
      <c r="E116" s="4" t="n">
        <v>6.7</v>
      </c>
      <c r="F116" s="4" t="n">
        <v>0.62</v>
      </c>
      <c r="G116" s="4" t="n">
        <v>1.22</v>
      </c>
    </row>
    <row r="117" customFormat="false" ht="15" hidden="false" customHeight="false" outlineLevel="0" collapsed="false">
      <c r="A117" s="4" t="s">
        <v>200</v>
      </c>
      <c r="B117" s="4" t="n">
        <v>3</v>
      </c>
      <c r="C117" s="4" t="n">
        <v>2</v>
      </c>
      <c r="D117" s="4" t="n">
        <v>0.6</v>
      </c>
      <c r="E117" s="4" t="n">
        <v>6.75</v>
      </c>
      <c r="F117" s="4" t="n">
        <v>0.57</v>
      </c>
      <c r="G117" s="4" t="n">
        <v>1.17</v>
      </c>
    </row>
    <row r="118" customFormat="false" ht="15" hidden="false" customHeight="false" outlineLevel="0" collapsed="false">
      <c r="A118" s="4" t="s">
        <v>200</v>
      </c>
      <c r="B118" s="4" t="n">
        <v>3</v>
      </c>
      <c r="C118" s="4" t="n">
        <v>2</v>
      </c>
      <c r="D118" s="4" t="n">
        <v>0.6</v>
      </c>
      <c r="E118" s="4" t="n">
        <v>6.8</v>
      </c>
      <c r="F118" s="4" t="n">
        <v>1.06</v>
      </c>
      <c r="G118" s="4" t="n">
        <v>1.14</v>
      </c>
    </row>
    <row r="119" customFormat="false" ht="15" hidden="false" customHeight="false" outlineLevel="0" collapsed="false">
      <c r="A119" s="4" t="s">
        <v>200</v>
      </c>
      <c r="B119" s="4" t="n">
        <v>3</v>
      </c>
      <c r="C119" s="4" t="n">
        <v>2</v>
      </c>
      <c r="D119" s="4" t="n">
        <v>0.6</v>
      </c>
      <c r="E119" s="4" t="n">
        <v>6.85</v>
      </c>
      <c r="F119" s="4" t="n">
        <v>0.63</v>
      </c>
      <c r="G119" s="4" t="n">
        <v>1.31</v>
      </c>
    </row>
    <row r="120" customFormat="false" ht="15" hidden="false" customHeight="false" outlineLevel="0" collapsed="false">
      <c r="A120" s="4" t="s">
        <v>200</v>
      </c>
      <c r="B120" s="4" t="n">
        <v>3</v>
      </c>
      <c r="C120" s="4" t="n">
        <v>2</v>
      </c>
      <c r="D120" s="4" t="n">
        <v>0.6</v>
      </c>
      <c r="E120" s="4" t="n">
        <v>6.9</v>
      </c>
      <c r="F120" s="4" t="n">
        <v>0.58</v>
      </c>
      <c r="G120" s="4" t="n">
        <v>1.26</v>
      </c>
    </row>
    <row r="121" customFormat="false" ht="15" hidden="false" customHeight="false" outlineLevel="0" collapsed="false">
      <c r="A121" s="4" t="s">
        <v>200</v>
      </c>
      <c r="B121" s="4" t="n">
        <v>3</v>
      </c>
      <c r="C121" s="4" t="n">
        <v>2</v>
      </c>
      <c r="D121" s="4" t="n">
        <v>0.6</v>
      </c>
      <c r="E121" s="4" t="n">
        <v>6.95</v>
      </c>
      <c r="F121" s="4" t="n">
        <v>0.61</v>
      </c>
      <c r="G121" s="4" t="n">
        <v>1.21</v>
      </c>
    </row>
    <row r="122" customFormat="false" ht="15" hidden="false" customHeight="false" outlineLevel="0" collapsed="false">
      <c r="A122" s="4" t="s">
        <v>200</v>
      </c>
      <c r="B122" s="4" t="n">
        <v>1</v>
      </c>
      <c r="C122" s="4" t="n">
        <v>3</v>
      </c>
      <c r="D122" s="4" t="n">
        <v>1.2</v>
      </c>
      <c r="E122" s="4" t="n">
        <v>6</v>
      </c>
      <c r="F122" s="4" t="n">
        <v>3.32</v>
      </c>
      <c r="G122" s="4" t="n">
        <v>3.32</v>
      </c>
    </row>
    <row r="123" customFormat="false" ht="15" hidden="false" customHeight="false" outlineLevel="0" collapsed="false">
      <c r="A123" s="4" t="s">
        <v>200</v>
      </c>
      <c r="B123" s="4" t="n">
        <v>1</v>
      </c>
      <c r="C123" s="4" t="n">
        <v>3</v>
      </c>
      <c r="D123" s="4" t="n">
        <v>1.2</v>
      </c>
      <c r="E123" s="4" t="n">
        <v>6.05</v>
      </c>
      <c r="F123" s="4" t="n">
        <v>3.27</v>
      </c>
      <c r="G123" s="4" t="n">
        <v>3.27</v>
      </c>
    </row>
    <row r="124" customFormat="false" ht="15" hidden="false" customHeight="false" outlineLevel="0" collapsed="false">
      <c r="A124" s="4" t="s">
        <v>200</v>
      </c>
      <c r="B124" s="4" t="n">
        <v>1</v>
      </c>
      <c r="C124" s="4" t="n">
        <v>3</v>
      </c>
      <c r="D124" s="4" t="n">
        <v>1.2</v>
      </c>
      <c r="E124" s="4" t="n">
        <v>6.1</v>
      </c>
      <c r="F124" s="4" t="n">
        <v>3.48</v>
      </c>
      <c r="G124" s="4" t="n">
        <v>3.48</v>
      </c>
    </row>
    <row r="125" customFormat="false" ht="15" hidden="false" customHeight="false" outlineLevel="0" collapsed="false">
      <c r="A125" s="4" t="s">
        <v>200</v>
      </c>
      <c r="B125" s="4" t="n">
        <v>1</v>
      </c>
      <c r="C125" s="4" t="n">
        <v>3</v>
      </c>
      <c r="D125" s="4" t="n">
        <v>1.2</v>
      </c>
      <c r="E125" s="4" t="n">
        <v>6.15</v>
      </c>
      <c r="F125" s="4" t="n">
        <v>3.43</v>
      </c>
      <c r="G125" s="4" t="n">
        <v>3.43</v>
      </c>
    </row>
    <row r="126" customFormat="false" ht="15" hidden="false" customHeight="false" outlineLevel="0" collapsed="false">
      <c r="A126" s="4" t="s">
        <v>200</v>
      </c>
      <c r="B126" s="4" t="n">
        <v>1</v>
      </c>
      <c r="C126" s="4" t="n">
        <v>3</v>
      </c>
      <c r="D126" s="4" t="n">
        <v>1.2</v>
      </c>
      <c r="E126" s="4" t="n">
        <v>6.2</v>
      </c>
      <c r="F126" s="4" t="n">
        <v>3.36</v>
      </c>
      <c r="G126" s="4" t="n">
        <v>3.36</v>
      </c>
    </row>
    <row r="127" customFormat="false" ht="15" hidden="false" customHeight="false" outlineLevel="0" collapsed="false">
      <c r="A127" s="4" t="s">
        <v>200</v>
      </c>
      <c r="B127" s="4" t="n">
        <v>1</v>
      </c>
      <c r="C127" s="4" t="n">
        <v>3</v>
      </c>
      <c r="D127" s="4" t="n">
        <v>1.2</v>
      </c>
      <c r="E127" s="4" t="n">
        <v>6.25</v>
      </c>
      <c r="F127" s="4" t="n">
        <v>3.31</v>
      </c>
      <c r="G127" s="4" t="n">
        <v>3.31</v>
      </c>
    </row>
    <row r="128" customFormat="false" ht="15" hidden="false" customHeight="false" outlineLevel="0" collapsed="false">
      <c r="A128" s="4" t="s">
        <v>200</v>
      </c>
      <c r="B128" s="4" t="n">
        <v>1</v>
      </c>
      <c r="C128" s="4" t="n">
        <v>3</v>
      </c>
      <c r="D128" s="4" t="n">
        <v>1.2</v>
      </c>
      <c r="E128" s="4" t="n">
        <v>6.3</v>
      </c>
      <c r="F128" s="4" t="n">
        <v>3.26</v>
      </c>
      <c r="G128" s="4" t="n">
        <v>3.26</v>
      </c>
    </row>
    <row r="129" customFormat="false" ht="15" hidden="false" customHeight="false" outlineLevel="0" collapsed="false">
      <c r="A129" s="4" t="s">
        <v>200</v>
      </c>
      <c r="B129" s="4" t="n">
        <v>1</v>
      </c>
      <c r="C129" s="4" t="n">
        <v>3</v>
      </c>
      <c r="D129" s="4" t="n">
        <v>1.2</v>
      </c>
      <c r="E129" s="4" t="n">
        <v>6.35</v>
      </c>
      <c r="F129" s="4" t="n">
        <v>3.47</v>
      </c>
      <c r="G129" s="4" t="n">
        <v>3.47</v>
      </c>
    </row>
    <row r="130" customFormat="false" ht="15" hidden="false" customHeight="false" outlineLevel="0" collapsed="false">
      <c r="A130" s="4" t="s">
        <v>200</v>
      </c>
      <c r="B130" s="4" t="n">
        <v>1</v>
      </c>
      <c r="C130" s="4" t="n">
        <v>3</v>
      </c>
      <c r="D130" s="4" t="n">
        <v>1.2</v>
      </c>
      <c r="E130" s="4" t="n">
        <v>6.4</v>
      </c>
      <c r="F130" s="4" t="n">
        <v>3.4</v>
      </c>
      <c r="G130" s="4" t="n">
        <v>3.4</v>
      </c>
    </row>
    <row r="131" customFormat="false" ht="15" hidden="false" customHeight="false" outlineLevel="0" collapsed="false">
      <c r="A131" s="4" t="s">
        <v>200</v>
      </c>
      <c r="B131" s="4" t="n">
        <v>1</v>
      </c>
      <c r="C131" s="4" t="n">
        <v>3</v>
      </c>
      <c r="D131" s="4" t="n">
        <v>1.2</v>
      </c>
      <c r="E131" s="4" t="n">
        <v>6.45</v>
      </c>
      <c r="F131" s="4" t="n">
        <v>3.35</v>
      </c>
      <c r="G131" s="4" t="n">
        <v>3.35</v>
      </c>
    </row>
    <row r="132" customFormat="false" ht="15" hidden="false" customHeight="false" outlineLevel="0" collapsed="false">
      <c r="A132" s="4" t="s">
        <v>200</v>
      </c>
      <c r="B132" s="4" t="n">
        <v>1</v>
      </c>
      <c r="C132" s="4" t="n">
        <v>3</v>
      </c>
      <c r="D132" s="4" t="n">
        <v>1.2</v>
      </c>
      <c r="E132" s="4" t="n">
        <v>6.5</v>
      </c>
      <c r="F132" s="4" t="n">
        <v>3.3</v>
      </c>
      <c r="G132" s="4" t="n">
        <v>3.3</v>
      </c>
    </row>
    <row r="133" customFormat="false" ht="15" hidden="false" customHeight="false" outlineLevel="0" collapsed="false">
      <c r="A133" s="4" t="s">
        <v>200</v>
      </c>
      <c r="B133" s="4" t="n">
        <v>1</v>
      </c>
      <c r="C133" s="4" t="n">
        <v>3</v>
      </c>
      <c r="D133" s="4" t="n">
        <v>1.2</v>
      </c>
      <c r="E133" s="4" t="n">
        <v>6.55</v>
      </c>
      <c r="F133" s="4" t="n">
        <v>3.25</v>
      </c>
      <c r="G133" s="4" t="n">
        <v>3.25</v>
      </c>
    </row>
    <row r="134" customFormat="false" ht="15" hidden="false" customHeight="false" outlineLevel="0" collapsed="false">
      <c r="A134" s="4" t="s">
        <v>200</v>
      </c>
      <c r="B134" s="4" t="n">
        <v>1</v>
      </c>
      <c r="C134" s="4" t="n">
        <v>3</v>
      </c>
      <c r="D134" s="4" t="n">
        <v>1.2</v>
      </c>
      <c r="E134" s="4" t="n">
        <v>6.6</v>
      </c>
      <c r="F134" s="4" t="n">
        <v>3.46</v>
      </c>
      <c r="G134" s="4" t="n">
        <v>3.46</v>
      </c>
    </row>
    <row r="135" customFormat="false" ht="15" hidden="false" customHeight="false" outlineLevel="0" collapsed="false">
      <c r="A135" s="4" t="s">
        <v>200</v>
      </c>
      <c r="B135" s="4" t="n">
        <v>1</v>
      </c>
      <c r="C135" s="4" t="n">
        <v>3</v>
      </c>
      <c r="D135" s="4" t="n">
        <v>1.2</v>
      </c>
      <c r="E135" s="4" t="n">
        <v>6.65</v>
      </c>
      <c r="F135" s="4" t="n">
        <v>3.39</v>
      </c>
      <c r="G135" s="4" t="n">
        <v>3.39</v>
      </c>
    </row>
    <row r="136" customFormat="false" ht="15" hidden="false" customHeight="false" outlineLevel="0" collapsed="false">
      <c r="A136" s="4" t="s">
        <v>200</v>
      </c>
      <c r="B136" s="4" t="n">
        <v>1</v>
      </c>
      <c r="C136" s="4" t="n">
        <v>3</v>
      </c>
      <c r="D136" s="4" t="n">
        <v>1.2</v>
      </c>
      <c r="E136" s="4" t="n">
        <v>6.7</v>
      </c>
      <c r="F136" s="4" t="n">
        <v>3.34</v>
      </c>
      <c r="G136" s="4" t="n">
        <v>3.34</v>
      </c>
    </row>
    <row r="137" customFormat="false" ht="15" hidden="false" customHeight="false" outlineLevel="0" collapsed="false">
      <c r="A137" s="4" t="s">
        <v>200</v>
      </c>
      <c r="B137" s="4" t="n">
        <v>1</v>
      </c>
      <c r="C137" s="4" t="n">
        <v>3</v>
      </c>
      <c r="D137" s="4" t="n">
        <v>1.2</v>
      </c>
      <c r="E137" s="4" t="n">
        <v>6.75</v>
      </c>
      <c r="F137" s="4" t="n">
        <v>3.29</v>
      </c>
      <c r="G137" s="4" t="n">
        <v>3.29</v>
      </c>
    </row>
    <row r="138" customFormat="false" ht="15" hidden="false" customHeight="false" outlineLevel="0" collapsed="false">
      <c r="A138" s="4" t="s">
        <v>200</v>
      </c>
      <c r="B138" s="4" t="n">
        <v>1</v>
      </c>
      <c r="C138" s="4" t="n">
        <v>3</v>
      </c>
      <c r="D138" s="4" t="n">
        <v>1.2</v>
      </c>
      <c r="E138" s="4" t="n">
        <v>6.8</v>
      </c>
      <c r="F138" s="4" t="n">
        <v>3.5</v>
      </c>
      <c r="G138" s="4" t="n">
        <v>3.5</v>
      </c>
    </row>
    <row r="139" customFormat="false" ht="15" hidden="false" customHeight="false" outlineLevel="0" collapsed="false">
      <c r="A139" s="4" t="s">
        <v>200</v>
      </c>
      <c r="B139" s="4" t="n">
        <v>1</v>
      </c>
      <c r="C139" s="4" t="n">
        <v>3</v>
      </c>
      <c r="D139" s="4" t="n">
        <v>1.2</v>
      </c>
      <c r="E139" s="4" t="n">
        <v>6.85</v>
      </c>
      <c r="F139" s="4" t="n">
        <v>3.45</v>
      </c>
      <c r="G139" s="4" t="n">
        <v>3.45</v>
      </c>
    </row>
    <row r="140" customFormat="false" ht="15" hidden="false" customHeight="false" outlineLevel="0" collapsed="false">
      <c r="A140" s="4" t="s">
        <v>200</v>
      </c>
      <c r="B140" s="4" t="n">
        <v>1</v>
      </c>
      <c r="C140" s="4" t="n">
        <v>3</v>
      </c>
      <c r="D140" s="4" t="n">
        <v>1.2</v>
      </c>
      <c r="E140" s="4" t="n">
        <v>6.9</v>
      </c>
      <c r="F140" s="4" t="n">
        <v>3.38</v>
      </c>
      <c r="G140" s="4" t="n">
        <v>3.38</v>
      </c>
    </row>
    <row r="141" customFormat="false" ht="15" hidden="false" customHeight="false" outlineLevel="0" collapsed="false">
      <c r="A141" s="4" t="s">
        <v>200</v>
      </c>
      <c r="B141" s="4" t="n">
        <v>1</v>
      </c>
      <c r="C141" s="4" t="n">
        <v>3</v>
      </c>
      <c r="D141" s="4" t="n">
        <v>1.2</v>
      </c>
      <c r="E141" s="4" t="n">
        <v>6.95</v>
      </c>
      <c r="F141" s="4" t="n">
        <v>3.33</v>
      </c>
      <c r="G141" s="4" t="n">
        <v>3.33</v>
      </c>
    </row>
    <row r="142" customFormat="false" ht="15" hidden="false" customHeight="false" outlineLevel="0" collapsed="false">
      <c r="A142" s="4" t="s">
        <v>200</v>
      </c>
      <c r="B142" s="4" t="n">
        <v>3</v>
      </c>
      <c r="C142" s="4" t="n">
        <v>1</v>
      </c>
      <c r="D142" s="4" t="n">
        <v>1.2</v>
      </c>
      <c r="E142" s="4" t="n">
        <v>6</v>
      </c>
      <c r="F142" s="4" t="n">
        <v>9.14</v>
      </c>
      <c r="G142" s="4" t="n">
        <v>9.14</v>
      </c>
    </row>
    <row r="143" customFormat="false" ht="15" hidden="false" customHeight="false" outlineLevel="0" collapsed="false">
      <c r="A143" s="4" t="s">
        <v>200</v>
      </c>
      <c r="B143" s="4" t="n">
        <v>3</v>
      </c>
      <c r="C143" s="4" t="n">
        <v>1</v>
      </c>
      <c r="D143" s="4" t="n">
        <v>1.2</v>
      </c>
      <c r="E143" s="4" t="n">
        <v>6.05</v>
      </c>
      <c r="F143" s="4" t="n">
        <v>9.09</v>
      </c>
      <c r="G143" s="4" t="n">
        <v>9.09</v>
      </c>
    </row>
    <row r="144" customFormat="false" ht="15" hidden="false" customHeight="false" outlineLevel="0" collapsed="false">
      <c r="A144" s="4" t="s">
        <v>200</v>
      </c>
      <c r="B144" s="4" t="n">
        <v>3</v>
      </c>
      <c r="C144" s="4" t="n">
        <v>1</v>
      </c>
      <c r="D144" s="4" t="n">
        <v>1.2</v>
      </c>
      <c r="E144" s="4" t="n">
        <v>6.1</v>
      </c>
      <c r="F144" s="4" t="n">
        <v>9.02</v>
      </c>
      <c r="G144" s="4" t="n">
        <v>9.02</v>
      </c>
    </row>
    <row r="145" customFormat="false" ht="15" hidden="false" customHeight="false" outlineLevel="0" collapsed="false">
      <c r="A145" s="4" t="s">
        <v>200</v>
      </c>
      <c r="B145" s="4" t="n">
        <v>3</v>
      </c>
      <c r="C145" s="4" t="n">
        <v>1</v>
      </c>
      <c r="D145" s="4" t="n">
        <v>1.2</v>
      </c>
      <c r="E145" s="4" t="n">
        <v>6.15</v>
      </c>
      <c r="F145" s="4" t="n">
        <v>9.25</v>
      </c>
      <c r="G145" s="4" t="n">
        <v>9.25</v>
      </c>
    </row>
    <row r="146" customFormat="false" ht="15" hidden="false" customHeight="false" outlineLevel="0" collapsed="false">
      <c r="A146" s="4" t="s">
        <v>200</v>
      </c>
      <c r="B146" s="4" t="n">
        <v>3</v>
      </c>
      <c r="C146" s="4" t="n">
        <v>1</v>
      </c>
      <c r="D146" s="4" t="n">
        <v>1.2</v>
      </c>
      <c r="E146" s="4" t="n">
        <v>6.2</v>
      </c>
      <c r="F146" s="4" t="n">
        <v>9.2</v>
      </c>
      <c r="G146" s="4" t="n">
        <v>9.2</v>
      </c>
    </row>
    <row r="147" customFormat="false" ht="15" hidden="false" customHeight="false" outlineLevel="0" collapsed="false">
      <c r="A147" s="4" t="s">
        <v>200</v>
      </c>
      <c r="B147" s="4" t="n">
        <v>3</v>
      </c>
      <c r="C147" s="4" t="n">
        <v>1</v>
      </c>
      <c r="D147" s="4" t="n">
        <v>1.2</v>
      </c>
      <c r="E147" s="4" t="n">
        <v>6.25</v>
      </c>
      <c r="F147" s="4" t="n">
        <v>9.13</v>
      </c>
      <c r="G147" s="4" t="n">
        <v>9.13</v>
      </c>
    </row>
    <row r="148" customFormat="false" ht="15" hidden="false" customHeight="false" outlineLevel="0" collapsed="false">
      <c r="A148" s="4" t="s">
        <v>200</v>
      </c>
      <c r="B148" s="4" t="n">
        <v>3</v>
      </c>
      <c r="C148" s="4" t="n">
        <v>1</v>
      </c>
      <c r="D148" s="4" t="n">
        <v>1.2</v>
      </c>
      <c r="E148" s="4" t="n">
        <v>6.3</v>
      </c>
      <c r="F148" s="4" t="n">
        <v>9.06</v>
      </c>
      <c r="G148" s="4" t="n">
        <v>9.06</v>
      </c>
    </row>
    <row r="149" customFormat="false" ht="15" hidden="false" customHeight="false" outlineLevel="0" collapsed="false">
      <c r="A149" s="4" t="s">
        <v>200</v>
      </c>
      <c r="B149" s="4" t="n">
        <v>3</v>
      </c>
      <c r="C149" s="4" t="n">
        <v>1</v>
      </c>
      <c r="D149" s="4" t="n">
        <v>1.2</v>
      </c>
      <c r="E149" s="4" t="n">
        <v>6.35</v>
      </c>
      <c r="F149" s="4" t="n">
        <v>9.01</v>
      </c>
      <c r="G149" s="4" t="n">
        <v>9.01</v>
      </c>
    </row>
    <row r="150" customFormat="false" ht="15" hidden="false" customHeight="false" outlineLevel="0" collapsed="false">
      <c r="A150" s="4" t="s">
        <v>200</v>
      </c>
      <c r="B150" s="4" t="n">
        <v>3</v>
      </c>
      <c r="C150" s="4" t="n">
        <v>1</v>
      </c>
      <c r="D150" s="4" t="n">
        <v>1.2</v>
      </c>
      <c r="E150" s="4" t="n">
        <v>6.4</v>
      </c>
      <c r="F150" s="4" t="n">
        <v>9.24</v>
      </c>
      <c r="G150" s="4" t="n">
        <v>9.24</v>
      </c>
    </row>
    <row r="151" customFormat="false" ht="15" hidden="false" customHeight="false" outlineLevel="0" collapsed="false">
      <c r="A151" s="4" t="s">
        <v>200</v>
      </c>
      <c r="B151" s="4" t="n">
        <v>3</v>
      </c>
      <c r="C151" s="4" t="n">
        <v>1</v>
      </c>
      <c r="D151" s="4" t="n">
        <v>1.2</v>
      </c>
      <c r="E151" s="4" t="n">
        <v>6.45</v>
      </c>
      <c r="F151" s="4" t="n">
        <v>9.19</v>
      </c>
      <c r="G151" s="4" t="n">
        <v>9.19</v>
      </c>
    </row>
    <row r="152" customFormat="false" ht="15" hidden="false" customHeight="false" outlineLevel="0" collapsed="false">
      <c r="A152" s="4" t="s">
        <v>200</v>
      </c>
      <c r="B152" s="4" t="n">
        <v>3</v>
      </c>
      <c r="C152" s="4" t="n">
        <v>1</v>
      </c>
      <c r="D152" s="4" t="n">
        <v>1.2</v>
      </c>
      <c r="E152" s="4" t="n">
        <v>6.5</v>
      </c>
      <c r="F152" s="4" t="n">
        <v>9.12</v>
      </c>
      <c r="G152" s="4" t="n">
        <v>9.12</v>
      </c>
    </row>
    <row r="153" customFormat="false" ht="15" hidden="false" customHeight="false" outlineLevel="0" collapsed="false">
      <c r="A153" s="4" t="s">
        <v>200</v>
      </c>
      <c r="B153" s="4" t="n">
        <v>3</v>
      </c>
      <c r="C153" s="4" t="n">
        <v>1</v>
      </c>
      <c r="D153" s="4" t="n">
        <v>1.2</v>
      </c>
      <c r="E153" s="4" t="n">
        <v>6.55</v>
      </c>
      <c r="F153" s="4" t="n">
        <v>9.05</v>
      </c>
      <c r="G153" s="4" t="n">
        <v>9.05</v>
      </c>
    </row>
    <row r="154" customFormat="false" ht="15" hidden="false" customHeight="false" outlineLevel="0" collapsed="false">
      <c r="A154" s="4" t="s">
        <v>200</v>
      </c>
      <c r="B154" s="4" t="n">
        <v>3</v>
      </c>
      <c r="C154" s="4" t="n">
        <v>1</v>
      </c>
      <c r="D154" s="4" t="n">
        <v>1.2</v>
      </c>
      <c r="E154" s="4" t="n">
        <v>6.6</v>
      </c>
      <c r="F154" s="4" t="n">
        <v>9</v>
      </c>
      <c r="G154" s="4" t="n">
        <v>9</v>
      </c>
    </row>
    <row r="155" customFormat="false" ht="15" hidden="false" customHeight="false" outlineLevel="0" collapsed="false">
      <c r="A155" s="4" t="s">
        <v>200</v>
      </c>
      <c r="B155" s="4" t="n">
        <v>3</v>
      </c>
      <c r="C155" s="4" t="n">
        <v>1</v>
      </c>
      <c r="D155" s="4" t="n">
        <v>1.2</v>
      </c>
      <c r="E155" s="4" t="n">
        <v>6.65</v>
      </c>
      <c r="F155" s="4" t="n">
        <v>9.23</v>
      </c>
      <c r="G155" s="4" t="n">
        <v>9.23</v>
      </c>
    </row>
    <row r="156" customFormat="false" ht="15" hidden="false" customHeight="false" outlineLevel="0" collapsed="false">
      <c r="A156" s="4" t="s">
        <v>200</v>
      </c>
      <c r="B156" s="4" t="n">
        <v>3</v>
      </c>
      <c r="C156" s="4" t="n">
        <v>1</v>
      </c>
      <c r="D156" s="4" t="n">
        <v>1.2</v>
      </c>
      <c r="E156" s="4" t="n">
        <v>6.7</v>
      </c>
      <c r="F156" s="4" t="n">
        <v>9.16</v>
      </c>
      <c r="G156" s="4" t="n">
        <v>9.16</v>
      </c>
    </row>
    <row r="157" customFormat="false" ht="15" hidden="false" customHeight="false" outlineLevel="0" collapsed="false">
      <c r="A157" s="4" t="s">
        <v>200</v>
      </c>
      <c r="B157" s="4" t="n">
        <v>3</v>
      </c>
      <c r="C157" s="4" t="n">
        <v>1</v>
      </c>
      <c r="D157" s="4" t="n">
        <v>1.2</v>
      </c>
      <c r="E157" s="4" t="n">
        <v>6.75</v>
      </c>
      <c r="F157" s="4" t="n">
        <v>9.11</v>
      </c>
      <c r="G157" s="4" t="n">
        <v>9.11</v>
      </c>
    </row>
    <row r="158" customFormat="false" ht="15" hidden="false" customHeight="false" outlineLevel="0" collapsed="false">
      <c r="A158" s="4" t="s">
        <v>200</v>
      </c>
      <c r="B158" s="4" t="n">
        <v>3</v>
      </c>
      <c r="C158" s="4" t="n">
        <v>1</v>
      </c>
      <c r="D158" s="4" t="n">
        <v>1.2</v>
      </c>
      <c r="E158" s="4" t="n">
        <v>6.8</v>
      </c>
      <c r="F158" s="4" t="n">
        <v>9.04</v>
      </c>
      <c r="G158" s="4" t="n">
        <v>9.04</v>
      </c>
    </row>
    <row r="159" customFormat="false" ht="15" hidden="false" customHeight="false" outlineLevel="0" collapsed="false">
      <c r="A159" s="4" t="s">
        <v>200</v>
      </c>
      <c r="B159" s="4" t="n">
        <v>3</v>
      </c>
      <c r="C159" s="4" t="n">
        <v>1</v>
      </c>
      <c r="D159" s="4" t="n">
        <v>1.2</v>
      </c>
      <c r="E159" s="4" t="n">
        <v>6.85</v>
      </c>
      <c r="F159" s="4" t="n">
        <v>8.99</v>
      </c>
      <c r="G159" s="4" t="n">
        <v>8.99</v>
      </c>
    </row>
    <row r="160" customFormat="false" ht="15" hidden="false" customHeight="false" outlineLevel="0" collapsed="false">
      <c r="A160" s="4" t="s">
        <v>200</v>
      </c>
      <c r="B160" s="4" t="n">
        <v>3</v>
      </c>
      <c r="C160" s="4" t="n">
        <v>1</v>
      </c>
      <c r="D160" s="4" t="n">
        <v>1.2</v>
      </c>
      <c r="E160" s="4" t="n">
        <v>6.9</v>
      </c>
      <c r="F160" s="4" t="n">
        <v>9.22</v>
      </c>
      <c r="G160" s="4" t="n">
        <v>9.22</v>
      </c>
    </row>
    <row r="161" customFormat="false" ht="15" hidden="false" customHeight="false" outlineLevel="0" collapsed="false">
      <c r="A161" s="4" t="s">
        <v>200</v>
      </c>
      <c r="B161" s="4" t="n">
        <v>3</v>
      </c>
      <c r="C161" s="4" t="n">
        <v>1</v>
      </c>
      <c r="D161" s="4" t="n">
        <v>1.2</v>
      </c>
      <c r="E161" s="4" t="n">
        <v>6.95</v>
      </c>
      <c r="F161" s="4" t="n">
        <v>9.15</v>
      </c>
      <c r="G161" s="4" t="n">
        <v>9.15</v>
      </c>
    </row>
    <row r="162" customFormat="false" ht="15" hidden="false" customHeight="false" outlineLevel="0" collapsed="false">
      <c r="A162" s="4" t="s">
        <v>471</v>
      </c>
      <c r="B162" s="4" t="n">
        <v>1</v>
      </c>
      <c r="C162" s="4" t="n">
        <v>3</v>
      </c>
      <c r="D162" s="4" t="n">
        <v>0.6</v>
      </c>
      <c r="E162" s="4" t="n">
        <v>6</v>
      </c>
      <c r="F162" s="4" t="n">
        <v>1.44</v>
      </c>
      <c r="G162" s="4" t="n">
        <v>1.62</v>
      </c>
    </row>
    <row r="163" customFormat="false" ht="15" hidden="false" customHeight="false" outlineLevel="0" collapsed="false">
      <c r="A163" s="4" t="s">
        <v>471</v>
      </c>
      <c r="B163" s="4" t="n">
        <v>1</v>
      </c>
      <c r="C163" s="4" t="n">
        <v>3</v>
      </c>
      <c r="D163" s="4" t="n">
        <v>0.6</v>
      </c>
      <c r="E163" s="4" t="n">
        <v>6.05</v>
      </c>
      <c r="F163" s="4" t="n">
        <v>1.39</v>
      </c>
      <c r="G163" s="4" t="n">
        <v>1.57</v>
      </c>
    </row>
    <row r="164" customFormat="false" ht="15" hidden="false" customHeight="false" outlineLevel="0" collapsed="false">
      <c r="A164" s="4" t="s">
        <v>471</v>
      </c>
      <c r="B164" s="4" t="n">
        <v>1</v>
      </c>
      <c r="C164" s="4" t="n">
        <v>3</v>
      </c>
      <c r="D164" s="4" t="n">
        <v>0.6</v>
      </c>
      <c r="E164" s="4" t="n">
        <v>6.1</v>
      </c>
      <c r="F164" s="4" t="n">
        <v>1.84</v>
      </c>
      <c r="G164" s="4" t="n">
        <v>1.84</v>
      </c>
    </row>
    <row r="165" customFormat="false" ht="15" hidden="false" customHeight="false" outlineLevel="0" collapsed="false">
      <c r="A165" s="4" t="s">
        <v>471</v>
      </c>
      <c r="B165" s="4" t="n">
        <v>1</v>
      </c>
      <c r="C165" s="4" t="n">
        <v>3</v>
      </c>
      <c r="D165" s="4" t="n">
        <v>0.6</v>
      </c>
      <c r="E165" s="4" t="n">
        <v>6.15</v>
      </c>
      <c r="F165" s="4" t="n">
        <v>1.79</v>
      </c>
      <c r="G165" s="4" t="n">
        <v>1.79</v>
      </c>
    </row>
    <row r="166" customFormat="false" ht="15" hidden="false" customHeight="false" outlineLevel="0" collapsed="false">
      <c r="A166" s="4" t="s">
        <v>471</v>
      </c>
      <c r="B166" s="4" t="n">
        <v>1</v>
      </c>
      <c r="C166" s="4" t="n">
        <v>3</v>
      </c>
      <c r="D166" s="4" t="n">
        <v>0.6</v>
      </c>
      <c r="E166" s="4" t="n">
        <v>6.2</v>
      </c>
      <c r="F166" s="4" t="n">
        <v>1.5</v>
      </c>
      <c r="G166" s="4" t="n">
        <v>1.68</v>
      </c>
    </row>
    <row r="167" customFormat="false" ht="15" hidden="false" customHeight="false" outlineLevel="0" collapsed="false">
      <c r="A167" s="4" t="s">
        <v>471</v>
      </c>
      <c r="B167" s="4" t="n">
        <v>1</v>
      </c>
      <c r="C167" s="4" t="n">
        <v>3</v>
      </c>
      <c r="D167" s="4" t="n">
        <v>0.6</v>
      </c>
      <c r="E167" s="4" t="n">
        <v>6.25</v>
      </c>
      <c r="F167" s="4" t="n">
        <v>1.43</v>
      </c>
      <c r="G167" s="4" t="n">
        <v>1.61</v>
      </c>
    </row>
    <row r="168" customFormat="false" ht="15" hidden="false" customHeight="false" outlineLevel="0" collapsed="false">
      <c r="A168" s="4" t="s">
        <v>471</v>
      </c>
      <c r="B168" s="4" t="n">
        <v>1</v>
      </c>
      <c r="C168" s="4" t="n">
        <v>3</v>
      </c>
      <c r="D168" s="4" t="n">
        <v>0.6</v>
      </c>
      <c r="E168" s="4" t="n">
        <v>6.3</v>
      </c>
      <c r="F168" s="4" t="n">
        <v>1.38</v>
      </c>
      <c r="G168" s="4" t="n">
        <v>1.56</v>
      </c>
    </row>
    <row r="169" customFormat="false" ht="15" hidden="false" customHeight="false" outlineLevel="0" collapsed="false">
      <c r="A169" s="4" t="s">
        <v>471</v>
      </c>
      <c r="B169" s="4" t="n">
        <v>1</v>
      </c>
      <c r="C169" s="4" t="n">
        <v>3</v>
      </c>
      <c r="D169" s="4" t="n">
        <v>0.6</v>
      </c>
      <c r="E169" s="4" t="n">
        <v>6.35</v>
      </c>
      <c r="F169" s="4" t="n">
        <v>1.83</v>
      </c>
      <c r="G169" s="4" t="n">
        <v>1.83</v>
      </c>
    </row>
    <row r="170" customFormat="false" ht="15" hidden="false" customHeight="false" outlineLevel="0" collapsed="false">
      <c r="A170" s="4" t="s">
        <v>471</v>
      </c>
      <c r="B170" s="4" t="n">
        <v>1</v>
      </c>
      <c r="C170" s="4" t="n">
        <v>3</v>
      </c>
      <c r="D170" s="4" t="n">
        <v>0.6</v>
      </c>
      <c r="E170" s="4" t="n">
        <v>6.4</v>
      </c>
      <c r="F170" s="4" t="n">
        <v>1.54</v>
      </c>
      <c r="G170" s="4" t="n">
        <v>1.72</v>
      </c>
    </row>
    <row r="171" customFormat="false" ht="15" hidden="false" customHeight="false" outlineLevel="0" collapsed="false">
      <c r="A171" s="4" t="s">
        <v>471</v>
      </c>
      <c r="B171" s="4" t="n">
        <v>1</v>
      </c>
      <c r="C171" s="4" t="n">
        <v>3</v>
      </c>
      <c r="D171" s="4" t="n">
        <v>0.6</v>
      </c>
      <c r="E171" s="4" t="n">
        <v>6.45</v>
      </c>
      <c r="F171" s="4" t="n">
        <v>1.49</v>
      </c>
      <c r="G171" s="4" t="n">
        <v>1.67</v>
      </c>
    </row>
    <row r="172" customFormat="false" ht="15" hidden="false" customHeight="false" outlineLevel="0" collapsed="false">
      <c r="A172" s="4" t="s">
        <v>471</v>
      </c>
      <c r="B172" s="4" t="n">
        <v>1</v>
      </c>
      <c r="C172" s="4" t="n">
        <v>3</v>
      </c>
      <c r="D172" s="4" t="n">
        <v>0.6</v>
      </c>
      <c r="E172" s="4" t="n">
        <v>6.5</v>
      </c>
      <c r="F172" s="4" t="n">
        <v>1.42</v>
      </c>
      <c r="G172" s="4" t="n">
        <v>1.6</v>
      </c>
    </row>
    <row r="173" customFormat="false" ht="15" hidden="false" customHeight="false" outlineLevel="0" collapsed="false">
      <c r="A173" s="4" t="s">
        <v>471</v>
      </c>
      <c r="B173" s="4" t="n">
        <v>1</v>
      </c>
      <c r="C173" s="4" t="n">
        <v>3</v>
      </c>
      <c r="D173" s="4" t="n">
        <v>0.6</v>
      </c>
      <c r="E173" s="4" t="n">
        <v>6.55</v>
      </c>
      <c r="F173" s="4" t="n">
        <v>1.37</v>
      </c>
      <c r="G173" s="4" t="n">
        <v>1.55</v>
      </c>
    </row>
    <row r="174" customFormat="false" ht="15" hidden="false" customHeight="false" outlineLevel="0" collapsed="false">
      <c r="A174" s="4" t="s">
        <v>471</v>
      </c>
      <c r="B174" s="4" t="n">
        <v>1</v>
      </c>
      <c r="C174" s="4" t="n">
        <v>3</v>
      </c>
      <c r="D174" s="4" t="n">
        <v>0.6</v>
      </c>
      <c r="E174" s="4" t="n">
        <v>6.6</v>
      </c>
      <c r="F174" s="4" t="n">
        <v>1.82</v>
      </c>
      <c r="G174" s="4" t="n">
        <v>1.82</v>
      </c>
    </row>
    <row r="175" customFormat="false" ht="15" hidden="false" customHeight="false" outlineLevel="0" collapsed="false">
      <c r="A175" s="4" t="s">
        <v>471</v>
      </c>
      <c r="B175" s="4" t="n">
        <v>1</v>
      </c>
      <c r="C175" s="4" t="n">
        <v>3</v>
      </c>
      <c r="D175" s="4" t="n">
        <v>0.6</v>
      </c>
      <c r="E175" s="4" t="n">
        <v>6.65</v>
      </c>
      <c r="F175" s="4" t="n">
        <v>1.53</v>
      </c>
      <c r="G175" s="4" t="n">
        <v>1.71</v>
      </c>
    </row>
    <row r="176" customFormat="false" ht="15" hidden="false" customHeight="false" outlineLevel="0" collapsed="false">
      <c r="A176" s="4" t="s">
        <v>471</v>
      </c>
      <c r="B176" s="4" t="n">
        <v>1</v>
      </c>
      <c r="C176" s="4" t="n">
        <v>3</v>
      </c>
      <c r="D176" s="4" t="n">
        <v>0.6</v>
      </c>
      <c r="E176" s="4" t="n">
        <v>6.7</v>
      </c>
      <c r="F176" s="4" t="n">
        <v>1.48</v>
      </c>
      <c r="G176" s="4" t="n">
        <v>1.66</v>
      </c>
    </row>
    <row r="177" customFormat="false" ht="15" hidden="false" customHeight="false" outlineLevel="0" collapsed="false">
      <c r="A177" s="4" t="s">
        <v>471</v>
      </c>
      <c r="B177" s="4" t="n">
        <v>1</v>
      </c>
      <c r="C177" s="4" t="n">
        <v>3</v>
      </c>
      <c r="D177" s="4" t="n">
        <v>0.6</v>
      </c>
      <c r="E177" s="4" t="n">
        <v>6.75</v>
      </c>
      <c r="F177" s="4" t="n">
        <v>1.41</v>
      </c>
      <c r="G177" s="4" t="n">
        <v>1.59</v>
      </c>
    </row>
    <row r="178" customFormat="false" ht="15" hidden="false" customHeight="false" outlineLevel="0" collapsed="false">
      <c r="A178" s="4" t="s">
        <v>471</v>
      </c>
      <c r="B178" s="4" t="n">
        <v>1</v>
      </c>
      <c r="C178" s="4" t="n">
        <v>3</v>
      </c>
      <c r="D178" s="4" t="n">
        <v>0.6</v>
      </c>
      <c r="E178" s="4" t="n">
        <v>6.8</v>
      </c>
      <c r="F178" s="4" t="n">
        <v>1.86</v>
      </c>
      <c r="G178" s="4" t="n">
        <v>1.86</v>
      </c>
    </row>
    <row r="179" customFormat="false" ht="15" hidden="false" customHeight="false" outlineLevel="0" collapsed="false">
      <c r="A179" s="4" t="s">
        <v>471</v>
      </c>
      <c r="B179" s="4" t="n">
        <v>1</v>
      </c>
      <c r="C179" s="4" t="n">
        <v>3</v>
      </c>
      <c r="D179" s="4" t="n">
        <v>0.6</v>
      </c>
      <c r="E179" s="4" t="n">
        <v>6.85</v>
      </c>
      <c r="F179" s="4" t="n">
        <v>1.81</v>
      </c>
      <c r="G179" s="4" t="n">
        <v>1.81</v>
      </c>
    </row>
    <row r="180" customFormat="false" ht="15" hidden="false" customHeight="false" outlineLevel="0" collapsed="false">
      <c r="A180" s="4" t="s">
        <v>471</v>
      </c>
      <c r="B180" s="4" t="n">
        <v>1</v>
      </c>
      <c r="C180" s="4" t="n">
        <v>3</v>
      </c>
      <c r="D180" s="4" t="n">
        <v>0.6</v>
      </c>
      <c r="E180" s="4" t="n">
        <v>6.9</v>
      </c>
      <c r="F180" s="4" t="n">
        <v>1.52</v>
      </c>
      <c r="G180" s="4" t="n">
        <v>1.7</v>
      </c>
    </row>
    <row r="181" customFormat="false" ht="15" hidden="false" customHeight="false" outlineLevel="0" collapsed="false">
      <c r="A181" s="4" t="s">
        <v>471</v>
      </c>
      <c r="B181" s="4" t="n">
        <v>1</v>
      </c>
      <c r="C181" s="4" t="n">
        <v>3</v>
      </c>
      <c r="D181" s="4" t="n">
        <v>0.6</v>
      </c>
      <c r="E181" s="4" t="n">
        <v>6.95</v>
      </c>
      <c r="F181" s="4" t="n">
        <v>1.47</v>
      </c>
      <c r="G181" s="4" t="n">
        <v>1.65</v>
      </c>
    </row>
    <row r="182" customFormat="false" ht="15" hidden="false" customHeight="false" outlineLevel="0" collapsed="false">
      <c r="A182" s="4" t="s">
        <v>471</v>
      </c>
      <c r="B182" s="4" t="n">
        <v>3</v>
      </c>
      <c r="C182" s="4" t="n">
        <v>1</v>
      </c>
      <c r="D182" s="4" t="n">
        <v>0.6</v>
      </c>
      <c r="E182" s="4" t="n">
        <v>6</v>
      </c>
      <c r="F182" s="4" t="n">
        <v>1.88</v>
      </c>
      <c r="G182" s="4" t="n">
        <v>1.88</v>
      </c>
    </row>
    <row r="183" customFormat="false" ht="15" hidden="false" customHeight="false" outlineLevel="0" collapsed="false">
      <c r="A183" s="4" t="s">
        <v>471</v>
      </c>
      <c r="B183" s="4" t="n">
        <v>3</v>
      </c>
      <c r="C183" s="4" t="n">
        <v>1</v>
      </c>
      <c r="D183" s="4" t="n">
        <v>0.6</v>
      </c>
      <c r="E183" s="4" t="n">
        <v>6.05</v>
      </c>
      <c r="F183" s="4" t="n">
        <v>1.37</v>
      </c>
      <c r="G183" s="4" t="n">
        <v>1.37</v>
      </c>
    </row>
    <row r="184" customFormat="false" ht="15" hidden="false" customHeight="false" outlineLevel="0" collapsed="false">
      <c r="A184" s="4" t="s">
        <v>471</v>
      </c>
      <c r="B184" s="4" t="n">
        <v>3</v>
      </c>
      <c r="C184" s="4" t="n">
        <v>1</v>
      </c>
      <c r="D184" s="4" t="n">
        <v>0.6</v>
      </c>
      <c r="E184" s="4" t="n">
        <v>6.1</v>
      </c>
      <c r="F184" s="4" t="n">
        <v>1.32</v>
      </c>
      <c r="G184" s="4" t="n">
        <v>1.32</v>
      </c>
    </row>
    <row r="185" customFormat="false" ht="15" hidden="false" customHeight="false" outlineLevel="0" collapsed="false">
      <c r="A185" s="4" t="s">
        <v>471</v>
      </c>
      <c r="B185" s="4" t="n">
        <v>3</v>
      </c>
      <c r="C185" s="4" t="n">
        <v>1</v>
      </c>
      <c r="D185" s="4" t="n">
        <v>0.6</v>
      </c>
      <c r="E185" s="4" t="n">
        <v>6.15</v>
      </c>
      <c r="F185" s="4" t="n">
        <v>1.23</v>
      </c>
      <c r="G185" s="4" t="n">
        <v>1.91</v>
      </c>
    </row>
    <row r="186" customFormat="false" ht="15" hidden="false" customHeight="false" outlineLevel="0" collapsed="false">
      <c r="A186" s="4" t="s">
        <v>471</v>
      </c>
      <c r="B186" s="4" t="n">
        <v>3</v>
      </c>
      <c r="C186" s="4" t="n">
        <v>1</v>
      </c>
      <c r="D186" s="4" t="n">
        <v>0.6</v>
      </c>
      <c r="E186" s="4" t="n">
        <v>6.2</v>
      </c>
      <c r="F186" s="4" t="n">
        <v>1.92</v>
      </c>
      <c r="G186" s="4" t="n">
        <v>1.92</v>
      </c>
    </row>
    <row r="187" customFormat="false" ht="15" hidden="false" customHeight="false" outlineLevel="0" collapsed="false">
      <c r="A187" s="4" t="s">
        <v>471</v>
      </c>
      <c r="B187" s="4" t="n">
        <v>3</v>
      </c>
      <c r="C187" s="4" t="n">
        <v>1</v>
      </c>
      <c r="D187" s="4" t="n">
        <v>0.6</v>
      </c>
      <c r="E187" s="4" t="n">
        <v>6.25</v>
      </c>
      <c r="F187" s="4" t="n">
        <v>1.87</v>
      </c>
      <c r="G187" s="4" t="n">
        <v>1.87</v>
      </c>
    </row>
    <row r="188" customFormat="false" ht="15" hidden="false" customHeight="false" outlineLevel="0" collapsed="false">
      <c r="A188" s="4" t="s">
        <v>471</v>
      </c>
      <c r="B188" s="4" t="n">
        <v>3</v>
      </c>
      <c r="C188" s="4" t="n">
        <v>1</v>
      </c>
      <c r="D188" s="4" t="n">
        <v>0.6</v>
      </c>
      <c r="E188" s="4" t="n">
        <v>6.3</v>
      </c>
      <c r="F188" s="4" t="n">
        <v>1.36</v>
      </c>
      <c r="G188" s="4" t="n">
        <v>1.36</v>
      </c>
    </row>
    <row r="189" customFormat="false" ht="15" hidden="false" customHeight="false" outlineLevel="0" collapsed="false">
      <c r="A189" s="4" t="s">
        <v>471</v>
      </c>
      <c r="B189" s="4" t="n">
        <v>3</v>
      </c>
      <c r="C189" s="4" t="n">
        <v>1</v>
      </c>
      <c r="D189" s="4" t="n">
        <v>0.6</v>
      </c>
      <c r="E189" s="4" t="n">
        <v>6.35</v>
      </c>
      <c r="F189" s="4" t="n">
        <v>1.31</v>
      </c>
      <c r="G189" s="4" t="n">
        <v>1.31</v>
      </c>
    </row>
    <row r="190" customFormat="false" ht="15" hidden="false" customHeight="false" outlineLevel="0" collapsed="false">
      <c r="A190" s="4" t="s">
        <v>471</v>
      </c>
      <c r="B190" s="4" t="n">
        <v>3</v>
      </c>
      <c r="C190" s="4" t="n">
        <v>1</v>
      </c>
      <c r="D190" s="4" t="n">
        <v>0.6</v>
      </c>
      <c r="E190" s="4" t="n">
        <v>6.4</v>
      </c>
      <c r="F190" s="4" t="n">
        <v>1.22</v>
      </c>
      <c r="G190" s="4" t="n">
        <v>1.9</v>
      </c>
    </row>
    <row r="191" customFormat="false" ht="15" hidden="false" customHeight="false" outlineLevel="0" collapsed="false">
      <c r="A191" s="4" t="s">
        <v>471</v>
      </c>
      <c r="B191" s="4" t="n">
        <v>3</v>
      </c>
      <c r="C191" s="4" t="n">
        <v>1</v>
      </c>
      <c r="D191" s="4" t="n">
        <v>0.6</v>
      </c>
      <c r="E191" s="4" t="n">
        <v>6.45</v>
      </c>
      <c r="F191" s="4" t="n">
        <v>1.91</v>
      </c>
      <c r="G191" s="4" t="n">
        <v>1.91</v>
      </c>
    </row>
    <row r="192" customFormat="false" ht="15" hidden="false" customHeight="false" outlineLevel="0" collapsed="false">
      <c r="A192" s="4" t="s">
        <v>471</v>
      </c>
      <c r="B192" s="4" t="n">
        <v>3</v>
      </c>
      <c r="C192" s="4" t="n">
        <v>1</v>
      </c>
      <c r="D192" s="4" t="n">
        <v>0.6</v>
      </c>
      <c r="E192" s="4" t="n">
        <v>6.5</v>
      </c>
      <c r="F192" s="4" t="n">
        <v>1.86</v>
      </c>
      <c r="G192" s="4" t="n">
        <v>1.86</v>
      </c>
    </row>
    <row r="193" customFormat="false" ht="15" hidden="false" customHeight="false" outlineLevel="0" collapsed="false">
      <c r="A193" s="4" t="s">
        <v>471</v>
      </c>
      <c r="B193" s="4" t="n">
        <v>3</v>
      </c>
      <c r="C193" s="4" t="n">
        <v>1</v>
      </c>
      <c r="D193" s="4" t="n">
        <v>0.6</v>
      </c>
      <c r="E193" s="4" t="n">
        <v>6.55</v>
      </c>
      <c r="F193" s="4" t="n">
        <v>1.35</v>
      </c>
      <c r="G193" s="4" t="n">
        <v>1.35</v>
      </c>
    </row>
    <row r="194" customFormat="false" ht="15" hidden="false" customHeight="false" outlineLevel="0" collapsed="false">
      <c r="A194" s="4" t="s">
        <v>471</v>
      </c>
      <c r="B194" s="4" t="n">
        <v>3</v>
      </c>
      <c r="C194" s="4" t="n">
        <v>1</v>
      </c>
      <c r="D194" s="4" t="n">
        <v>0.6</v>
      </c>
      <c r="E194" s="4" t="n">
        <v>6.6</v>
      </c>
      <c r="F194" s="4" t="n">
        <v>1.26</v>
      </c>
      <c r="G194" s="4" t="n">
        <v>1.94</v>
      </c>
    </row>
    <row r="195" customFormat="false" ht="15" hidden="false" customHeight="false" outlineLevel="0" collapsed="false">
      <c r="A195" s="4" t="s">
        <v>471</v>
      </c>
      <c r="B195" s="4" t="n">
        <v>3</v>
      </c>
      <c r="C195" s="4" t="n">
        <v>1</v>
      </c>
      <c r="D195" s="4" t="n">
        <v>0.6</v>
      </c>
      <c r="E195" s="4" t="n">
        <v>6.65</v>
      </c>
      <c r="F195" s="4" t="n">
        <v>1.21</v>
      </c>
      <c r="G195" s="4" t="n">
        <v>1.89</v>
      </c>
    </row>
    <row r="196" customFormat="false" ht="15" hidden="false" customHeight="false" outlineLevel="0" collapsed="false">
      <c r="A196" s="4" t="s">
        <v>471</v>
      </c>
      <c r="B196" s="4" t="n">
        <v>3</v>
      </c>
      <c r="C196" s="4" t="n">
        <v>1</v>
      </c>
      <c r="D196" s="4" t="n">
        <v>0.6</v>
      </c>
      <c r="E196" s="4" t="n">
        <v>6.7</v>
      </c>
      <c r="F196" s="4" t="n">
        <v>1.9</v>
      </c>
      <c r="G196" s="4" t="n">
        <v>1.9</v>
      </c>
    </row>
    <row r="197" customFormat="false" ht="15" hidden="false" customHeight="false" outlineLevel="0" collapsed="false">
      <c r="A197" s="4" t="s">
        <v>471</v>
      </c>
      <c r="B197" s="4" t="n">
        <v>3</v>
      </c>
      <c r="C197" s="4" t="n">
        <v>1</v>
      </c>
      <c r="D197" s="4" t="n">
        <v>0.6</v>
      </c>
      <c r="E197" s="4" t="n">
        <v>6.75</v>
      </c>
      <c r="F197" s="4" t="n">
        <v>1.85</v>
      </c>
      <c r="G197" s="4" t="n">
        <v>1.85</v>
      </c>
    </row>
    <row r="198" customFormat="false" ht="15" hidden="false" customHeight="false" outlineLevel="0" collapsed="false">
      <c r="A198" s="4" t="s">
        <v>471</v>
      </c>
      <c r="B198" s="4" t="n">
        <v>3</v>
      </c>
      <c r="C198" s="4" t="n">
        <v>1</v>
      </c>
      <c r="D198" s="4" t="n">
        <v>0.6</v>
      </c>
      <c r="E198" s="4" t="n">
        <v>6.8</v>
      </c>
      <c r="F198" s="4" t="n">
        <v>1.34</v>
      </c>
      <c r="G198" s="4" t="n">
        <v>1.34</v>
      </c>
    </row>
    <row r="199" customFormat="false" ht="15" hidden="false" customHeight="false" outlineLevel="0" collapsed="false">
      <c r="A199" s="4" t="s">
        <v>471</v>
      </c>
      <c r="B199" s="4" t="n">
        <v>3</v>
      </c>
      <c r="C199" s="4" t="n">
        <v>1</v>
      </c>
      <c r="D199" s="4" t="n">
        <v>0.6</v>
      </c>
      <c r="E199" s="4" t="n">
        <v>6.85</v>
      </c>
      <c r="F199" s="4" t="n">
        <v>1.25</v>
      </c>
      <c r="G199" s="4" t="n">
        <v>1.93</v>
      </c>
    </row>
    <row r="200" customFormat="false" ht="15" hidden="false" customHeight="false" outlineLevel="0" collapsed="false">
      <c r="A200" s="4" t="s">
        <v>471</v>
      </c>
      <c r="B200" s="4" t="n">
        <v>3</v>
      </c>
      <c r="C200" s="4" t="n">
        <v>1</v>
      </c>
      <c r="D200" s="4" t="n">
        <v>0.6</v>
      </c>
      <c r="E200" s="4" t="n">
        <v>6.9</v>
      </c>
      <c r="F200" s="4" t="n">
        <v>1.2</v>
      </c>
      <c r="G200" s="4" t="n">
        <v>1.88</v>
      </c>
    </row>
    <row r="201" customFormat="false" ht="15" hidden="false" customHeight="false" outlineLevel="0" collapsed="false">
      <c r="A201" s="4" t="s">
        <v>471</v>
      </c>
      <c r="B201" s="4" t="n">
        <v>3</v>
      </c>
      <c r="C201" s="4" t="n">
        <v>1</v>
      </c>
      <c r="D201" s="4" t="n">
        <v>0.6</v>
      </c>
      <c r="E201" s="4" t="n">
        <v>6.95</v>
      </c>
      <c r="F201" s="4" t="n">
        <v>1.89</v>
      </c>
      <c r="G201" s="4" t="n">
        <v>1.89</v>
      </c>
    </row>
    <row r="202" customFormat="false" ht="15" hidden="false" customHeight="false" outlineLevel="0" collapsed="false">
      <c r="A202" s="4" t="s">
        <v>471</v>
      </c>
      <c r="B202" s="4" t="n">
        <v>1</v>
      </c>
      <c r="C202" s="4" t="n">
        <v>2</v>
      </c>
      <c r="D202" s="4" t="n">
        <v>0.6</v>
      </c>
      <c r="E202" s="4" t="n">
        <v>6</v>
      </c>
      <c r="F202" s="4" t="n">
        <v>0.64</v>
      </c>
      <c r="G202" s="4" t="n">
        <v>1.32</v>
      </c>
    </row>
    <row r="203" customFormat="false" ht="15" hidden="false" customHeight="false" outlineLevel="0" collapsed="false">
      <c r="A203" s="4" t="s">
        <v>471</v>
      </c>
      <c r="B203" s="4" t="n">
        <v>1</v>
      </c>
      <c r="C203" s="4" t="n">
        <v>2</v>
      </c>
      <c r="D203" s="4" t="n">
        <v>0.6</v>
      </c>
      <c r="E203" s="4" t="n">
        <v>6.05</v>
      </c>
      <c r="F203" s="4" t="n">
        <v>0.59</v>
      </c>
      <c r="G203" s="4" t="n">
        <v>1.27</v>
      </c>
    </row>
    <row r="204" customFormat="false" ht="15" hidden="false" customHeight="false" outlineLevel="0" collapsed="false">
      <c r="A204" s="4" t="s">
        <v>471</v>
      </c>
      <c r="B204" s="4" t="n">
        <v>1</v>
      </c>
      <c r="C204" s="4" t="n">
        <v>2</v>
      </c>
      <c r="D204" s="4" t="n">
        <v>0.6</v>
      </c>
      <c r="E204" s="4" t="n">
        <v>6.1</v>
      </c>
      <c r="F204" s="4" t="n">
        <v>0.54</v>
      </c>
      <c r="G204" s="4" t="n">
        <v>1.22</v>
      </c>
    </row>
    <row r="205" customFormat="false" ht="15" hidden="false" customHeight="false" outlineLevel="0" collapsed="false">
      <c r="A205" s="4" t="s">
        <v>471</v>
      </c>
      <c r="B205" s="4" t="n">
        <v>1</v>
      </c>
      <c r="C205" s="4" t="n">
        <v>2</v>
      </c>
      <c r="D205" s="4" t="n">
        <v>0.6</v>
      </c>
      <c r="E205" s="4" t="n">
        <v>6.15</v>
      </c>
      <c r="F205" s="4" t="n">
        <v>0.49</v>
      </c>
      <c r="G205" s="4" t="n">
        <v>1.17</v>
      </c>
    </row>
    <row r="206" customFormat="false" ht="15" hidden="false" customHeight="false" outlineLevel="0" collapsed="false">
      <c r="A206" s="4" t="s">
        <v>471</v>
      </c>
      <c r="B206" s="4" t="n">
        <v>1</v>
      </c>
      <c r="C206" s="4" t="n">
        <v>2</v>
      </c>
      <c r="D206" s="4" t="n">
        <v>0.6</v>
      </c>
      <c r="E206" s="4" t="n">
        <v>6.2</v>
      </c>
      <c r="F206" s="4" t="n">
        <v>1.08</v>
      </c>
      <c r="G206" s="4" t="n">
        <v>1.5</v>
      </c>
    </row>
    <row r="207" customFormat="false" ht="15" hidden="false" customHeight="false" outlineLevel="0" collapsed="false">
      <c r="A207" s="4" t="s">
        <v>471</v>
      </c>
      <c r="B207" s="4" t="n">
        <v>1</v>
      </c>
      <c r="C207" s="4" t="n">
        <v>2</v>
      </c>
      <c r="D207" s="4" t="n">
        <v>0.6</v>
      </c>
      <c r="E207" s="4" t="n">
        <v>6.25</v>
      </c>
      <c r="F207" s="4" t="n">
        <v>0.63</v>
      </c>
      <c r="G207" s="4" t="n">
        <v>1.31</v>
      </c>
    </row>
    <row r="208" customFormat="false" ht="15" hidden="false" customHeight="false" outlineLevel="0" collapsed="false">
      <c r="A208" s="4" t="s">
        <v>471</v>
      </c>
      <c r="B208" s="4" t="n">
        <v>1</v>
      </c>
      <c r="C208" s="4" t="n">
        <v>2</v>
      </c>
      <c r="D208" s="4" t="n">
        <v>0.6</v>
      </c>
      <c r="E208" s="4" t="n">
        <v>6.3</v>
      </c>
      <c r="F208" s="4" t="n">
        <v>0.58</v>
      </c>
      <c r="G208" s="4" t="n">
        <v>1.26</v>
      </c>
    </row>
    <row r="209" customFormat="false" ht="15" hidden="false" customHeight="false" outlineLevel="0" collapsed="false">
      <c r="A209" s="4" t="s">
        <v>471</v>
      </c>
      <c r="B209" s="4" t="n">
        <v>1</v>
      </c>
      <c r="C209" s="4" t="n">
        <v>2</v>
      </c>
      <c r="D209" s="4" t="n">
        <v>0.6</v>
      </c>
      <c r="E209" s="4" t="n">
        <v>6.35</v>
      </c>
      <c r="F209" s="4" t="n">
        <v>0.53</v>
      </c>
      <c r="G209" s="4" t="n">
        <v>1.21</v>
      </c>
    </row>
    <row r="210" customFormat="false" ht="15" hidden="false" customHeight="false" outlineLevel="0" collapsed="false">
      <c r="A210" s="4" t="s">
        <v>471</v>
      </c>
      <c r="B210" s="4" t="n">
        <v>1</v>
      </c>
      <c r="C210" s="4" t="n">
        <v>2</v>
      </c>
      <c r="D210" s="4" t="n">
        <v>0.6</v>
      </c>
      <c r="E210" s="4" t="n">
        <v>6.4</v>
      </c>
      <c r="F210" s="4" t="n">
        <v>1.12</v>
      </c>
      <c r="G210" s="4" t="n">
        <v>1.54</v>
      </c>
    </row>
    <row r="211" customFormat="false" ht="15" hidden="false" customHeight="false" outlineLevel="0" collapsed="false">
      <c r="A211" s="4" t="s">
        <v>471</v>
      </c>
      <c r="B211" s="4" t="n">
        <v>1</v>
      </c>
      <c r="C211" s="4" t="n">
        <v>2</v>
      </c>
      <c r="D211" s="4" t="n">
        <v>0.6</v>
      </c>
      <c r="E211" s="4" t="n">
        <v>6.45</v>
      </c>
      <c r="F211" s="4" t="n">
        <v>1.07</v>
      </c>
      <c r="G211" s="4" t="n">
        <v>1.49</v>
      </c>
    </row>
    <row r="212" customFormat="false" ht="15" hidden="false" customHeight="false" outlineLevel="0" collapsed="false">
      <c r="A212" s="4" t="s">
        <v>471</v>
      </c>
      <c r="B212" s="4" t="n">
        <v>1</v>
      </c>
      <c r="C212" s="4" t="n">
        <v>2</v>
      </c>
      <c r="D212" s="4" t="n">
        <v>0.6</v>
      </c>
      <c r="E212" s="4" t="n">
        <v>6.5</v>
      </c>
      <c r="F212" s="4" t="n">
        <v>0.62</v>
      </c>
      <c r="G212" s="4" t="n">
        <v>1.3</v>
      </c>
    </row>
    <row r="213" customFormat="false" ht="15" hidden="false" customHeight="false" outlineLevel="0" collapsed="false">
      <c r="A213" s="4" t="s">
        <v>471</v>
      </c>
      <c r="B213" s="4" t="n">
        <v>1</v>
      </c>
      <c r="C213" s="4" t="n">
        <v>2</v>
      </c>
      <c r="D213" s="4" t="n">
        <v>0.6</v>
      </c>
      <c r="E213" s="4" t="n">
        <v>6.55</v>
      </c>
      <c r="F213" s="4" t="n">
        <v>0.57</v>
      </c>
      <c r="G213" s="4" t="n">
        <v>1.25</v>
      </c>
    </row>
    <row r="214" customFormat="false" ht="15" hidden="false" customHeight="false" outlineLevel="0" collapsed="false">
      <c r="A214" s="4" t="s">
        <v>471</v>
      </c>
      <c r="B214" s="4" t="n">
        <v>1</v>
      </c>
      <c r="C214" s="4" t="n">
        <v>2</v>
      </c>
      <c r="D214" s="4" t="n">
        <v>0.6</v>
      </c>
      <c r="E214" s="4" t="n">
        <v>6.6</v>
      </c>
      <c r="F214" s="4" t="n">
        <v>0.52</v>
      </c>
      <c r="G214" s="4" t="n">
        <v>1.2</v>
      </c>
    </row>
    <row r="215" customFormat="false" ht="15" hidden="false" customHeight="false" outlineLevel="0" collapsed="false">
      <c r="A215" s="4" t="s">
        <v>471</v>
      </c>
      <c r="B215" s="4" t="n">
        <v>1</v>
      </c>
      <c r="C215" s="4" t="n">
        <v>2</v>
      </c>
      <c r="D215" s="4" t="n">
        <v>0.6</v>
      </c>
      <c r="E215" s="4" t="n">
        <v>6.65</v>
      </c>
      <c r="F215" s="4" t="n">
        <v>1.11</v>
      </c>
      <c r="G215" s="4" t="n">
        <v>1.53</v>
      </c>
    </row>
    <row r="216" customFormat="false" ht="15" hidden="false" customHeight="false" outlineLevel="0" collapsed="false">
      <c r="A216" s="4" t="s">
        <v>471</v>
      </c>
      <c r="B216" s="4" t="n">
        <v>1</v>
      </c>
      <c r="C216" s="4" t="n">
        <v>2</v>
      </c>
      <c r="D216" s="4" t="n">
        <v>0.6</v>
      </c>
      <c r="E216" s="4" t="n">
        <v>6.7</v>
      </c>
      <c r="F216" s="4" t="n">
        <v>1.06</v>
      </c>
      <c r="G216" s="4" t="n">
        <v>1.48</v>
      </c>
    </row>
    <row r="217" customFormat="false" ht="15" hidden="false" customHeight="false" outlineLevel="0" collapsed="false">
      <c r="A217" s="4" t="s">
        <v>471</v>
      </c>
      <c r="B217" s="4" t="n">
        <v>1</v>
      </c>
      <c r="C217" s="4" t="n">
        <v>2</v>
      </c>
      <c r="D217" s="4" t="n">
        <v>0.6</v>
      </c>
      <c r="E217" s="4" t="n">
        <v>6.75</v>
      </c>
      <c r="F217" s="4" t="n">
        <v>0.61</v>
      </c>
      <c r="G217" s="4" t="n">
        <v>1.29</v>
      </c>
    </row>
    <row r="218" customFormat="false" ht="15" hidden="false" customHeight="false" outlineLevel="0" collapsed="false">
      <c r="A218" s="4" t="s">
        <v>471</v>
      </c>
      <c r="B218" s="4" t="n">
        <v>1</v>
      </c>
      <c r="C218" s="4" t="n">
        <v>2</v>
      </c>
      <c r="D218" s="4" t="n">
        <v>0.6</v>
      </c>
      <c r="E218" s="4" t="n">
        <v>6.8</v>
      </c>
      <c r="F218" s="4" t="n">
        <v>0.56</v>
      </c>
      <c r="G218" s="4" t="n">
        <v>1.24</v>
      </c>
    </row>
    <row r="219" customFormat="false" ht="15" hidden="false" customHeight="false" outlineLevel="0" collapsed="false">
      <c r="A219" s="4" t="s">
        <v>471</v>
      </c>
      <c r="B219" s="4" t="n">
        <v>1</v>
      </c>
      <c r="C219" s="4" t="n">
        <v>2</v>
      </c>
      <c r="D219" s="4" t="n">
        <v>0.6</v>
      </c>
      <c r="E219" s="4" t="n">
        <v>6.85</v>
      </c>
      <c r="F219" s="4" t="n">
        <v>0.51</v>
      </c>
      <c r="G219" s="4" t="n">
        <v>1.19</v>
      </c>
    </row>
    <row r="220" customFormat="false" ht="15" hidden="false" customHeight="false" outlineLevel="0" collapsed="false">
      <c r="A220" s="4" t="s">
        <v>471</v>
      </c>
      <c r="B220" s="4" t="n">
        <v>1</v>
      </c>
      <c r="C220" s="4" t="n">
        <v>2</v>
      </c>
      <c r="D220" s="4" t="n">
        <v>0.6</v>
      </c>
      <c r="E220" s="4" t="n">
        <v>6.9</v>
      </c>
      <c r="F220" s="4" t="n">
        <v>1.1</v>
      </c>
      <c r="G220" s="4" t="n">
        <v>1.52</v>
      </c>
    </row>
    <row r="221" customFormat="false" ht="15" hidden="false" customHeight="false" outlineLevel="0" collapsed="false">
      <c r="A221" s="4" t="s">
        <v>471</v>
      </c>
      <c r="B221" s="4" t="n">
        <v>1</v>
      </c>
      <c r="C221" s="4" t="n">
        <v>2</v>
      </c>
      <c r="D221" s="4" t="n">
        <v>0.6</v>
      </c>
      <c r="E221" s="4" t="n">
        <v>6.95</v>
      </c>
      <c r="F221" s="4" t="n">
        <v>1.05</v>
      </c>
      <c r="G221" s="4" t="n">
        <v>1.47</v>
      </c>
    </row>
    <row r="222" customFormat="false" ht="15" hidden="false" customHeight="false" outlineLevel="0" collapsed="false">
      <c r="A222" s="4" t="s">
        <v>471</v>
      </c>
      <c r="B222" s="4" t="n">
        <v>2</v>
      </c>
      <c r="C222" s="4" t="n">
        <v>3</v>
      </c>
      <c r="D222" s="4" t="n">
        <v>0.6</v>
      </c>
      <c r="E222" s="4" t="n">
        <v>6</v>
      </c>
      <c r="F222" s="4" t="n">
        <v>0.58</v>
      </c>
      <c r="G222" s="4" t="n">
        <v>1.26</v>
      </c>
    </row>
    <row r="223" customFormat="false" ht="15" hidden="false" customHeight="false" outlineLevel="0" collapsed="false">
      <c r="A223" s="4" t="s">
        <v>471</v>
      </c>
      <c r="B223" s="4" t="n">
        <v>2</v>
      </c>
      <c r="C223" s="4" t="n">
        <v>3</v>
      </c>
      <c r="D223" s="4" t="n">
        <v>0.6</v>
      </c>
      <c r="E223" s="4" t="n">
        <v>6.05</v>
      </c>
      <c r="F223" s="4" t="n">
        <v>0.61</v>
      </c>
      <c r="G223" s="4" t="n">
        <v>1.29</v>
      </c>
    </row>
    <row r="224" customFormat="false" ht="15" hidden="false" customHeight="false" outlineLevel="0" collapsed="false">
      <c r="A224" s="4" t="s">
        <v>471</v>
      </c>
      <c r="B224" s="4" t="n">
        <v>2</v>
      </c>
      <c r="C224" s="4" t="n">
        <v>3</v>
      </c>
      <c r="D224" s="4" t="n">
        <v>0.6</v>
      </c>
      <c r="E224" s="4" t="n">
        <v>6.1</v>
      </c>
      <c r="F224" s="4" t="n">
        <v>1.82</v>
      </c>
      <c r="G224" s="4" t="n">
        <v>1.82</v>
      </c>
    </row>
    <row r="225" customFormat="false" ht="15" hidden="false" customHeight="false" outlineLevel="0" collapsed="false">
      <c r="A225" s="4" t="s">
        <v>471</v>
      </c>
      <c r="B225" s="4" t="n">
        <v>2</v>
      </c>
      <c r="C225" s="4" t="n">
        <v>3</v>
      </c>
      <c r="D225" s="4" t="n">
        <v>0.6</v>
      </c>
      <c r="E225" s="4" t="n">
        <v>6.15</v>
      </c>
      <c r="F225" s="4" t="n">
        <v>1.77</v>
      </c>
      <c r="G225" s="4" t="n">
        <v>1.77</v>
      </c>
    </row>
    <row r="226" customFormat="false" ht="15" hidden="false" customHeight="false" outlineLevel="0" collapsed="false">
      <c r="A226" s="4" t="s">
        <v>471</v>
      </c>
      <c r="B226" s="4" t="n">
        <v>2</v>
      </c>
      <c r="C226" s="4" t="n">
        <v>3</v>
      </c>
      <c r="D226" s="4" t="n">
        <v>0.6</v>
      </c>
      <c r="E226" s="4" t="n">
        <v>6.2</v>
      </c>
      <c r="F226" s="4" t="n">
        <v>0.62</v>
      </c>
      <c r="G226" s="4" t="n">
        <v>1.3</v>
      </c>
    </row>
    <row r="227" customFormat="false" ht="15" hidden="false" customHeight="false" outlineLevel="0" collapsed="false">
      <c r="A227" s="4" t="s">
        <v>471</v>
      </c>
      <c r="B227" s="4" t="n">
        <v>2</v>
      </c>
      <c r="C227" s="4" t="n">
        <v>3</v>
      </c>
      <c r="D227" s="4" t="n">
        <v>0.6</v>
      </c>
      <c r="E227" s="4" t="n">
        <v>6.25</v>
      </c>
      <c r="F227" s="4" t="n">
        <v>0.57</v>
      </c>
      <c r="G227" s="4" t="n">
        <v>1.25</v>
      </c>
    </row>
    <row r="228" customFormat="false" ht="15" hidden="false" customHeight="false" outlineLevel="0" collapsed="false">
      <c r="A228" s="4" t="s">
        <v>471</v>
      </c>
      <c r="B228" s="4" t="n">
        <v>2</v>
      </c>
      <c r="C228" s="4" t="n">
        <v>3</v>
      </c>
      <c r="D228" s="4" t="n">
        <v>0.6</v>
      </c>
      <c r="E228" s="4" t="n">
        <v>6.3</v>
      </c>
      <c r="F228" s="4" t="n">
        <v>0.6</v>
      </c>
      <c r="G228" s="4" t="n">
        <v>1.28</v>
      </c>
    </row>
    <row r="229" customFormat="false" ht="15" hidden="false" customHeight="false" outlineLevel="0" collapsed="false">
      <c r="A229" s="4" t="s">
        <v>471</v>
      </c>
      <c r="B229" s="4" t="n">
        <v>2</v>
      </c>
      <c r="C229" s="4" t="n">
        <v>3</v>
      </c>
      <c r="D229" s="4" t="n">
        <v>0.6</v>
      </c>
      <c r="E229" s="4" t="n">
        <v>6.35</v>
      </c>
      <c r="F229" s="4" t="n">
        <v>1.81</v>
      </c>
      <c r="G229" s="4" t="n">
        <v>1.81</v>
      </c>
    </row>
    <row r="230" customFormat="false" ht="15" hidden="false" customHeight="false" outlineLevel="0" collapsed="false">
      <c r="A230" s="4" t="s">
        <v>471</v>
      </c>
      <c r="B230" s="4" t="n">
        <v>2</v>
      </c>
      <c r="C230" s="4" t="n">
        <v>3</v>
      </c>
      <c r="D230" s="4" t="n">
        <v>0.6</v>
      </c>
      <c r="E230" s="4" t="n">
        <v>6.4</v>
      </c>
      <c r="F230" s="4" t="n">
        <v>1.76</v>
      </c>
      <c r="G230" s="4" t="n">
        <v>1.76</v>
      </c>
    </row>
    <row r="231" customFormat="false" ht="15" hidden="false" customHeight="false" outlineLevel="0" collapsed="false">
      <c r="A231" s="4" t="s">
        <v>471</v>
      </c>
      <c r="B231" s="4" t="n">
        <v>2</v>
      </c>
      <c r="C231" s="4" t="n">
        <v>3</v>
      </c>
      <c r="D231" s="4" t="n">
        <v>0.6</v>
      </c>
      <c r="E231" s="4" t="n">
        <v>6.45</v>
      </c>
      <c r="F231" s="4" t="n">
        <v>0.61</v>
      </c>
      <c r="G231" s="4" t="n">
        <v>1.29</v>
      </c>
    </row>
    <row r="232" customFormat="false" ht="15" hidden="false" customHeight="false" outlineLevel="0" collapsed="false">
      <c r="A232" s="4" t="s">
        <v>471</v>
      </c>
      <c r="B232" s="4" t="n">
        <v>2</v>
      </c>
      <c r="C232" s="4" t="n">
        <v>3</v>
      </c>
      <c r="D232" s="4" t="n">
        <v>0.6</v>
      </c>
      <c r="E232" s="4" t="n">
        <v>6.5</v>
      </c>
      <c r="F232" s="4" t="n">
        <v>0.64</v>
      </c>
      <c r="G232" s="4" t="n">
        <v>1.32</v>
      </c>
    </row>
    <row r="233" customFormat="false" ht="15" hidden="false" customHeight="false" outlineLevel="0" collapsed="false">
      <c r="A233" s="4" t="s">
        <v>471</v>
      </c>
      <c r="B233" s="4" t="n">
        <v>2</v>
      </c>
      <c r="C233" s="4" t="n">
        <v>3</v>
      </c>
      <c r="D233" s="4" t="n">
        <v>0.6</v>
      </c>
      <c r="E233" s="4" t="n">
        <v>6.55</v>
      </c>
      <c r="F233" s="4" t="n">
        <v>0.59</v>
      </c>
      <c r="G233" s="4" t="n">
        <v>1.27</v>
      </c>
    </row>
    <row r="234" customFormat="false" ht="15" hidden="false" customHeight="false" outlineLevel="0" collapsed="false">
      <c r="A234" s="4" t="s">
        <v>471</v>
      </c>
      <c r="B234" s="4" t="n">
        <v>2</v>
      </c>
      <c r="C234" s="4" t="n">
        <v>3</v>
      </c>
      <c r="D234" s="4" t="n">
        <v>0.6</v>
      </c>
      <c r="E234" s="4" t="n">
        <v>6.6</v>
      </c>
      <c r="F234" s="4" t="n">
        <v>1.8</v>
      </c>
      <c r="G234" s="4" t="n">
        <v>1.8</v>
      </c>
    </row>
    <row r="235" customFormat="false" ht="15" hidden="false" customHeight="false" outlineLevel="0" collapsed="false">
      <c r="A235" s="4" t="s">
        <v>471</v>
      </c>
      <c r="B235" s="4" t="n">
        <v>2</v>
      </c>
      <c r="C235" s="4" t="n">
        <v>3</v>
      </c>
      <c r="D235" s="4" t="n">
        <v>0.6</v>
      </c>
      <c r="E235" s="4" t="n">
        <v>6.65</v>
      </c>
      <c r="F235" s="4" t="n">
        <v>1.75</v>
      </c>
      <c r="G235" s="4" t="n">
        <v>1.75</v>
      </c>
    </row>
    <row r="236" customFormat="false" ht="15" hidden="false" customHeight="false" outlineLevel="0" collapsed="false">
      <c r="A236" s="4" t="s">
        <v>471</v>
      </c>
      <c r="B236" s="4" t="n">
        <v>2</v>
      </c>
      <c r="C236" s="4" t="n">
        <v>3</v>
      </c>
      <c r="D236" s="4" t="n">
        <v>0.6</v>
      </c>
      <c r="E236" s="4" t="n">
        <v>6.7</v>
      </c>
      <c r="F236" s="4" t="n">
        <v>0.6</v>
      </c>
      <c r="G236" s="4" t="n">
        <v>1.28</v>
      </c>
    </row>
    <row r="237" customFormat="false" ht="15" hidden="false" customHeight="false" outlineLevel="0" collapsed="false">
      <c r="A237" s="4" t="s">
        <v>471</v>
      </c>
      <c r="B237" s="4" t="n">
        <v>2</v>
      </c>
      <c r="C237" s="4" t="n">
        <v>3</v>
      </c>
      <c r="D237" s="4" t="n">
        <v>0.6</v>
      </c>
      <c r="E237" s="4" t="n">
        <v>6.75</v>
      </c>
      <c r="F237" s="4" t="n">
        <v>0.63</v>
      </c>
      <c r="G237" s="4" t="n">
        <v>1.31</v>
      </c>
    </row>
    <row r="238" customFormat="false" ht="15" hidden="false" customHeight="false" outlineLevel="0" collapsed="false">
      <c r="A238" s="4" t="s">
        <v>471</v>
      </c>
      <c r="B238" s="4" t="n">
        <v>2</v>
      </c>
      <c r="C238" s="4" t="n">
        <v>3</v>
      </c>
      <c r="D238" s="4" t="n">
        <v>0.6</v>
      </c>
      <c r="E238" s="4" t="n">
        <v>6.8</v>
      </c>
      <c r="F238" s="4" t="n">
        <v>0.58</v>
      </c>
      <c r="G238" s="4" t="n">
        <v>1.26</v>
      </c>
    </row>
    <row r="239" customFormat="false" ht="15" hidden="false" customHeight="false" outlineLevel="0" collapsed="false">
      <c r="A239" s="4" t="s">
        <v>471</v>
      </c>
      <c r="B239" s="4" t="n">
        <v>2</v>
      </c>
      <c r="C239" s="4" t="n">
        <v>3</v>
      </c>
      <c r="D239" s="4" t="n">
        <v>0.6</v>
      </c>
      <c r="E239" s="4" t="n">
        <v>6.85</v>
      </c>
      <c r="F239" s="4" t="n">
        <v>1.79</v>
      </c>
      <c r="G239" s="4" t="n">
        <v>1.79</v>
      </c>
    </row>
    <row r="240" customFormat="false" ht="15" hidden="false" customHeight="false" outlineLevel="0" collapsed="false">
      <c r="A240" s="4" t="s">
        <v>471</v>
      </c>
      <c r="B240" s="4" t="n">
        <v>2</v>
      </c>
      <c r="C240" s="4" t="n">
        <v>3</v>
      </c>
      <c r="D240" s="4" t="n">
        <v>0.6</v>
      </c>
      <c r="E240" s="4" t="n">
        <v>6.9</v>
      </c>
      <c r="F240" s="4" t="n">
        <v>0.64</v>
      </c>
      <c r="G240" s="4" t="n">
        <v>1.32</v>
      </c>
    </row>
    <row r="241" customFormat="false" ht="15" hidden="false" customHeight="false" outlineLevel="0" collapsed="false">
      <c r="A241" s="4" t="s">
        <v>471</v>
      </c>
      <c r="B241" s="4" t="n">
        <v>2</v>
      </c>
      <c r="C241" s="4" t="n">
        <v>3</v>
      </c>
      <c r="D241" s="4" t="n">
        <v>0.6</v>
      </c>
      <c r="E241" s="4" t="n">
        <v>6.95</v>
      </c>
      <c r="F241" s="4" t="n">
        <v>0.59</v>
      </c>
      <c r="G241" s="4" t="n">
        <v>1.27</v>
      </c>
    </row>
    <row r="242" customFormat="false" ht="15" hidden="false" customHeight="false" outlineLevel="0" collapsed="false">
      <c r="A242" s="4" t="s">
        <v>471</v>
      </c>
      <c r="B242" s="4" t="n">
        <v>2</v>
      </c>
      <c r="C242" s="4" t="n">
        <v>1</v>
      </c>
      <c r="D242" s="4" t="n">
        <v>0.6</v>
      </c>
      <c r="E242" s="4" t="n">
        <v>6</v>
      </c>
      <c r="F242" s="4" t="n">
        <v>1.18</v>
      </c>
      <c r="G242" s="4" t="n">
        <v>1.18</v>
      </c>
    </row>
    <row r="243" customFormat="false" ht="15" hidden="false" customHeight="false" outlineLevel="0" collapsed="false">
      <c r="A243" s="4" t="s">
        <v>471</v>
      </c>
      <c r="B243" s="4" t="n">
        <v>2</v>
      </c>
      <c r="C243" s="4" t="n">
        <v>1</v>
      </c>
      <c r="D243" s="4" t="n">
        <v>0.6</v>
      </c>
      <c r="E243" s="4" t="n">
        <v>6.05</v>
      </c>
      <c r="F243" s="4" t="n">
        <v>1.89</v>
      </c>
      <c r="G243" s="4" t="n">
        <v>1.89</v>
      </c>
    </row>
    <row r="244" customFormat="false" ht="15" hidden="false" customHeight="false" outlineLevel="0" collapsed="false">
      <c r="A244" s="4" t="s">
        <v>471</v>
      </c>
      <c r="B244" s="4" t="n">
        <v>2</v>
      </c>
      <c r="C244" s="4" t="n">
        <v>1</v>
      </c>
      <c r="D244" s="4" t="n">
        <v>0.6</v>
      </c>
      <c r="E244" s="4" t="n">
        <v>6.1</v>
      </c>
      <c r="F244" s="4" t="n">
        <v>0.64</v>
      </c>
      <c r="G244" s="4" t="n">
        <v>1.32</v>
      </c>
    </row>
    <row r="245" customFormat="false" ht="15" hidden="false" customHeight="false" outlineLevel="0" collapsed="false">
      <c r="A245" s="4" t="s">
        <v>471</v>
      </c>
      <c r="B245" s="4" t="n">
        <v>2</v>
      </c>
      <c r="C245" s="4" t="n">
        <v>1</v>
      </c>
      <c r="D245" s="4" t="n">
        <v>0.6</v>
      </c>
      <c r="E245" s="4" t="n">
        <v>6.15</v>
      </c>
      <c r="F245" s="4" t="n">
        <v>0.59</v>
      </c>
      <c r="G245" s="4" t="n">
        <v>1.27</v>
      </c>
    </row>
    <row r="246" customFormat="false" ht="15" hidden="false" customHeight="false" outlineLevel="0" collapsed="false">
      <c r="A246" s="4" t="s">
        <v>471</v>
      </c>
      <c r="B246" s="4" t="n">
        <v>2</v>
      </c>
      <c r="C246" s="4" t="n">
        <v>1</v>
      </c>
      <c r="D246" s="4" t="n">
        <v>0.6</v>
      </c>
      <c r="E246" s="4" t="n">
        <v>6.2</v>
      </c>
      <c r="F246" s="4" t="n">
        <v>1.22</v>
      </c>
      <c r="G246" s="4" t="n">
        <v>1.22</v>
      </c>
    </row>
    <row r="247" customFormat="false" ht="15" hidden="false" customHeight="false" outlineLevel="0" collapsed="false">
      <c r="A247" s="4" t="s">
        <v>471</v>
      </c>
      <c r="B247" s="4" t="n">
        <v>2</v>
      </c>
      <c r="C247" s="4" t="n">
        <v>1</v>
      </c>
      <c r="D247" s="4" t="n">
        <v>0.6</v>
      </c>
      <c r="E247" s="4" t="n">
        <v>6.25</v>
      </c>
      <c r="F247" s="4" t="n">
        <v>1.17</v>
      </c>
      <c r="G247" s="4" t="n">
        <v>1.17</v>
      </c>
    </row>
    <row r="248" customFormat="false" ht="15" hidden="false" customHeight="false" outlineLevel="0" collapsed="false">
      <c r="A248" s="4" t="s">
        <v>471</v>
      </c>
      <c r="B248" s="4" t="n">
        <v>2</v>
      </c>
      <c r="C248" s="4" t="n">
        <v>1</v>
      </c>
      <c r="D248" s="4" t="n">
        <v>0.6</v>
      </c>
      <c r="E248" s="4" t="n">
        <v>6.3</v>
      </c>
      <c r="F248" s="4" t="n">
        <v>1.88</v>
      </c>
      <c r="G248" s="4" t="n">
        <v>1.88</v>
      </c>
    </row>
    <row r="249" customFormat="false" ht="15" hidden="false" customHeight="false" outlineLevel="0" collapsed="false">
      <c r="A249" s="4" t="s">
        <v>471</v>
      </c>
      <c r="B249" s="4" t="n">
        <v>2</v>
      </c>
      <c r="C249" s="4" t="n">
        <v>1</v>
      </c>
      <c r="D249" s="4" t="n">
        <v>0.6</v>
      </c>
      <c r="E249" s="4" t="n">
        <v>6.35</v>
      </c>
      <c r="F249" s="4" t="n">
        <v>0.63</v>
      </c>
      <c r="G249" s="4" t="n">
        <v>1.31</v>
      </c>
    </row>
    <row r="250" customFormat="false" ht="15" hidden="false" customHeight="false" outlineLevel="0" collapsed="false">
      <c r="A250" s="4" t="s">
        <v>471</v>
      </c>
      <c r="B250" s="4" t="n">
        <v>2</v>
      </c>
      <c r="C250" s="4" t="n">
        <v>1</v>
      </c>
      <c r="D250" s="4" t="n">
        <v>0.6</v>
      </c>
      <c r="E250" s="4" t="n">
        <v>6.4</v>
      </c>
      <c r="F250" s="4" t="n">
        <v>0.58</v>
      </c>
      <c r="G250" s="4" t="n">
        <v>1.26</v>
      </c>
    </row>
    <row r="251" customFormat="false" ht="15" hidden="false" customHeight="false" outlineLevel="0" collapsed="false">
      <c r="A251" s="4" t="s">
        <v>471</v>
      </c>
      <c r="B251" s="4" t="n">
        <v>2</v>
      </c>
      <c r="C251" s="4" t="n">
        <v>1</v>
      </c>
      <c r="D251" s="4" t="n">
        <v>0.6</v>
      </c>
      <c r="E251" s="4" t="n">
        <v>6.45</v>
      </c>
      <c r="F251" s="4" t="n">
        <v>1.21</v>
      </c>
      <c r="G251" s="4" t="n">
        <v>1.21</v>
      </c>
    </row>
    <row r="252" customFormat="false" ht="15" hidden="false" customHeight="false" outlineLevel="0" collapsed="false">
      <c r="A252" s="4" t="s">
        <v>471</v>
      </c>
      <c r="B252" s="4" t="n">
        <v>2</v>
      </c>
      <c r="C252" s="4" t="n">
        <v>1</v>
      </c>
      <c r="D252" s="4" t="n">
        <v>0.6</v>
      </c>
      <c r="E252" s="4" t="n">
        <v>6.5</v>
      </c>
      <c r="F252" s="4" t="n">
        <v>1.92</v>
      </c>
      <c r="G252" s="4" t="n">
        <v>1.92</v>
      </c>
    </row>
    <row r="253" customFormat="false" ht="15" hidden="false" customHeight="false" outlineLevel="0" collapsed="false">
      <c r="A253" s="4" t="s">
        <v>471</v>
      </c>
      <c r="B253" s="4" t="n">
        <v>2</v>
      </c>
      <c r="C253" s="4" t="n">
        <v>1</v>
      </c>
      <c r="D253" s="4" t="n">
        <v>0.6</v>
      </c>
      <c r="E253" s="4" t="n">
        <v>6.55</v>
      </c>
      <c r="F253" s="4" t="n">
        <v>1.87</v>
      </c>
      <c r="G253" s="4" t="n">
        <v>1.87</v>
      </c>
    </row>
    <row r="254" customFormat="false" ht="15" hidden="false" customHeight="false" outlineLevel="0" collapsed="false">
      <c r="A254" s="4" t="s">
        <v>471</v>
      </c>
      <c r="B254" s="4" t="n">
        <v>2</v>
      </c>
      <c r="C254" s="4" t="n">
        <v>1</v>
      </c>
      <c r="D254" s="4" t="n">
        <v>0.6</v>
      </c>
      <c r="E254" s="4" t="n">
        <v>6.6</v>
      </c>
      <c r="F254" s="4" t="n">
        <v>0.62</v>
      </c>
      <c r="G254" s="4" t="n">
        <v>1.3</v>
      </c>
    </row>
    <row r="255" customFormat="false" ht="15" hidden="false" customHeight="false" outlineLevel="0" collapsed="false">
      <c r="A255" s="4" t="s">
        <v>471</v>
      </c>
      <c r="B255" s="4" t="n">
        <v>2</v>
      </c>
      <c r="C255" s="4" t="n">
        <v>1</v>
      </c>
      <c r="D255" s="4" t="n">
        <v>0.6</v>
      </c>
      <c r="E255" s="4" t="n">
        <v>6.65</v>
      </c>
      <c r="F255" s="4" t="n">
        <v>0.57</v>
      </c>
      <c r="G255" s="4" t="n">
        <v>1.25</v>
      </c>
    </row>
    <row r="256" customFormat="false" ht="15" hidden="false" customHeight="false" outlineLevel="0" collapsed="false">
      <c r="A256" s="4" t="s">
        <v>471</v>
      </c>
      <c r="B256" s="4" t="n">
        <v>2</v>
      </c>
      <c r="C256" s="4" t="n">
        <v>1</v>
      </c>
      <c r="D256" s="4" t="n">
        <v>0.6</v>
      </c>
      <c r="E256" s="4" t="n">
        <v>6.7</v>
      </c>
      <c r="F256" s="4" t="n">
        <v>1.2</v>
      </c>
      <c r="G256" s="4" t="n">
        <v>1.2</v>
      </c>
    </row>
    <row r="257" customFormat="false" ht="15" hidden="false" customHeight="false" outlineLevel="0" collapsed="false">
      <c r="A257" s="4" t="s">
        <v>471</v>
      </c>
      <c r="B257" s="4" t="n">
        <v>2</v>
      </c>
      <c r="C257" s="4" t="n">
        <v>1</v>
      </c>
      <c r="D257" s="4" t="n">
        <v>0.6</v>
      </c>
      <c r="E257" s="4" t="n">
        <v>6.75</v>
      </c>
      <c r="F257" s="4" t="n">
        <v>1.91</v>
      </c>
      <c r="G257" s="4" t="n">
        <v>1.91</v>
      </c>
    </row>
    <row r="258" customFormat="false" ht="15" hidden="false" customHeight="false" outlineLevel="0" collapsed="false">
      <c r="A258" s="4" t="s">
        <v>471</v>
      </c>
      <c r="B258" s="4" t="n">
        <v>2</v>
      </c>
      <c r="C258" s="4" t="n">
        <v>1</v>
      </c>
      <c r="D258" s="4" t="n">
        <v>0.6</v>
      </c>
      <c r="E258" s="4" t="n">
        <v>6.8</v>
      </c>
      <c r="F258" s="4" t="n">
        <v>1.86</v>
      </c>
      <c r="G258" s="4" t="n">
        <v>1.86</v>
      </c>
    </row>
    <row r="259" customFormat="false" ht="15" hidden="false" customHeight="false" outlineLevel="0" collapsed="false">
      <c r="A259" s="4" t="s">
        <v>471</v>
      </c>
      <c r="B259" s="4" t="n">
        <v>2</v>
      </c>
      <c r="C259" s="4" t="n">
        <v>1</v>
      </c>
      <c r="D259" s="4" t="n">
        <v>0.6</v>
      </c>
      <c r="E259" s="4" t="n">
        <v>6.85</v>
      </c>
      <c r="F259" s="4" t="n">
        <v>0.61</v>
      </c>
      <c r="G259" s="4" t="n">
        <v>1.29</v>
      </c>
    </row>
    <row r="260" customFormat="false" ht="15" hidden="false" customHeight="false" outlineLevel="0" collapsed="false">
      <c r="A260" s="4" t="s">
        <v>471</v>
      </c>
      <c r="B260" s="4" t="n">
        <v>2</v>
      </c>
      <c r="C260" s="4" t="n">
        <v>1</v>
      </c>
      <c r="D260" s="4" t="n">
        <v>0.6</v>
      </c>
      <c r="E260" s="4" t="n">
        <v>6.9</v>
      </c>
      <c r="F260" s="4" t="n">
        <v>1.24</v>
      </c>
      <c r="G260" s="4" t="n">
        <v>1.24</v>
      </c>
    </row>
    <row r="261" customFormat="false" ht="15" hidden="false" customHeight="false" outlineLevel="0" collapsed="false">
      <c r="A261" s="4" t="s">
        <v>471</v>
      </c>
      <c r="B261" s="4" t="n">
        <v>2</v>
      </c>
      <c r="C261" s="4" t="n">
        <v>1</v>
      </c>
      <c r="D261" s="4" t="n">
        <v>0.6</v>
      </c>
      <c r="E261" s="4" t="n">
        <v>6.95</v>
      </c>
      <c r="F261" s="4" t="n">
        <v>1.19</v>
      </c>
      <c r="G261" s="4" t="n">
        <v>1.19</v>
      </c>
    </row>
    <row r="262" customFormat="false" ht="15" hidden="false" customHeight="false" outlineLevel="0" collapsed="false">
      <c r="A262" s="4" t="s">
        <v>471</v>
      </c>
      <c r="B262" s="4" t="n">
        <v>3</v>
      </c>
      <c r="C262" s="4" t="n">
        <v>2</v>
      </c>
      <c r="D262" s="4" t="n">
        <v>0.6</v>
      </c>
      <c r="E262" s="4" t="n">
        <v>6</v>
      </c>
      <c r="F262" s="4" t="n">
        <v>0.6</v>
      </c>
      <c r="G262" s="4" t="n">
        <v>1.2</v>
      </c>
    </row>
    <row r="263" customFormat="false" ht="15" hidden="false" customHeight="false" outlineLevel="0" collapsed="false">
      <c r="A263" s="4" t="s">
        <v>471</v>
      </c>
      <c r="B263" s="4" t="n">
        <v>3</v>
      </c>
      <c r="C263" s="4" t="n">
        <v>2</v>
      </c>
      <c r="D263" s="4" t="n">
        <v>0.6</v>
      </c>
      <c r="E263" s="4" t="n">
        <v>6.05</v>
      </c>
      <c r="F263" s="4" t="n">
        <v>1.09</v>
      </c>
      <c r="G263" s="4" t="n">
        <v>1.17</v>
      </c>
    </row>
    <row r="264" customFormat="false" ht="15" hidden="false" customHeight="false" outlineLevel="0" collapsed="false">
      <c r="A264" s="4" t="s">
        <v>471</v>
      </c>
      <c r="B264" s="4" t="n">
        <v>3</v>
      </c>
      <c r="C264" s="4" t="n">
        <v>2</v>
      </c>
      <c r="D264" s="4" t="n">
        <v>0.6</v>
      </c>
      <c r="E264" s="4" t="n">
        <v>6.1</v>
      </c>
      <c r="F264" s="4" t="n">
        <v>1.04</v>
      </c>
      <c r="G264" s="4" t="n">
        <v>1.12</v>
      </c>
    </row>
    <row r="265" customFormat="false" ht="15" hidden="false" customHeight="false" outlineLevel="0" collapsed="false">
      <c r="A265" s="4" t="s">
        <v>471</v>
      </c>
      <c r="B265" s="4" t="n">
        <v>3</v>
      </c>
      <c r="C265" s="4" t="n">
        <v>2</v>
      </c>
      <c r="D265" s="4" t="n">
        <v>0.6</v>
      </c>
      <c r="E265" s="4" t="n">
        <v>6.15</v>
      </c>
      <c r="F265" s="4" t="n">
        <v>0.61</v>
      </c>
      <c r="G265" s="4" t="n">
        <v>1.29</v>
      </c>
    </row>
    <row r="266" customFormat="false" ht="15" hidden="false" customHeight="false" outlineLevel="0" collapsed="false">
      <c r="A266" s="4" t="s">
        <v>471</v>
      </c>
      <c r="B266" s="4" t="n">
        <v>3</v>
      </c>
      <c r="C266" s="4" t="n">
        <v>2</v>
      </c>
      <c r="D266" s="4" t="n">
        <v>0.6</v>
      </c>
      <c r="E266" s="4" t="n">
        <v>6.2</v>
      </c>
      <c r="F266" s="4" t="n">
        <v>0.64</v>
      </c>
      <c r="G266" s="4" t="n">
        <v>1.24</v>
      </c>
    </row>
    <row r="267" customFormat="false" ht="15" hidden="false" customHeight="false" outlineLevel="0" collapsed="false">
      <c r="A267" s="4" t="s">
        <v>471</v>
      </c>
      <c r="B267" s="4" t="n">
        <v>3</v>
      </c>
      <c r="C267" s="4" t="n">
        <v>2</v>
      </c>
      <c r="D267" s="4" t="n">
        <v>0.6</v>
      </c>
      <c r="E267" s="4" t="n">
        <v>6.25</v>
      </c>
      <c r="F267" s="4" t="n">
        <v>0.59</v>
      </c>
      <c r="G267" s="4" t="n">
        <v>1.19</v>
      </c>
    </row>
    <row r="268" customFormat="false" ht="15" hidden="false" customHeight="false" outlineLevel="0" collapsed="false">
      <c r="A268" s="4" t="s">
        <v>471</v>
      </c>
      <c r="B268" s="4" t="n">
        <v>3</v>
      </c>
      <c r="C268" s="4" t="n">
        <v>2</v>
      </c>
      <c r="D268" s="4" t="n">
        <v>0.6</v>
      </c>
      <c r="E268" s="4" t="n">
        <v>6.3</v>
      </c>
      <c r="F268" s="4" t="n">
        <v>1.08</v>
      </c>
      <c r="G268" s="4" t="n">
        <v>1.16</v>
      </c>
    </row>
    <row r="269" customFormat="false" ht="15" hidden="false" customHeight="false" outlineLevel="0" collapsed="false">
      <c r="A269" s="4" t="s">
        <v>471</v>
      </c>
      <c r="B269" s="4" t="n">
        <v>3</v>
      </c>
      <c r="C269" s="4" t="n">
        <v>2</v>
      </c>
      <c r="D269" s="4" t="n">
        <v>0.6</v>
      </c>
      <c r="E269" s="4" t="n">
        <v>6.35</v>
      </c>
      <c r="F269" s="4" t="n">
        <v>1.03</v>
      </c>
      <c r="G269" s="4" t="n">
        <v>1.11</v>
      </c>
    </row>
    <row r="270" customFormat="false" ht="15" hidden="false" customHeight="false" outlineLevel="0" collapsed="false">
      <c r="A270" s="4" t="s">
        <v>471</v>
      </c>
      <c r="B270" s="4" t="n">
        <v>3</v>
      </c>
      <c r="C270" s="4" t="n">
        <v>2</v>
      </c>
      <c r="D270" s="4" t="n">
        <v>0.6</v>
      </c>
      <c r="E270" s="4" t="n">
        <v>6.4</v>
      </c>
      <c r="F270" s="4" t="n">
        <v>0.6</v>
      </c>
      <c r="G270" s="4" t="n">
        <v>1.28</v>
      </c>
    </row>
    <row r="271" customFormat="false" ht="15" hidden="false" customHeight="false" outlineLevel="0" collapsed="false">
      <c r="A271" s="4" t="s">
        <v>471</v>
      </c>
      <c r="B271" s="4" t="n">
        <v>3</v>
      </c>
      <c r="C271" s="4" t="n">
        <v>2</v>
      </c>
      <c r="D271" s="4" t="n">
        <v>0.6</v>
      </c>
      <c r="E271" s="4" t="n">
        <v>6.45</v>
      </c>
      <c r="F271" s="4" t="n">
        <v>0.63</v>
      </c>
      <c r="G271" s="4" t="n">
        <v>1.23</v>
      </c>
    </row>
    <row r="272" customFormat="false" ht="15" hidden="false" customHeight="false" outlineLevel="0" collapsed="false">
      <c r="A272" s="4" t="s">
        <v>471</v>
      </c>
      <c r="B272" s="4" t="n">
        <v>3</v>
      </c>
      <c r="C272" s="4" t="n">
        <v>2</v>
      </c>
      <c r="D272" s="4" t="n">
        <v>0.6</v>
      </c>
      <c r="E272" s="4" t="n">
        <v>6.5</v>
      </c>
      <c r="F272" s="4" t="n">
        <v>0.58</v>
      </c>
      <c r="G272" s="4" t="n">
        <v>1.18</v>
      </c>
    </row>
    <row r="273" customFormat="false" ht="15" hidden="false" customHeight="false" outlineLevel="0" collapsed="false">
      <c r="A273" s="4" t="s">
        <v>471</v>
      </c>
      <c r="B273" s="4" t="n">
        <v>3</v>
      </c>
      <c r="C273" s="4" t="n">
        <v>2</v>
      </c>
      <c r="D273" s="4" t="n">
        <v>0.6</v>
      </c>
      <c r="E273" s="4" t="n">
        <v>6.55</v>
      </c>
      <c r="F273" s="4" t="n">
        <v>1.07</v>
      </c>
      <c r="G273" s="4" t="n">
        <v>1.15</v>
      </c>
    </row>
    <row r="274" customFormat="false" ht="15" hidden="false" customHeight="false" outlineLevel="0" collapsed="false">
      <c r="A274" s="4" t="s">
        <v>471</v>
      </c>
      <c r="B274" s="4" t="n">
        <v>3</v>
      </c>
      <c r="C274" s="4" t="n">
        <v>2</v>
      </c>
      <c r="D274" s="4" t="n">
        <v>0.6</v>
      </c>
      <c r="E274" s="4" t="n">
        <v>6.6</v>
      </c>
      <c r="F274" s="4" t="n">
        <v>0.64</v>
      </c>
      <c r="G274" s="4" t="n">
        <v>1.32</v>
      </c>
    </row>
    <row r="275" customFormat="false" ht="15" hidden="false" customHeight="false" outlineLevel="0" collapsed="false">
      <c r="A275" s="4" t="s">
        <v>471</v>
      </c>
      <c r="B275" s="4" t="n">
        <v>3</v>
      </c>
      <c r="C275" s="4" t="n">
        <v>2</v>
      </c>
      <c r="D275" s="4" t="n">
        <v>0.6</v>
      </c>
      <c r="E275" s="4" t="n">
        <v>6.65</v>
      </c>
      <c r="F275" s="4" t="n">
        <v>0.59</v>
      </c>
      <c r="G275" s="4" t="n">
        <v>1.27</v>
      </c>
    </row>
    <row r="276" customFormat="false" ht="15" hidden="false" customHeight="false" outlineLevel="0" collapsed="false">
      <c r="A276" s="4" t="s">
        <v>471</v>
      </c>
      <c r="B276" s="4" t="n">
        <v>3</v>
      </c>
      <c r="C276" s="4" t="n">
        <v>2</v>
      </c>
      <c r="D276" s="4" t="n">
        <v>0.6</v>
      </c>
      <c r="E276" s="4" t="n">
        <v>6.7</v>
      </c>
      <c r="F276" s="4" t="n">
        <v>0.62</v>
      </c>
      <c r="G276" s="4" t="n">
        <v>1.22</v>
      </c>
    </row>
    <row r="277" customFormat="false" ht="15" hidden="false" customHeight="false" outlineLevel="0" collapsed="false">
      <c r="A277" s="4" t="s">
        <v>471</v>
      </c>
      <c r="B277" s="4" t="n">
        <v>3</v>
      </c>
      <c r="C277" s="4" t="n">
        <v>2</v>
      </c>
      <c r="D277" s="4" t="n">
        <v>0.6</v>
      </c>
      <c r="E277" s="4" t="n">
        <v>6.75</v>
      </c>
      <c r="F277" s="4" t="n">
        <v>0.57</v>
      </c>
      <c r="G277" s="4" t="n">
        <v>1.17</v>
      </c>
    </row>
    <row r="278" customFormat="false" ht="15" hidden="false" customHeight="false" outlineLevel="0" collapsed="false">
      <c r="A278" s="4" t="s">
        <v>471</v>
      </c>
      <c r="B278" s="4" t="n">
        <v>3</v>
      </c>
      <c r="C278" s="4" t="n">
        <v>2</v>
      </c>
      <c r="D278" s="4" t="n">
        <v>0.6</v>
      </c>
      <c r="E278" s="4" t="n">
        <v>6.8</v>
      </c>
      <c r="F278" s="4" t="n">
        <v>1.06</v>
      </c>
      <c r="G278" s="4" t="n">
        <v>1.14</v>
      </c>
    </row>
    <row r="279" customFormat="false" ht="15" hidden="false" customHeight="false" outlineLevel="0" collapsed="false">
      <c r="A279" s="4" t="s">
        <v>471</v>
      </c>
      <c r="B279" s="4" t="n">
        <v>3</v>
      </c>
      <c r="C279" s="4" t="n">
        <v>2</v>
      </c>
      <c r="D279" s="4" t="n">
        <v>0.6</v>
      </c>
      <c r="E279" s="4" t="n">
        <v>6.85</v>
      </c>
      <c r="F279" s="4" t="n">
        <v>0.63</v>
      </c>
      <c r="G279" s="4" t="n">
        <v>1.31</v>
      </c>
    </row>
    <row r="280" customFormat="false" ht="15" hidden="false" customHeight="false" outlineLevel="0" collapsed="false">
      <c r="A280" s="4" t="s">
        <v>471</v>
      </c>
      <c r="B280" s="4" t="n">
        <v>3</v>
      </c>
      <c r="C280" s="4" t="n">
        <v>2</v>
      </c>
      <c r="D280" s="4" t="n">
        <v>0.6</v>
      </c>
      <c r="E280" s="4" t="n">
        <v>6.9</v>
      </c>
      <c r="F280" s="4" t="n">
        <v>0.58</v>
      </c>
      <c r="G280" s="4" t="n">
        <v>1.26</v>
      </c>
    </row>
    <row r="281" customFormat="false" ht="15" hidden="false" customHeight="false" outlineLevel="0" collapsed="false">
      <c r="A281" s="4" t="s">
        <v>471</v>
      </c>
      <c r="B281" s="4" t="n">
        <v>3</v>
      </c>
      <c r="C281" s="4" t="n">
        <v>2</v>
      </c>
      <c r="D281" s="4" t="n">
        <v>0.6</v>
      </c>
      <c r="E281" s="4" t="n">
        <v>6.95</v>
      </c>
      <c r="F281" s="4" t="n">
        <v>0.61</v>
      </c>
      <c r="G281" s="4" t="n">
        <v>1.21</v>
      </c>
    </row>
    <row r="282" customFormat="false" ht="15" hidden="false" customHeight="false" outlineLevel="0" collapsed="false">
      <c r="A282" s="4" t="s">
        <v>471</v>
      </c>
      <c r="B282" s="4" t="n">
        <v>1</v>
      </c>
      <c r="C282" s="4" t="n">
        <v>3</v>
      </c>
      <c r="D282" s="4" t="n">
        <v>1.2</v>
      </c>
      <c r="E282" s="4" t="n">
        <v>6</v>
      </c>
      <c r="F282" s="4" t="n">
        <v>1.48</v>
      </c>
      <c r="G282" s="4" t="n">
        <v>1.48</v>
      </c>
    </row>
    <row r="283" customFormat="false" ht="15" hidden="false" customHeight="false" outlineLevel="0" collapsed="false">
      <c r="A283" s="4" t="s">
        <v>471</v>
      </c>
      <c r="B283" s="4" t="n">
        <v>1</v>
      </c>
      <c r="C283" s="4" t="n">
        <v>3</v>
      </c>
      <c r="D283" s="4" t="n">
        <v>1.2</v>
      </c>
      <c r="E283" s="4" t="n">
        <v>6.05</v>
      </c>
      <c r="F283" s="4" t="n">
        <v>1.43</v>
      </c>
      <c r="G283" s="4" t="n">
        <v>1.43</v>
      </c>
    </row>
    <row r="284" customFormat="false" ht="15" hidden="false" customHeight="false" outlineLevel="0" collapsed="false">
      <c r="A284" s="4" t="s">
        <v>471</v>
      </c>
      <c r="B284" s="4" t="n">
        <v>1</v>
      </c>
      <c r="C284" s="4" t="n">
        <v>3</v>
      </c>
      <c r="D284" s="4" t="n">
        <v>1.2</v>
      </c>
      <c r="E284" s="4" t="n">
        <v>6.1</v>
      </c>
      <c r="F284" s="4" t="n">
        <v>1.38</v>
      </c>
      <c r="G284" s="4" t="n">
        <v>1.38</v>
      </c>
    </row>
    <row r="285" customFormat="false" ht="15" hidden="false" customHeight="false" outlineLevel="0" collapsed="false">
      <c r="A285" s="4" t="s">
        <v>471</v>
      </c>
      <c r="B285" s="4" t="n">
        <v>1</v>
      </c>
      <c r="C285" s="4" t="n">
        <v>3</v>
      </c>
      <c r="D285" s="4" t="n">
        <v>1.2</v>
      </c>
      <c r="E285" s="4" t="n">
        <v>6.15</v>
      </c>
      <c r="F285" s="4" t="n">
        <v>1.33</v>
      </c>
      <c r="G285" s="4" t="n">
        <v>1.33</v>
      </c>
    </row>
    <row r="286" customFormat="false" ht="15" hidden="false" customHeight="false" outlineLevel="0" collapsed="false">
      <c r="A286" s="4" t="s">
        <v>471</v>
      </c>
      <c r="B286" s="4" t="n">
        <v>1</v>
      </c>
      <c r="C286" s="4" t="n">
        <v>3</v>
      </c>
      <c r="D286" s="4" t="n">
        <v>1.2</v>
      </c>
      <c r="E286" s="4" t="n">
        <v>6.2</v>
      </c>
      <c r="F286" s="4" t="n">
        <v>1.64</v>
      </c>
      <c r="G286" s="4" t="n">
        <v>1.64</v>
      </c>
    </row>
    <row r="287" customFormat="false" ht="15" hidden="false" customHeight="false" outlineLevel="0" collapsed="false">
      <c r="A287" s="4" t="s">
        <v>471</v>
      </c>
      <c r="B287" s="4" t="n">
        <v>1</v>
      </c>
      <c r="C287" s="4" t="n">
        <v>3</v>
      </c>
      <c r="D287" s="4" t="n">
        <v>1.2</v>
      </c>
      <c r="E287" s="4" t="n">
        <v>6.25</v>
      </c>
      <c r="F287" s="4" t="n">
        <v>1.47</v>
      </c>
      <c r="G287" s="4" t="n">
        <v>1.47</v>
      </c>
    </row>
    <row r="288" customFormat="false" ht="15" hidden="false" customHeight="false" outlineLevel="0" collapsed="false">
      <c r="A288" s="4" t="s">
        <v>471</v>
      </c>
      <c r="B288" s="4" t="n">
        <v>1</v>
      </c>
      <c r="C288" s="4" t="n">
        <v>3</v>
      </c>
      <c r="D288" s="4" t="n">
        <v>1.2</v>
      </c>
      <c r="E288" s="4" t="n">
        <v>6.3</v>
      </c>
      <c r="F288" s="4" t="n">
        <v>1.42</v>
      </c>
      <c r="G288" s="4" t="n">
        <v>1.42</v>
      </c>
    </row>
    <row r="289" customFormat="false" ht="15" hidden="false" customHeight="false" outlineLevel="0" collapsed="false">
      <c r="A289" s="4" t="s">
        <v>471</v>
      </c>
      <c r="B289" s="4" t="n">
        <v>1</v>
      </c>
      <c r="C289" s="4" t="n">
        <v>3</v>
      </c>
      <c r="D289" s="4" t="n">
        <v>1.2</v>
      </c>
      <c r="E289" s="4" t="n">
        <v>6.35</v>
      </c>
      <c r="F289" s="4" t="n">
        <v>1.37</v>
      </c>
      <c r="G289" s="4" t="n">
        <v>1.37</v>
      </c>
    </row>
    <row r="290" customFormat="false" ht="15" hidden="false" customHeight="false" outlineLevel="0" collapsed="false">
      <c r="A290" s="4" t="s">
        <v>471</v>
      </c>
      <c r="B290" s="4" t="n">
        <v>1</v>
      </c>
      <c r="C290" s="4" t="n">
        <v>3</v>
      </c>
      <c r="D290" s="4" t="n">
        <v>1.2</v>
      </c>
      <c r="E290" s="4" t="n">
        <v>6.4</v>
      </c>
      <c r="F290" s="4" t="n">
        <v>1.68</v>
      </c>
      <c r="G290" s="4" t="n">
        <v>1.68</v>
      </c>
    </row>
    <row r="291" customFormat="false" ht="15" hidden="false" customHeight="false" outlineLevel="0" collapsed="false">
      <c r="A291" s="4" t="s">
        <v>471</v>
      </c>
      <c r="B291" s="4" t="n">
        <v>1</v>
      </c>
      <c r="C291" s="4" t="n">
        <v>3</v>
      </c>
      <c r="D291" s="4" t="n">
        <v>1.2</v>
      </c>
      <c r="E291" s="4" t="n">
        <v>6.45</v>
      </c>
      <c r="F291" s="4" t="n">
        <v>1.63</v>
      </c>
      <c r="G291" s="4" t="n">
        <v>1.63</v>
      </c>
    </row>
    <row r="292" customFormat="false" ht="15" hidden="false" customHeight="false" outlineLevel="0" collapsed="false">
      <c r="A292" s="4" t="s">
        <v>471</v>
      </c>
      <c r="B292" s="4" t="n">
        <v>1</v>
      </c>
      <c r="C292" s="4" t="n">
        <v>3</v>
      </c>
      <c r="D292" s="4" t="n">
        <v>1.2</v>
      </c>
      <c r="E292" s="4" t="n">
        <v>6.5</v>
      </c>
      <c r="F292" s="4" t="n">
        <v>1.46</v>
      </c>
      <c r="G292" s="4" t="n">
        <v>1.46</v>
      </c>
    </row>
    <row r="293" customFormat="false" ht="15" hidden="false" customHeight="false" outlineLevel="0" collapsed="false">
      <c r="A293" s="4" t="s">
        <v>471</v>
      </c>
      <c r="B293" s="4" t="n">
        <v>1</v>
      </c>
      <c r="C293" s="4" t="n">
        <v>3</v>
      </c>
      <c r="D293" s="4" t="n">
        <v>1.2</v>
      </c>
      <c r="E293" s="4" t="n">
        <v>6.55</v>
      </c>
      <c r="F293" s="4" t="n">
        <v>1.41</v>
      </c>
      <c r="G293" s="4" t="n">
        <v>1.41</v>
      </c>
    </row>
    <row r="294" customFormat="false" ht="15" hidden="false" customHeight="false" outlineLevel="0" collapsed="false">
      <c r="A294" s="4" t="s">
        <v>471</v>
      </c>
      <c r="B294" s="4" t="n">
        <v>1</v>
      </c>
      <c r="C294" s="4" t="n">
        <v>3</v>
      </c>
      <c r="D294" s="4" t="n">
        <v>1.2</v>
      </c>
      <c r="E294" s="4" t="n">
        <v>6.6</v>
      </c>
      <c r="F294" s="4" t="n">
        <v>1.36</v>
      </c>
      <c r="G294" s="4" t="n">
        <v>1.36</v>
      </c>
    </row>
    <row r="295" customFormat="false" ht="15" hidden="false" customHeight="false" outlineLevel="0" collapsed="false">
      <c r="A295" s="4" t="s">
        <v>471</v>
      </c>
      <c r="B295" s="4" t="n">
        <v>1</v>
      </c>
      <c r="C295" s="4" t="n">
        <v>3</v>
      </c>
      <c r="D295" s="4" t="n">
        <v>1.2</v>
      </c>
      <c r="E295" s="4" t="n">
        <v>6.65</v>
      </c>
      <c r="F295" s="4" t="n">
        <v>1.67</v>
      </c>
      <c r="G295" s="4" t="n">
        <v>1.67</v>
      </c>
    </row>
    <row r="296" customFormat="false" ht="15" hidden="false" customHeight="false" outlineLevel="0" collapsed="false">
      <c r="A296" s="4" t="s">
        <v>471</v>
      </c>
      <c r="B296" s="4" t="n">
        <v>1</v>
      </c>
      <c r="C296" s="4" t="n">
        <v>3</v>
      </c>
      <c r="D296" s="4" t="n">
        <v>1.2</v>
      </c>
      <c r="E296" s="4" t="n">
        <v>6.7</v>
      </c>
      <c r="F296" s="4" t="n">
        <v>1.62</v>
      </c>
      <c r="G296" s="4" t="n">
        <v>1.62</v>
      </c>
    </row>
    <row r="297" customFormat="false" ht="15" hidden="false" customHeight="false" outlineLevel="0" collapsed="false">
      <c r="A297" s="4" t="s">
        <v>471</v>
      </c>
      <c r="B297" s="4" t="n">
        <v>1</v>
      </c>
      <c r="C297" s="4" t="n">
        <v>3</v>
      </c>
      <c r="D297" s="4" t="n">
        <v>1.2</v>
      </c>
      <c r="E297" s="4" t="n">
        <v>6.75</v>
      </c>
      <c r="F297" s="4" t="n">
        <v>1.45</v>
      </c>
      <c r="G297" s="4" t="n">
        <v>1.45</v>
      </c>
    </row>
    <row r="298" customFormat="false" ht="15" hidden="false" customHeight="false" outlineLevel="0" collapsed="false">
      <c r="A298" s="4" t="s">
        <v>471</v>
      </c>
      <c r="B298" s="4" t="n">
        <v>1</v>
      </c>
      <c r="C298" s="4" t="n">
        <v>3</v>
      </c>
      <c r="D298" s="4" t="n">
        <v>1.2</v>
      </c>
      <c r="E298" s="4" t="n">
        <v>6.8</v>
      </c>
      <c r="F298" s="4" t="n">
        <v>1.4</v>
      </c>
      <c r="G298" s="4" t="n">
        <v>1.4</v>
      </c>
    </row>
    <row r="299" customFormat="false" ht="15" hidden="false" customHeight="false" outlineLevel="0" collapsed="false">
      <c r="A299" s="4" t="s">
        <v>471</v>
      </c>
      <c r="B299" s="4" t="n">
        <v>1</v>
      </c>
      <c r="C299" s="4" t="n">
        <v>3</v>
      </c>
      <c r="D299" s="4" t="n">
        <v>1.2</v>
      </c>
      <c r="E299" s="4" t="n">
        <v>6.85</v>
      </c>
      <c r="F299" s="4" t="n">
        <v>1.35</v>
      </c>
      <c r="G299" s="4" t="n">
        <v>1.35</v>
      </c>
    </row>
    <row r="300" customFormat="false" ht="15" hidden="false" customHeight="false" outlineLevel="0" collapsed="false">
      <c r="A300" s="4" t="s">
        <v>471</v>
      </c>
      <c r="B300" s="4" t="n">
        <v>1</v>
      </c>
      <c r="C300" s="4" t="n">
        <v>3</v>
      </c>
      <c r="D300" s="4" t="n">
        <v>1.2</v>
      </c>
      <c r="E300" s="4" t="n">
        <v>6.9</v>
      </c>
      <c r="F300" s="4" t="n">
        <v>1.66</v>
      </c>
      <c r="G300" s="4" t="n">
        <v>1.66</v>
      </c>
    </row>
    <row r="301" customFormat="false" ht="15" hidden="false" customHeight="false" outlineLevel="0" collapsed="false">
      <c r="A301" s="4" t="s">
        <v>471</v>
      </c>
      <c r="B301" s="4" t="n">
        <v>1</v>
      </c>
      <c r="C301" s="4" t="n">
        <v>3</v>
      </c>
      <c r="D301" s="4" t="n">
        <v>1.2</v>
      </c>
      <c r="E301" s="4" t="n">
        <v>6.95</v>
      </c>
      <c r="F301" s="4" t="n">
        <v>1.61</v>
      </c>
      <c r="G301" s="4" t="n">
        <v>1.61</v>
      </c>
    </row>
    <row r="302" customFormat="false" ht="15" hidden="false" customHeight="false" outlineLevel="0" collapsed="false">
      <c r="A302" s="4" t="s">
        <v>471</v>
      </c>
      <c r="B302" s="4" t="n">
        <v>3</v>
      </c>
      <c r="C302" s="4" t="n">
        <v>1</v>
      </c>
      <c r="D302" s="4" t="n">
        <v>1.2</v>
      </c>
      <c r="E302" s="4" t="n">
        <v>6</v>
      </c>
      <c r="F302" s="4" t="n">
        <v>1.32</v>
      </c>
      <c r="G302" s="4" t="n">
        <v>1.5</v>
      </c>
    </row>
    <row r="303" customFormat="false" ht="15" hidden="false" customHeight="false" outlineLevel="0" collapsed="false">
      <c r="A303" s="4" t="s">
        <v>471</v>
      </c>
      <c r="B303" s="4" t="n">
        <v>3</v>
      </c>
      <c r="C303" s="4" t="n">
        <v>1</v>
      </c>
      <c r="D303" s="4" t="n">
        <v>1.2</v>
      </c>
      <c r="E303" s="4" t="n">
        <v>6.05</v>
      </c>
      <c r="F303" s="4" t="n">
        <v>1.27</v>
      </c>
      <c r="G303" s="4" t="n">
        <v>1.45</v>
      </c>
    </row>
    <row r="304" customFormat="false" ht="15" hidden="false" customHeight="false" outlineLevel="0" collapsed="false">
      <c r="A304" s="4" t="s">
        <v>471</v>
      </c>
      <c r="B304" s="4" t="n">
        <v>3</v>
      </c>
      <c r="C304" s="4" t="n">
        <v>1</v>
      </c>
      <c r="D304" s="4" t="n">
        <v>1.2</v>
      </c>
      <c r="E304" s="4" t="n">
        <v>6.1</v>
      </c>
      <c r="F304" s="4" t="n">
        <v>1.34</v>
      </c>
      <c r="G304" s="4" t="n">
        <v>1.34</v>
      </c>
    </row>
    <row r="305" customFormat="false" ht="15" hidden="false" customHeight="false" outlineLevel="0" collapsed="false">
      <c r="A305" s="4" t="s">
        <v>471</v>
      </c>
      <c r="B305" s="4" t="n">
        <v>3</v>
      </c>
      <c r="C305" s="4" t="n">
        <v>1</v>
      </c>
      <c r="D305" s="4" t="n">
        <v>1.2</v>
      </c>
      <c r="E305" s="4" t="n">
        <v>6.15</v>
      </c>
      <c r="F305" s="4" t="n">
        <v>1.55</v>
      </c>
      <c r="G305" s="4" t="n">
        <v>1.55</v>
      </c>
    </row>
    <row r="306" customFormat="false" ht="15" hidden="false" customHeight="false" outlineLevel="0" collapsed="false">
      <c r="A306" s="4" t="s">
        <v>471</v>
      </c>
      <c r="B306" s="4" t="n">
        <v>3</v>
      </c>
      <c r="C306" s="4" t="n">
        <v>1</v>
      </c>
      <c r="D306" s="4" t="n">
        <v>1.2</v>
      </c>
      <c r="E306" s="4" t="n">
        <v>6.2</v>
      </c>
      <c r="F306" s="4" t="n">
        <v>1.5</v>
      </c>
      <c r="G306" s="4" t="n">
        <v>1.5</v>
      </c>
    </row>
    <row r="307" customFormat="false" ht="15" hidden="false" customHeight="false" outlineLevel="0" collapsed="false">
      <c r="A307" s="4" t="s">
        <v>471</v>
      </c>
      <c r="B307" s="4" t="n">
        <v>3</v>
      </c>
      <c r="C307" s="4" t="n">
        <v>1</v>
      </c>
      <c r="D307" s="4" t="n">
        <v>1.2</v>
      </c>
      <c r="E307" s="4" t="n">
        <v>6.25</v>
      </c>
      <c r="F307" s="4" t="n">
        <v>1.31</v>
      </c>
      <c r="G307" s="4" t="n">
        <v>1.49</v>
      </c>
    </row>
    <row r="308" customFormat="false" ht="15" hidden="false" customHeight="false" outlineLevel="0" collapsed="false">
      <c r="A308" s="4" t="s">
        <v>471</v>
      </c>
      <c r="B308" s="4" t="n">
        <v>3</v>
      </c>
      <c r="C308" s="4" t="n">
        <v>1</v>
      </c>
      <c r="D308" s="4" t="n">
        <v>1.2</v>
      </c>
      <c r="E308" s="4" t="n">
        <v>6.3</v>
      </c>
      <c r="F308" s="4" t="n">
        <v>1.38</v>
      </c>
      <c r="G308" s="4" t="n">
        <v>1.38</v>
      </c>
    </row>
    <row r="309" customFormat="false" ht="15" hidden="false" customHeight="false" outlineLevel="0" collapsed="false">
      <c r="A309" s="4" t="s">
        <v>471</v>
      </c>
      <c r="B309" s="4" t="n">
        <v>3</v>
      </c>
      <c r="C309" s="4" t="n">
        <v>1</v>
      </c>
      <c r="D309" s="4" t="n">
        <v>1.2</v>
      </c>
      <c r="E309" s="4" t="n">
        <v>6.35</v>
      </c>
      <c r="F309" s="4" t="n">
        <v>1.33</v>
      </c>
      <c r="G309" s="4" t="n">
        <v>1.33</v>
      </c>
    </row>
    <row r="310" customFormat="false" ht="15" hidden="false" customHeight="false" outlineLevel="0" collapsed="false">
      <c r="A310" s="4" t="s">
        <v>471</v>
      </c>
      <c r="B310" s="4" t="n">
        <v>3</v>
      </c>
      <c r="C310" s="4" t="n">
        <v>1</v>
      </c>
      <c r="D310" s="4" t="n">
        <v>1.2</v>
      </c>
      <c r="E310" s="4" t="n">
        <v>6.4</v>
      </c>
      <c r="F310" s="4" t="n">
        <v>1.54</v>
      </c>
      <c r="G310" s="4" t="n">
        <v>1.54</v>
      </c>
    </row>
    <row r="311" customFormat="false" ht="15" hidden="false" customHeight="false" outlineLevel="0" collapsed="false">
      <c r="A311" s="4" t="s">
        <v>471</v>
      </c>
      <c r="B311" s="4" t="n">
        <v>3</v>
      </c>
      <c r="C311" s="4" t="n">
        <v>1</v>
      </c>
      <c r="D311" s="4" t="n">
        <v>1.2</v>
      </c>
      <c r="E311" s="4" t="n">
        <v>6.45</v>
      </c>
      <c r="F311" s="4" t="n">
        <v>1.49</v>
      </c>
      <c r="G311" s="4" t="n">
        <v>1.49</v>
      </c>
    </row>
    <row r="312" customFormat="false" ht="15" hidden="false" customHeight="false" outlineLevel="0" collapsed="false">
      <c r="A312" s="4" t="s">
        <v>471</v>
      </c>
      <c r="B312" s="4" t="n">
        <v>3</v>
      </c>
      <c r="C312" s="4" t="n">
        <v>1</v>
      </c>
      <c r="D312" s="4" t="n">
        <v>1.2</v>
      </c>
      <c r="E312" s="4" t="n">
        <v>6.5</v>
      </c>
      <c r="F312" s="4" t="n">
        <v>1.3</v>
      </c>
      <c r="G312" s="4" t="n">
        <v>1.48</v>
      </c>
    </row>
    <row r="313" customFormat="false" ht="15" hidden="false" customHeight="false" outlineLevel="0" collapsed="false">
      <c r="A313" s="4" t="s">
        <v>471</v>
      </c>
      <c r="B313" s="4" t="n">
        <v>3</v>
      </c>
      <c r="C313" s="4" t="n">
        <v>1</v>
      </c>
      <c r="D313" s="4" t="n">
        <v>1.2</v>
      </c>
      <c r="E313" s="4" t="n">
        <v>6.55</v>
      </c>
      <c r="F313" s="4" t="n">
        <v>1.37</v>
      </c>
      <c r="G313" s="4" t="n">
        <v>1.37</v>
      </c>
    </row>
    <row r="314" customFormat="false" ht="15" hidden="false" customHeight="false" outlineLevel="0" collapsed="false">
      <c r="A314" s="4" t="s">
        <v>471</v>
      </c>
      <c r="B314" s="4" t="n">
        <v>3</v>
      </c>
      <c r="C314" s="4" t="n">
        <v>1</v>
      </c>
      <c r="D314" s="4" t="n">
        <v>1.2</v>
      </c>
      <c r="E314" s="4" t="n">
        <v>6.6</v>
      </c>
      <c r="F314" s="4" t="n">
        <v>1.32</v>
      </c>
      <c r="G314" s="4" t="n">
        <v>1.32</v>
      </c>
    </row>
    <row r="315" customFormat="false" ht="15" hidden="false" customHeight="false" outlineLevel="0" collapsed="false">
      <c r="A315" s="4" t="s">
        <v>471</v>
      </c>
      <c r="B315" s="4" t="n">
        <v>3</v>
      </c>
      <c r="C315" s="4" t="n">
        <v>1</v>
      </c>
      <c r="D315" s="4" t="n">
        <v>1.2</v>
      </c>
      <c r="E315" s="4" t="n">
        <v>6.65</v>
      </c>
      <c r="F315" s="4" t="n">
        <v>1.53</v>
      </c>
      <c r="G315" s="4" t="n">
        <v>1.53</v>
      </c>
    </row>
    <row r="316" customFormat="false" ht="15" hidden="false" customHeight="false" outlineLevel="0" collapsed="false">
      <c r="A316" s="4" t="s">
        <v>471</v>
      </c>
      <c r="B316" s="4" t="n">
        <v>3</v>
      </c>
      <c r="C316" s="4" t="n">
        <v>1</v>
      </c>
      <c r="D316" s="4" t="n">
        <v>1.2</v>
      </c>
      <c r="E316" s="4" t="n">
        <v>6.7</v>
      </c>
      <c r="F316" s="4" t="n">
        <v>1.34</v>
      </c>
      <c r="G316" s="4" t="n">
        <v>1.52</v>
      </c>
    </row>
    <row r="317" customFormat="false" ht="15" hidden="false" customHeight="false" outlineLevel="0" collapsed="false">
      <c r="A317" s="4" t="s">
        <v>471</v>
      </c>
      <c r="B317" s="4" t="n">
        <v>3</v>
      </c>
      <c r="C317" s="4" t="n">
        <v>1</v>
      </c>
      <c r="D317" s="4" t="n">
        <v>1.2</v>
      </c>
      <c r="E317" s="4" t="n">
        <v>6.75</v>
      </c>
      <c r="F317" s="4" t="n">
        <v>1.29</v>
      </c>
      <c r="G317" s="4" t="n">
        <v>1.47</v>
      </c>
    </row>
    <row r="318" customFormat="false" ht="15" hidden="false" customHeight="false" outlineLevel="0" collapsed="false">
      <c r="A318" s="4" t="s">
        <v>471</v>
      </c>
      <c r="B318" s="4" t="n">
        <v>3</v>
      </c>
      <c r="C318" s="4" t="n">
        <v>1</v>
      </c>
      <c r="D318" s="4" t="n">
        <v>1.2</v>
      </c>
      <c r="E318" s="4" t="n">
        <v>6.8</v>
      </c>
      <c r="F318" s="4" t="n">
        <v>1.36</v>
      </c>
      <c r="G318" s="4" t="n">
        <v>1.36</v>
      </c>
    </row>
    <row r="319" customFormat="false" ht="15" hidden="false" customHeight="false" outlineLevel="0" collapsed="false">
      <c r="A319" s="4" t="s">
        <v>471</v>
      </c>
      <c r="B319" s="4" t="n">
        <v>3</v>
      </c>
      <c r="C319" s="4" t="n">
        <v>1</v>
      </c>
      <c r="D319" s="4" t="n">
        <v>1.2</v>
      </c>
      <c r="E319" s="4" t="n">
        <v>6.85</v>
      </c>
      <c r="F319" s="4" t="n">
        <v>1.31</v>
      </c>
      <c r="G319" s="4" t="n">
        <v>1.31</v>
      </c>
    </row>
    <row r="320" customFormat="false" ht="15" hidden="false" customHeight="false" outlineLevel="0" collapsed="false">
      <c r="A320" s="4" t="s">
        <v>471</v>
      </c>
      <c r="B320" s="4" t="n">
        <v>3</v>
      </c>
      <c r="C320" s="4" t="n">
        <v>1</v>
      </c>
      <c r="D320" s="4" t="n">
        <v>1.2</v>
      </c>
      <c r="E320" s="4" t="n">
        <v>6.9</v>
      </c>
      <c r="F320" s="4" t="n">
        <v>1.52</v>
      </c>
      <c r="G320" s="4" t="n">
        <v>1.52</v>
      </c>
    </row>
    <row r="321" customFormat="false" ht="15" hidden="false" customHeight="false" outlineLevel="0" collapsed="false">
      <c r="A321" s="4" t="s">
        <v>471</v>
      </c>
      <c r="B321" s="4" t="n">
        <v>3</v>
      </c>
      <c r="C321" s="4" t="n">
        <v>1</v>
      </c>
      <c r="D321" s="4" t="n">
        <v>1.2</v>
      </c>
      <c r="E321" s="4" t="n">
        <v>6.95</v>
      </c>
      <c r="F321" s="4" t="n">
        <v>1.33</v>
      </c>
      <c r="G321" s="4" t="n">
        <v>1.51</v>
      </c>
    </row>
    <row r="322" customFormat="false" ht="15" hidden="false" customHeight="false" outlineLevel="0" collapsed="false">
      <c r="A322" s="4" t="s">
        <v>472</v>
      </c>
      <c r="B322" s="4" t="n">
        <v>1</v>
      </c>
      <c r="C322" s="4" t="n">
        <v>3</v>
      </c>
      <c r="D322" s="4" t="n">
        <v>0.6</v>
      </c>
      <c r="E322" s="4" t="n">
        <v>6</v>
      </c>
      <c r="F322" s="4" t="n">
        <v>1.46</v>
      </c>
      <c r="G322" s="4" t="n">
        <v>1.46</v>
      </c>
    </row>
    <row r="323" customFormat="false" ht="15" hidden="false" customHeight="false" outlineLevel="0" collapsed="false">
      <c r="A323" s="4" t="s">
        <v>472</v>
      </c>
      <c r="B323" s="4" t="n">
        <v>1</v>
      </c>
      <c r="C323" s="4" t="n">
        <v>3</v>
      </c>
      <c r="D323" s="4" t="n">
        <v>0.6</v>
      </c>
      <c r="E323" s="4" t="n">
        <v>6.05</v>
      </c>
      <c r="F323" s="4" t="n">
        <v>1.41</v>
      </c>
      <c r="G323" s="4" t="n">
        <v>1.41</v>
      </c>
    </row>
    <row r="324" customFormat="false" ht="15" hidden="false" customHeight="false" outlineLevel="0" collapsed="false">
      <c r="A324" s="4" t="s">
        <v>472</v>
      </c>
      <c r="B324" s="4" t="n">
        <v>1</v>
      </c>
      <c r="C324" s="4" t="n">
        <v>3</v>
      </c>
      <c r="D324" s="4" t="n">
        <v>0.6</v>
      </c>
      <c r="E324" s="4" t="n">
        <v>6.1</v>
      </c>
      <c r="F324" s="4" t="n">
        <v>1.48</v>
      </c>
      <c r="G324" s="4" t="n">
        <v>1.48</v>
      </c>
    </row>
    <row r="325" customFormat="false" ht="15" hidden="false" customHeight="false" outlineLevel="0" collapsed="false">
      <c r="A325" s="4" t="s">
        <v>472</v>
      </c>
      <c r="B325" s="4" t="n">
        <v>1</v>
      </c>
      <c r="C325" s="4" t="n">
        <v>3</v>
      </c>
      <c r="D325" s="4" t="n">
        <v>0.6</v>
      </c>
      <c r="E325" s="4" t="n">
        <v>6.15</v>
      </c>
      <c r="F325" s="4" t="n">
        <v>1.43</v>
      </c>
      <c r="G325" s="4" t="n">
        <v>1.43</v>
      </c>
    </row>
    <row r="326" customFormat="false" ht="15" hidden="false" customHeight="false" outlineLevel="0" collapsed="false">
      <c r="A326" s="4" t="s">
        <v>472</v>
      </c>
      <c r="B326" s="4" t="n">
        <v>1</v>
      </c>
      <c r="C326" s="4" t="n">
        <v>3</v>
      </c>
      <c r="D326" s="4" t="n">
        <v>0.6</v>
      </c>
      <c r="E326" s="4" t="n">
        <v>6.2</v>
      </c>
      <c r="F326" s="4" t="n">
        <v>1.36</v>
      </c>
      <c r="G326" s="4" t="n">
        <v>1.36</v>
      </c>
    </row>
    <row r="327" customFormat="false" ht="15" hidden="false" customHeight="false" outlineLevel="0" collapsed="false">
      <c r="A327" s="4" t="s">
        <v>472</v>
      </c>
      <c r="B327" s="4" t="n">
        <v>1</v>
      </c>
      <c r="C327" s="4" t="n">
        <v>3</v>
      </c>
      <c r="D327" s="4" t="n">
        <v>0.6</v>
      </c>
      <c r="E327" s="4" t="n">
        <v>6.25</v>
      </c>
      <c r="F327" s="4" t="n">
        <v>1.45</v>
      </c>
      <c r="G327" s="4" t="n">
        <v>1.45</v>
      </c>
    </row>
    <row r="328" customFormat="false" ht="15" hidden="false" customHeight="false" outlineLevel="0" collapsed="false">
      <c r="A328" s="4" t="s">
        <v>472</v>
      </c>
      <c r="B328" s="4" t="n">
        <v>1</v>
      </c>
      <c r="C328" s="4" t="n">
        <v>3</v>
      </c>
      <c r="D328" s="4" t="n">
        <v>0.6</v>
      </c>
      <c r="E328" s="4" t="n">
        <v>6.3</v>
      </c>
      <c r="F328" s="4" t="n">
        <v>1.4</v>
      </c>
      <c r="G328" s="4" t="n">
        <v>1.4</v>
      </c>
    </row>
    <row r="329" customFormat="false" ht="15" hidden="false" customHeight="false" outlineLevel="0" collapsed="false">
      <c r="A329" s="4" t="s">
        <v>472</v>
      </c>
      <c r="B329" s="4" t="n">
        <v>1</v>
      </c>
      <c r="C329" s="4" t="n">
        <v>3</v>
      </c>
      <c r="D329" s="4" t="n">
        <v>0.6</v>
      </c>
      <c r="E329" s="4" t="n">
        <v>6.35</v>
      </c>
      <c r="F329" s="4" t="n">
        <v>1.47</v>
      </c>
      <c r="G329" s="4" t="n">
        <v>1.47</v>
      </c>
    </row>
    <row r="330" customFormat="false" ht="15" hidden="false" customHeight="false" outlineLevel="0" collapsed="false">
      <c r="A330" s="4" t="s">
        <v>472</v>
      </c>
      <c r="B330" s="4" t="n">
        <v>1</v>
      </c>
      <c r="C330" s="4" t="n">
        <v>3</v>
      </c>
      <c r="D330" s="4" t="n">
        <v>0.6</v>
      </c>
      <c r="E330" s="4" t="n">
        <v>6.4</v>
      </c>
      <c r="F330" s="4" t="n">
        <v>1.4</v>
      </c>
      <c r="G330" s="4" t="n">
        <v>1.4</v>
      </c>
    </row>
    <row r="331" customFormat="false" ht="15" hidden="false" customHeight="false" outlineLevel="0" collapsed="false">
      <c r="A331" s="4" t="s">
        <v>472</v>
      </c>
      <c r="B331" s="4" t="n">
        <v>1</v>
      </c>
      <c r="C331" s="4" t="n">
        <v>3</v>
      </c>
      <c r="D331" s="4" t="n">
        <v>0.6</v>
      </c>
      <c r="E331" s="4" t="n">
        <v>6.45</v>
      </c>
      <c r="F331" s="4" t="n">
        <v>1.35</v>
      </c>
      <c r="G331" s="4" t="n">
        <v>1.35</v>
      </c>
    </row>
    <row r="332" customFormat="false" ht="15" hidden="false" customHeight="false" outlineLevel="0" collapsed="false">
      <c r="A332" s="4" t="s">
        <v>472</v>
      </c>
      <c r="B332" s="4" t="n">
        <v>1</v>
      </c>
      <c r="C332" s="4" t="n">
        <v>3</v>
      </c>
      <c r="D332" s="4" t="n">
        <v>0.6</v>
      </c>
      <c r="E332" s="4" t="n">
        <v>6.5</v>
      </c>
      <c r="F332" s="4" t="n">
        <v>1.44</v>
      </c>
      <c r="G332" s="4" t="n">
        <v>1.44</v>
      </c>
    </row>
    <row r="333" customFormat="false" ht="15" hidden="false" customHeight="false" outlineLevel="0" collapsed="false">
      <c r="A333" s="4" t="s">
        <v>472</v>
      </c>
      <c r="B333" s="4" t="n">
        <v>1</v>
      </c>
      <c r="C333" s="4" t="n">
        <v>3</v>
      </c>
      <c r="D333" s="4" t="n">
        <v>0.6</v>
      </c>
      <c r="E333" s="4" t="n">
        <v>6.55</v>
      </c>
      <c r="F333" s="4" t="n">
        <v>1.39</v>
      </c>
      <c r="G333" s="4" t="n">
        <v>1.39</v>
      </c>
    </row>
    <row r="334" customFormat="false" ht="15" hidden="false" customHeight="false" outlineLevel="0" collapsed="false">
      <c r="A334" s="4" t="s">
        <v>472</v>
      </c>
      <c r="B334" s="4" t="n">
        <v>1</v>
      </c>
      <c r="C334" s="4" t="n">
        <v>3</v>
      </c>
      <c r="D334" s="4" t="n">
        <v>0.6</v>
      </c>
      <c r="E334" s="4" t="n">
        <v>6.6</v>
      </c>
      <c r="F334" s="4" t="n">
        <v>1.46</v>
      </c>
      <c r="G334" s="4" t="n">
        <v>1.46</v>
      </c>
    </row>
    <row r="335" customFormat="false" ht="15" hidden="false" customHeight="false" outlineLevel="0" collapsed="false">
      <c r="A335" s="4" t="s">
        <v>472</v>
      </c>
      <c r="B335" s="4" t="n">
        <v>1</v>
      </c>
      <c r="C335" s="4" t="n">
        <v>3</v>
      </c>
      <c r="D335" s="4" t="n">
        <v>0.6</v>
      </c>
      <c r="E335" s="4" t="n">
        <v>6.65</v>
      </c>
      <c r="F335" s="4" t="n">
        <v>1.39</v>
      </c>
      <c r="G335" s="4" t="n">
        <v>1.39</v>
      </c>
    </row>
    <row r="336" customFormat="false" ht="15" hidden="false" customHeight="false" outlineLevel="0" collapsed="false">
      <c r="A336" s="4" t="s">
        <v>472</v>
      </c>
      <c r="B336" s="4" t="n">
        <v>1</v>
      </c>
      <c r="C336" s="4" t="n">
        <v>3</v>
      </c>
      <c r="D336" s="4" t="n">
        <v>0.6</v>
      </c>
      <c r="E336" s="4" t="n">
        <v>6.7</v>
      </c>
      <c r="F336" s="4" t="n">
        <v>1.34</v>
      </c>
      <c r="G336" s="4" t="n">
        <v>1.34</v>
      </c>
    </row>
    <row r="337" customFormat="false" ht="15" hidden="false" customHeight="false" outlineLevel="0" collapsed="false">
      <c r="A337" s="4" t="s">
        <v>472</v>
      </c>
      <c r="B337" s="4" t="n">
        <v>1</v>
      </c>
      <c r="C337" s="4" t="n">
        <v>3</v>
      </c>
      <c r="D337" s="4" t="n">
        <v>0.6</v>
      </c>
      <c r="E337" s="4" t="n">
        <v>6.75</v>
      </c>
      <c r="F337" s="4" t="n">
        <v>1.43</v>
      </c>
      <c r="G337" s="4" t="n">
        <v>1.43</v>
      </c>
    </row>
    <row r="338" customFormat="false" ht="15" hidden="false" customHeight="false" outlineLevel="0" collapsed="false">
      <c r="A338" s="4" t="s">
        <v>472</v>
      </c>
      <c r="B338" s="4" t="n">
        <v>1</v>
      </c>
      <c r="C338" s="4" t="n">
        <v>3</v>
      </c>
      <c r="D338" s="4" t="n">
        <v>0.6</v>
      </c>
      <c r="E338" s="4" t="n">
        <v>6.8</v>
      </c>
      <c r="F338" s="4" t="n">
        <v>1.5</v>
      </c>
      <c r="G338" s="4" t="n">
        <v>1.5</v>
      </c>
    </row>
    <row r="339" customFormat="false" ht="15" hidden="false" customHeight="false" outlineLevel="0" collapsed="false">
      <c r="A339" s="4" t="s">
        <v>472</v>
      </c>
      <c r="B339" s="4" t="n">
        <v>1</v>
      </c>
      <c r="C339" s="4" t="n">
        <v>3</v>
      </c>
      <c r="D339" s="4" t="n">
        <v>0.6</v>
      </c>
      <c r="E339" s="4" t="n">
        <v>6.85</v>
      </c>
      <c r="F339" s="4" t="n">
        <v>1.45</v>
      </c>
      <c r="G339" s="4" t="n">
        <v>1.45</v>
      </c>
    </row>
    <row r="340" customFormat="false" ht="15" hidden="false" customHeight="false" outlineLevel="0" collapsed="false">
      <c r="A340" s="4" t="s">
        <v>472</v>
      </c>
      <c r="B340" s="4" t="n">
        <v>1</v>
      </c>
      <c r="C340" s="4" t="n">
        <v>3</v>
      </c>
      <c r="D340" s="4" t="n">
        <v>0.6</v>
      </c>
      <c r="E340" s="4" t="n">
        <v>6.9</v>
      </c>
      <c r="F340" s="4" t="n">
        <v>1.38</v>
      </c>
      <c r="G340" s="4" t="n">
        <v>1.38</v>
      </c>
    </row>
    <row r="341" customFormat="false" ht="15" hidden="false" customHeight="false" outlineLevel="0" collapsed="false">
      <c r="A341" s="4" t="s">
        <v>472</v>
      </c>
      <c r="B341" s="4" t="n">
        <v>1</v>
      </c>
      <c r="C341" s="4" t="n">
        <v>3</v>
      </c>
      <c r="D341" s="4" t="n">
        <v>0.6</v>
      </c>
      <c r="E341" s="4" t="n">
        <v>6.95</v>
      </c>
      <c r="F341" s="4" t="n">
        <v>1.33</v>
      </c>
      <c r="G341" s="4" t="n">
        <v>1.33</v>
      </c>
    </row>
    <row r="342" customFormat="false" ht="15" hidden="false" customHeight="false" outlineLevel="0" collapsed="false">
      <c r="A342" s="4" t="s">
        <v>472</v>
      </c>
      <c r="B342" s="4" t="n">
        <v>3</v>
      </c>
      <c r="C342" s="4" t="n">
        <v>1</v>
      </c>
      <c r="D342" s="4" t="n">
        <v>0.6</v>
      </c>
      <c r="E342" s="4" t="n">
        <v>6</v>
      </c>
      <c r="F342" s="4" t="n">
        <v>1.52</v>
      </c>
      <c r="G342" s="4" t="n">
        <v>1.52</v>
      </c>
    </row>
    <row r="343" customFormat="false" ht="15" hidden="false" customHeight="false" outlineLevel="0" collapsed="false">
      <c r="A343" s="4" t="s">
        <v>472</v>
      </c>
      <c r="B343" s="4" t="n">
        <v>3</v>
      </c>
      <c r="C343" s="4" t="n">
        <v>1</v>
      </c>
      <c r="D343" s="4" t="n">
        <v>0.6</v>
      </c>
      <c r="E343" s="4" t="n">
        <v>6.05</v>
      </c>
      <c r="F343" s="4" t="n">
        <v>1.45</v>
      </c>
      <c r="G343" s="4" t="n">
        <v>1.45</v>
      </c>
    </row>
    <row r="344" customFormat="false" ht="15" hidden="false" customHeight="false" outlineLevel="0" collapsed="false">
      <c r="A344" s="4" t="s">
        <v>472</v>
      </c>
      <c r="B344" s="4" t="n">
        <v>3</v>
      </c>
      <c r="C344" s="4" t="n">
        <v>1</v>
      </c>
      <c r="D344" s="4" t="n">
        <v>0.6</v>
      </c>
      <c r="E344" s="4" t="n">
        <v>6.1</v>
      </c>
      <c r="F344" s="4" t="n">
        <v>1.4</v>
      </c>
      <c r="G344" s="4" t="n">
        <v>1.4</v>
      </c>
    </row>
    <row r="345" customFormat="false" ht="15" hidden="false" customHeight="false" outlineLevel="0" collapsed="false">
      <c r="A345" s="4" t="s">
        <v>472</v>
      </c>
      <c r="B345" s="4" t="n">
        <v>3</v>
      </c>
      <c r="C345" s="4" t="n">
        <v>1</v>
      </c>
      <c r="D345" s="4" t="n">
        <v>0.6</v>
      </c>
      <c r="E345" s="4" t="n">
        <v>6.15</v>
      </c>
      <c r="F345" s="4" t="n">
        <v>1.29</v>
      </c>
      <c r="G345" s="4" t="n">
        <v>1.29</v>
      </c>
    </row>
    <row r="346" customFormat="false" ht="15" hidden="false" customHeight="false" outlineLevel="0" collapsed="false">
      <c r="A346" s="4" t="s">
        <v>472</v>
      </c>
      <c r="B346" s="4" t="n">
        <v>3</v>
      </c>
      <c r="C346" s="4" t="n">
        <v>1</v>
      </c>
      <c r="D346" s="4" t="n">
        <v>0.6</v>
      </c>
      <c r="E346" s="4" t="n">
        <v>6.2</v>
      </c>
      <c r="F346" s="4" t="n">
        <v>1.56</v>
      </c>
      <c r="G346" s="4" t="n">
        <v>1.56</v>
      </c>
    </row>
    <row r="347" customFormat="false" ht="15" hidden="false" customHeight="false" outlineLevel="0" collapsed="false">
      <c r="A347" s="4" t="s">
        <v>472</v>
      </c>
      <c r="B347" s="4" t="n">
        <v>3</v>
      </c>
      <c r="C347" s="4" t="n">
        <v>1</v>
      </c>
      <c r="D347" s="4" t="n">
        <v>0.6</v>
      </c>
      <c r="E347" s="4" t="n">
        <v>6.25</v>
      </c>
      <c r="F347" s="4" t="n">
        <v>1.51</v>
      </c>
      <c r="G347" s="4" t="n">
        <v>1.51</v>
      </c>
    </row>
    <row r="348" customFormat="false" ht="15" hidden="false" customHeight="false" outlineLevel="0" collapsed="false">
      <c r="A348" s="4" t="s">
        <v>472</v>
      </c>
      <c r="B348" s="4" t="n">
        <v>3</v>
      </c>
      <c r="C348" s="4" t="n">
        <v>1</v>
      </c>
      <c r="D348" s="4" t="n">
        <v>0.6</v>
      </c>
      <c r="E348" s="4" t="n">
        <v>6.3</v>
      </c>
      <c r="F348" s="4" t="n">
        <v>1.44</v>
      </c>
      <c r="G348" s="4" t="n">
        <v>1.44</v>
      </c>
    </row>
    <row r="349" customFormat="false" ht="15" hidden="false" customHeight="false" outlineLevel="0" collapsed="false">
      <c r="A349" s="4" t="s">
        <v>472</v>
      </c>
      <c r="B349" s="4" t="n">
        <v>3</v>
      </c>
      <c r="C349" s="4" t="n">
        <v>1</v>
      </c>
      <c r="D349" s="4" t="n">
        <v>0.6</v>
      </c>
      <c r="E349" s="4" t="n">
        <v>6.35</v>
      </c>
      <c r="F349" s="4" t="n">
        <v>1.39</v>
      </c>
      <c r="G349" s="4" t="n">
        <v>1.39</v>
      </c>
    </row>
    <row r="350" customFormat="false" ht="15" hidden="false" customHeight="false" outlineLevel="0" collapsed="false">
      <c r="A350" s="4" t="s">
        <v>472</v>
      </c>
      <c r="B350" s="4" t="n">
        <v>3</v>
      </c>
      <c r="C350" s="4" t="n">
        <v>1</v>
      </c>
      <c r="D350" s="4" t="n">
        <v>0.6</v>
      </c>
      <c r="E350" s="4" t="n">
        <v>6.4</v>
      </c>
      <c r="F350" s="4" t="n">
        <v>1.28</v>
      </c>
      <c r="G350" s="4" t="n">
        <v>1.28</v>
      </c>
    </row>
    <row r="351" customFormat="false" ht="15" hidden="false" customHeight="false" outlineLevel="0" collapsed="false">
      <c r="A351" s="4" t="s">
        <v>472</v>
      </c>
      <c r="B351" s="4" t="n">
        <v>3</v>
      </c>
      <c r="C351" s="4" t="n">
        <v>1</v>
      </c>
      <c r="D351" s="4" t="n">
        <v>0.6</v>
      </c>
      <c r="E351" s="4" t="n">
        <v>6.45</v>
      </c>
      <c r="F351" s="4" t="n">
        <v>1.55</v>
      </c>
      <c r="G351" s="4" t="n">
        <v>1.55</v>
      </c>
    </row>
    <row r="352" customFormat="false" ht="15" hidden="false" customHeight="false" outlineLevel="0" collapsed="false">
      <c r="A352" s="4" t="s">
        <v>472</v>
      </c>
      <c r="B352" s="4" t="n">
        <v>3</v>
      </c>
      <c r="C352" s="4" t="n">
        <v>1</v>
      </c>
      <c r="D352" s="4" t="n">
        <v>0.6</v>
      </c>
      <c r="E352" s="4" t="n">
        <v>6.5</v>
      </c>
      <c r="F352" s="4" t="n">
        <v>1.5</v>
      </c>
      <c r="G352" s="4" t="n">
        <v>1.5</v>
      </c>
    </row>
    <row r="353" customFormat="false" ht="15" hidden="false" customHeight="false" outlineLevel="0" collapsed="false">
      <c r="A353" s="4" t="s">
        <v>472</v>
      </c>
      <c r="B353" s="4" t="n">
        <v>3</v>
      </c>
      <c r="C353" s="4" t="n">
        <v>1</v>
      </c>
      <c r="D353" s="4" t="n">
        <v>0.6</v>
      </c>
      <c r="E353" s="4" t="n">
        <v>6.55</v>
      </c>
      <c r="F353" s="4" t="n">
        <v>1.43</v>
      </c>
      <c r="G353" s="4" t="n">
        <v>1.43</v>
      </c>
    </row>
    <row r="354" customFormat="false" ht="15" hidden="false" customHeight="false" outlineLevel="0" collapsed="false">
      <c r="A354" s="4" t="s">
        <v>472</v>
      </c>
      <c r="B354" s="4" t="n">
        <v>3</v>
      </c>
      <c r="C354" s="4" t="n">
        <v>1</v>
      </c>
      <c r="D354" s="4" t="n">
        <v>0.6</v>
      </c>
      <c r="E354" s="4" t="n">
        <v>6.6</v>
      </c>
      <c r="F354" s="4" t="n">
        <v>1.32</v>
      </c>
      <c r="G354" s="4" t="n">
        <v>1.32</v>
      </c>
    </row>
    <row r="355" customFormat="false" ht="15" hidden="false" customHeight="false" outlineLevel="0" collapsed="false">
      <c r="A355" s="4" t="s">
        <v>472</v>
      </c>
      <c r="B355" s="4" t="n">
        <v>3</v>
      </c>
      <c r="C355" s="4" t="n">
        <v>1</v>
      </c>
      <c r="D355" s="4" t="n">
        <v>0.6</v>
      </c>
      <c r="E355" s="4" t="n">
        <v>6.65</v>
      </c>
      <c r="F355" s="4" t="n">
        <v>1.27</v>
      </c>
      <c r="G355" s="4" t="n">
        <v>1.27</v>
      </c>
    </row>
    <row r="356" customFormat="false" ht="15" hidden="false" customHeight="false" outlineLevel="0" collapsed="false">
      <c r="A356" s="4" t="s">
        <v>472</v>
      </c>
      <c r="B356" s="4" t="n">
        <v>3</v>
      </c>
      <c r="C356" s="4" t="n">
        <v>1</v>
      </c>
      <c r="D356" s="4" t="n">
        <v>0.6</v>
      </c>
      <c r="E356" s="4" t="n">
        <v>6.7</v>
      </c>
      <c r="F356" s="4" t="n">
        <v>1.54</v>
      </c>
      <c r="G356" s="4" t="n">
        <v>1.54</v>
      </c>
    </row>
    <row r="357" customFormat="false" ht="15" hidden="false" customHeight="false" outlineLevel="0" collapsed="false">
      <c r="A357" s="4" t="s">
        <v>472</v>
      </c>
      <c r="B357" s="4" t="n">
        <v>3</v>
      </c>
      <c r="C357" s="4" t="n">
        <v>1</v>
      </c>
      <c r="D357" s="4" t="n">
        <v>0.6</v>
      </c>
      <c r="E357" s="4" t="n">
        <v>6.75</v>
      </c>
      <c r="F357" s="4" t="n">
        <v>1.49</v>
      </c>
      <c r="G357" s="4" t="n">
        <v>1.49</v>
      </c>
    </row>
    <row r="358" customFormat="false" ht="15" hidden="false" customHeight="false" outlineLevel="0" collapsed="false">
      <c r="A358" s="4" t="s">
        <v>472</v>
      </c>
      <c r="B358" s="4" t="n">
        <v>3</v>
      </c>
      <c r="C358" s="4" t="n">
        <v>1</v>
      </c>
      <c r="D358" s="4" t="n">
        <v>0.6</v>
      </c>
      <c r="E358" s="4" t="n">
        <v>6.8</v>
      </c>
      <c r="F358" s="4" t="n">
        <v>1.42</v>
      </c>
      <c r="G358" s="4" t="n">
        <v>1.42</v>
      </c>
    </row>
    <row r="359" customFormat="false" ht="15" hidden="false" customHeight="false" outlineLevel="0" collapsed="false">
      <c r="A359" s="4" t="s">
        <v>472</v>
      </c>
      <c r="B359" s="4" t="n">
        <v>3</v>
      </c>
      <c r="C359" s="4" t="n">
        <v>1</v>
      </c>
      <c r="D359" s="4" t="n">
        <v>0.6</v>
      </c>
      <c r="E359" s="4" t="n">
        <v>6.85</v>
      </c>
      <c r="F359" s="4" t="n">
        <v>1.31</v>
      </c>
      <c r="G359" s="4" t="n">
        <v>1.31</v>
      </c>
    </row>
    <row r="360" customFormat="false" ht="15" hidden="false" customHeight="false" outlineLevel="0" collapsed="false">
      <c r="A360" s="4" t="s">
        <v>472</v>
      </c>
      <c r="B360" s="4" t="n">
        <v>3</v>
      </c>
      <c r="C360" s="4" t="n">
        <v>1</v>
      </c>
      <c r="D360" s="4" t="n">
        <v>0.6</v>
      </c>
      <c r="E360" s="4" t="n">
        <v>6.9</v>
      </c>
      <c r="F360" s="4" t="n">
        <v>1.26</v>
      </c>
      <c r="G360" s="4" t="n">
        <v>1.26</v>
      </c>
    </row>
    <row r="361" customFormat="false" ht="15" hidden="false" customHeight="false" outlineLevel="0" collapsed="false">
      <c r="A361" s="4" t="s">
        <v>472</v>
      </c>
      <c r="B361" s="4" t="n">
        <v>3</v>
      </c>
      <c r="C361" s="4" t="n">
        <v>1</v>
      </c>
      <c r="D361" s="4" t="n">
        <v>0.6</v>
      </c>
      <c r="E361" s="4" t="n">
        <v>6.95</v>
      </c>
      <c r="F361" s="4" t="n">
        <v>1.53</v>
      </c>
      <c r="G361" s="4" t="n">
        <v>1.53</v>
      </c>
    </row>
    <row r="362" customFormat="false" ht="15" hidden="false" customHeight="false" outlineLevel="0" collapsed="false">
      <c r="A362" s="4" t="s">
        <v>472</v>
      </c>
      <c r="B362" s="4" t="n">
        <v>1</v>
      </c>
      <c r="C362" s="4" t="n">
        <v>2</v>
      </c>
      <c r="D362" s="4" t="n">
        <v>0.6</v>
      </c>
      <c r="E362" s="4" t="n">
        <v>6</v>
      </c>
      <c r="F362" s="4" t="n">
        <v>0.64</v>
      </c>
      <c r="G362" s="4" t="n">
        <v>1.32</v>
      </c>
    </row>
    <row r="363" customFormat="false" ht="15" hidden="false" customHeight="false" outlineLevel="0" collapsed="false">
      <c r="A363" s="4" t="s">
        <v>472</v>
      </c>
      <c r="B363" s="4" t="n">
        <v>1</v>
      </c>
      <c r="C363" s="4" t="n">
        <v>2</v>
      </c>
      <c r="D363" s="4" t="n">
        <v>0.6</v>
      </c>
      <c r="E363" s="4" t="n">
        <v>6.05</v>
      </c>
      <c r="F363" s="4" t="n">
        <v>0.59</v>
      </c>
      <c r="G363" s="4" t="n">
        <v>1.27</v>
      </c>
    </row>
    <row r="364" customFormat="false" ht="15" hidden="false" customHeight="false" outlineLevel="0" collapsed="false">
      <c r="A364" s="4" t="s">
        <v>472</v>
      </c>
      <c r="B364" s="4" t="n">
        <v>1</v>
      </c>
      <c r="C364" s="4" t="n">
        <v>2</v>
      </c>
      <c r="D364" s="4" t="n">
        <v>0.6</v>
      </c>
      <c r="E364" s="4" t="n">
        <v>6.1</v>
      </c>
      <c r="F364" s="4" t="n">
        <v>0.54</v>
      </c>
      <c r="G364" s="4" t="n">
        <v>1</v>
      </c>
    </row>
    <row r="365" customFormat="false" ht="15" hidden="false" customHeight="false" outlineLevel="0" collapsed="false">
      <c r="A365" s="4" t="s">
        <v>472</v>
      </c>
      <c r="B365" s="4" t="n">
        <v>1</v>
      </c>
      <c r="C365" s="4" t="n">
        <v>2</v>
      </c>
      <c r="D365" s="4" t="n">
        <v>0.6</v>
      </c>
      <c r="E365" s="4" t="n">
        <v>6.15</v>
      </c>
      <c r="F365" s="4" t="n">
        <v>0.49</v>
      </c>
      <c r="G365" s="4" t="n">
        <v>0.95</v>
      </c>
    </row>
    <row r="366" customFormat="false" ht="15" hidden="false" customHeight="false" outlineLevel="0" collapsed="false">
      <c r="A366" s="4" t="s">
        <v>472</v>
      </c>
      <c r="B366" s="4" t="n">
        <v>1</v>
      </c>
      <c r="C366" s="4" t="n">
        <v>2</v>
      </c>
      <c r="D366" s="4" t="n">
        <v>0.6</v>
      </c>
      <c r="E366" s="4" t="n">
        <v>6.2</v>
      </c>
      <c r="F366" s="4" t="n">
        <v>1.08</v>
      </c>
      <c r="G366" s="4" t="n">
        <v>1.86</v>
      </c>
    </row>
    <row r="367" customFormat="false" ht="15" hidden="false" customHeight="false" outlineLevel="0" collapsed="false">
      <c r="A367" s="4" t="s">
        <v>472</v>
      </c>
      <c r="B367" s="4" t="n">
        <v>1</v>
      </c>
      <c r="C367" s="4" t="n">
        <v>2</v>
      </c>
      <c r="D367" s="4" t="n">
        <v>0.6</v>
      </c>
      <c r="E367" s="4" t="n">
        <v>6.25</v>
      </c>
      <c r="F367" s="4" t="n">
        <v>0.63</v>
      </c>
      <c r="G367" s="4" t="n">
        <v>1.31</v>
      </c>
    </row>
    <row r="368" customFormat="false" ht="15" hidden="false" customHeight="false" outlineLevel="0" collapsed="false">
      <c r="A368" s="4" t="s">
        <v>472</v>
      </c>
      <c r="B368" s="4" t="n">
        <v>1</v>
      </c>
      <c r="C368" s="4" t="n">
        <v>2</v>
      </c>
      <c r="D368" s="4" t="n">
        <v>0.6</v>
      </c>
      <c r="E368" s="4" t="n">
        <v>6.3</v>
      </c>
      <c r="F368" s="4" t="n">
        <v>0.58</v>
      </c>
      <c r="G368" s="4" t="n">
        <v>1.26</v>
      </c>
    </row>
    <row r="369" customFormat="false" ht="15" hidden="false" customHeight="false" outlineLevel="0" collapsed="false">
      <c r="A369" s="4" t="s">
        <v>472</v>
      </c>
      <c r="B369" s="4" t="n">
        <v>1</v>
      </c>
      <c r="C369" s="4" t="n">
        <v>2</v>
      </c>
      <c r="D369" s="4" t="n">
        <v>0.6</v>
      </c>
      <c r="E369" s="4" t="n">
        <v>6.35</v>
      </c>
      <c r="F369" s="4" t="n">
        <v>0.53</v>
      </c>
      <c r="G369" s="4" t="n">
        <v>0.99</v>
      </c>
    </row>
    <row r="370" customFormat="false" ht="15" hidden="false" customHeight="false" outlineLevel="0" collapsed="false">
      <c r="A370" s="4" t="s">
        <v>472</v>
      </c>
      <c r="B370" s="4" t="n">
        <v>1</v>
      </c>
      <c r="C370" s="4" t="n">
        <v>2</v>
      </c>
      <c r="D370" s="4" t="n">
        <v>0.6</v>
      </c>
      <c r="E370" s="4" t="n">
        <v>6.4</v>
      </c>
      <c r="F370" s="4" t="n">
        <v>1.12</v>
      </c>
      <c r="G370" s="4" t="n">
        <v>1.9</v>
      </c>
    </row>
    <row r="371" customFormat="false" ht="15" hidden="false" customHeight="false" outlineLevel="0" collapsed="false">
      <c r="A371" s="4" t="s">
        <v>472</v>
      </c>
      <c r="B371" s="4" t="n">
        <v>1</v>
      </c>
      <c r="C371" s="4" t="n">
        <v>2</v>
      </c>
      <c r="D371" s="4" t="n">
        <v>0.6</v>
      </c>
      <c r="E371" s="4" t="n">
        <v>6.45</v>
      </c>
      <c r="F371" s="4" t="n">
        <v>1.07</v>
      </c>
      <c r="G371" s="4" t="n">
        <v>1.85</v>
      </c>
    </row>
    <row r="372" customFormat="false" ht="15" hidden="false" customHeight="false" outlineLevel="0" collapsed="false">
      <c r="A372" s="4" t="s">
        <v>472</v>
      </c>
      <c r="B372" s="4" t="n">
        <v>1</v>
      </c>
      <c r="C372" s="4" t="n">
        <v>2</v>
      </c>
      <c r="D372" s="4" t="n">
        <v>0.6</v>
      </c>
      <c r="E372" s="4" t="n">
        <v>6.5</v>
      </c>
      <c r="F372" s="4" t="n">
        <v>0.62</v>
      </c>
      <c r="G372" s="4" t="n">
        <v>1.3</v>
      </c>
    </row>
    <row r="373" customFormat="false" ht="15" hidden="false" customHeight="false" outlineLevel="0" collapsed="false">
      <c r="A373" s="4" t="s">
        <v>472</v>
      </c>
      <c r="B373" s="4" t="n">
        <v>1</v>
      </c>
      <c r="C373" s="4" t="n">
        <v>2</v>
      </c>
      <c r="D373" s="4" t="n">
        <v>0.6</v>
      </c>
      <c r="E373" s="4" t="n">
        <v>6.55</v>
      </c>
      <c r="F373" s="4" t="n">
        <v>0.57</v>
      </c>
      <c r="G373" s="4" t="n">
        <v>1.25</v>
      </c>
    </row>
    <row r="374" customFormat="false" ht="15" hidden="false" customHeight="false" outlineLevel="0" collapsed="false">
      <c r="A374" s="4" t="s">
        <v>472</v>
      </c>
      <c r="B374" s="4" t="n">
        <v>1</v>
      </c>
      <c r="C374" s="4" t="n">
        <v>2</v>
      </c>
      <c r="D374" s="4" t="n">
        <v>0.6</v>
      </c>
      <c r="E374" s="4" t="n">
        <v>6.6</v>
      </c>
      <c r="F374" s="4" t="n">
        <v>0.52</v>
      </c>
      <c r="G374" s="4" t="n">
        <v>0.98</v>
      </c>
    </row>
    <row r="375" customFormat="false" ht="15" hidden="false" customHeight="false" outlineLevel="0" collapsed="false">
      <c r="A375" s="4" t="s">
        <v>472</v>
      </c>
      <c r="B375" s="4" t="n">
        <v>1</v>
      </c>
      <c r="C375" s="4" t="n">
        <v>2</v>
      </c>
      <c r="D375" s="4" t="n">
        <v>0.6</v>
      </c>
      <c r="E375" s="4" t="n">
        <v>6.65</v>
      </c>
      <c r="F375" s="4" t="n">
        <v>1.11</v>
      </c>
      <c r="G375" s="4" t="n">
        <v>1.89</v>
      </c>
    </row>
    <row r="376" customFormat="false" ht="15" hidden="false" customHeight="false" outlineLevel="0" collapsed="false">
      <c r="A376" s="4" t="s">
        <v>472</v>
      </c>
      <c r="B376" s="4" t="n">
        <v>1</v>
      </c>
      <c r="C376" s="4" t="n">
        <v>2</v>
      </c>
      <c r="D376" s="4" t="n">
        <v>0.6</v>
      </c>
      <c r="E376" s="4" t="n">
        <v>6.7</v>
      </c>
      <c r="F376" s="4" t="n">
        <v>1.06</v>
      </c>
      <c r="G376" s="4" t="n">
        <v>1.84</v>
      </c>
    </row>
    <row r="377" customFormat="false" ht="15" hidden="false" customHeight="false" outlineLevel="0" collapsed="false">
      <c r="A377" s="4" t="s">
        <v>472</v>
      </c>
      <c r="B377" s="4" t="n">
        <v>1</v>
      </c>
      <c r="C377" s="4" t="n">
        <v>2</v>
      </c>
      <c r="D377" s="4" t="n">
        <v>0.6</v>
      </c>
      <c r="E377" s="4" t="n">
        <v>6.75</v>
      </c>
      <c r="F377" s="4" t="n">
        <v>0.61</v>
      </c>
      <c r="G377" s="4" t="n">
        <v>1.29</v>
      </c>
    </row>
    <row r="378" customFormat="false" ht="15" hidden="false" customHeight="false" outlineLevel="0" collapsed="false">
      <c r="A378" s="4" t="s">
        <v>472</v>
      </c>
      <c r="B378" s="4" t="n">
        <v>1</v>
      </c>
      <c r="C378" s="4" t="n">
        <v>2</v>
      </c>
      <c r="D378" s="4" t="n">
        <v>0.6</v>
      </c>
      <c r="E378" s="4" t="n">
        <v>6.8</v>
      </c>
      <c r="F378" s="4" t="n">
        <v>0.56</v>
      </c>
      <c r="G378" s="4" t="n">
        <v>1.02</v>
      </c>
    </row>
    <row r="379" customFormat="false" ht="15" hidden="false" customHeight="false" outlineLevel="0" collapsed="false">
      <c r="A379" s="4" t="s">
        <v>472</v>
      </c>
      <c r="B379" s="4" t="n">
        <v>1</v>
      </c>
      <c r="C379" s="4" t="n">
        <v>2</v>
      </c>
      <c r="D379" s="4" t="n">
        <v>0.6</v>
      </c>
      <c r="E379" s="4" t="n">
        <v>6.85</v>
      </c>
      <c r="F379" s="4" t="n">
        <v>0.51</v>
      </c>
      <c r="G379" s="4" t="n">
        <v>0.97</v>
      </c>
    </row>
    <row r="380" customFormat="false" ht="15" hidden="false" customHeight="false" outlineLevel="0" collapsed="false">
      <c r="A380" s="4" t="s">
        <v>472</v>
      </c>
      <c r="B380" s="4" t="n">
        <v>1</v>
      </c>
      <c r="C380" s="4" t="n">
        <v>2</v>
      </c>
      <c r="D380" s="4" t="n">
        <v>0.6</v>
      </c>
      <c r="E380" s="4" t="n">
        <v>6.9</v>
      </c>
      <c r="F380" s="4" t="n">
        <v>1.1</v>
      </c>
      <c r="G380" s="4" t="n">
        <v>1.88</v>
      </c>
    </row>
    <row r="381" customFormat="false" ht="15" hidden="false" customHeight="false" outlineLevel="0" collapsed="false">
      <c r="A381" s="4" t="s">
        <v>472</v>
      </c>
      <c r="B381" s="4" t="n">
        <v>1</v>
      </c>
      <c r="C381" s="4" t="n">
        <v>2</v>
      </c>
      <c r="D381" s="4" t="n">
        <v>0.6</v>
      </c>
      <c r="E381" s="4" t="n">
        <v>6.95</v>
      </c>
      <c r="F381" s="4" t="n">
        <v>1.05</v>
      </c>
      <c r="G381" s="4" t="n">
        <v>1.83</v>
      </c>
    </row>
    <row r="382" customFormat="false" ht="15" hidden="false" customHeight="false" outlineLevel="0" collapsed="false">
      <c r="A382" s="4" t="s">
        <v>472</v>
      </c>
      <c r="B382" s="4" t="n">
        <v>2</v>
      </c>
      <c r="C382" s="4" t="n">
        <v>3</v>
      </c>
      <c r="D382" s="4" t="n">
        <v>0.6</v>
      </c>
      <c r="E382" s="4" t="n">
        <v>6</v>
      </c>
      <c r="F382" s="4" t="n">
        <v>0.58</v>
      </c>
      <c r="G382" s="4" t="n">
        <v>1.26</v>
      </c>
    </row>
    <row r="383" customFormat="false" ht="15" hidden="false" customHeight="false" outlineLevel="0" collapsed="false">
      <c r="A383" s="4" t="s">
        <v>472</v>
      </c>
      <c r="B383" s="4" t="n">
        <v>2</v>
      </c>
      <c r="C383" s="4" t="n">
        <v>3</v>
      </c>
      <c r="D383" s="4" t="n">
        <v>0.6</v>
      </c>
      <c r="E383" s="4" t="n">
        <v>6.05</v>
      </c>
      <c r="F383" s="4" t="n">
        <v>0.61</v>
      </c>
      <c r="G383" s="4" t="n">
        <v>1.29</v>
      </c>
    </row>
    <row r="384" customFormat="false" ht="15" hidden="false" customHeight="false" outlineLevel="0" collapsed="false">
      <c r="A384" s="4" t="s">
        <v>472</v>
      </c>
      <c r="B384" s="4" t="n">
        <v>2</v>
      </c>
      <c r="C384" s="4" t="n">
        <v>3</v>
      </c>
      <c r="D384" s="4" t="n">
        <v>0.6</v>
      </c>
      <c r="E384" s="4" t="n">
        <v>6.1</v>
      </c>
      <c r="F384" s="4" t="n">
        <v>1.78</v>
      </c>
      <c r="G384" s="4" t="n">
        <v>2.38</v>
      </c>
    </row>
    <row r="385" customFormat="false" ht="15" hidden="false" customHeight="false" outlineLevel="0" collapsed="false">
      <c r="A385" s="4" t="s">
        <v>472</v>
      </c>
      <c r="B385" s="4" t="n">
        <v>2</v>
      </c>
      <c r="C385" s="4" t="n">
        <v>3</v>
      </c>
      <c r="D385" s="4" t="n">
        <v>0.6</v>
      </c>
      <c r="E385" s="4" t="n">
        <v>6.15</v>
      </c>
      <c r="F385" s="4" t="n">
        <v>1.73</v>
      </c>
      <c r="G385" s="4" t="n">
        <v>2.33</v>
      </c>
    </row>
    <row r="386" customFormat="false" ht="15" hidden="false" customHeight="false" outlineLevel="0" collapsed="false">
      <c r="A386" s="4" t="s">
        <v>472</v>
      </c>
      <c r="B386" s="4" t="n">
        <v>2</v>
      </c>
      <c r="C386" s="4" t="n">
        <v>3</v>
      </c>
      <c r="D386" s="4" t="n">
        <v>0.6</v>
      </c>
      <c r="E386" s="4" t="n">
        <v>6.2</v>
      </c>
      <c r="F386" s="4" t="n">
        <v>0.62</v>
      </c>
      <c r="G386" s="4" t="n">
        <v>1.3</v>
      </c>
    </row>
    <row r="387" customFormat="false" ht="15" hidden="false" customHeight="false" outlineLevel="0" collapsed="false">
      <c r="A387" s="4" t="s">
        <v>472</v>
      </c>
      <c r="B387" s="4" t="n">
        <v>2</v>
      </c>
      <c r="C387" s="4" t="n">
        <v>3</v>
      </c>
      <c r="D387" s="4" t="n">
        <v>0.6</v>
      </c>
      <c r="E387" s="4" t="n">
        <v>6.25</v>
      </c>
      <c r="F387" s="4" t="n">
        <v>0.57</v>
      </c>
      <c r="G387" s="4" t="n">
        <v>1.25</v>
      </c>
    </row>
    <row r="388" customFormat="false" ht="15" hidden="false" customHeight="false" outlineLevel="0" collapsed="false">
      <c r="A388" s="4" t="s">
        <v>472</v>
      </c>
      <c r="B388" s="4" t="n">
        <v>2</v>
      </c>
      <c r="C388" s="4" t="n">
        <v>3</v>
      </c>
      <c r="D388" s="4" t="n">
        <v>0.6</v>
      </c>
      <c r="E388" s="4" t="n">
        <v>6.3</v>
      </c>
      <c r="F388" s="4" t="n">
        <v>0.6</v>
      </c>
      <c r="G388" s="4" t="n">
        <v>1.28</v>
      </c>
    </row>
    <row r="389" customFormat="false" ht="15" hidden="false" customHeight="false" outlineLevel="0" collapsed="false">
      <c r="A389" s="4" t="s">
        <v>472</v>
      </c>
      <c r="B389" s="4" t="n">
        <v>2</v>
      </c>
      <c r="C389" s="4" t="n">
        <v>3</v>
      </c>
      <c r="D389" s="4" t="n">
        <v>0.6</v>
      </c>
      <c r="E389" s="4" t="n">
        <v>6.35</v>
      </c>
      <c r="F389" s="4" t="n">
        <v>1.77</v>
      </c>
      <c r="G389" s="4" t="n">
        <v>2.37</v>
      </c>
    </row>
    <row r="390" customFormat="false" ht="15" hidden="false" customHeight="false" outlineLevel="0" collapsed="false">
      <c r="A390" s="4" t="s">
        <v>472</v>
      </c>
      <c r="B390" s="4" t="n">
        <v>2</v>
      </c>
      <c r="C390" s="4" t="n">
        <v>3</v>
      </c>
      <c r="D390" s="4" t="n">
        <v>0.6</v>
      </c>
      <c r="E390" s="4" t="n">
        <v>6.4</v>
      </c>
      <c r="F390" s="4" t="n">
        <v>1.72</v>
      </c>
      <c r="G390" s="4" t="n">
        <v>2.32</v>
      </c>
    </row>
    <row r="391" customFormat="false" ht="15" hidden="false" customHeight="false" outlineLevel="0" collapsed="false">
      <c r="A391" s="4" t="s">
        <v>472</v>
      </c>
      <c r="B391" s="4" t="n">
        <v>2</v>
      </c>
      <c r="C391" s="4" t="n">
        <v>3</v>
      </c>
      <c r="D391" s="4" t="n">
        <v>0.6</v>
      </c>
      <c r="E391" s="4" t="n">
        <v>6.45</v>
      </c>
      <c r="F391" s="4" t="n">
        <v>0.61</v>
      </c>
      <c r="G391" s="4" t="n">
        <v>1.29</v>
      </c>
    </row>
    <row r="392" customFormat="false" ht="15" hidden="false" customHeight="false" outlineLevel="0" collapsed="false">
      <c r="A392" s="4" t="s">
        <v>472</v>
      </c>
      <c r="B392" s="4" t="n">
        <v>2</v>
      </c>
      <c r="C392" s="4" t="n">
        <v>3</v>
      </c>
      <c r="D392" s="4" t="n">
        <v>0.6</v>
      </c>
      <c r="E392" s="4" t="n">
        <v>6.5</v>
      </c>
      <c r="F392" s="4" t="n">
        <v>0.64</v>
      </c>
      <c r="G392" s="4" t="n">
        <v>1.32</v>
      </c>
    </row>
    <row r="393" customFormat="false" ht="15" hidden="false" customHeight="false" outlineLevel="0" collapsed="false">
      <c r="A393" s="4" t="s">
        <v>472</v>
      </c>
      <c r="B393" s="4" t="n">
        <v>2</v>
      </c>
      <c r="C393" s="4" t="n">
        <v>3</v>
      </c>
      <c r="D393" s="4" t="n">
        <v>0.6</v>
      </c>
      <c r="E393" s="4" t="n">
        <v>6.55</v>
      </c>
      <c r="F393" s="4" t="n">
        <v>0.59</v>
      </c>
      <c r="G393" s="4" t="n">
        <v>1.27</v>
      </c>
    </row>
    <row r="394" customFormat="false" ht="15" hidden="false" customHeight="false" outlineLevel="0" collapsed="false">
      <c r="A394" s="4" t="s">
        <v>472</v>
      </c>
      <c r="B394" s="4" t="n">
        <v>2</v>
      </c>
      <c r="C394" s="4" t="n">
        <v>3</v>
      </c>
      <c r="D394" s="4" t="n">
        <v>0.6</v>
      </c>
      <c r="E394" s="4" t="n">
        <v>6.6</v>
      </c>
      <c r="F394" s="4" t="n">
        <v>1.76</v>
      </c>
      <c r="G394" s="4" t="n">
        <v>2.36</v>
      </c>
    </row>
    <row r="395" customFormat="false" ht="15" hidden="false" customHeight="false" outlineLevel="0" collapsed="false">
      <c r="A395" s="4" t="s">
        <v>472</v>
      </c>
      <c r="B395" s="4" t="n">
        <v>2</v>
      </c>
      <c r="C395" s="4" t="n">
        <v>3</v>
      </c>
      <c r="D395" s="4" t="n">
        <v>0.6</v>
      </c>
      <c r="E395" s="4" t="n">
        <v>6.65</v>
      </c>
      <c r="F395" s="4" t="n">
        <v>1.71</v>
      </c>
      <c r="G395" s="4" t="n">
        <v>2.31</v>
      </c>
    </row>
    <row r="396" customFormat="false" ht="15" hidden="false" customHeight="false" outlineLevel="0" collapsed="false">
      <c r="A396" s="4" t="s">
        <v>472</v>
      </c>
      <c r="B396" s="4" t="n">
        <v>2</v>
      </c>
      <c r="C396" s="4" t="n">
        <v>3</v>
      </c>
      <c r="D396" s="4" t="n">
        <v>0.6</v>
      </c>
      <c r="E396" s="4" t="n">
        <v>6.7</v>
      </c>
      <c r="F396" s="4" t="n">
        <v>0.6</v>
      </c>
      <c r="G396" s="4" t="n">
        <v>1.28</v>
      </c>
    </row>
    <row r="397" customFormat="false" ht="15" hidden="false" customHeight="false" outlineLevel="0" collapsed="false">
      <c r="A397" s="4" t="s">
        <v>472</v>
      </c>
      <c r="B397" s="4" t="n">
        <v>2</v>
      </c>
      <c r="C397" s="4" t="n">
        <v>3</v>
      </c>
      <c r="D397" s="4" t="n">
        <v>0.6</v>
      </c>
      <c r="E397" s="4" t="n">
        <v>6.75</v>
      </c>
      <c r="F397" s="4" t="n">
        <v>0.63</v>
      </c>
      <c r="G397" s="4" t="n">
        <v>1.31</v>
      </c>
    </row>
    <row r="398" customFormat="false" ht="15" hidden="false" customHeight="false" outlineLevel="0" collapsed="false">
      <c r="A398" s="4" t="s">
        <v>472</v>
      </c>
      <c r="B398" s="4" t="n">
        <v>2</v>
      </c>
      <c r="C398" s="4" t="n">
        <v>3</v>
      </c>
      <c r="D398" s="4" t="n">
        <v>0.6</v>
      </c>
      <c r="E398" s="4" t="n">
        <v>6.8</v>
      </c>
      <c r="F398" s="4" t="n">
        <v>0.58</v>
      </c>
      <c r="G398" s="4" t="n">
        <v>1.26</v>
      </c>
    </row>
    <row r="399" customFormat="false" ht="15" hidden="false" customHeight="false" outlineLevel="0" collapsed="false">
      <c r="A399" s="4" t="s">
        <v>472</v>
      </c>
      <c r="B399" s="4" t="n">
        <v>2</v>
      </c>
      <c r="C399" s="4" t="n">
        <v>3</v>
      </c>
      <c r="D399" s="4" t="n">
        <v>0.6</v>
      </c>
      <c r="E399" s="4" t="n">
        <v>6.85</v>
      </c>
      <c r="F399" s="4" t="n">
        <v>1.75</v>
      </c>
      <c r="G399" s="4" t="n">
        <v>2.35</v>
      </c>
    </row>
    <row r="400" customFormat="false" ht="15" hidden="false" customHeight="false" outlineLevel="0" collapsed="false">
      <c r="A400" s="4" t="s">
        <v>472</v>
      </c>
      <c r="B400" s="4" t="n">
        <v>2</v>
      </c>
      <c r="C400" s="4" t="n">
        <v>3</v>
      </c>
      <c r="D400" s="4" t="n">
        <v>0.6</v>
      </c>
      <c r="E400" s="4" t="n">
        <v>6.9</v>
      </c>
      <c r="F400" s="4" t="n">
        <v>0.64</v>
      </c>
      <c r="G400" s="4" t="n">
        <v>1.32</v>
      </c>
    </row>
    <row r="401" customFormat="false" ht="15" hidden="false" customHeight="false" outlineLevel="0" collapsed="false">
      <c r="A401" s="4" t="s">
        <v>472</v>
      </c>
      <c r="B401" s="4" t="n">
        <v>2</v>
      </c>
      <c r="C401" s="4" t="n">
        <v>3</v>
      </c>
      <c r="D401" s="4" t="n">
        <v>0.6</v>
      </c>
      <c r="E401" s="4" t="n">
        <v>6.95</v>
      </c>
      <c r="F401" s="4" t="n">
        <v>0.59</v>
      </c>
      <c r="G401" s="4" t="n">
        <v>1.27</v>
      </c>
    </row>
    <row r="402" customFormat="false" ht="15" hidden="false" customHeight="false" outlineLevel="0" collapsed="false">
      <c r="A402" s="4" t="s">
        <v>472</v>
      </c>
      <c r="B402" s="4" t="n">
        <v>2</v>
      </c>
      <c r="C402" s="4" t="n">
        <v>1</v>
      </c>
      <c r="D402" s="4" t="n">
        <v>0.6</v>
      </c>
      <c r="E402" s="4" t="n">
        <v>6</v>
      </c>
      <c r="F402" s="4" t="n">
        <v>1.26</v>
      </c>
      <c r="G402" s="4" t="n">
        <v>1.6</v>
      </c>
    </row>
    <row r="403" customFormat="false" ht="15" hidden="false" customHeight="false" outlineLevel="0" collapsed="false">
      <c r="A403" s="4" t="s">
        <v>472</v>
      </c>
      <c r="B403" s="4" t="n">
        <v>2</v>
      </c>
      <c r="C403" s="4" t="n">
        <v>1</v>
      </c>
      <c r="D403" s="4" t="n">
        <v>0.6</v>
      </c>
      <c r="E403" s="4" t="n">
        <v>6.05</v>
      </c>
      <c r="F403" s="4" t="n">
        <v>2.05</v>
      </c>
      <c r="G403" s="4" t="n">
        <v>2.05</v>
      </c>
    </row>
    <row r="404" customFormat="false" ht="15" hidden="false" customHeight="false" outlineLevel="0" collapsed="false">
      <c r="A404" s="4" t="s">
        <v>472</v>
      </c>
      <c r="B404" s="4" t="n">
        <v>2</v>
      </c>
      <c r="C404" s="4" t="n">
        <v>1</v>
      </c>
      <c r="D404" s="4" t="n">
        <v>0.6</v>
      </c>
      <c r="E404" s="4" t="n">
        <v>6.1</v>
      </c>
      <c r="F404" s="4" t="n">
        <v>0.64</v>
      </c>
      <c r="G404" s="4" t="n">
        <v>1.32</v>
      </c>
    </row>
    <row r="405" customFormat="false" ht="15" hidden="false" customHeight="false" outlineLevel="0" collapsed="false">
      <c r="A405" s="4" t="s">
        <v>472</v>
      </c>
      <c r="B405" s="4" t="n">
        <v>2</v>
      </c>
      <c r="C405" s="4" t="n">
        <v>1</v>
      </c>
      <c r="D405" s="4" t="n">
        <v>0.6</v>
      </c>
      <c r="E405" s="4" t="n">
        <v>6.15</v>
      </c>
      <c r="F405" s="4" t="n">
        <v>0.59</v>
      </c>
      <c r="G405" s="4" t="n">
        <v>1.27</v>
      </c>
    </row>
    <row r="406" customFormat="false" ht="15" hidden="false" customHeight="false" outlineLevel="0" collapsed="false">
      <c r="A406" s="4" t="s">
        <v>472</v>
      </c>
      <c r="B406" s="4" t="n">
        <v>2</v>
      </c>
      <c r="C406" s="4" t="n">
        <v>1</v>
      </c>
      <c r="D406" s="4" t="n">
        <v>0.6</v>
      </c>
      <c r="E406" s="4" t="n">
        <v>6.2</v>
      </c>
      <c r="F406" s="4" t="n">
        <v>1.3</v>
      </c>
      <c r="G406" s="4" t="n">
        <v>1.64</v>
      </c>
    </row>
    <row r="407" customFormat="false" ht="15" hidden="false" customHeight="false" outlineLevel="0" collapsed="false">
      <c r="A407" s="4" t="s">
        <v>472</v>
      </c>
      <c r="B407" s="4" t="n">
        <v>2</v>
      </c>
      <c r="C407" s="4" t="n">
        <v>1</v>
      </c>
      <c r="D407" s="4" t="n">
        <v>0.6</v>
      </c>
      <c r="E407" s="4" t="n">
        <v>6.25</v>
      </c>
      <c r="F407" s="4" t="n">
        <v>1.25</v>
      </c>
      <c r="G407" s="4" t="n">
        <v>1.59</v>
      </c>
    </row>
    <row r="408" customFormat="false" ht="15" hidden="false" customHeight="false" outlineLevel="0" collapsed="false">
      <c r="A408" s="4" t="s">
        <v>472</v>
      </c>
      <c r="B408" s="4" t="n">
        <v>2</v>
      </c>
      <c r="C408" s="4" t="n">
        <v>1</v>
      </c>
      <c r="D408" s="4" t="n">
        <v>0.6</v>
      </c>
      <c r="E408" s="4" t="n">
        <v>6.3</v>
      </c>
      <c r="F408" s="4" t="n">
        <v>2.04</v>
      </c>
      <c r="G408" s="4" t="n">
        <v>2.04</v>
      </c>
    </row>
    <row r="409" customFormat="false" ht="15" hidden="false" customHeight="false" outlineLevel="0" collapsed="false">
      <c r="A409" s="4" t="s">
        <v>472</v>
      </c>
      <c r="B409" s="4" t="n">
        <v>2</v>
      </c>
      <c r="C409" s="4" t="n">
        <v>1</v>
      </c>
      <c r="D409" s="4" t="n">
        <v>0.6</v>
      </c>
      <c r="E409" s="4" t="n">
        <v>6.35</v>
      </c>
      <c r="F409" s="4" t="n">
        <v>0.63</v>
      </c>
      <c r="G409" s="4" t="n">
        <v>1.31</v>
      </c>
    </row>
    <row r="410" customFormat="false" ht="15" hidden="false" customHeight="false" outlineLevel="0" collapsed="false">
      <c r="A410" s="4" t="s">
        <v>472</v>
      </c>
      <c r="B410" s="4" t="n">
        <v>2</v>
      </c>
      <c r="C410" s="4" t="n">
        <v>1</v>
      </c>
      <c r="D410" s="4" t="n">
        <v>0.6</v>
      </c>
      <c r="E410" s="4" t="n">
        <v>6.4</v>
      </c>
      <c r="F410" s="4" t="n">
        <v>0.58</v>
      </c>
      <c r="G410" s="4" t="n">
        <v>1.26</v>
      </c>
    </row>
    <row r="411" customFormat="false" ht="15" hidden="false" customHeight="false" outlineLevel="0" collapsed="false">
      <c r="A411" s="4" t="s">
        <v>472</v>
      </c>
      <c r="B411" s="4" t="n">
        <v>2</v>
      </c>
      <c r="C411" s="4" t="n">
        <v>1</v>
      </c>
      <c r="D411" s="4" t="n">
        <v>0.6</v>
      </c>
      <c r="E411" s="4" t="n">
        <v>6.45</v>
      </c>
      <c r="F411" s="4" t="n">
        <v>1.29</v>
      </c>
      <c r="G411" s="4" t="n">
        <v>1.63</v>
      </c>
    </row>
    <row r="412" customFormat="false" ht="15" hidden="false" customHeight="false" outlineLevel="0" collapsed="false">
      <c r="A412" s="4" t="s">
        <v>472</v>
      </c>
      <c r="B412" s="4" t="n">
        <v>2</v>
      </c>
      <c r="C412" s="4" t="n">
        <v>1</v>
      </c>
      <c r="D412" s="4" t="n">
        <v>0.6</v>
      </c>
      <c r="E412" s="4" t="n">
        <v>6.5</v>
      </c>
      <c r="F412" s="4" t="n">
        <v>2.08</v>
      </c>
      <c r="G412" s="4" t="n">
        <v>2.08</v>
      </c>
    </row>
    <row r="413" customFormat="false" ht="15" hidden="false" customHeight="false" outlineLevel="0" collapsed="false">
      <c r="A413" s="4" t="s">
        <v>472</v>
      </c>
      <c r="B413" s="4" t="n">
        <v>2</v>
      </c>
      <c r="C413" s="4" t="n">
        <v>1</v>
      </c>
      <c r="D413" s="4" t="n">
        <v>0.6</v>
      </c>
      <c r="E413" s="4" t="n">
        <v>6.55</v>
      </c>
      <c r="F413" s="4" t="n">
        <v>2.03</v>
      </c>
      <c r="G413" s="4" t="n">
        <v>2.03</v>
      </c>
    </row>
    <row r="414" customFormat="false" ht="15" hidden="false" customHeight="false" outlineLevel="0" collapsed="false">
      <c r="A414" s="4" t="s">
        <v>472</v>
      </c>
      <c r="B414" s="4" t="n">
        <v>2</v>
      </c>
      <c r="C414" s="4" t="n">
        <v>1</v>
      </c>
      <c r="D414" s="4" t="n">
        <v>0.6</v>
      </c>
      <c r="E414" s="4" t="n">
        <v>6.6</v>
      </c>
      <c r="F414" s="4" t="n">
        <v>0.62</v>
      </c>
      <c r="G414" s="4" t="n">
        <v>1.3</v>
      </c>
    </row>
    <row r="415" customFormat="false" ht="15" hidden="false" customHeight="false" outlineLevel="0" collapsed="false">
      <c r="A415" s="4" t="s">
        <v>472</v>
      </c>
      <c r="B415" s="4" t="n">
        <v>2</v>
      </c>
      <c r="C415" s="4" t="n">
        <v>1</v>
      </c>
      <c r="D415" s="4" t="n">
        <v>0.6</v>
      </c>
      <c r="E415" s="4" t="n">
        <v>6.65</v>
      </c>
      <c r="F415" s="4" t="n">
        <v>0.57</v>
      </c>
      <c r="G415" s="4" t="n">
        <v>1.25</v>
      </c>
    </row>
    <row r="416" customFormat="false" ht="15" hidden="false" customHeight="false" outlineLevel="0" collapsed="false">
      <c r="A416" s="4" t="s">
        <v>472</v>
      </c>
      <c r="B416" s="4" t="n">
        <v>2</v>
      </c>
      <c r="C416" s="4" t="n">
        <v>1</v>
      </c>
      <c r="D416" s="4" t="n">
        <v>0.6</v>
      </c>
      <c r="E416" s="4" t="n">
        <v>6.7</v>
      </c>
      <c r="F416" s="4" t="n">
        <v>1.28</v>
      </c>
      <c r="G416" s="4" t="n">
        <v>1.62</v>
      </c>
    </row>
    <row r="417" customFormat="false" ht="15" hidden="false" customHeight="false" outlineLevel="0" collapsed="false">
      <c r="A417" s="4" t="s">
        <v>472</v>
      </c>
      <c r="B417" s="4" t="n">
        <v>2</v>
      </c>
      <c r="C417" s="4" t="n">
        <v>1</v>
      </c>
      <c r="D417" s="4" t="n">
        <v>0.6</v>
      </c>
      <c r="E417" s="4" t="n">
        <v>6.75</v>
      </c>
      <c r="F417" s="4" t="n">
        <v>2.07</v>
      </c>
      <c r="G417" s="4" t="n">
        <v>2.07</v>
      </c>
    </row>
    <row r="418" customFormat="false" ht="15" hidden="false" customHeight="false" outlineLevel="0" collapsed="false">
      <c r="A418" s="4" t="s">
        <v>472</v>
      </c>
      <c r="B418" s="4" t="n">
        <v>2</v>
      </c>
      <c r="C418" s="4" t="n">
        <v>1</v>
      </c>
      <c r="D418" s="4" t="n">
        <v>0.6</v>
      </c>
      <c r="E418" s="4" t="n">
        <v>6.8</v>
      </c>
      <c r="F418" s="4" t="n">
        <v>2.02</v>
      </c>
      <c r="G418" s="4" t="n">
        <v>2.02</v>
      </c>
    </row>
    <row r="419" customFormat="false" ht="15" hidden="false" customHeight="false" outlineLevel="0" collapsed="false">
      <c r="A419" s="4" t="s">
        <v>472</v>
      </c>
      <c r="B419" s="4" t="n">
        <v>2</v>
      </c>
      <c r="C419" s="4" t="n">
        <v>1</v>
      </c>
      <c r="D419" s="4" t="n">
        <v>0.6</v>
      </c>
      <c r="E419" s="4" t="n">
        <v>6.85</v>
      </c>
      <c r="F419" s="4" t="n">
        <v>0.61</v>
      </c>
      <c r="G419" s="4" t="n">
        <v>1.29</v>
      </c>
    </row>
    <row r="420" customFormat="false" ht="15" hidden="false" customHeight="false" outlineLevel="0" collapsed="false">
      <c r="A420" s="4" t="s">
        <v>472</v>
      </c>
      <c r="B420" s="4" t="n">
        <v>2</v>
      </c>
      <c r="C420" s="4" t="n">
        <v>1</v>
      </c>
      <c r="D420" s="4" t="n">
        <v>0.6</v>
      </c>
      <c r="E420" s="4" t="n">
        <v>6.9</v>
      </c>
      <c r="F420" s="4" t="n">
        <v>1.32</v>
      </c>
      <c r="G420" s="4" t="n">
        <v>1.66</v>
      </c>
    </row>
    <row r="421" customFormat="false" ht="15" hidden="false" customHeight="false" outlineLevel="0" collapsed="false">
      <c r="A421" s="4" t="s">
        <v>472</v>
      </c>
      <c r="B421" s="4" t="n">
        <v>2</v>
      </c>
      <c r="C421" s="4" t="n">
        <v>1</v>
      </c>
      <c r="D421" s="4" t="n">
        <v>0.6</v>
      </c>
      <c r="E421" s="4" t="n">
        <v>6.95</v>
      </c>
      <c r="F421" s="4" t="n">
        <v>1.27</v>
      </c>
      <c r="G421" s="4" t="n">
        <v>1.61</v>
      </c>
    </row>
    <row r="422" customFormat="false" ht="15" hidden="false" customHeight="false" outlineLevel="0" collapsed="false">
      <c r="A422" s="4" t="s">
        <v>472</v>
      </c>
      <c r="B422" s="4" t="n">
        <v>3</v>
      </c>
      <c r="C422" s="4" t="n">
        <v>2</v>
      </c>
      <c r="D422" s="4" t="n">
        <v>0.6</v>
      </c>
      <c r="E422" s="4" t="n">
        <v>6</v>
      </c>
      <c r="F422" s="4" t="n">
        <v>0.6</v>
      </c>
      <c r="G422" s="4" t="n">
        <v>1.2</v>
      </c>
    </row>
    <row r="423" customFormat="false" ht="15" hidden="false" customHeight="false" outlineLevel="0" collapsed="false">
      <c r="A423" s="4" t="s">
        <v>472</v>
      </c>
      <c r="B423" s="4" t="n">
        <v>3</v>
      </c>
      <c r="C423" s="4" t="n">
        <v>2</v>
      </c>
      <c r="D423" s="4" t="n">
        <v>0.6</v>
      </c>
      <c r="E423" s="4" t="n">
        <v>6.05</v>
      </c>
      <c r="F423" s="4" t="n">
        <v>1.09</v>
      </c>
      <c r="G423" s="4" t="n">
        <v>1.17</v>
      </c>
    </row>
    <row r="424" customFormat="false" ht="15" hidden="false" customHeight="false" outlineLevel="0" collapsed="false">
      <c r="A424" s="4" t="s">
        <v>472</v>
      </c>
      <c r="B424" s="4" t="n">
        <v>3</v>
      </c>
      <c r="C424" s="4" t="n">
        <v>2</v>
      </c>
      <c r="D424" s="4" t="n">
        <v>0.6</v>
      </c>
      <c r="E424" s="4" t="n">
        <v>6.1</v>
      </c>
      <c r="F424" s="4" t="n">
        <v>1.04</v>
      </c>
      <c r="G424" s="4" t="n">
        <v>1.12</v>
      </c>
    </row>
    <row r="425" customFormat="false" ht="15" hidden="false" customHeight="false" outlineLevel="0" collapsed="false">
      <c r="A425" s="4" t="s">
        <v>472</v>
      </c>
      <c r="B425" s="4" t="n">
        <v>3</v>
      </c>
      <c r="C425" s="4" t="n">
        <v>2</v>
      </c>
      <c r="D425" s="4" t="n">
        <v>0.6</v>
      </c>
      <c r="E425" s="4" t="n">
        <v>6.15</v>
      </c>
      <c r="F425" s="4" t="n">
        <v>0.61</v>
      </c>
      <c r="G425" s="4" t="n">
        <v>1.29</v>
      </c>
    </row>
    <row r="426" customFormat="false" ht="15" hidden="false" customHeight="false" outlineLevel="0" collapsed="false">
      <c r="A426" s="4" t="s">
        <v>472</v>
      </c>
      <c r="B426" s="4" t="n">
        <v>3</v>
      </c>
      <c r="C426" s="4" t="n">
        <v>2</v>
      </c>
      <c r="D426" s="4" t="n">
        <v>0.6</v>
      </c>
      <c r="E426" s="4" t="n">
        <v>6.2</v>
      </c>
      <c r="F426" s="4" t="n">
        <v>0.64</v>
      </c>
      <c r="G426" s="4" t="n">
        <v>1.24</v>
      </c>
    </row>
    <row r="427" customFormat="false" ht="15" hidden="false" customHeight="false" outlineLevel="0" collapsed="false">
      <c r="A427" s="4" t="s">
        <v>472</v>
      </c>
      <c r="B427" s="4" t="n">
        <v>3</v>
      </c>
      <c r="C427" s="4" t="n">
        <v>2</v>
      </c>
      <c r="D427" s="4" t="n">
        <v>0.6</v>
      </c>
      <c r="E427" s="4" t="n">
        <v>6.25</v>
      </c>
      <c r="F427" s="4" t="n">
        <v>0.59</v>
      </c>
      <c r="G427" s="4" t="n">
        <v>1.19</v>
      </c>
    </row>
    <row r="428" customFormat="false" ht="15" hidden="false" customHeight="false" outlineLevel="0" collapsed="false">
      <c r="A428" s="4" t="s">
        <v>472</v>
      </c>
      <c r="B428" s="4" t="n">
        <v>3</v>
      </c>
      <c r="C428" s="4" t="n">
        <v>2</v>
      </c>
      <c r="D428" s="4" t="n">
        <v>0.6</v>
      </c>
      <c r="E428" s="4" t="n">
        <v>6.3</v>
      </c>
      <c r="F428" s="4" t="n">
        <v>1.08</v>
      </c>
      <c r="G428" s="4" t="n">
        <v>1.16</v>
      </c>
    </row>
    <row r="429" customFormat="false" ht="15" hidden="false" customHeight="false" outlineLevel="0" collapsed="false">
      <c r="A429" s="4" t="s">
        <v>472</v>
      </c>
      <c r="B429" s="4" t="n">
        <v>3</v>
      </c>
      <c r="C429" s="4" t="n">
        <v>2</v>
      </c>
      <c r="D429" s="4" t="n">
        <v>0.6</v>
      </c>
      <c r="E429" s="4" t="n">
        <v>6.35</v>
      </c>
      <c r="F429" s="4" t="n">
        <v>1.03</v>
      </c>
      <c r="G429" s="4" t="n">
        <v>1.11</v>
      </c>
    </row>
    <row r="430" customFormat="false" ht="15" hidden="false" customHeight="false" outlineLevel="0" collapsed="false">
      <c r="A430" s="4" t="s">
        <v>472</v>
      </c>
      <c r="B430" s="4" t="n">
        <v>3</v>
      </c>
      <c r="C430" s="4" t="n">
        <v>2</v>
      </c>
      <c r="D430" s="4" t="n">
        <v>0.6</v>
      </c>
      <c r="E430" s="4" t="n">
        <v>6.4</v>
      </c>
      <c r="F430" s="4" t="n">
        <v>0.6</v>
      </c>
      <c r="G430" s="4" t="n">
        <v>1.28</v>
      </c>
    </row>
    <row r="431" customFormat="false" ht="15" hidden="false" customHeight="false" outlineLevel="0" collapsed="false">
      <c r="A431" s="4" t="s">
        <v>472</v>
      </c>
      <c r="B431" s="4" t="n">
        <v>3</v>
      </c>
      <c r="C431" s="4" t="n">
        <v>2</v>
      </c>
      <c r="D431" s="4" t="n">
        <v>0.6</v>
      </c>
      <c r="E431" s="4" t="n">
        <v>6.45</v>
      </c>
      <c r="F431" s="4" t="n">
        <v>0.63</v>
      </c>
      <c r="G431" s="4" t="n">
        <v>1.23</v>
      </c>
    </row>
    <row r="432" customFormat="false" ht="15" hidden="false" customHeight="false" outlineLevel="0" collapsed="false">
      <c r="A432" s="4" t="s">
        <v>472</v>
      </c>
      <c r="B432" s="4" t="n">
        <v>3</v>
      </c>
      <c r="C432" s="4" t="n">
        <v>2</v>
      </c>
      <c r="D432" s="4" t="n">
        <v>0.6</v>
      </c>
      <c r="E432" s="4" t="n">
        <v>6.5</v>
      </c>
      <c r="F432" s="4" t="n">
        <v>0.58</v>
      </c>
      <c r="G432" s="4" t="n">
        <v>1.18</v>
      </c>
    </row>
    <row r="433" customFormat="false" ht="15" hidden="false" customHeight="false" outlineLevel="0" collapsed="false">
      <c r="A433" s="4" t="s">
        <v>472</v>
      </c>
      <c r="B433" s="4" t="n">
        <v>3</v>
      </c>
      <c r="C433" s="4" t="n">
        <v>2</v>
      </c>
      <c r="D433" s="4" t="n">
        <v>0.6</v>
      </c>
      <c r="E433" s="4" t="n">
        <v>6.55</v>
      </c>
      <c r="F433" s="4" t="n">
        <v>1.07</v>
      </c>
      <c r="G433" s="4" t="n">
        <v>1.15</v>
      </c>
    </row>
    <row r="434" customFormat="false" ht="15" hidden="false" customHeight="false" outlineLevel="0" collapsed="false">
      <c r="A434" s="4" t="s">
        <v>472</v>
      </c>
      <c r="B434" s="4" t="n">
        <v>3</v>
      </c>
      <c r="C434" s="4" t="n">
        <v>2</v>
      </c>
      <c r="D434" s="4" t="n">
        <v>0.6</v>
      </c>
      <c r="E434" s="4" t="n">
        <v>6.6</v>
      </c>
      <c r="F434" s="4" t="n">
        <v>0.64</v>
      </c>
      <c r="G434" s="4" t="n">
        <v>1.32</v>
      </c>
    </row>
    <row r="435" customFormat="false" ht="15" hidden="false" customHeight="false" outlineLevel="0" collapsed="false">
      <c r="A435" s="4" t="s">
        <v>472</v>
      </c>
      <c r="B435" s="4" t="n">
        <v>3</v>
      </c>
      <c r="C435" s="4" t="n">
        <v>2</v>
      </c>
      <c r="D435" s="4" t="n">
        <v>0.6</v>
      </c>
      <c r="E435" s="4" t="n">
        <v>6.65</v>
      </c>
      <c r="F435" s="4" t="n">
        <v>0.59</v>
      </c>
      <c r="G435" s="4" t="n">
        <v>1.27</v>
      </c>
    </row>
    <row r="436" customFormat="false" ht="15" hidden="false" customHeight="false" outlineLevel="0" collapsed="false">
      <c r="A436" s="4" t="s">
        <v>472</v>
      </c>
      <c r="B436" s="4" t="n">
        <v>3</v>
      </c>
      <c r="C436" s="4" t="n">
        <v>2</v>
      </c>
      <c r="D436" s="4" t="n">
        <v>0.6</v>
      </c>
      <c r="E436" s="4" t="n">
        <v>6.7</v>
      </c>
      <c r="F436" s="4" t="n">
        <v>0.62</v>
      </c>
      <c r="G436" s="4" t="n">
        <v>1.22</v>
      </c>
    </row>
    <row r="437" customFormat="false" ht="15" hidden="false" customHeight="false" outlineLevel="0" collapsed="false">
      <c r="A437" s="4" t="s">
        <v>472</v>
      </c>
      <c r="B437" s="4" t="n">
        <v>3</v>
      </c>
      <c r="C437" s="4" t="n">
        <v>2</v>
      </c>
      <c r="D437" s="4" t="n">
        <v>0.6</v>
      </c>
      <c r="E437" s="4" t="n">
        <v>6.75</v>
      </c>
      <c r="F437" s="4" t="n">
        <v>0.57</v>
      </c>
      <c r="G437" s="4" t="n">
        <v>1.17</v>
      </c>
    </row>
    <row r="438" customFormat="false" ht="15" hidden="false" customHeight="false" outlineLevel="0" collapsed="false">
      <c r="A438" s="4" t="s">
        <v>472</v>
      </c>
      <c r="B438" s="4" t="n">
        <v>3</v>
      </c>
      <c r="C438" s="4" t="n">
        <v>2</v>
      </c>
      <c r="D438" s="4" t="n">
        <v>0.6</v>
      </c>
      <c r="E438" s="4" t="n">
        <v>6.8</v>
      </c>
      <c r="F438" s="4" t="n">
        <v>1.06</v>
      </c>
      <c r="G438" s="4" t="n">
        <v>1.14</v>
      </c>
    </row>
    <row r="439" customFormat="false" ht="15" hidden="false" customHeight="false" outlineLevel="0" collapsed="false">
      <c r="A439" s="4" t="s">
        <v>472</v>
      </c>
      <c r="B439" s="4" t="n">
        <v>3</v>
      </c>
      <c r="C439" s="4" t="n">
        <v>2</v>
      </c>
      <c r="D439" s="4" t="n">
        <v>0.6</v>
      </c>
      <c r="E439" s="4" t="n">
        <v>6.85</v>
      </c>
      <c r="F439" s="4" t="n">
        <v>0.63</v>
      </c>
      <c r="G439" s="4" t="n">
        <v>1.31</v>
      </c>
    </row>
    <row r="440" customFormat="false" ht="15" hidden="false" customHeight="false" outlineLevel="0" collapsed="false">
      <c r="A440" s="4" t="s">
        <v>472</v>
      </c>
      <c r="B440" s="4" t="n">
        <v>3</v>
      </c>
      <c r="C440" s="4" t="n">
        <v>2</v>
      </c>
      <c r="D440" s="4" t="n">
        <v>0.6</v>
      </c>
      <c r="E440" s="4" t="n">
        <v>6.9</v>
      </c>
      <c r="F440" s="4" t="n">
        <v>0.58</v>
      </c>
      <c r="G440" s="4" t="n">
        <v>1.26</v>
      </c>
    </row>
    <row r="441" customFormat="false" ht="15" hidden="false" customHeight="false" outlineLevel="0" collapsed="false">
      <c r="A441" s="4" t="s">
        <v>472</v>
      </c>
      <c r="B441" s="4" t="n">
        <v>3</v>
      </c>
      <c r="C441" s="4" t="n">
        <v>2</v>
      </c>
      <c r="D441" s="4" t="n">
        <v>0.6</v>
      </c>
      <c r="E441" s="4" t="n">
        <v>6.95</v>
      </c>
      <c r="F441" s="4" t="n">
        <v>0.61</v>
      </c>
      <c r="G441" s="4" t="n">
        <v>1.21</v>
      </c>
    </row>
    <row r="442" customFormat="false" ht="15" hidden="false" customHeight="false" outlineLevel="0" collapsed="false">
      <c r="A442" s="4" t="s">
        <v>472</v>
      </c>
      <c r="B442" s="4" t="n">
        <v>1</v>
      </c>
      <c r="C442" s="4" t="n">
        <v>3</v>
      </c>
      <c r="D442" s="4" t="n">
        <v>1.2</v>
      </c>
      <c r="E442" s="4" t="n">
        <v>6</v>
      </c>
      <c r="F442" s="4" t="n">
        <v>1.84</v>
      </c>
      <c r="G442" s="4" t="n">
        <v>1.84</v>
      </c>
    </row>
    <row r="443" customFormat="false" ht="15" hidden="false" customHeight="false" outlineLevel="0" collapsed="false">
      <c r="A443" s="4" t="s">
        <v>472</v>
      </c>
      <c r="B443" s="4" t="n">
        <v>1</v>
      </c>
      <c r="C443" s="4" t="n">
        <v>3</v>
      </c>
      <c r="D443" s="4" t="n">
        <v>1.2</v>
      </c>
      <c r="E443" s="4" t="n">
        <v>6.05</v>
      </c>
      <c r="F443" s="4" t="n">
        <v>1.79</v>
      </c>
      <c r="G443" s="4" t="n">
        <v>1.79</v>
      </c>
    </row>
    <row r="444" customFormat="false" ht="15" hidden="false" customHeight="false" outlineLevel="0" collapsed="false">
      <c r="A444" s="4" t="s">
        <v>472</v>
      </c>
      <c r="B444" s="4" t="n">
        <v>1</v>
      </c>
      <c r="C444" s="4" t="n">
        <v>3</v>
      </c>
      <c r="D444" s="4" t="n">
        <v>1.2</v>
      </c>
      <c r="E444" s="4" t="n">
        <v>6.1</v>
      </c>
      <c r="F444" s="4" t="n">
        <v>1.72</v>
      </c>
      <c r="G444" s="4" t="n">
        <v>1.72</v>
      </c>
    </row>
    <row r="445" customFormat="false" ht="15" hidden="false" customHeight="false" outlineLevel="0" collapsed="false">
      <c r="A445" s="4" t="s">
        <v>472</v>
      </c>
      <c r="B445" s="4" t="n">
        <v>1</v>
      </c>
      <c r="C445" s="4" t="n">
        <v>3</v>
      </c>
      <c r="D445" s="4" t="n">
        <v>1.2</v>
      </c>
      <c r="E445" s="4" t="n">
        <v>6.15</v>
      </c>
      <c r="F445" s="4" t="n">
        <v>1.67</v>
      </c>
      <c r="G445" s="4" t="n">
        <v>1.67</v>
      </c>
    </row>
    <row r="446" customFormat="false" ht="15" hidden="false" customHeight="false" outlineLevel="0" collapsed="false">
      <c r="A446" s="4" t="s">
        <v>472</v>
      </c>
      <c r="B446" s="4" t="n">
        <v>1</v>
      </c>
      <c r="C446" s="4" t="n">
        <v>3</v>
      </c>
      <c r="D446" s="4" t="n">
        <v>1.2</v>
      </c>
      <c r="E446" s="4" t="n">
        <v>6.2</v>
      </c>
      <c r="F446" s="4" t="n">
        <v>1.7</v>
      </c>
      <c r="G446" s="4" t="n">
        <v>1.7</v>
      </c>
    </row>
    <row r="447" customFormat="false" ht="15" hidden="false" customHeight="false" outlineLevel="0" collapsed="false">
      <c r="A447" s="4" t="s">
        <v>472</v>
      </c>
      <c r="B447" s="4" t="n">
        <v>1</v>
      </c>
      <c r="C447" s="4" t="n">
        <v>3</v>
      </c>
      <c r="D447" s="4" t="n">
        <v>1.2</v>
      </c>
      <c r="E447" s="4" t="n">
        <v>6.25</v>
      </c>
      <c r="F447" s="4" t="n">
        <v>1.83</v>
      </c>
      <c r="G447" s="4" t="n">
        <v>1.83</v>
      </c>
    </row>
    <row r="448" customFormat="false" ht="15" hidden="false" customHeight="false" outlineLevel="0" collapsed="false">
      <c r="A448" s="4" t="s">
        <v>472</v>
      </c>
      <c r="B448" s="4" t="n">
        <v>1</v>
      </c>
      <c r="C448" s="4" t="n">
        <v>3</v>
      </c>
      <c r="D448" s="4" t="n">
        <v>1.2</v>
      </c>
      <c r="E448" s="4" t="n">
        <v>6.3</v>
      </c>
      <c r="F448" s="4" t="n">
        <v>1.78</v>
      </c>
      <c r="G448" s="4" t="n">
        <v>1.78</v>
      </c>
    </row>
    <row r="449" customFormat="false" ht="15" hidden="false" customHeight="false" outlineLevel="0" collapsed="false">
      <c r="A449" s="4" t="s">
        <v>472</v>
      </c>
      <c r="B449" s="4" t="n">
        <v>1</v>
      </c>
      <c r="C449" s="4" t="n">
        <v>3</v>
      </c>
      <c r="D449" s="4" t="n">
        <v>1.2</v>
      </c>
      <c r="E449" s="4" t="n">
        <v>6.35</v>
      </c>
      <c r="F449" s="4" t="n">
        <v>1.71</v>
      </c>
      <c r="G449" s="4" t="n">
        <v>1.71</v>
      </c>
    </row>
    <row r="450" customFormat="false" ht="15" hidden="false" customHeight="false" outlineLevel="0" collapsed="false">
      <c r="A450" s="4" t="s">
        <v>472</v>
      </c>
      <c r="B450" s="4" t="n">
        <v>1</v>
      </c>
      <c r="C450" s="4" t="n">
        <v>3</v>
      </c>
      <c r="D450" s="4" t="n">
        <v>1.2</v>
      </c>
      <c r="E450" s="4" t="n">
        <v>6.4</v>
      </c>
      <c r="F450" s="4" t="n">
        <v>1.74</v>
      </c>
      <c r="G450" s="4" t="n">
        <v>1.74</v>
      </c>
    </row>
    <row r="451" customFormat="false" ht="15" hidden="false" customHeight="false" outlineLevel="0" collapsed="false">
      <c r="A451" s="4" t="s">
        <v>472</v>
      </c>
      <c r="B451" s="4" t="n">
        <v>1</v>
      </c>
      <c r="C451" s="4" t="n">
        <v>3</v>
      </c>
      <c r="D451" s="4" t="n">
        <v>1.2</v>
      </c>
      <c r="E451" s="4" t="n">
        <v>6.45</v>
      </c>
      <c r="F451" s="4" t="n">
        <v>1.69</v>
      </c>
      <c r="G451" s="4" t="n">
        <v>1.69</v>
      </c>
    </row>
    <row r="452" customFormat="false" ht="15" hidden="false" customHeight="false" outlineLevel="0" collapsed="false">
      <c r="A452" s="4" t="s">
        <v>472</v>
      </c>
      <c r="B452" s="4" t="n">
        <v>1</v>
      </c>
      <c r="C452" s="4" t="n">
        <v>3</v>
      </c>
      <c r="D452" s="4" t="n">
        <v>1.2</v>
      </c>
      <c r="E452" s="4" t="n">
        <v>6.5</v>
      </c>
      <c r="F452" s="4" t="n">
        <v>1.82</v>
      </c>
      <c r="G452" s="4" t="n">
        <v>1.82</v>
      </c>
    </row>
    <row r="453" customFormat="false" ht="15" hidden="false" customHeight="false" outlineLevel="0" collapsed="false">
      <c r="A453" s="4" t="s">
        <v>472</v>
      </c>
      <c r="B453" s="4" t="n">
        <v>1</v>
      </c>
      <c r="C453" s="4" t="n">
        <v>3</v>
      </c>
      <c r="D453" s="4" t="n">
        <v>1.2</v>
      </c>
      <c r="E453" s="4" t="n">
        <v>6.55</v>
      </c>
      <c r="F453" s="4" t="n">
        <v>1.77</v>
      </c>
      <c r="G453" s="4" t="n">
        <v>1.77</v>
      </c>
    </row>
    <row r="454" customFormat="false" ht="15" hidden="false" customHeight="false" outlineLevel="0" collapsed="false">
      <c r="A454" s="4" t="s">
        <v>472</v>
      </c>
      <c r="B454" s="4" t="n">
        <v>1</v>
      </c>
      <c r="C454" s="4" t="n">
        <v>3</v>
      </c>
      <c r="D454" s="4" t="n">
        <v>1.2</v>
      </c>
      <c r="E454" s="4" t="n">
        <v>6.6</v>
      </c>
      <c r="F454" s="4" t="n">
        <v>1.7</v>
      </c>
      <c r="G454" s="4" t="n">
        <v>1.7</v>
      </c>
    </row>
    <row r="455" customFormat="false" ht="15" hidden="false" customHeight="false" outlineLevel="0" collapsed="false">
      <c r="A455" s="4" t="s">
        <v>472</v>
      </c>
      <c r="B455" s="4" t="n">
        <v>1</v>
      </c>
      <c r="C455" s="4" t="n">
        <v>3</v>
      </c>
      <c r="D455" s="4" t="n">
        <v>1.2</v>
      </c>
      <c r="E455" s="4" t="n">
        <v>6.65</v>
      </c>
      <c r="F455" s="4" t="n">
        <v>1.73</v>
      </c>
      <c r="G455" s="4" t="n">
        <v>1.73</v>
      </c>
    </row>
    <row r="456" customFormat="false" ht="15" hidden="false" customHeight="false" outlineLevel="0" collapsed="false">
      <c r="A456" s="4" t="s">
        <v>472</v>
      </c>
      <c r="B456" s="4" t="n">
        <v>1</v>
      </c>
      <c r="C456" s="4" t="n">
        <v>3</v>
      </c>
      <c r="D456" s="4" t="n">
        <v>1.2</v>
      </c>
      <c r="E456" s="4" t="n">
        <v>6.7</v>
      </c>
      <c r="F456" s="4" t="n">
        <v>1.68</v>
      </c>
      <c r="G456" s="4" t="n">
        <v>1.68</v>
      </c>
    </row>
    <row r="457" customFormat="false" ht="15" hidden="false" customHeight="false" outlineLevel="0" collapsed="false">
      <c r="A457" s="4" t="s">
        <v>472</v>
      </c>
      <c r="B457" s="4" t="n">
        <v>1</v>
      </c>
      <c r="C457" s="4" t="n">
        <v>3</v>
      </c>
      <c r="D457" s="4" t="n">
        <v>1.2</v>
      </c>
      <c r="E457" s="4" t="n">
        <v>6.75</v>
      </c>
      <c r="F457" s="4" t="n">
        <v>1.81</v>
      </c>
      <c r="G457" s="4" t="n">
        <v>1.81</v>
      </c>
    </row>
    <row r="458" customFormat="false" ht="15" hidden="false" customHeight="false" outlineLevel="0" collapsed="false">
      <c r="A458" s="4" t="s">
        <v>472</v>
      </c>
      <c r="B458" s="4" t="n">
        <v>1</v>
      </c>
      <c r="C458" s="4" t="n">
        <v>3</v>
      </c>
      <c r="D458" s="4" t="n">
        <v>1.2</v>
      </c>
      <c r="E458" s="4" t="n">
        <v>6.8</v>
      </c>
      <c r="F458" s="4" t="n">
        <v>1.74</v>
      </c>
      <c r="G458" s="4" t="n">
        <v>1.74</v>
      </c>
    </row>
    <row r="459" customFormat="false" ht="15" hidden="false" customHeight="false" outlineLevel="0" collapsed="false">
      <c r="A459" s="4" t="s">
        <v>472</v>
      </c>
      <c r="B459" s="4" t="n">
        <v>1</v>
      </c>
      <c r="C459" s="4" t="n">
        <v>3</v>
      </c>
      <c r="D459" s="4" t="n">
        <v>1.2</v>
      </c>
      <c r="E459" s="4" t="n">
        <v>6.85</v>
      </c>
      <c r="F459" s="4" t="n">
        <v>1.69</v>
      </c>
      <c r="G459" s="4" t="n">
        <v>1.69</v>
      </c>
    </row>
    <row r="460" customFormat="false" ht="15" hidden="false" customHeight="false" outlineLevel="0" collapsed="false">
      <c r="A460" s="4" t="s">
        <v>472</v>
      </c>
      <c r="B460" s="4" t="n">
        <v>1</v>
      </c>
      <c r="C460" s="4" t="n">
        <v>3</v>
      </c>
      <c r="D460" s="4" t="n">
        <v>1.2</v>
      </c>
      <c r="E460" s="4" t="n">
        <v>6.9</v>
      </c>
      <c r="F460" s="4" t="n">
        <v>1.72</v>
      </c>
      <c r="G460" s="4" t="n">
        <v>1.72</v>
      </c>
    </row>
    <row r="461" customFormat="false" ht="15" hidden="false" customHeight="false" outlineLevel="0" collapsed="false">
      <c r="A461" s="4" t="s">
        <v>472</v>
      </c>
      <c r="B461" s="4" t="n">
        <v>1</v>
      </c>
      <c r="C461" s="4" t="n">
        <v>3</v>
      </c>
      <c r="D461" s="4" t="n">
        <v>1.2</v>
      </c>
      <c r="E461" s="4" t="n">
        <v>6.95</v>
      </c>
      <c r="F461" s="4" t="n">
        <v>1.67</v>
      </c>
      <c r="G461" s="4" t="n">
        <v>1.67</v>
      </c>
    </row>
    <row r="462" customFormat="false" ht="15" hidden="false" customHeight="false" outlineLevel="0" collapsed="false">
      <c r="A462" s="4" t="s">
        <v>472</v>
      </c>
      <c r="B462" s="4" t="n">
        <v>3</v>
      </c>
      <c r="C462" s="4" t="n">
        <v>1</v>
      </c>
      <c r="D462" s="4" t="n">
        <v>1.2</v>
      </c>
      <c r="E462" s="4" t="n">
        <v>6</v>
      </c>
      <c r="F462" s="4" t="n">
        <v>1.48</v>
      </c>
      <c r="G462" s="4" t="n">
        <v>1.48</v>
      </c>
    </row>
    <row r="463" customFormat="false" ht="15" hidden="false" customHeight="false" outlineLevel="0" collapsed="false">
      <c r="A463" s="4" t="s">
        <v>472</v>
      </c>
      <c r="B463" s="4" t="n">
        <v>3</v>
      </c>
      <c r="C463" s="4" t="n">
        <v>1</v>
      </c>
      <c r="D463" s="4" t="n">
        <v>1.2</v>
      </c>
      <c r="E463" s="4" t="n">
        <v>6.05</v>
      </c>
      <c r="F463" s="4" t="n">
        <v>1.43</v>
      </c>
      <c r="G463" s="4" t="n">
        <v>1.43</v>
      </c>
    </row>
    <row r="464" customFormat="false" ht="15" hidden="false" customHeight="false" outlineLevel="0" collapsed="false">
      <c r="A464" s="4" t="s">
        <v>472</v>
      </c>
      <c r="B464" s="4" t="n">
        <v>3</v>
      </c>
      <c r="C464" s="4" t="n">
        <v>1</v>
      </c>
      <c r="D464" s="4" t="n">
        <v>1.2</v>
      </c>
      <c r="E464" s="4" t="n">
        <v>6.1</v>
      </c>
      <c r="F464" s="4" t="n">
        <v>1.36</v>
      </c>
      <c r="G464" s="4" t="n">
        <v>1.36</v>
      </c>
    </row>
    <row r="465" customFormat="false" ht="15" hidden="false" customHeight="false" outlineLevel="0" collapsed="false">
      <c r="A465" s="4" t="s">
        <v>472</v>
      </c>
      <c r="B465" s="4" t="n">
        <v>3</v>
      </c>
      <c r="C465" s="4" t="n">
        <v>1</v>
      </c>
      <c r="D465" s="4" t="n">
        <v>1.2</v>
      </c>
      <c r="E465" s="4" t="n">
        <v>6.15</v>
      </c>
      <c r="F465" s="4" t="n">
        <v>1.47</v>
      </c>
      <c r="G465" s="4" t="n">
        <v>1.47</v>
      </c>
    </row>
    <row r="466" customFormat="false" ht="15" hidden="false" customHeight="false" outlineLevel="0" collapsed="false">
      <c r="A466" s="4" t="s">
        <v>472</v>
      </c>
      <c r="B466" s="4" t="n">
        <v>3</v>
      </c>
      <c r="C466" s="4" t="n">
        <v>1</v>
      </c>
      <c r="D466" s="4" t="n">
        <v>1.2</v>
      </c>
      <c r="E466" s="4" t="n">
        <v>6.2</v>
      </c>
      <c r="F466" s="4" t="n">
        <v>1.42</v>
      </c>
      <c r="G466" s="4" t="n">
        <v>1.42</v>
      </c>
    </row>
    <row r="467" customFormat="false" ht="15" hidden="false" customHeight="false" outlineLevel="0" collapsed="false">
      <c r="A467" s="4" t="s">
        <v>472</v>
      </c>
      <c r="B467" s="4" t="n">
        <v>3</v>
      </c>
      <c r="C467" s="4" t="n">
        <v>1</v>
      </c>
      <c r="D467" s="4" t="n">
        <v>1.2</v>
      </c>
      <c r="E467" s="4" t="n">
        <v>6.25</v>
      </c>
      <c r="F467" s="4" t="n">
        <v>1.47</v>
      </c>
      <c r="G467" s="4" t="n">
        <v>1.47</v>
      </c>
    </row>
    <row r="468" customFormat="false" ht="15" hidden="false" customHeight="false" outlineLevel="0" collapsed="false">
      <c r="A468" s="4" t="s">
        <v>472</v>
      </c>
      <c r="B468" s="4" t="n">
        <v>3</v>
      </c>
      <c r="C468" s="4" t="n">
        <v>1</v>
      </c>
      <c r="D468" s="4" t="n">
        <v>1.2</v>
      </c>
      <c r="E468" s="4" t="n">
        <v>6.3</v>
      </c>
      <c r="F468" s="4" t="n">
        <v>1.4</v>
      </c>
      <c r="G468" s="4" t="n">
        <v>1.4</v>
      </c>
    </row>
    <row r="469" customFormat="false" ht="15" hidden="false" customHeight="false" outlineLevel="0" collapsed="false">
      <c r="A469" s="4" t="s">
        <v>472</v>
      </c>
      <c r="B469" s="4" t="n">
        <v>3</v>
      </c>
      <c r="C469" s="4" t="n">
        <v>1</v>
      </c>
      <c r="D469" s="4" t="n">
        <v>1.2</v>
      </c>
      <c r="E469" s="4" t="n">
        <v>6.35</v>
      </c>
      <c r="F469" s="4" t="n">
        <v>1.35</v>
      </c>
      <c r="G469" s="4" t="n">
        <v>1.35</v>
      </c>
    </row>
    <row r="470" customFormat="false" ht="15" hidden="false" customHeight="false" outlineLevel="0" collapsed="false">
      <c r="A470" s="4" t="s">
        <v>472</v>
      </c>
      <c r="B470" s="4" t="n">
        <v>3</v>
      </c>
      <c r="C470" s="4" t="n">
        <v>1</v>
      </c>
      <c r="D470" s="4" t="n">
        <v>1.2</v>
      </c>
      <c r="E470" s="4" t="n">
        <v>6.4</v>
      </c>
      <c r="F470" s="4" t="n">
        <v>1.46</v>
      </c>
      <c r="G470" s="4" t="n">
        <v>1.46</v>
      </c>
    </row>
    <row r="471" customFormat="false" ht="15" hidden="false" customHeight="false" outlineLevel="0" collapsed="false">
      <c r="A471" s="4" t="s">
        <v>472</v>
      </c>
      <c r="B471" s="4" t="n">
        <v>3</v>
      </c>
      <c r="C471" s="4" t="n">
        <v>1</v>
      </c>
      <c r="D471" s="4" t="n">
        <v>1.2</v>
      </c>
      <c r="E471" s="4" t="n">
        <v>6.45</v>
      </c>
      <c r="F471" s="4" t="n">
        <v>1.41</v>
      </c>
      <c r="G471" s="4" t="n">
        <v>1.41</v>
      </c>
    </row>
    <row r="472" customFormat="false" ht="15" hidden="false" customHeight="false" outlineLevel="0" collapsed="false">
      <c r="A472" s="4" t="s">
        <v>472</v>
      </c>
      <c r="B472" s="4" t="n">
        <v>3</v>
      </c>
      <c r="C472" s="4" t="n">
        <v>1</v>
      </c>
      <c r="D472" s="4" t="n">
        <v>1.2</v>
      </c>
      <c r="E472" s="4" t="n">
        <v>6.5</v>
      </c>
      <c r="F472" s="4" t="n">
        <v>1.46</v>
      </c>
      <c r="G472" s="4" t="n">
        <v>1.46</v>
      </c>
    </row>
    <row r="473" customFormat="false" ht="15" hidden="false" customHeight="false" outlineLevel="0" collapsed="false">
      <c r="A473" s="4" t="s">
        <v>472</v>
      </c>
      <c r="B473" s="4" t="n">
        <v>3</v>
      </c>
      <c r="C473" s="4" t="n">
        <v>1</v>
      </c>
      <c r="D473" s="4" t="n">
        <v>1.2</v>
      </c>
      <c r="E473" s="4" t="n">
        <v>6.55</v>
      </c>
      <c r="F473" s="4" t="n">
        <v>1.39</v>
      </c>
      <c r="G473" s="4" t="n">
        <v>1.39</v>
      </c>
    </row>
    <row r="474" customFormat="false" ht="15" hidden="false" customHeight="false" outlineLevel="0" collapsed="false">
      <c r="A474" s="4" t="s">
        <v>472</v>
      </c>
      <c r="B474" s="4" t="n">
        <v>3</v>
      </c>
      <c r="C474" s="4" t="n">
        <v>1</v>
      </c>
      <c r="D474" s="4" t="n">
        <v>1.2</v>
      </c>
      <c r="E474" s="4" t="n">
        <v>6.6</v>
      </c>
      <c r="F474" s="4" t="n">
        <v>1.34</v>
      </c>
      <c r="G474" s="4" t="n">
        <v>1.34</v>
      </c>
    </row>
    <row r="475" customFormat="false" ht="15" hidden="false" customHeight="false" outlineLevel="0" collapsed="false">
      <c r="A475" s="4" t="s">
        <v>472</v>
      </c>
      <c r="B475" s="4" t="n">
        <v>3</v>
      </c>
      <c r="C475" s="4" t="n">
        <v>1</v>
      </c>
      <c r="D475" s="4" t="n">
        <v>1.2</v>
      </c>
      <c r="E475" s="4" t="n">
        <v>6.65</v>
      </c>
      <c r="F475" s="4" t="n">
        <v>1.45</v>
      </c>
      <c r="G475" s="4" t="n">
        <v>1.45</v>
      </c>
    </row>
    <row r="476" customFormat="false" ht="15" hidden="false" customHeight="false" outlineLevel="0" collapsed="false">
      <c r="A476" s="4" t="s">
        <v>472</v>
      </c>
      <c r="B476" s="4" t="n">
        <v>3</v>
      </c>
      <c r="C476" s="4" t="n">
        <v>1</v>
      </c>
      <c r="D476" s="4" t="n">
        <v>1.2</v>
      </c>
      <c r="E476" s="4" t="n">
        <v>6.7</v>
      </c>
      <c r="F476" s="4" t="n">
        <v>1.5</v>
      </c>
      <c r="G476" s="4" t="n">
        <v>1.5</v>
      </c>
    </row>
    <row r="477" customFormat="false" ht="15" hidden="false" customHeight="false" outlineLevel="0" collapsed="false">
      <c r="A477" s="4" t="s">
        <v>472</v>
      </c>
      <c r="B477" s="4" t="n">
        <v>3</v>
      </c>
      <c r="C477" s="4" t="n">
        <v>1</v>
      </c>
      <c r="D477" s="4" t="n">
        <v>1.2</v>
      </c>
      <c r="E477" s="4" t="n">
        <v>6.75</v>
      </c>
      <c r="F477" s="4" t="n">
        <v>1.45</v>
      </c>
      <c r="G477" s="4" t="n">
        <v>1.45</v>
      </c>
    </row>
    <row r="478" customFormat="false" ht="15" hidden="false" customHeight="false" outlineLevel="0" collapsed="false">
      <c r="A478" s="4" t="s">
        <v>472</v>
      </c>
      <c r="B478" s="4" t="n">
        <v>3</v>
      </c>
      <c r="C478" s="4" t="n">
        <v>1</v>
      </c>
      <c r="D478" s="4" t="n">
        <v>1.2</v>
      </c>
      <c r="E478" s="4" t="n">
        <v>6.8</v>
      </c>
      <c r="F478" s="4" t="n">
        <v>1.38</v>
      </c>
      <c r="G478" s="4" t="n">
        <v>1.38</v>
      </c>
    </row>
    <row r="479" customFormat="false" ht="15" hidden="false" customHeight="false" outlineLevel="0" collapsed="false">
      <c r="A479" s="4" t="s">
        <v>472</v>
      </c>
      <c r="B479" s="4" t="n">
        <v>3</v>
      </c>
      <c r="C479" s="4" t="n">
        <v>1</v>
      </c>
      <c r="D479" s="4" t="n">
        <v>1.2</v>
      </c>
      <c r="E479" s="4" t="n">
        <v>6.85</v>
      </c>
      <c r="F479" s="4" t="n">
        <v>1.33</v>
      </c>
      <c r="G479" s="4" t="n">
        <v>1.33</v>
      </c>
    </row>
    <row r="480" customFormat="false" ht="15" hidden="false" customHeight="false" outlineLevel="0" collapsed="false">
      <c r="A480" s="4" t="s">
        <v>472</v>
      </c>
      <c r="B480" s="4" t="n">
        <v>3</v>
      </c>
      <c r="C480" s="4" t="n">
        <v>1</v>
      </c>
      <c r="D480" s="4" t="n">
        <v>1.2</v>
      </c>
      <c r="E480" s="4" t="n">
        <v>6.9</v>
      </c>
      <c r="F480" s="4" t="n">
        <v>1.44</v>
      </c>
      <c r="G480" s="4" t="n">
        <v>1.44</v>
      </c>
    </row>
    <row r="481" customFormat="false" ht="15" hidden="false" customHeight="false" outlineLevel="0" collapsed="false">
      <c r="A481" s="4" t="s">
        <v>472</v>
      </c>
      <c r="B481" s="4" t="n">
        <v>3</v>
      </c>
      <c r="C481" s="4" t="n">
        <v>1</v>
      </c>
      <c r="D481" s="4" t="n">
        <v>1.2</v>
      </c>
      <c r="E481" s="4" t="n">
        <v>6.95</v>
      </c>
      <c r="F481" s="4" t="n">
        <v>1.49</v>
      </c>
      <c r="G481" s="4" t="n">
        <v>1.49</v>
      </c>
    </row>
    <row r="482" customFormat="false" ht="15" hidden="false" customHeight="false" outlineLevel="0" collapsed="false">
      <c r="A482" s="4" t="s">
        <v>473</v>
      </c>
      <c r="B482" s="4" t="n">
        <v>1</v>
      </c>
      <c r="C482" s="4" t="n">
        <v>3</v>
      </c>
      <c r="D482" s="4" t="n">
        <v>0.6</v>
      </c>
      <c r="E482" s="4" t="n">
        <v>6</v>
      </c>
      <c r="F482" s="4" t="n">
        <v>0.86</v>
      </c>
      <c r="G482" s="4" t="n">
        <v>1.26</v>
      </c>
    </row>
    <row r="483" customFormat="false" ht="15" hidden="false" customHeight="false" outlineLevel="0" collapsed="false">
      <c r="A483" s="4" t="s">
        <v>473</v>
      </c>
      <c r="B483" s="4" t="n">
        <v>1</v>
      </c>
      <c r="C483" s="4" t="n">
        <v>3</v>
      </c>
      <c r="D483" s="4" t="n">
        <v>0.6</v>
      </c>
      <c r="E483" s="4" t="n">
        <v>6.05</v>
      </c>
      <c r="F483" s="4" t="n">
        <v>0.81</v>
      </c>
      <c r="G483" s="4" t="n">
        <v>1.21</v>
      </c>
    </row>
    <row r="484" customFormat="false" ht="15" hidden="false" customHeight="false" outlineLevel="0" collapsed="false">
      <c r="A484" s="4" t="s">
        <v>473</v>
      </c>
      <c r="B484" s="4" t="n">
        <v>1</v>
      </c>
      <c r="C484" s="4" t="n">
        <v>3</v>
      </c>
      <c r="D484" s="4" t="n">
        <v>0.6</v>
      </c>
      <c r="E484" s="4" t="n">
        <v>6.1</v>
      </c>
      <c r="F484" s="4" t="n">
        <v>0.96</v>
      </c>
      <c r="G484" s="4" t="n">
        <v>1.12</v>
      </c>
    </row>
    <row r="485" customFormat="false" ht="15" hidden="false" customHeight="false" outlineLevel="0" collapsed="false">
      <c r="A485" s="4" t="s">
        <v>473</v>
      </c>
      <c r="B485" s="4" t="n">
        <v>1</v>
      </c>
      <c r="C485" s="4" t="n">
        <v>3</v>
      </c>
      <c r="D485" s="4" t="n">
        <v>0.6</v>
      </c>
      <c r="E485" s="4" t="n">
        <v>6.15</v>
      </c>
      <c r="F485" s="4" t="n">
        <v>0.91</v>
      </c>
      <c r="G485" s="4" t="n">
        <v>1.07</v>
      </c>
    </row>
    <row r="486" customFormat="false" ht="15" hidden="false" customHeight="false" outlineLevel="0" collapsed="false">
      <c r="A486" s="4" t="s">
        <v>473</v>
      </c>
      <c r="B486" s="4" t="n">
        <v>1</v>
      </c>
      <c r="C486" s="4" t="n">
        <v>3</v>
      </c>
      <c r="D486" s="4" t="n">
        <v>0.6</v>
      </c>
      <c r="E486" s="4" t="n">
        <v>6.2</v>
      </c>
      <c r="F486" s="4" t="n">
        <v>0.82</v>
      </c>
      <c r="G486" s="4" t="n">
        <v>1.06</v>
      </c>
    </row>
    <row r="487" customFormat="false" ht="15" hidden="false" customHeight="false" outlineLevel="0" collapsed="false">
      <c r="A487" s="4" t="s">
        <v>473</v>
      </c>
      <c r="B487" s="4" t="n">
        <v>1</v>
      </c>
      <c r="C487" s="4" t="n">
        <v>3</v>
      </c>
      <c r="D487" s="4" t="n">
        <v>0.6</v>
      </c>
      <c r="E487" s="4" t="n">
        <v>6.25</v>
      </c>
      <c r="F487" s="4" t="n">
        <v>0.85</v>
      </c>
      <c r="G487" s="4" t="n">
        <v>1.25</v>
      </c>
    </row>
    <row r="488" customFormat="false" ht="15" hidden="false" customHeight="false" outlineLevel="0" collapsed="false">
      <c r="A488" s="4" t="s">
        <v>473</v>
      </c>
      <c r="B488" s="4" t="n">
        <v>1</v>
      </c>
      <c r="C488" s="4" t="n">
        <v>3</v>
      </c>
      <c r="D488" s="4" t="n">
        <v>0.6</v>
      </c>
      <c r="E488" s="4" t="n">
        <v>6.3</v>
      </c>
      <c r="F488" s="4" t="n">
        <v>0.8</v>
      </c>
      <c r="G488" s="4" t="n">
        <v>1.2</v>
      </c>
    </row>
    <row r="489" customFormat="false" ht="15" hidden="false" customHeight="false" outlineLevel="0" collapsed="false">
      <c r="A489" s="4" t="s">
        <v>473</v>
      </c>
      <c r="B489" s="4" t="n">
        <v>1</v>
      </c>
      <c r="C489" s="4" t="n">
        <v>3</v>
      </c>
      <c r="D489" s="4" t="n">
        <v>0.6</v>
      </c>
      <c r="E489" s="4" t="n">
        <v>6.35</v>
      </c>
      <c r="F489" s="4" t="n">
        <v>0.95</v>
      </c>
      <c r="G489" s="4" t="n">
        <v>1.11</v>
      </c>
    </row>
    <row r="490" customFormat="false" ht="15" hidden="false" customHeight="false" outlineLevel="0" collapsed="false">
      <c r="A490" s="4" t="s">
        <v>473</v>
      </c>
      <c r="B490" s="4" t="n">
        <v>1</v>
      </c>
      <c r="C490" s="4" t="n">
        <v>3</v>
      </c>
      <c r="D490" s="4" t="n">
        <v>0.6</v>
      </c>
      <c r="E490" s="4" t="n">
        <v>6.4</v>
      </c>
      <c r="F490" s="4" t="n">
        <v>0.86</v>
      </c>
      <c r="G490" s="4" t="n">
        <v>1.1</v>
      </c>
    </row>
    <row r="491" customFormat="false" ht="15" hidden="false" customHeight="false" outlineLevel="0" collapsed="false">
      <c r="A491" s="4" t="s">
        <v>473</v>
      </c>
      <c r="B491" s="4" t="n">
        <v>1</v>
      </c>
      <c r="C491" s="4" t="n">
        <v>3</v>
      </c>
      <c r="D491" s="4" t="n">
        <v>0.6</v>
      </c>
      <c r="E491" s="4" t="n">
        <v>6.45</v>
      </c>
      <c r="F491" s="4" t="n">
        <v>0.81</v>
      </c>
      <c r="G491" s="4" t="n">
        <v>1.05</v>
      </c>
    </row>
    <row r="492" customFormat="false" ht="15" hidden="false" customHeight="false" outlineLevel="0" collapsed="false">
      <c r="A492" s="4" t="s">
        <v>473</v>
      </c>
      <c r="B492" s="4" t="n">
        <v>1</v>
      </c>
      <c r="C492" s="4" t="n">
        <v>3</v>
      </c>
      <c r="D492" s="4" t="n">
        <v>0.6</v>
      </c>
      <c r="E492" s="4" t="n">
        <v>6.5</v>
      </c>
      <c r="F492" s="4" t="n">
        <v>0.84</v>
      </c>
      <c r="G492" s="4" t="n">
        <v>1.24</v>
      </c>
    </row>
    <row r="493" customFormat="false" ht="15" hidden="false" customHeight="false" outlineLevel="0" collapsed="false">
      <c r="A493" s="4" t="s">
        <v>473</v>
      </c>
      <c r="B493" s="4" t="n">
        <v>1</v>
      </c>
      <c r="C493" s="4" t="n">
        <v>3</v>
      </c>
      <c r="D493" s="4" t="n">
        <v>0.6</v>
      </c>
      <c r="E493" s="4" t="n">
        <v>6.55</v>
      </c>
      <c r="F493" s="4" t="n">
        <v>0.79</v>
      </c>
      <c r="G493" s="4" t="n">
        <v>1.19</v>
      </c>
    </row>
    <row r="494" customFormat="false" ht="15" hidden="false" customHeight="false" outlineLevel="0" collapsed="false">
      <c r="A494" s="4" t="s">
        <v>473</v>
      </c>
      <c r="B494" s="4" t="n">
        <v>1</v>
      </c>
      <c r="C494" s="4" t="n">
        <v>3</v>
      </c>
      <c r="D494" s="4" t="n">
        <v>0.6</v>
      </c>
      <c r="E494" s="4" t="n">
        <v>6.6</v>
      </c>
      <c r="F494" s="4" t="n">
        <v>0.94</v>
      </c>
      <c r="G494" s="4" t="n">
        <v>1.1</v>
      </c>
    </row>
    <row r="495" customFormat="false" ht="15" hidden="false" customHeight="false" outlineLevel="0" collapsed="false">
      <c r="A495" s="4" t="s">
        <v>473</v>
      </c>
      <c r="B495" s="4" t="n">
        <v>1</v>
      </c>
      <c r="C495" s="4" t="n">
        <v>3</v>
      </c>
      <c r="D495" s="4" t="n">
        <v>0.6</v>
      </c>
      <c r="E495" s="4" t="n">
        <v>6.65</v>
      </c>
      <c r="F495" s="4" t="n">
        <v>0.85</v>
      </c>
      <c r="G495" s="4" t="n">
        <v>1.09</v>
      </c>
    </row>
    <row r="496" customFormat="false" ht="15" hidden="false" customHeight="false" outlineLevel="0" collapsed="false">
      <c r="A496" s="4" t="s">
        <v>473</v>
      </c>
      <c r="B496" s="4" t="n">
        <v>1</v>
      </c>
      <c r="C496" s="4" t="n">
        <v>3</v>
      </c>
      <c r="D496" s="4" t="n">
        <v>0.6</v>
      </c>
      <c r="E496" s="4" t="n">
        <v>6.7</v>
      </c>
      <c r="F496" s="4" t="n">
        <v>0.8</v>
      </c>
      <c r="G496" s="4" t="n">
        <v>1.04</v>
      </c>
    </row>
    <row r="497" customFormat="false" ht="15" hidden="false" customHeight="false" outlineLevel="0" collapsed="false">
      <c r="A497" s="4" t="s">
        <v>473</v>
      </c>
      <c r="B497" s="4" t="n">
        <v>1</v>
      </c>
      <c r="C497" s="4" t="n">
        <v>3</v>
      </c>
      <c r="D497" s="4" t="n">
        <v>0.6</v>
      </c>
      <c r="E497" s="4" t="n">
        <v>6.75</v>
      </c>
      <c r="F497" s="4" t="n">
        <v>0.83</v>
      </c>
      <c r="G497" s="4" t="n">
        <v>1.23</v>
      </c>
    </row>
    <row r="498" customFormat="false" ht="15" hidden="false" customHeight="false" outlineLevel="0" collapsed="false">
      <c r="A498" s="4" t="s">
        <v>473</v>
      </c>
      <c r="B498" s="4" t="n">
        <v>1</v>
      </c>
      <c r="C498" s="4" t="n">
        <v>3</v>
      </c>
      <c r="D498" s="4" t="n">
        <v>0.6</v>
      </c>
      <c r="E498" s="4" t="n">
        <v>6.8</v>
      </c>
      <c r="F498" s="4" t="n">
        <v>0.98</v>
      </c>
      <c r="G498" s="4" t="n">
        <v>1.14</v>
      </c>
    </row>
    <row r="499" customFormat="false" ht="15" hidden="false" customHeight="false" outlineLevel="0" collapsed="false">
      <c r="A499" s="4" t="s">
        <v>473</v>
      </c>
      <c r="B499" s="4" t="n">
        <v>1</v>
      </c>
      <c r="C499" s="4" t="n">
        <v>3</v>
      </c>
      <c r="D499" s="4" t="n">
        <v>0.6</v>
      </c>
      <c r="E499" s="4" t="n">
        <v>6.85</v>
      </c>
      <c r="F499" s="4" t="n">
        <v>0.93</v>
      </c>
      <c r="G499" s="4" t="n">
        <v>1.09</v>
      </c>
    </row>
    <row r="500" customFormat="false" ht="15" hidden="false" customHeight="false" outlineLevel="0" collapsed="false">
      <c r="A500" s="4" t="s">
        <v>473</v>
      </c>
      <c r="B500" s="4" t="n">
        <v>1</v>
      </c>
      <c r="C500" s="4" t="n">
        <v>3</v>
      </c>
      <c r="D500" s="4" t="n">
        <v>0.6</v>
      </c>
      <c r="E500" s="4" t="n">
        <v>6.9</v>
      </c>
      <c r="F500" s="4" t="n">
        <v>0.84</v>
      </c>
      <c r="G500" s="4" t="n">
        <v>1.08</v>
      </c>
    </row>
    <row r="501" customFormat="false" ht="15" hidden="false" customHeight="false" outlineLevel="0" collapsed="false">
      <c r="A501" s="4" t="s">
        <v>473</v>
      </c>
      <c r="B501" s="4" t="n">
        <v>1</v>
      </c>
      <c r="C501" s="4" t="n">
        <v>3</v>
      </c>
      <c r="D501" s="4" t="n">
        <v>0.6</v>
      </c>
      <c r="E501" s="4" t="n">
        <v>6.95</v>
      </c>
      <c r="F501" s="4" t="n">
        <v>0.79</v>
      </c>
      <c r="G501" s="4" t="n">
        <v>1.03</v>
      </c>
    </row>
    <row r="502" customFormat="false" ht="15" hidden="false" customHeight="false" outlineLevel="0" collapsed="false">
      <c r="A502" s="4" t="s">
        <v>473</v>
      </c>
      <c r="B502" s="4" t="n">
        <v>3</v>
      </c>
      <c r="C502" s="4" t="n">
        <v>1</v>
      </c>
      <c r="D502" s="4" t="n">
        <v>0.6</v>
      </c>
      <c r="E502" s="4" t="n">
        <v>6</v>
      </c>
      <c r="F502" s="4" t="n">
        <v>0.9</v>
      </c>
      <c r="G502" s="4" t="n">
        <v>0.98</v>
      </c>
    </row>
    <row r="503" customFormat="false" ht="15" hidden="false" customHeight="false" outlineLevel="0" collapsed="false">
      <c r="A503" s="4" t="s">
        <v>473</v>
      </c>
      <c r="B503" s="4" t="n">
        <v>3</v>
      </c>
      <c r="C503" s="4" t="n">
        <v>1</v>
      </c>
      <c r="D503" s="4" t="n">
        <v>0.6</v>
      </c>
      <c r="E503" s="4" t="n">
        <v>6.05</v>
      </c>
      <c r="F503" s="4" t="n">
        <v>0.93</v>
      </c>
      <c r="G503" s="4" t="n">
        <v>1.01</v>
      </c>
    </row>
    <row r="504" customFormat="false" ht="15" hidden="false" customHeight="false" outlineLevel="0" collapsed="false">
      <c r="A504" s="4" t="s">
        <v>473</v>
      </c>
      <c r="B504" s="4" t="n">
        <v>3</v>
      </c>
      <c r="C504" s="4" t="n">
        <v>1</v>
      </c>
      <c r="D504" s="4" t="n">
        <v>0.6</v>
      </c>
      <c r="E504" s="4" t="n">
        <v>6.1</v>
      </c>
      <c r="F504" s="4" t="n">
        <v>0.88</v>
      </c>
      <c r="G504" s="4" t="n">
        <v>0.96</v>
      </c>
    </row>
    <row r="505" customFormat="false" ht="15" hidden="false" customHeight="false" outlineLevel="0" collapsed="false">
      <c r="A505" s="4" t="s">
        <v>473</v>
      </c>
      <c r="B505" s="4" t="n">
        <v>3</v>
      </c>
      <c r="C505" s="4" t="n">
        <v>1</v>
      </c>
      <c r="D505" s="4" t="n">
        <v>0.6</v>
      </c>
      <c r="E505" s="4" t="n">
        <v>6.15</v>
      </c>
      <c r="F505" s="4" t="n">
        <v>0.83</v>
      </c>
      <c r="G505" s="4" t="n">
        <v>1.23</v>
      </c>
    </row>
    <row r="506" customFormat="false" ht="15" hidden="false" customHeight="false" outlineLevel="0" collapsed="false">
      <c r="A506" s="4" t="s">
        <v>473</v>
      </c>
      <c r="B506" s="4" t="n">
        <v>3</v>
      </c>
      <c r="C506" s="4" t="n">
        <v>1</v>
      </c>
      <c r="D506" s="4" t="n">
        <v>0.6</v>
      </c>
      <c r="E506" s="4" t="n">
        <v>6.2</v>
      </c>
      <c r="F506" s="4" t="n">
        <v>0.94</v>
      </c>
      <c r="G506" s="4" t="n">
        <v>1.02</v>
      </c>
    </row>
    <row r="507" customFormat="false" ht="15" hidden="false" customHeight="false" outlineLevel="0" collapsed="false">
      <c r="A507" s="4" t="s">
        <v>473</v>
      </c>
      <c r="B507" s="4" t="n">
        <v>3</v>
      </c>
      <c r="C507" s="4" t="n">
        <v>1</v>
      </c>
      <c r="D507" s="4" t="n">
        <v>0.6</v>
      </c>
      <c r="E507" s="4" t="n">
        <v>6.25</v>
      </c>
      <c r="F507" s="4" t="n">
        <v>0.89</v>
      </c>
      <c r="G507" s="4" t="n">
        <v>0.97</v>
      </c>
    </row>
    <row r="508" customFormat="false" ht="15" hidden="false" customHeight="false" outlineLevel="0" collapsed="false">
      <c r="A508" s="4" t="s">
        <v>473</v>
      </c>
      <c r="B508" s="4" t="n">
        <v>3</v>
      </c>
      <c r="C508" s="4" t="n">
        <v>1</v>
      </c>
      <c r="D508" s="4" t="n">
        <v>0.6</v>
      </c>
      <c r="E508" s="4" t="n">
        <v>6.3</v>
      </c>
      <c r="F508" s="4" t="n">
        <v>0.92</v>
      </c>
      <c r="G508" s="4" t="n">
        <v>1</v>
      </c>
    </row>
    <row r="509" customFormat="false" ht="15" hidden="false" customHeight="false" outlineLevel="0" collapsed="false">
      <c r="A509" s="4" t="s">
        <v>473</v>
      </c>
      <c r="B509" s="4" t="n">
        <v>3</v>
      </c>
      <c r="C509" s="4" t="n">
        <v>1</v>
      </c>
      <c r="D509" s="4" t="n">
        <v>0.6</v>
      </c>
      <c r="E509" s="4" t="n">
        <v>6.35</v>
      </c>
      <c r="F509" s="4" t="n">
        <v>0.87</v>
      </c>
      <c r="G509" s="4" t="n">
        <v>0.95</v>
      </c>
    </row>
    <row r="510" customFormat="false" ht="15" hidden="false" customHeight="false" outlineLevel="0" collapsed="false">
      <c r="A510" s="4" t="s">
        <v>473</v>
      </c>
      <c r="B510" s="4" t="n">
        <v>3</v>
      </c>
      <c r="C510" s="4" t="n">
        <v>1</v>
      </c>
      <c r="D510" s="4" t="n">
        <v>0.6</v>
      </c>
      <c r="E510" s="4" t="n">
        <v>6.4</v>
      </c>
      <c r="F510" s="4" t="n">
        <v>0.82</v>
      </c>
      <c r="G510" s="4" t="n">
        <v>1.22</v>
      </c>
    </row>
    <row r="511" customFormat="false" ht="15" hidden="false" customHeight="false" outlineLevel="0" collapsed="false">
      <c r="A511" s="4" t="s">
        <v>473</v>
      </c>
      <c r="B511" s="4" t="n">
        <v>3</v>
      </c>
      <c r="C511" s="4" t="n">
        <v>1</v>
      </c>
      <c r="D511" s="4" t="n">
        <v>0.6</v>
      </c>
      <c r="E511" s="4" t="n">
        <v>6.45</v>
      </c>
      <c r="F511" s="4" t="n">
        <v>0.93</v>
      </c>
      <c r="G511" s="4" t="n">
        <v>1.01</v>
      </c>
    </row>
    <row r="512" customFormat="false" ht="15" hidden="false" customHeight="false" outlineLevel="0" collapsed="false">
      <c r="A512" s="4" t="s">
        <v>473</v>
      </c>
      <c r="B512" s="4" t="n">
        <v>3</v>
      </c>
      <c r="C512" s="4" t="n">
        <v>1</v>
      </c>
      <c r="D512" s="4" t="n">
        <v>0.6</v>
      </c>
      <c r="E512" s="4" t="n">
        <v>6.5</v>
      </c>
      <c r="F512" s="4" t="n">
        <v>0.88</v>
      </c>
      <c r="G512" s="4" t="n">
        <v>0.96</v>
      </c>
    </row>
    <row r="513" customFormat="false" ht="15" hidden="false" customHeight="false" outlineLevel="0" collapsed="false">
      <c r="A513" s="4" t="s">
        <v>473</v>
      </c>
      <c r="B513" s="4" t="n">
        <v>3</v>
      </c>
      <c r="C513" s="4" t="n">
        <v>1</v>
      </c>
      <c r="D513" s="4" t="n">
        <v>0.6</v>
      </c>
      <c r="E513" s="4" t="n">
        <v>6.55</v>
      </c>
      <c r="F513" s="4" t="n">
        <v>0.91</v>
      </c>
      <c r="G513" s="4" t="n">
        <v>0.99</v>
      </c>
    </row>
    <row r="514" customFormat="false" ht="15" hidden="false" customHeight="false" outlineLevel="0" collapsed="false">
      <c r="A514" s="4" t="s">
        <v>473</v>
      </c>
      <c r="B514" s="4" t="n">
        <v>3</v>
      </c>
      <c r="C514" s="4" t="n">
        <v>1</v>
      </c>
      <c r="D514" s="4" t="n">
        <v>0.6</v>
      </c>
      <c r="E514" s="4" t="n">
        <v>6.6</v>
      </c>
      <c r="F514" s="4" t="n">
        <v>0.86</v>
      </c>
      <c r="G514" s="4" t="n">
        <v>1.26</v>
      </c>
    </row>
    <row r="515" customFormat="false" ht="15" hidden="false" customHeight="false" outlineLevel="0" collapsed="false">
      <c r="A515" s="4" t="s">
        <v>473</v>
      </c>
      <c r="B515" s="4" t="n">
        <v>3</v>
      </c>
      <c r="C515" s="4" t="n">
        <v>1</v>
      </c>
      <c r="D515" s="4" t="n">
        <v>0.6</v>
      </c>
      <c r="E515" s="4" t="n">
        <v>6.65</v>
      </c>
      <c r="F515" s="4" t="n">
        <v>0.81</v>
      </c>
      <c r="G515" s="4" t="n">
        <v>1.21</v>
      </c>
    </row>
    <row r="516" customFormat="false" ht="15" hidden="false" customHeight="false" outlineLevel="0" collapsed="false">
      <c r="A516" s="4" t="s">
        <v>473</v>
      </c>
      <c r="B516" s="4" t="n">
        <v>3</v>
      </c>
      <c r="C516" s="4" t="n">
        <v>1</v>
      </c>
      <c r="D516" s="4" t="n">
        <v>0.6</v>
      </c>
      <c r="E516" s="4" t="n">
        <v>6.7</v>
      </c>
      <c r="F516" s="4" t="n">
        <v>0.92</v>
      </c>
      <c r="G516" s="4" t="n">
        <v>1</v>
      </c>
    </row>
    <row r="517" customFormat="false" ht="15" hidden="false" customHeight="false" outlineLevel="0" collapsed="false">
      <c r="A517" s="4" t="s">
        <v>473</v>
      </c>
      <c r="B517" s="4" t="n">
        <v>3</v>
      </c>
      <c r="C517" s="4" t="n">
        <v>1</v>
      </c>
      <c r="D517" s="4" t="n">
        <v>0.6</v>
      </c>
      <c r="E517" s="4" t="n">
        <v>6.75</v>
      </c>
      <c r="F517" s="4" t="n">
        <v>0.87</v>
      </c>
      <c r="G517" s="4" t="n">
        <v>0.95</v>
      </c>
    </row>
    <row r="518" customFormat="false" ht="15" hidden="false" customHeight="false" outlineLevel="0" collapsed="false">
      <c r="A518" s="4" t="s">
        <v>473</v>
      </c>
      <c r="B518" s="4" t="n">
        <v>3</v>
      </c>
      <c r="C518" s="4" t="n">
        <v>1</v>
      </c>
      <c r="D518" s="4" t="n">
        <v>0.6</v>
      </c>
      <c r="E518" s="4" t="n">
        <v>6.8</v>
      </c>
      <c r="F518" s="4" t="n">
        <v>0.9</v>
      </c>
      <c r="G518" s="4" t="n">
        <v>0.98</v>
      </c>
    </row>
    <row r="519" customFormat="false" ht="15" hidden="false" customHeight="false" outlineLevel="0" collapsed="false">
      <c r="A519" s="4" t="s">
        <v>473</v>
      </c>
      <c r="B519" s="4" t="n">
        <v>3</v>
      </c>
      <c r="C519" s="4" t="n">
        <v>1</v>
      </c>
      <c r="D519" s="4" t="n">
        <v>0.6</v>
      </c>
      <c r="E519" s="4" t="n">
        <v>6.85</v>
      </c>
      <c r="F519" s="4" t="n">
        <v>0.85</v>
      </c>
      <c r="G519" s="4" t="n">
        <v>1.25</v>
      </c>
    </row>
    <row r="520" customFormat="false" ht="15" hidden="false" customHeight="false" outlineLevel="0" collapsed="false">
      <c r="A520" s="4" t="s">
        <v>473</v>
      </c>
      <c r="B520" s="4" t="n">
        <v>3</v>
      </c>
      <c r="C520" s="4" t="n">
        <v>1</v>
      </c>
      <c r="D520" s="4" t="n">
        <v>0.6</v>
      </c>
      <c r="E520" s="4" t="n">
        <v>6.9</v>
      </c>
      <c r="F520" s="4" t="n">
        <v>0.8</v>
      </c>
      <c r="G520" s="4" t="n">
        <v>1.2</v>
      </c>
    </row>
    <row r="521" customFormat="false" ht="15" hidden="false" customHeight="false" outlineLevel="0" collapsed="false">
      <c r="A521" s="4" t="s">
        <v>473</v>
      </c>
      <c r="B521" s="4" t="n">
        <v>3</v>
      </c>
      <c r="C521" s="4" t="n">
        <v>1</v>
      </c>
      <c r="D521" s="4" t="n">
        <v>0.6</v>
      </c>
      <c r="E521" s="4" t="n">
        <v>6.95</v>
      </c>
      <c r="F521" s="4" t="n">
        <v>0.91</v>
      </c>
      <c r="G521" s="4" t="n">
        <v>0.99</v>
      </c>
    </row>
    <row r="522" customFormat="false" ht="15" hidden="false" customHeight="false" outlineLevel="0" collapsed="false">
      <c r="A522" s="4" t="s">
        <v>473</v>
      </c>
      <c r="B522" s="4" t="n">
        <v>1</v>
      </c>
      <c r="C522" s="4" t="n">
        <v>2</v>
      </c>
      <c r="D522" s="4" t="n">
        <v>0.6</v>
      </c>
      <c r="E522" s="4" t="n">
        <v>6</v>
      </c>
      <c r="F522" s="4" t="n">
        <v>0.64</v>
      </c>
      <c r="G522" s="4" t="n">
        <v>1.32</v>
      </c>
    </row>
    <row r="523" customFormat="false" ht="15" hidden="false" customHeight="false" outlineLevel="0" collapsed="false">
      <c r="A523" s="4" t="s">
        <v>473</v>
      </c>
      <c r="B523" s="4" t="n">
        <v>1</v>
      </c>
      <c r="C523" s="4" t="n">
        <v>2</v>
      </c>
      <c r="D523" s="4" t="n">
        <v>0.6</v>
      </c>
      <c r="E523" s="4" t="n">
        <v>6.05</v>
      </c>
      <c r="F523" s="4" t="n">
        <v>0.59</v>
      </c>
      <c r="G523" s="4" t="n">
        <v>1.27</v>
      </c>
    </row>
    <row r="524" customFormat="false" ht="15" hidden="false" customHeight="false" outlineLevel="0" collapsed="false">
      <c r="A524" s="4" t="s">
        <v>473</v>
      </c>
      <c r="B524" s="4" t="n">
        <v>1</v>
      </c>
      <c r="C524" s="4" t="n">
        <v>2</v>
      </c>
      <c r="D524" s="4" t="n">
        <v>0.6</v>
      </c>
      <c r="E524" s="4" t="n">
        <v>6.1</v>
      </c>
      <c r="F524" s="4" t="n">
        <v>0.54</v>
      </c>
      <c r="G524" s="4" t="n">
        <v>1.14</v>
      </c>
    </row>
    <row r="525" customFormat="false" ht="15" hidden="false" customHeight="false" outlineLevel="0" collapsed="false">
      <c r="A525" s="4" t="s">
        <v>473</v>
      </c>
      <c r="B525" s="4" t="n">
        <v>1</v>
      </c>
      <c r="C525" s="4" t="n">
        <v>2</v>
      </c>
      <c r="D525" s="4" t="n">
        <v>0.6</v>
      </c>
      <c r="E525" s="4" t="n">
        <v>6.15</v>
      </c>
      <c r="F525" s="4" t="n">
        <v>0.49</v>
      </c>
      <c r="G525" s="4" t="n">
        <v>1.09</v>
      </c>
    </row>
    <row r="526" customFormat="false" ht="15" hidden="false" customHeight="false" outlineLevel="0" collapsed="false">
      <c r="A526" s="4" t="s">
        <v>473</v>
      </c>
      <c r="B526" s="4" t="n">
        <v>1</v>
      </c>
      <c r="C526" s="4" t="n">
        <v>2</v>
      </c>
      <c r="D526" s="4" t="n">
        <v>0.6</v>
      </c>
      <c r="E526" s="4" t="n">
        <v>6.2</v>
      </c>
      <c r="F526" s="4" t="n">
        <v>1.08</v>
      </c>
      <c r="G526" s="4" t="n">
        <v>1.42</v>
      </c>
    </row>
    <row r="527" customFormat="false" ht="15" hidden="false" customHeight="false" outlineLevel="0" collapsed="false">
      <c r="A527" s="4" t="s">
        <v>473</v>
      </c>
      <c r="B527" s="4" t="n">
        <v>1</v>
      </c>
      <c r="C527" s="4" t="n">
        <v>2</v>
      </c>
      <c r="D527" s="4" t="n">
        <v>0.6</v>
      </c>
      <c r="E527" s="4" t="n">
        <v>6.25</v>
      </c>
      <c r="F527" s="4" t="n">
        <v>0.63</v>
      </c>
      <c r="G527" s="4" t="n">
        <v>1.31</v>
      </c>
    </row>
    <row r="528" customFormat="false" ht="15" hidden="false" customHeight="false" outlineLevel="0" collapsed="false">
      <c r="A528" s="4" t="s">
        <v>473</v>
      </c>
      <c r="B528" s="4" t="n">
        <v>1</v>
      </c>
      <c r="C528" s="4" t="n">
        <v>2</v>
      </c>
      <c r="D528" s="4" t="n">
        <v>0.6</v>
      </c>
      <c r="E528" s="4" t="n">
        <v>6.3</v>
      </c>
      <c r="F528" s="4" t="n">
        <v>0.58</v>
      </c>
      <c r="G528" s="4" t="n">
        <v>1.26</v>
      </c>
    </row>
    <row r="529" customFormat="false" ht="15" hidden="false" customHeight="false" outlineLevel="0" collapsed="false">
      <c r="A529" s="4" t="s">
        <v>473</v>
      </c>
      <c r="B529" s="4" t="n">
        <v>1</v>
      </c>
      <c r="C529" s="4" t="n">
        <v>2</v>
      </c>
      <c r="D529" s="4" t="n">
        <v>0.6</v>
      </c>
      <c r="E529" s="4" t="n">
        <v>6.35</v>
      </c>
      <c r="F529" s="4" t="n">
        <v>0.53</v>
      </c>
      <c r="G529" s="4" t="n">
        <v>1.13</v>
      </c>
    </row>
    <row r="530" customFormat="false" ht="15" hidden="false" customHeight="false" outlineLevel="0" collapsed="false">
      <c r="A530" s="4" t="s">
        <v>473</v>
      </c>
      <c r="B530" s="4" t="n">
        <v>1</v>
      </c>
      <c r="C530" s="4" t="n">
        <v>2</v>
      </c>
      <c r="D530" s="4" t="n">
        <v>0.6</v>
      </c>
      <c r="E530" s="4" t="n">
        <v>6.4</v>
      </c>
      <c r="F530" s="4" t="n">
        <v>1.12</v>
      </c>
      <c r="G530" s="4" t="n">
        <v>1.46</v>
      </c>
    </row>
    <row r="531" customFormat="false" ht="15" hidden="false" customHeight="false" outlineLevel="0" collapsed="false">
      <c r="A531" s="4" t="s">
        <v>473</v>
      </c>
      <c r="B531" s="4" t="n">
        <v>1</v>
      </c>
      <c r="C531" s="4" t="n">
        <v>2</v>
      </c>
      <c r="D531" s="4" t="n">
        <v>0.6</v>
      </c>
      <c r="E531" s="4" t="n">
        <v>6.45</v>
      </c>
      <c r="F531" s="4" t="n">
        <v>1.07</v>
      </c>
      <c r="G531" s="4" t="n">
        <v>1.41</v>
      </c>
    </row>
    <row r="532" customFormat="false" ht="15" hidden="false" customHeight="false" outlineLevel="0" collapsed="false">
      <c r="A532" s="4" t="s">
        <v>473</v>
      </c>
      <c r="B532" s="4" t="n">
        <v>1</v>
      </c>
      <c r="C532" s="4" t="n">
        <v>2</v>
      </c>
      <c r="D532" s="4" t="n">
        <v>0.6</v>
      </c>
      <c r="E532" s="4" t="n">
        <v>6.5</v>
      </c>
      <c r="F532" s="4" t="n">
        <v>0.62</v>
      </c>
      <c r="G532" s="4" t="n">
        <v>1.3</v>
      </c>
    </row>
    <row r="533" customFormat="false" ht="15" hidden="false" customHeight="false" outlineLevel="0" collapsed="false">
      <c r="A533" s="4" t="s">
        <v>473</v>
      </c>
      <c r="B533" s="4" t="n">
        <v>1</v>
      </c>
      <c r="C533" s="4" t="n">
        <v>2</v>
      </c>
      <c r="D533" s="4" t="n">
        <v>0.6</v>
      </c>
      <c r="E533" s="4" t="n">
        <v>6.55</v>
      </c>
      <c r="F533" s="4" t="n">
        <v>0.57</v>
      </c>
      <c r="G533" s="4" t="n">
        <v>1.25</v>
      </c>
    </row>
    <row r="534" customFormat="false" ht="15" hidden="false" customHeight="false" outlineLevel="0" collapsed="false">
      <c r="A534" s="4" t="s">
        <v>473</v>
      </c>
      <c r="B534" s="4" t="n">
        <v>1</v>
      </c>
      <c r="C534" s="4" t="n">
        <v>2</v>
      </c>
      <c r="D534" s="4" t="n">
        <v>0.6</v>
      </c>
      <c r="E534" s="4" t="n">
        <v>6.6</v>
      </c>
      <c r="F534" s="4" t="n">
        <v>0.52</v>
      </c>
      <c r="G534" s="4" t="n">
        <v>1.12</v>
      </c>
    </row>
    <row r="535" customFormat="false" ht="15" hidden="false" customHeight="false" outlineLevel="0" collapsed="false">
      <c r="A535" s="4" t="s">
        <v>473</v>
      </c>
      <c r="B535" s="4" t="n">
        <v>1</v>
      </c>
      <c r="C535" s="4" t="n">
        <v>2</v>
      </c>
      <c r="D535" s="4" t="n">
        <v>0.6</v>
      </c>
      <c r="E535" s="4" t="n">
        <v>6.65</v>
      </c>
      <c r="F535" s="4" t="n">
        <v>1.11</v>
      </c>
      <c r="G535" s="4" t="n">
        <v>1.45</v>
      </c>
    </row>
    <row r="536" customFormat="false" ht="15" hidden="false" customHeight="false" outlineLevel="0" collapsed="false">
      <c r="A536" s="4" t="s">
        <v>473</v>
      </c>
      <c r="B536" s="4" t="n">
        <v>1</v>
      </c>
      <c r="C536" s="4" t="n">
        <v>2</v>
      </c>
      <c r="D536" s="4" t="n">
        <v>0.6</v>
      </c>
      <c r="E536" s="4" t="n">
        <v>6.7</v>
      </c>
      <c r="F536" s="4" t="n">
        <v>1.06</v>
      </c>
      <c r="G536" s="4" t="n">
        <v>1.4</v>
      </c>
    </row>
    <row r="537" customFormat="false" ht="15" hidden="false" customHeight="false" outlineLevel="0" collapsed="false">
      <c r="A537" s="4" t="s">
        <v>473</v>
      </c>
      <c r="B537" s="4" t="n">
        <v>1</v>
      </c>
      <c r="C537" s="4" t="n">
        <v>2</v>
      </c>
      <c r="D537" s="4" t="n">
        <v>0.6</v>
      </c>
      <c r="E537" s="4" t="n">
        <v>6.75</v>
      </c>
      <c r="F537" s="4" t="n">
        <v>0.61</v>
      </c>
      <c r="G537" s="4" t="n">
        <v>1.29</v>
      </c>
    </row>
    <row r="538" customFormat="false" ht="15" hidden="false" customHeight="false" outlineLevel="0" collapsed="false">
      <c r="A538" s="4" t="s">
        <v>473</v>
      </c>
      <c r="B538" s="4" t="n">
        <v>1</v>
      </c>
      <c r="C538" s="4" t="n">
        <v>2</v>
      </c>
      <c r="D538" s="4" t="n">
        <v>0.6</v>
      </c>
      <c r="E538" s="4" t="n">
        <v>6.8</v>
      </c>
      <c r="F538" s="4" t="n">
        <v>0.56</v>
      </c>
      <c r="G538" s="4" t="n">
        <v>1.16</v>
      </c>
    </row>
    <row r="539" customFormat="false" ht="15" hidden="false" customHeight="false" outlineLevel="0" collapsed="false">
      <c r="A539" s="4" t="s">
        <v>473</v>
      </c>
      <c r="B539" s="4" t="n">
        <v>1</v>
      </c>
      <c r="C539" s="4" t="n">
        <v>2</v>
      </c>
      <c r="D539" s="4" t="n">
        <v>0.6</v>
      </c>
      <c r="E539" s="4" t="n">
        <v>6.85</v>
      </c>
      <c r="F539" s="4" t="n">
        <v>0.51</v>
      </c>
      <c r="G539" s="4" t="n">
        <v>1.11</v>
      </c>
    </row>
    <row r="540" customFormat="false" ht="15" hidden="false" customHeight="false" outlineLevel="0" collapsed="false">
      <c r="A540" s="4" t="s">
        <v>473</v>
      </c>
      <c r="B540" s="4" t="n">
        <v>1</v>
      </c>
      <c r="C540" s="4" t="n">
        <v>2</v>
      </c>
      <c r="D540" s="4" t="n">
        <v>0.6</v>
      </c>
      <c r="E540" s="4" t="n">
        <v>6.9</v>
      </c>
      <c r="F540" s="4" t="n">
        <v>1.1</v>
      </c>
      <c r="G540" s="4" t="n">
        <v>1.44</v>
      </c>
    </row>
    <row r="541" customFormat="false" ht="15" hidden="false" customHeight="false" outlineLevel="0" collapsed="false">
      <c r="A541" s="4" t="s">
        <v>473</v>
      </c>
      <c r="B541" s="4" t="n">
        <v>1</v>
      </c>
      <c r="C541" s="4" t="n">
        <v>2</v>
      </c>
      <c r="D541" s="4" t="n">
        <v>0.6</v>
      </c>
      <c r="E541" s="4" t="n">
        <v>6.95</v>
      </c>
      <c r="F541" s="4" t="n">
        <v>1.05</v>
      </c>
      <c r="G541" s="4" t="n">
        <v>1.39</v>
      </c>
    </row>
    <row r="542" customFormat="false" ht="15" hidden="false" customHeight="false" outlineLevel="0" collapsed="false">
      <c r="A542" s="4" t="s">
        <v>473</v>
      </c>
      <c r="B542" s="4" t="n">
        <v>2</v>
      </c>
      <c r="C542" s="4" t="n">
        <v>3</v>
      </c>
      <c r="D542" s="4" t="n">
        <v>0.6</v>
      </c>
      <c r="E542" s="4" t="n">
        <v>6</v>
      </c>
      <c r="F542" s="4" t="n">
        <v>0.58</v>
      </c>
      <c r="G542" s="4" t="n">
        <v>1.26</v>
      </c>
    </row>
    <row r="543" customFormat="false" ht="15" hidden="false" customHeight="false" outlineLevel="0" collapsed="false">
      <c r="A543" s="4" t="s">
        <v>473</v>
      </c>
      <c r="B543" s="4" t="n">
        <v>2</v>
      </c>
      <c r="C543" s="4" t="n">
        <v>3</v>
      </c>
      <c r="D543" s="4" t="n">
        <v>0.6</v>
      </c>
      <c r="E543" s="4" t="n">
        <v>6.05</v>
      </c>
      <c r="F543" s="4" t="n">
        <v>0.61</v>
      </c>
      <c r="G543" s="4" t="n">
        <v>1.29</v>
      </c>
    </row>
    <row r="544" customFormat="false" ht="15" hidden="false" customHeight="false" outlineLevel="0" collapsed="false">
      <c r="A544" s="4" t="s">
        <v>473</v>
      </c>
      <c r="B544" s="4" t="n">
        <v>2</v>
      </c>
      <c r="C544" s="4" t="n">
        <v>3</v>
      </c>
      <c r="D544" s="4" t="n">
        <v>0.6</v>
      </c>
      <c r="E544" s="4" t="n">
        <v>6.1</v>
      </c>
      <c r="F544" s="4" t="n">
        <v>1.46</v>
      </c>
      <c r="G544" s="4" t="n">
        <v>1.54</v>
      </c>
    </row>
    <row r="545" customFormat="false" ht="15" hidden="false" customHeight="false" outlineLevel="0" collapsed="false">
      <c r="A545" s="4" t="s">
        <v>473</v>
      </c>
      <c r="B545" s="4" t="n">
        <v>2</v>
      </c>
      <c r="C545" s="4" t="n">
        <v>3</v>
      </c>
      <c r="D545" s="4" t="n">
        <v>0.6</v>
      </c>
      <c r="E545" s="4" t="n">
        <v>6.15</v>
      </c>
      <c r="F545" s="4" t="n">
        <v>1.41</v>
      </c>
      <c r="G545" s="4" t="n">
        <v>1.49</v>
      </c>
    </row>
    <row r="546" customFormat="false" ht="15" hidden="false" customHeight="false" outlineLevel="0" collapsed="false">
      <c r="A546" s="4" t="s">
        <v>473</v>
      </c>
      <c r="B546" s="4" t="n">
        <v>2</v>
      </c>
      <c r="C546" s="4" t="n">
        <v>3</v>
      </c>
      <c r="D546" s="4" t="n">
        <v>0.6</v>
      </c>
      <c r="E546" s="4" t="n">
        <v>6.2</v>
      </c>
      <c r="F546" s="4" t="n">
        <v>0.62</v>
      </c>
      <c r="G546" s="4" t="n">
        <v>1.3</v>
      </c>
    </row>
    <row r="547" customFormat="false" ht="15" hidden="false" customHeight="false" outlineLevel="0" collapsed="false">
      <c r="A547" s="4" t="s">
        <v>473</v>
      </c>
      <c r="B547" s="4" t="n">
        <v>2</v>
      </c>
      <c r="C547" s="4" t="n">
        <v>3</v>
      </c>
      <c r="D547" s="4" t="n">
        <v>0.6</v>
      </c>
      <c r="E547" s="4" t="n">
        <v>6.25</v>
      </c>
      <c r="F547" s="4" t="n">
        <v>0.57</v>
      </c>
      <c r="G547" s="4" t="n">
        <v>1.25</v>
      </c>
    </row>
    <row r="548" customFormat="false" ht="15" hidden="false" customHeight="false" outlineLevel="0" collapsed="false">
      <c r="A548" s="4" t="s">
        <v>473</v>
      </c>
      <c r="B548" s="4" t="n">
        <v>2</v>
      </c>
      <c r="C548" s="4" t="n">
        <v>3</v>
      </c>
      <c r="D548" s="4" t="n">
        <v>0.6</v>
      </c>
      <c r="E548" s="4" t="n">
        <v>6.3</v>
      </c>
      <c r="F548" s="4" t="n">
        <v>0.6</v>
      </c>
      <c r="G548" s="4" t="n">
        <v>1.28</v>
      </c>
    </row>
    <row r="549" customFormat="false" ht="15" hidden="false" customHeight="false" outlineLevel="0" collapsed="false">
      <c r="A549" s="4" t="s">
        <v>473</v>
      </c>
      <c r="B549" s="4" t="n">
        <v>2</v>
      </c>
      <c r="C549" s="4" t="n">
        <v>3</v>
      </c>
      <c r="D549" s="4" t="n">
        <v>0.6</v>
      </c>
      <c r="E549" s="4" t="n">
        <v>6.35</v>
      </c>
      <c r="F549" s="4" t="n">
        <v>1.45</v>
      </c>
      <c r="G549" s="4" t="n">
        <v>1.53</v>
      </c>
    </row>
    <row r="550" customFormat="false" ht="15" hidden="false" customHeight="false" outlineLevel="0" collapsed="false">
      <c r="A550" s="4" t="s">
        <v>473</v>
      </c>
      <c r="B550" s="4" t="n">
        <v>2</v>
      </c>
      <c r="C550" s="4" t="n">
        <v>3</v>
      </c>
      <c r="D550" s="4" t="n">
        <v>0.6</v>
      </c>
      <c r="E550" s="4" t="n">
        <v>6.4</v>
      </c>
      <c r="F550" s="4" t="n">
        <v>1.4</v>
      </c>
      <c r="G550" s="4" t="n">
        <v>1.48</v>
      </c>
    </row>
    <row r="551" customFormat="false" ht="15" hidden="false" customHeight="false" outlineLevel="0" collapsed="false">
      <c r="A551" s="4" t="s">
        <v>473</v>
      </c>
      <c r="B551" s="4" t="n">
        <v>2</v>
      </c>
      <c r="C551" s="4" t="n">
        <v>3</v>
      </c>
      <c r="D551" s="4" t="n">
        <v>0.6</v>
      </c>
      <c r="E551" s="4" t="n">
        <v>6.45</v>
      </c>
      <c r="F551" s="4" t="n">
        <v>0.61</v>
      </c>
      <c r="G551" s="4" t="n">
        <v>1.29</v>
      </c>
    </row>
    <row r="552" customFormat="false" ht="15" hidden="false" customHeight="false" outlineLevel="0" collapsed="false">
      <c r="A552" s="4" t="s">
        <v>473</v>
      </c>
      <c r="B552" s="4" t="n">
        <v>2</v>
      </c>
      <c r="C552" s="4" t="n">
        <v>3</v>
      </c>
      <c r="D552" s="4" t="n">
        <v>0.6</v>
      </c>
      <c r="E552" s="4" t="n">
        <v>6.5</v>
      </c>
      <c r="F552" s="4" t="n">
        <v>0.64</v>
      </c>
      <c r="G552" s="4" t="n">
        <v>1.32</v>
      </c>
    </row>
    <row r="553" customFormat="false" ht="15" hidden="false" customHeight="false" outlineLevel="0" collapsed="false">
      <c r="A553" s="4" t="s">
        <v>473</v>
      </c>
      <c r="B553" s="4" t="n">
        <v>2</v>
      </c>
      <c r="C553" s="4" t="n">
        <v>3</v>
      </c>
      <c r="D553" s="4" t="n">
        <v>0.6</v>
      </c>
      <c r="E553" s="4" t="n">
        <v>6.55</v>
      </c>
      <c r="F553" s="4" t="n">
        <v>0.59</v>
      </c>
      <c r="G553" s="4" t="n">
        <v>1.27</v>
      </c>
    </row>
    <row r="554" customFormat="false" ht="15" hidden="false" customHeight="false" outlineLevel="0" collapsed="false">
      <c r="A554" s="4" t="s">
        <v>473</v>
      </c>
      <c r="B554" s="4" t="n">
        <v>2</v>
      </c>
      <c r="C554" s="4" t="n">
        <v>3</v>
      </c>
      <c r="D554" s="4" t="n">
        <v>0.6</v>
      </c>
      <c r="E554" s="4" t="n">
        <v>6.6</v>
      </c>
      <c r="F554" s="4" t="n">
        <v>1.44</v>
      </c>
      <c r="G554" s="4" t="n">
        <v>1.52</v>
      </c>
    </row>
    <row r="555" customFormat="false" ht="15" hidden="false" customHeight="false" outlineLevel="0" collapsed="false">
      <c r="A555" s="4" t="s">
        <v>473</v>
      </c>
      <c r="B555" s="4" t="n">
        <v>2</v>
      </c>
      <c r="C555" s="4" t="n">
        <v>3</v>
      </c>
      <c r="D555" s="4" t="n">
        <v>0.6</v>
      </c>
      <c r="E555" s="4" t="n">
        <v>6.65</v>
      </c>
      <c r="F555" s="4" t="n">
        <v>1.39</v>
      </c>
      <c r="G555" s="4" t="n">
        <v>1.47</v>
      </c>
    </row>
    <row r="556" customFormat="false" ht="15" hidden="false" customHeight="false" outlineLevel="0" collapsed="false">
      <c r="A556" s="4" t="s">
        <v>473</v>
      </c>
      <c r="B556" s="4" t="n">
        <v>2</v>
      </c>
      <c r="C556" s="4" t="n">
        <v>3</v>
      </c>
      <c r="D556" s="4" t="n">
        <v>0.6</v>
      </c>
      <c r="E556" s="4" t="n">
        <v>6.7</v>
      </c>
      <c r="F556" s="4" t="n">
        <v>0.6</v>
      </c>
      <c r="G556" s="4" t="n">
        <v>1.28</v>
      </c>
    </row>
    <row r="557" customFormat="false" ht="15" hidden="false" customHeight="false" outlineLevel="0" collapsed="false">
      <c r="A557" s="4" t="s">
        <v>473</v>
      </c>
      <c r="B557" s="4" t="n">
        <v>2</v>
      </c>
      <c r="C557" s="4" t="n">
        <v>3</v>
      </c>
      <c r="D557" s="4" t="n">
        <v>0.6</v>
      </c>
      <c r="E557" s="4" t="n">
        <v>6.75</v>
      </c>
      <c r="F557" s="4" t="n">
        <v>0.63</v>
      </c>
      <c r="G557" s="4" t="n">
        <v>1.31</v>
      </c>
    </row>
    <row r="558" customFormat="false" ht="15" hidden="false" customHeight="false" outlineLevel="0" collapsed="false">
      <c r="A558" s="4" t="s">
        <v>473</v>
      </c>
      <c r="B558" s="4" t="n">
        <v>2</v>
      </c>
      <c r="C558" s="4" t="n">
        <v>3</v>
      </c>
      <c r="D558" s="4" t="n">
        <v>0.6</v>
      </c>
      <c r="E558" s="4" t="n">
        <v>6.8</v>
      </c>
      <c r="F558" s="4" t="n">
        <v>0.58</v>
      </c>
      <c r="G558" s="4" t="n">
        <v>1.26</v>
      </c>
    </row>
    <row r="559" customFormat="false" ht="15" hidden="false" customHeight="false" outlineLevel="0" collapsed="false">
      <c r="A559" s="4" t="s">
        <v>473</v>
      </c>
      <c r="B559" s="4" t="n">
        <v>2</v>
      </c>
      <c r="C559" s="4" t="n">
        <v>3</v>
      </c>
      <c r="D559" s="4" t="n">
        <v>0.6</v>
      </c>
      <c r="E559" s="4" t="n">
        <v>6.85</v>
      </c>
      <c r="F559" s="4" t="n">
        <v>1.43</v>
      </c>
      <c r="G559" s="4" t="n">
        <v>1.51</v>
      </c>
    </row>
    <row r="560" customFormat="false" ht="15" hidden="false" customHeight="false" outlineLevel="0" collapsed="false">
      <c r="A560" s="4" t="s">
        <v>473</v>
      </c>
      <c r="B560" s="4" t="n">
        <v>2</v>
      </c>
      <c r="C560" s="4" t="n">
        <v>3</v>
      </c>
      <c r="D560" s="4" t="n">
        <v>0.6</v>
      </c>
      <c r="E560" s="4" t="n">
        <v>6.9</v>
      </c>
      <c r="F560" s="4" t="n">
        <v>0.64</v>
      </c>
      <c r="G560" s="4" t="n">
        <v>1.32</v>
      </c>
    </row>
    <row r="561" customFormat="false" ht="15" hidden="false" customHeight="false" outlineLevel="0" collapsed="false">
      <c r="A561" s="4" t="s">
        <v>473</v>
      </c>
      <c r="B561" s="4" t="n">
        <v>2</v>
      </c>
      <c r="C561" s="4" t="n">
        <v>3</v>
      </c>
      <c r="D561" s="4" t="n">
        <v>0.6</v>
      </c>
      <c r="E561" s="4" t="n">
        <v>6.95</v>
      </c>
      <c r="F561" s="4" t="n">
        <v>0.59</v>
      </c>
      <c r="G561" s="4" t="n">
        <v>1.27</v>
      </c>
    </row>
    <row r="562" customFormat="false" ht="15" hidden="false" customHeight="false" outlineLevel="0" collapsed="false">
      <c r="A562" s="4" t="s">
        <v>473</v>
      </c>
      <c r="B562" s="4" t="n">
        <v>2</v>
      </c>
      <c r="C562" s="4" t="n">
        <v>1</v>
      </c>
      <c r="D562" s="4" t="n">
        <v>0.6</v>
      </c>
      <c r="E562" s="4" t="n">
        <v>6</v>
      </c>
      <c r="F562" s="4" t="n">
        <v>0.86</v>
      </c>
      <c r="G562" s="4" t="n">
        <v>1.1</v>
      </c>
    </row>
    <row r="563" customFormat="false" ht="15" hidden="false" customHeight="false" outlineLevel="0" collapsed="false">
      <c r="A563" s="4" t="s">
        <v>473</v>
      </c>
      <c r="B563" s="4" t="n">
        <v>2</v>
      </c>
      <c r="C563" s="4" t="n">
        <v>1</v>
      </c>
      <c r="D563" s="4" t="n">
        <v>0.6</v>
      </c>
      <c r="E563" s="4" t="n">
        <v>6.05</v>
      </c>
      <c r="F563" s="4" t="n">
        <v>1.29</v>
      </c>
      <c r="G563" s="4" t="n">
        <v>1.61</v>
      </c>
    </row>
    <row r="564" customFormat="false" ht="15" hidden="false" customHeight="false" outlineLevel="0" collapsed="false">
      <c r="A564" s="4" t="s">
        <v>473</v>
      </c>
      <c r="B564" s="4" t="n">
        <v>2</v>
      </c>
      <c r="C564" s="4" t="n">
        <v>1</v>
      </c>
      <c r="D564" s="4" t="n">
        <v>0.6</v>
      </c>
      <c r="E564" s="4" t="n">
        <v>6.1</v>
      </c>
      <c r="F564" s="4" t="n">
        <v>0.64</v>
      </c>
      <c r="G564" s="4" t="n">
        <v>1.32</v>
      </c>
    </row>
    <row r="565" customFormat="false" ht="15" hidden="false" customHeight="false" outlineLevel="0" collapsed="false">
      <c r="A565" s="4" t="s">
        <v>473</v>
      </c>
      <c r="B565" s="4" t="n">
        <v>2</v>
      </c>
      <c r="C565" s="4" t="n">
        <v>1</v>
      </c>
      <c r="D565" s="4" t="n">
        <v>0.6</v>
      </c>
      <c r="E565" s="4" t="n">
        <v>6.15</v>
      </c>
      <c r="F565" s="4" t="n">
        <v>0.59</v>
      </c>
      <c r="G565" s="4" t="n">
        <v>1.27</v>
      </c>
    </row>
    <row r="566" customFormat="false" ht="15" hidden="false" customHeight="false" outlineLevel="0" collapsed="false">
      <c r="A566" s="4" t="s">
        <v>473</v>
      </c>
      <c r="B566" s="4" t="n">
        <v>2</v>
      </c>
      <c r="C566" s="4" t="n">
        <v>1</v>
      </c>
      <c r="D566" s="4" t="n">
        <v>0.6</v>
      </c>
      <c r="E566" s="4" t="n">
        <v>6.2</v>
      </c>
      <c r="F566" s="4" t="n">
        <v>0.9</v>
      </c>
      <c r="G566" s="4" t="n">
        <v>1.14</v>
      </c>
    </row>
    <row r="567" customFormat="false" ht="15" hidden="false" customHeight="false" outlineLevel="0" collapsed="false">
      <c r="A567" s="4" t="s">
        <v>473</v>
      </c>
      <c r="B567" s="4" t="n">
        <v>2</v>
      </c>
      <c r="C567" s="4" t="n">
        <v>1</v>
      </c>
      <c r="D567" s="4" t="n">
        <v>0.6</v>
      </c>
      <c r="E567" s="4" t="n">
        <v>6.25</v>
      </c>
      <c r="F567" s="4" t="n">
        <v>0.85</v>
      </c>
      <c r="G567" s="4" t="n">
        <v>1.09</v>
      </c>
    </row>
    <row r="568" customFormat="false" ht="15" hidden="false" customHeight="false" outlineLevel="0" collapsed="false">
      <c r="A568" s="4" t="s">
        <v>473</v>
      </c>
      <c r="B568" s="4" t="n">
        <v>2</v>
      </c>
      <c r="C568" s="4" t="n">
        <v>1</v>
      </c>
      <c r="D568" s="4" t="n">
        <v>0.6</v>
      </c>
      <c r="E568" s="4" t="n">
        <v>6.3</v>
      </c>
      <c r="F568" s="4" t="n">
        <v>1.28</v>
      </c>
      <c r="G568" s="4" t="n">
        <v>1.6</v>
      </c>
    </row>
    <row r="569" customFormat="false" ht="15" hidden="false" customHeight="false" outlineLevel="0" collapsed="false">
      <c r="A569" s="4" t="s">
        <v>473</v>
      </c>
      <c r="B569" s="4" t="n">
        <v>2</v>
      </c>
      <c r="C569" s="4" t="n">
        <v>1</v>
      </c>
      <c r="D569" s="4" t="n">
        <v>0.6</v>
      </c>
      <c r="E569" s="4" t="n">
        <v>6.35</v>
      </c>
      <c r="F569" s="4" t="n">
        <v>0.63</v>
      </c>
      <c r="G569" s="4" t="n">
        <v>1.31</v>
      </c>
    </row>
    <row r="570" customFormat="false" ht="15" hidden="false" customHeight="false" outlineLevel="0" collapsed="false">
      <c r="A570" s="4" t="s">
        <v>473</v>
      </c>
      <c r="B570" s="4" t="n">
        <v>2</v>
      </c>
      <c r="C570" s="4" t="n">
        <v>1</v>
      </c>
      <c r="D570" s="4" t="n">
        <v>0.6</v>
      </c>
      <c r="E570" s="4" t="n">
        <v>6.4</v>
      </c>
      <c r="F570" s="4" t="n">
        <v>0.58</v>
      </c>
      <c r="G570" s="4" t="n">
        <v>1.26</v>
      </c>
    </row>
    <row r="571" customFormat="false" ht="15" hidden="false" customHeight="false" outlineLevel="0" collapsed="false">
      <c r="A571" s="4" t="s">
        <v>473</v>
      </c>
      <c r="B571" s="4" t="n">
        <v>2</v>
      </c>
      <c r="C571" s="4" t="n">
        <v>1</v>
      </c>
      <c r="D571" s="4" t="n">
        <v>0.6</v>
      </c>
      <c r="E571" s="4" t="n">
        <v>6.45</v>
      </c>
      <c r="F571" s="4" t="n">
        <v>0.89</v>
      </c>
      <c r="G571" s="4" t="n">
        <v>1.13</v>
      </c>
    </row>
    <row r="572" customFormat="false" ht="15" hidden="false" customHeight="false" outlineLevel="0" collapsed="false">
      <c r="A572" s="4" t="s">
        <v>473</v>
      </c>
      <c r="B572" s="4" t="n">
        <v>2</v>
      </c>
      <c r="C572" s="4" t="n">
        <v>1</v>
      </c>
      <c r="D572" s="4" t="n">
        <v>0.6</v>
      </c>
      <c r="E572" s="4" t="n">
        <v>6.5</v>
      </c>
      <c r="F572" s="4" t="n">
        <v>1.32</v>
      </c>
      <c r="G572" s="4" t="n">
        <v>1.64</v>
      </c>
    </row>
    <row r="573" customFormat="false" ht="15" hidden="false" customHeight="false" outlineLevel="0" collapsed="false">
      <c r="A573" s="4" t="s">
        <v>473</v>
      </c>
      <c r="B573" s="4" t="n">
        <v>2</v>
      </c>
      <c r="C573" s="4" t="n">
        <v>1</v>
      </c>
      <c r="D573" s="4" t="n">
        <v>0.6</v>
      </c>
      <c r="E573" s="4" t="n">
        <v>6.55</v>
      </c>
      <c r="F573" s="4" t="n">
        <v>1.27</v>
      </c>
      <c r="G573" s="4" t="n">
        <v>1.59</v>
      </c>
    </row>
    <row r="574" customFormat="false" ht="15" hidden="false" customHeight="false" outlineLevel="0" collapsed="false">
      <c r="A574" s="4" t="s">
        <v>473</v>
      </c>
      <c r="B574" s="4" t="n">
        <v>2</v>
      </c>
      <c r="C574" s="4" t="n">
        <v>1</v>
      </c>
      <c r="D574" s="4" t="n">
        <v>0.6</v>
      </c>
      <c r="E574" s="4" t="n">
        <v>6.6</v>
      </c>
      <c r="F574" s="4" t="n">
        <v>0.62</v>
      </c>
      <c r="G574" s="4" t="n">
        <v>1.3</v>
      </c>
    </row>
    <row r="575" customFormat="false" ht="15" hidden="false" customHeight="false" outlineLevel="0" collapsed="false">
      <c r="A575" s="4" t="s">
        <v>473</v>
      </c>
      <c r="B575" s="4" t="n">
        <v>2</v>
      </c>
      <c r="C575" s="4" t="n">
        <v>1</v>
      </c>
      <c r="D575" s="4" t="n">
        <v>0.6</v>
      </c>
      <c r="E575" s="4" t="n">
        <v>6.65</v>
      </c>
      <c r="F575" s="4" t="n">
        <v>0.57</v>
      </c>
      <c r="G575" s="4" t="n">
        <v>1.25</v>
      </c>
    </row>
    <row r="576" customFormat="false" ht="15" hidden="false" customHeight="false" outlineLevel="0" collapsed="false">
      <c r="A576" s="4" t="s">
        <v>473</v>
      </c>
      <c r="B576" s="4" t="n">
        <v>2</v>
      </c>
      <c r="C576" s="4" t="n">
        <v>1</v>
      </c>
      <c r="D576" s="4" t="n">
        <v>0.6</v>
      </c>
      <c r="E576" s="4" t="n">
        <v>6.7</v>
      </c>
      <c r="F576" s="4" t="n">
        <v>0.88</v>
      </c>
      <c r="G576" s="4" t="n">
        <v>1.12</v>
      </c>
    </row>
    <row r="577" customFormat="false" ht="15" hidden="false" customHeight="false" outlineLevel="0" collapsed="false">
      <c r="A577" s="4" t="s">
        <v>473</v>
      </c>
      <c r="B577" s="4" t="n">
        <v>2</v>
      </c>
      <c r="C577" s="4" t="n">
        <v>1</v>
      </c>
      <c r="D577" s="4" t="n">
        <v>0.6</v>
      </c>
      <c r="E577" s="4" t="n">
        <v>6.75</v>
      </c>
      <c r="F577" s="4" t="n">
        <v>1.31</v>
      </c>
      <c r="G577" s="4" t="n">
        <v>1.63</v>
      </c>
    </row>
    <row r="578" customFormat="false" ht="15" hidden="false" customHeight="false" outlineLevel="0" collapsed="false">
      <c r="A578" s="4" t="s">
        <v>473</v>
      </c>
      <c r="B578" s="4" t="n">
        <v>2</v>
      </c>
      <c r="C578" s="4" t="n">
        <v>1</v>
      </c>
      <c r="D578" s="4" t="n">
        <v>0.6</v>
      </c>
      <c r="E578" s="4" t="n">
        <v>6.8</v>
      </c>
      <c r="F578" s="4" t="n">
        <v>1.26</v>
      </c>
      <c r="G578" s="4" t="n">
        <v>1.58</v>
      </c>
    </row>
    <row r="579" customFormat="false" ht="15" hidden="false" customHeight="false" outlineLevel="0" collapsed="false">
      <c r="A579" s="4" t="s">
        <v>473</v>
      </c>
      <c r="B579" s="4" t="n">
        <v>2</v>
      </c>
      <c r="C579" s="4" t="n">
        <v>1</v>
      </c>
      <c r="D579" s="4" t="n">
        <v>0.6</v>
      </c>
      <c r="E579" s="4" t="n">
        <v>6.85</v>
      </c>
      <c r="F579" s="4" t="n">
        <v>0.61</v>
      </c>
      <c r="G579" s="4" t="n">
        <v>1.29</v>
      </c>
    </row>
    <row r="580" customFormat="false" ht="15" hidden="false" customHeight="false" outlineLevel="0" collapsed="false">
      <c r="A580" s="4" t="s">
        <v>473</v>
      </c>
      <c r="B580" s="4" t="n">
        <v>2</v>
      </c>
      <c r="C580" s="4" t="n">
        <v>1</v>
      </c>
      <c r="D580" s="4" t="n">
        <v>0.6</v>
      </c>
      <c r="E580" s="4" t="n">
        <v>6.9</v>
      </c>
      <c r="F580" s="4" t="n">
        <v>0.92</v>
      </c>
      <c r="G580" s="4" t="n">
        <v>1.16</v>
      </c>
    </row>
    <row r="581" customFormat="false" ht="15" hidden="false" customHeight="false" outlineLevel="0" collapsed="false">
      <c r="A581" s="4" t="s">
        <v>473</v>
      </c>
      <c r="B581" s="4" t="n">
        <v>2</v>
      </c>
      <c r="C581" s="4" t="n">
        <v>1</v>
      </c>
      <c r="D581" s="4" t="n">
        <v>0.6</v>
      </c>
      <c r="E581" s="4" t="n">
        <v>6.95</v>
      </c>
      <c r="F581" s="4" t="n">
        <v>0.87</v>
      </c>
      <c r="G581" s="4" t="n">
        <v>1.11</v>
      </c>
    </row>
    <row r="582" customFormat="false" ht="15" hidden="false" customHeight="false" outlineLevel="0" collapsed="false">
      <c r="A582" s="4" t="s">
        <v>473</v>
      </c>
      <c r="B582" s="4" t="n">
        <v>3</v>
      </c>
      <c r="C582" s="4" t="n">
        <v>2</v>
      </c>
      <c r="D582" s="4" t="n">
        <v>0.6</v>
      </c>
      <c r="E582" s="4" t="n">
        <v>6</v>
      </c>
      <c r="F582" s="4" t="n">
        <v>0.6</v>
      </c>
      <c r="G582" s="4" t="n">
        <v>1.2</v>
      </c>
    </row>
    <row r="583" customFormat="false" ht="15" hidden="false" customHeight="false" outlineLevel="0" collapsed="false">
      <c r="A583" s="4" t="s">
        <v>473</v>
      </c>
      <c r="B583" s="4" t="n">
        <v>3</v>
      </c>
      <c r="C583" s="4" t="n">
        <v>2</v>
      </c>
      <c r="D583" s="4" t="n">
        <v>0.6</v>
      </c>
      <c r="E583" s="4" t="n">
        <v>6.05</v>
      </c>
      <c r="F583" s="4" t="n">
        <v>1.09</v>
      </c>
      <c r="G583" s="4" t="n">
        <v>1.17</v>
      </c>
    </row>
    <row r="584" customFormat="false" ht="15" hidden="false" customHeight="false" outlineLevel="0" collapsed="false">
      <c r="A584" s="4" t="s">
        <v>473</v>
      </c>
      <c r="B584" s="4" t="n">
        <v>3</v>
      </c>
      <c r="C584" s="4" t="n">
        <v>2</v>
      </c>
      <c r="D584" s="4" t="n">
        <v>0.6</v>
      </c>
      <c r="E584" s="4" t="n">
        <v>6.1</v>
      </c>
      <c r="F584" s="4" t="n">
        <v>1.04</v>
      </c>
      <c r="G584" s="4" t="n">
        <v>1.12</v>
      </c>
    </row>
    <row r="585" customFormat="false" ht="15" hidden="false" customHeight="false" outlineLevel="0" collapsed="false">
      <c r="A585" s="4" t="s">
        <v>473</v>
      </c>
      <c r="B585" s="4" t="n">
        <v>3</v>
      </c>
      <c r="C585" s="4" t="n">
        <v>2</v>
      </c>
      <c r="D585" s="4" t="n">
        <v>0.6</v>
      </c>
      <c r="E585" s="4" t="n">
        <v>6.15</v>
      </c>
      <c r="F585" s="4" t="n">
        <v>0.61</v>
      </c>
      <c r="G585" s="4" t="n">
        <v>1.29</v>
      </c>
    </row>
    <row r="586" customFormat="false" ht="15" hidden="false" customHeight="false" outlineLevel="0" collapsed="false">
      <c r="A586" s="4" t="s">
        <v>473</v>
      </c>
      <c r="B586" s="4" t="n">
        <v>3</v>
      </c>
      <c r="C586" s="4" t="n">
        <v>2</v>
      </c>
      <c r="D586" s="4" t="n">
        <v>0.6</v>
      </c>
      <c r="E586" s="4" t="n">
        <v>6.2</v>
      </c>
      <c r="F586" s="4" t="n">
        <v>0.64</v>
      </c>
      <c r="G586" s="4" t="n">
        <v>1.24</v>
      </c>
    </row>
    <row r="587" customFormat="false" ht="15" hidden="false" customHeight="false" outlineLevel="0" collapsed="false">
      <c r="A587" s="4" t="s">
        <v>473</v>
      </c>
      <c r="B587" s="4" t="n">
        <v>3</v>
      </c>
      <c r="C587" s="4" t="n">
        <v>2</v>
      </c>
      <c r="D587" s="4" t="n">
        <v>0.6</v>
      </c>
      <c r="E587" s="4" t="n">
        <v>6.25</v>
      </c>
      <c r="F587" s="4" t="n">
        <v>0.59</v>
      </c>
      <c r="G587" s="4" t="n">
        <v>1.19</v>
      </c>
    </row>
    <row r="588" customFormat="false" ht="15" hidden="false" customHeight="false" outlineLevel="0" collapsed="false">
      <c r="A588" s="4" t="s">
        <v>473</v>
      </c>
      <c r="B588" s="4" t="n">
        <v>3</v>
      </c>
      <c r="C588" s="4" t="n">
        <v>2</v>
      </c>
      <c r="D588" s="4" t="n">
        <v>0.6</v>
      </c>
      <c r="E588" s="4" t="n">
        <v>6.3</v>
      </c>
      <c r="F588" s="4" t="n">
        <v>1.08</v>
      </c>
      <c r="G588" s="4" t="n">
        <v>1.16</v>
      </c>
    </row>
    <row r="589" customFormat="false" ht="15" hidden="false" customHeight="false" outlineLevel="0" collapsed="false">
      <c r="A589" s="4" t="s">
        <v>473</v>
      </c>
      <c r="B589" s="4" t="n">
        <v>3</v>
      </c>
      <c r="C589" s="4" t="n">
        <v>2</v>
      </c>
      <c r="D589" s="4" t="n">
        <v>0.6</v>
      </c>
      <c r="E589" s="4" t="n">
        <v>6.35</v>
      </c>
      <c r="F589" s="4" t="n">
        <v>1.03</v>
      </c>
      <c r="G589" s="4" t="n">
        <v>1.11</v>
      </c>
    </row>
    <row r="590" customFormat="false" ht="15" hidden="false" customHeight="false" outlineLevel="0" collapsed="false">
      <c r="A590" s="4" t="s">
        <v>473</v>
      </c>
      <c r="B590" s="4" t="n">
        <v>3</v>
      </c>
      <c r="C590" s="4" t="n">
        <v>2</v>
      </c>
      <c r="D590" s="4" t="n">
        <v>0.6</v>
      </c>
      <c r="E590" s="4" t="n">
        <v>6.4</v>
      </c>
      <c r="F590" s="4" t="n">
        <v>0.6</v>
      </c>
      <c r="G590" s="4" t="n">
        <v>1.28</v>
      </c>
    </row>
    <row r="591" customFormat="false" ht="15" hidden="false" customHeight="false" outlineLevel="0" collapsed="false">
      <c r="A591" s="4" t="s">
        <v>473</v>
      </c>
      <c r="B591" s="4" t="n">
        <v>3</v>
      </c>
      <c r="C591" s="4" t="n">
        <v>2</v>
      </c>
      <c r="D591" s="4" t="n">
        <v>0.6</v>
      </c>
      <c r="E591" s="4" t="n">
        <v>6.45</v>
      </c>
      <c r="F591" s="4" t="n">
        <v>0.63</v>
      </c>
      <c r="G591" s="4" t="n">
        <v>1.23</v>
      </c>
    </row>
    <row r="592" customFormat="false" ht="15" hidden="false" customHeight="false" outlineLevel="0" collapsed="false">
      <c r="A592" s="4" t="s">
        <v>473</v>
      </c>
      <c r="B592" s="4" t="n">
        <v>3</v>
      </c>
      <c r="C592" s="4" t="n">
        <v>2</v>
      </c>
      <c r="D592" s="4" t="n">
        <v>0.6</v>
      </c>
      <c r="E592" s="4" t="n">
        <v>6.5</v>
      </c>
      <c r="F592" s="4" t="n">
        <v>0.58</v>
      </c>
      <c r="G592" s="4" t="n">
        <v>1.18</v>
      </c>
    </row>
    <row r="593" customFormat="false" ht="15" hidden="false" customHeight="false" outlineLevel="0" collapsed="false">
      <c r="A593" s="4" t="s">
        <v>473</v>
      </c>
      <c r="B593" s="4" t="n">
        <v>3</v>
      </c>
      <c r="C593" s="4" t="n">
        <v>2</v>
      </c>
      <c r="D593" s="4" t="n">
        <v>0.6</v>
      </c>
      <c r="E593" s="4" t="n">
        <v>6.55</v>
      </c>
      <c r="F593" s="4" t="n">
        <v>1.07</v>
      </c>
      <c r="G593" s="4" t="n">
        <v>1.15</v>
      </c>
    </row>
    <row r="594" customFormat="false" ht="15" hidden="false" customHeight="false" outlineLevel="0" collapsed="false">
      <c r="A594" s="4" t="s">
        <v>473</v>
      </c>
      <c r="B594" s="4" t="n">
        <v>3</v>
      </c>
      <c r="C594" s="4" t="n">
        <v>2</v>
      </c>
      <c r="D594" s="4" t="n">
        <v>0.6</v>
      </c>
      <c r="E594" s="4" t="n">
        <v>6.6</v>
      </c>
      <c r="F594" s="4" t="n">
        <v>0.64</v>
      </c>
      <c r="G594" s="4" t="n">
        <v>1.32</v>
      </c>
    </row>
    <row r="595" customFormat="false" ht="15" hidden="false" customHeight="false" outlineLevel="0" collapsed="false">
      <c r="A595" s="4" t="s">
        <v>473</v>
      </c>
      <c r="B595" s="4" t="n">
        <v>3</v>
      </c>
      <c r="C595" s="4" t="n">
        <v>2</v>
      </c>
      <c r="D595" s="4" t="n">
        <v>0.6</v>
      </c>
      <c r="E595" s="4" t="n">
        <v>6.65</v>
      </c>
      <c r="F595" s="4" t="n">
        <v>0.59</v>
      </c>
      <c r="G595" s="4" t="n">
        <v>1.27</v>
      </c>
    </row>
    <row r="596" customFormat="false" ht="15" hidden="false" customHeight="false" outlineLevel="0" collapsed="false">
      <c r="A596" s="4" t="s">
        <v>473</v>
      </c>
      <c r="B596" s="4" t="n">
        <v>3</v>
      </c>
      <c r="C596" s="4" t="n">
        <v>2</v>
      </c>
      <c r="D596" s="4" t="n">
        <v>0.6</v>
      </c>
      <c r="E596" s="4" t="n">
        <v>6.7</v>
      </c>
      <c r="F596" s="4" t="n">
        <v>0.62</v>
      </c>
      <c r="G596" s="4" t="n">
        <v>1.22</v>
      </c>
    </row>
    <row r="597" customFormat="false" ht="15" hidden="false" customHeight="false" outlineLevel="0" collapsed="false">
      <c r="A597" s="4" t="s">
        <v>473</v>
      </c>
      <c r="B597" s="4" t="n">
        <v>3</v>
      </c>
      <c r="C597" s="4" t="n">
        <v>2</v>
      </c>
      <c r="D597" s="4" t="n">
        <v>0.6</v>
      </c>
      <c r="E597" s="4" t="n">
        <v>6.75</v>
      </c>
      <c r="F597" s="4" t="n">
        <v>0.57</v>
      </c>
      <c r="G597" s="4" t="n">
        <v>1.17</v>
      </c>
    </row>
    <row r="598" customFormat="false" ht="15" hidden="false" customHeight="false" outlineLevel="0" collapsed="false">
      <c r="A598" s="4" t="s">
        <v>473</v>
      </c>
      <c r="B598" s="4" t="n">
        <v>3</v>
      </c>
      <c r="C598" s="4" t="n">
        <v>2</v>
      </c>
      <c r="D598" s="4" t="n">
        <v>0.6</v>
      </c>
      <c r="E598" s="4" t="n">
        <v>6.8</v>
      </c>
      <c r="F598" s="4" t="n">
        <v>1.06</v>
      </c>
      <c r="G598" s="4" t="n">
        <v>1.14</v>
      </c>
    </row>
    <row r="599" customFormat="false" ht="15" hidden="false" customHeight="false" outlineLevel="0" collapsed="false">
      <c r="A599" s="4" t="s">
        <v>473</v>
      </c>
      <c r="B599" s="4" t="n">
        <v>3</v>
      </c>
      <c r="C599" s="4" t="n">
        <v>2</v>
      </c>
      <c r="D599" s="4" t="n">
        <v>0.6</v>
      </c>
      <c r="E599" s="4" t="n">
        <v>6.85</v>
      </c>
      <c r="F599" s="4" t="n">
        <v>0.63</v>
      </c>
      <c r="G599" s="4" t="n">
        <v>1.31</v>
      </c>
    </row>
    <row r="600" customFormat="false" ht="15" hidden="false" customHeight="false" outlineLevel="0" collapsed="false">
      <c r="A600" s="4" t="s">
        <v>473</v>
      </c>
      <c r="B600" s="4" t="n">
        <v>3</v>
      </c>
      <c r="C600" s="4" t="n">
        <v>2</v>
      </c>
      <c r="D600" s="4" t="n">
        <v>0.6</v>
      </c>
      <c r="E600" s="4" t="n">
        <v>6.9</v>
      </c>
      <c r="F600" s="4" t="n">
        <v>0.58</v>
      </c>
      <c r="G600" s="4" t="n">
        <v>1.26</v>
      </c>
    </row>
    <row r="601" customFormat="false" ht="15" hidden="false" customHeight="false" outlineLevel="0" collapsed="false">
      <c r="A601" s="4" t="s">
        <v>473</v>
      </c>
      <c r="B601" s="4" t="n">
        <v>3</v>
      </c>
      <c r="C601" s="4" t="n">
        <v>2</v>
      </c>
      <c r="D601" s="4" t="n">
        <v>0.6</v>
      </c>
      <c r="E601" s="4" t="n">
        <v>6.95</v>
      </c>
      <c r="F601" s="4" t="n">
        <v>0.61</v>
      </c>
      <c r="G601" s="4" t="n">
        <v>1.21</v>
      </c>
    </row>
    <row r="602" customFormat="false" ht="15" hidden="false" customHeight="false" outlineLevel="0" collapsed="false">
      <c r="A602" s="4" t="s">
        <v>473</v>
      </c>
      <c r="B602" s="4" t="n">
        <v>1</v>
      </c>
      <c r="C602" s="4" t="n">
        <v>3</v>
      </c>
      <c r="D602" s="4" t="n">
        <v>1.2</v>
      </c>
      <c r="E602" s="4" t="n">
        <v>6</v>
      </c>
      <c r="F602" s="4" t="n">
        <v>0.86</v>
      </c>
      <c r="G602" s="4" t="n">
        <v>1.18</v>
      </c>
    </row>
    <row r="603" customFormat="false" ht="15" hidden="false" customHeight="false" outlineLevel="0" collapsed="false">
      <c r="A603" s="4" t="s">
        <v>473</v>
      </c>
      <c r="B603" s="4" t="n">
        <v>1</v>
      </c>
      <c r="C603" s="4" t="n">
        <v>3</v>
      </c>
      <c r="D603" s="4" t="n">
        <v>1.2</v>
      </c>
      <c r="E603" s="4" t="n">
        <v>6.05</v>
      </c>
      <c r="F603" s="4" t="n">
        <v>0.81</v>
      </c>
      <c r="G603" s="4" t="n">
        <v>1.13</v>
      </c>
    </row>
    <row r="604" customFormat="false" ht="15" hidden="false" customHeight="false" outlineLevel="0" collapsed="false">
      <c r="A604" s="4" t="s">
        <v>473</v>
      </c>
      <c r="B604" s="4" t="n">
        <v>1</v>
      </c>
      <c r="C604" s="4" t="n">
        <v>3</v>
      </c>
      <c r="D604" s="4" t="n">
        <v>1.2</v>
      </c>
      <c r="E604" s="4" t="n">
        <v>6.1</v>
      </c>
      <c r="F604" s="4" t="n">
        <v>0.92</v>
      </c>
      <c r="G604" s="4" t="n">
        <v>1</v>
      </c>
    </row>
    <row r="605" customFormat="false" ht="15" hidden="false" customHeight="false" outlineLevel="0" collapsed="false">
      <c r="A605" s="4" t="s">
        <v>473</v>
      </c>
      <c r="B605" s="4" t="n">
        <v>1</v>
      </c>
      <c r="C605" s="4" t="n">
        <v>3</v>
      </c>
      <c r="D605" s="4" t="n">
        <v>1.2</v>
      </c>
      <c r="E605" s="4" t="n">
        <v>6.15</v>
      </c>
      <c r="F605" s="4" t="n">
        <v>0.87</v>
      </c>
      <c r="G605" s="4" t="n">
        <v>0.95</v>
      </c>
    </row>
    <row r="606" customFormat="false" ht="15" hidden="false" customHeight="false" outlineLevel="0" collapsed="false">
      <c r="A606" s="4" t="s">
        <v>473</v>
      </c>
      <c r="B606" s="4" t="n">
        <v>1</v>
      </c>
      <c r="C606" s="4" t="n">
        <v>3</v>
      </c>
      <c r="D606" s="4" t="n">
        <v>1.2</v>
      </c>
      <c r="E606" s="4" t="n">
        <v>6.2</v>
      </c>
      <c r="F606" s="4" t="n">
        <v>0.82</v>
      </c>
      <c r="G606" s="4" t="n">
        <v>1.14</v>
      </c>
    </row>
    <row r="607" customFormat="false" ht="15" hidden="false" customHeight="false" outlineLevel="0" collapsed="false">
      <c r="A607" s="4" t="s">
        <v>473</v>
      </c>
      <c r="B607" s="4" t="n">
        <v>1</v>
      </c>
      <c r="C607" s="4" t="n">
        <v>3</v>
      </c>
      <c r="D607" s="4" t="n">
        <v>1.2</v>
      </c>
      <c r="E607" s="4" t="n">
        <v>6.25</v>
      </c>
      <c r="F607" s="4" t="n">
        <v>0.85</v>
      </c>
      <c r="G607" s="4" t="n">
        <v>1.17</v>
      </c>
    </row>
    <row r="608" customFormat="false" ht="15" hidden="false" customHeight="false" outlineLevel="0" collapsed="false">
      <c r="A608" s="4" t="s">
        <v>473</v>
      </c>
      <c r="B608" s="4" t="n">
        <v>1</v>
      </c>
      <c r="C608" s="4" t="n">
        <v>3</v>
      </c>
      <c r="D608" s="4" t="n">
        <v>1.2</v>
      </c>
      <c r="E608" s="4" t="n">
        <v>6.3</v>
      </c>
      <c r="F608" s="4" t="n">
        <v>0.8</v>
      </c>
      <c r="G608" s="4" t="n">
        <v>1.12</v>
      </c>
    </row>
    <row r="609" customFormat="false" ht="15" hidden="false" customHeight="false" outlineLevel="0" collapsed="false">
      <c r="A609" s="4" t="s">
        <v>473</v>
      </c>
      <c r="B609" s="4" t="n">
        <v>1</v>
      </c>
      <c r="C609" s="4" t="n">
        <v>3</v>
      </c>
      <c r="D609" s="4" t="n">
        <v>1.2</v>
      </c>
      <c r="E609" s="4" t="n">
        <v>6.35</v>
      </c>
      <c r="F609" s="4" t="n">
        <v>0.91</v>
      </c>
      <c r="G609" s="4" t="n">
        <v>0.99</v>
      </c>
    </row>
    <row r="610" customFormat="false" ht="15" hidden="false" customHeight="false" outlineLevel="0" collapsed="false">
      <c r="A610" s="4" t="s">
        <v>473</v>
      </c>
      <c r="B610" s="4" t="n">
        <v>1</v>
      </c>
      <c r="C610" s="4" t="n">
        <v>3</v>
      </c>
      <c r="D610" s="4" t="n">
        <v>1.2</v>
      </c>
      <c r="E610" s="4" t="n">
        <v>6.4</v>
      </c>
      <c r="F610" s="4" t="n">
        <v>0.86</v>
      </c>
      <c r="G610" s="4" t="n">
        <v>1.18</v>
      </c>
    </row>
    <row r="611" customFormat="false" ht="15" hidden="false" customHeight="false" outlineLevel="0" collapsed="false">
      <c r="A611" s="4" t="s">
        <v>473</v>
      </c>
      <c r="B611" s="4" t="n">
        <v>1</v>
      </c>
      <c r="C611" s="4" t="n">
        <v>3</v>
      </c>
      <c r="D611" s="4" t="n">
        <v>1.2</v>
      </c>
      <c r="E611" s="4" t="n">
        <v>6.45</v>
      </c>
      <c r="F611" s="4" t="n">
        <v>0.81</v>
      </c>
      <c r="G611" s="4" t="n">
        <v>1.13</v>
      </c>
    </row>
    <row r="612" customFormat="false" ht="15" hidden="false" customHeight="false" outlineLevel="0" collapsed="false">
      <c r="A612" s="4" t="s">
        <v>473</v>
      </c>
      <c r="B612" s="4" t="n">
        <v>1</v>
      </c>
      <c r="C612" s="4" t="n">
        <v>3</v>
      </c>
      <c r="D612" s="4" t="n">
        <v>1.2</v>
      </c>
      <c r="E612" s="4" t="n">
        <v>6.5</v>
      </c>
      <c r="F612" s="4" t="n">
        <v>0.84</v>
      </c>
      <c r="G612" s="4" t="n">
        <v>1.16</v>
      </c>
    </row>
    <row r="613" customFormat="false" ht="15" hidden="false" customHeight="false" outlineLevel="0" collapsed="false">
      <c r="A613" s="4" t="s">
        <v>473</v>
      </c>
      <c r="B613" s="4" t="n">
        <v>1</v>
      </c>
      <c r="C613" s="4" t="n">
        <v>3</v>
      </c>
      <c r="D613" s="4" t="n">
        <v>1.2</v>
      </c>
      <c r="E613" s="4" t="n">
        <v>6.55</v>
      </c>
      <c r="F613" s="4" t="n">
        <v>0.79</v>
      </c>
      <c r="G613" s="4" t="n">
        <v>1.11</v>
      </c>
    </row>
    <row r="614" customFormat="false" ht="15" hidden="false" customHeight="false" outlineLevel="0" collapsed="false">
      <c r="A614" s="4" t="s">
        <v>473</v>
      </c>
      <c r="B614" s="4" t="n">
        <v>1</v>
      </c>
      <c r="C614" s="4" t="n">
        <v>3</v>
      </c>
      <c r="D614" s="4" t="n">
        <v>1.2</v>
      </c>
      <c r="E614" s="4" t="n">
        <v>6.6</v>
      </c>
      <c r="F614" s="4" t="n">
        <v>0.9</v>
      </c>
      <c r="G614" s="4" t="n">
        <v>0.98</v>
      </c>
    </row>
    <row r="615" customFormat="false" ht="15" hidden="false" customHeight="false" outlineLevel="0" collapsed="false">
      <c r="A615" s="4" t="s">
        <v>473</v>
      </c>
      <c r="B615" s="4" t="n">
        <v>1</v>
      </c>
      <c r="C615" s="4" t="n">
        <v>3</v>
      </c>
      <c r="D615" s="4" t="n">
        <v>1.2</v>
      </c>
      <c r="E615" s="4" t="n">
        <v>6.65</v>
      </c>
      <c r="F615" s="4" t="n">
        <v>0.85</v>
      </c>
      <c r="G615" s="4" t="n">
        <v>1.17</v>
      </c>
    </row>
    <row r="616" customFormat="false" ht="15" hidden="false" customHeight="false" outlineLevel="0" collapsed="false">
      <c r="A616" s="4" t="s">
        <v>473</v>
      </c>
      <c r="B616" s="4" t="n">
        <v>1</v>
      </c>
      <c r="C616" s="4" t="n">
        <v>3</v>
      </c>
      <c r="D616" s="4" t="n">
        <v>1.2</v>
      </c>
      <c r="E616" s="4" t="n">
        <v>6.7</v>
      </c>
      <c r="F616" s="4" t="n">
        <v>0.8</v>
      </c>
      <c r="G616" s="4" t="n">
        <v>1.12</v>
      </c>
    </row>
    <row r="617" customFormat="false" ht="15" hidden="false" customHeight="false" outlineLevel="0" collapsed="false">
      <c r="A617" s="4" t="s">
        <v>473</v>
      </c>
      <c r="B617" s="4" t="n">
        <v>1</v>
      </c>
      <c r="C617" s="4" t="n">
        <v>3</v>
      </c>
      <c r="D617" s="4" t="n">
        <v>1.2</v>
      </c>
      <c r="E617" s="4" t="n">
        <v>6.75</v>
      </c>
      <c r="F617" s="4" t="n">
        <v>0.83</v>
      </c>
      <c r="G617" s="4" t="n">
        <v>1.15</v>
      </c>
    </row>
    <row r="618" customFormat="false" ht="15" hidden="false" customHeight="false" outlineLevel="0" collapsed="false">
      <c r="A618" s="4" t="s">
        <v>473</v>
      </c>
      <c r="B618" s="4" t="n">
        <v>1</v>
      </c>
      <c r="C618" s="4" t="n">
        <v>3</v>
      </c>
      <c r="D618" s="4" t="n">
        <v>1.2</v>
      </c>
      <c r="E618" s="4" t="n">
        <v>6.8</v>
      </c>
      <c r="F618" s="4" t="n">
        <v>0.94</v>
      </c>
      <c r="G618" s="4" t="n">
        <v>1.02</v>
      </c>
    </row>
    <row r="619" customFormat="false" ht="15" hidden="false" customHeight="false" outlineLevel="0" collapsed="false">
      <c r="A619" s="4" t="s">
        <v>473</v>
      </c>
      <c r="B619" s="4" t="n">
        <v>1</v>
      </c>
      <c r="C619" s="4" t="n">
        <v>3</v>
      </c>
      <c r="D619" s="4" t="n">
        <v>1.2</v>
      </c>
      <c r="E619" s="4" t="n">
        <v>6.85</v>
      </c>
      <c r="F619" s="4" t="n">
        <v>0.89</v>
      </c>
      <c r="G619" s="4" t="n">
        <v>0.97</v>
      </c>
    </row>
    <row r="620" customFormat="false" ht="15" hidden="false" customHeight="false" outlineLevel="0" collapsed="false">
      <c r="A620" s="4" t="s">
        <v>473</v>
      </c>
      <c r="B620" s="4" t="n">
        <v>1</v>
      </c>
      <c r="C620" s="4" t="n">
        <v>3</v>
      </c>
      <c r="D620" s="4" t="n">
        <v>1.2</v>
      </c>
      <c r="E620" s="4" t="n">
        <v>6.9</v>
      </c>
      <c r="F620" s="4" t="n">
        <v>0.84</v>
      </c>
      <c r="G620" s="4" t="n">
        <v>1.16</v>
      </c>
    </row>
    <row r="621" customFormat="false" ht="15" hidden="false" customHeight="false" outlineLevel="0" collapsed="false">
      <c r="A621" s="4" t="s">
        <v>473</v>
      </c>
      <c r="B621" s="4" t="n">
        <v>1</v>
      </c>
      <c r="C621" s="4" t="n">
        <v>3</v>
      </c>
      <c r="D621" s="4" t="n">
        <v>1.2</v>
      </c>
      <c r="E621" s="4" t="n">
        <v>6.95</v>
      </c>
      <c r="F621" s="4" t="n">
        <v>0.79</v>
      </c>
      <c r="G621" s="4" t="n">
        <v>1.11</v>
      </c>
    </row>
    <row r="622" customFormat="false" ht="15" hidden="false" customHeight="false" outlineLevel="0" collapsed="false">
      <c r="A622" s="4" t="s">
        <v>473</v>
      </c>
      <c r="B622" s="4" t="n">
        <v>3</v>
      </c>
      <c r="C622" s="4" t="n">
        <v>1</v>
      </c>
      <c r="D622" s="4" t="n">
        <v>1.2</v>
      </c>
      <c r="E622" s="4" t="n">
        <v>6</v>
      </c>
      <c r="F622" s="4" t="n">
        <v>0.92</v>
      </c>
      <c r="G622" s="4" t="n">
        <v>1</v>
      </c>
    </row>
    <row r="623" customFormat="false" ht="15" hidden="false" customHeight="false" outlineLevel="0" collapsed="false">
      <c r="A623" s="4" t="s">
        <v>473</v>
      </c>
      <c r="B623" s="4" t="n">
        <v>3</v>
      </c>
      <c r="C623" s="4" t="n">
        <v>1</v>
      </c>
      <c r="D623" s="4" t="n">
        <v>1.2</v>
      </c>
      <c r="E623" s="4" t="n">
        <v>6.05</v>
      </c>
      <c r="F623" s="4" t="n">
        <v>0.87</v>
      </c>
      <c r="G623" s="4" t="n">
        <v>0.95</v>
      </c>
    </row>
    <row r="624" customFormat="false" ht="15" hidden="false" customHeight="false" outlineLevel="0" collapsed="false">
      <c r="A624" s="4" t="s">
        <v>473</v>
      </c>
      <c r="B624" s="4" t="n">
        <v>3</v>
      </c>
      <c r="C624" s="4" t="n">
        <v>1</v>
      </c>
      <c r="D624" s="4" t="n">
        <v>1.2</v>
      </c>
      <c r="E624" s="4" t="n">
        <v>6.1</v>
      </c>
      <c r="F624" s="4" t="n">
        <v>0.9</v>
      </c>
      <c r="G624" s="4" t="n">
        <v>0.98</v>
      </c>
    </row>
    <row r="625" customFormat="false" ht="15" hidden="false" customHeight="false" outlineLevel="0" collapsed="false">
      <c r="A625" s="4" t="s">
        <v>473</v>
      </c>
      <c r="B625" s="4" t="n">
        <v>3</v>
      </c>
      <c r="C625" s="4" t="n">
        <v>1</v>
      </c>
      <c r="D625" s="4" t="n">
        <v>1.2</v>
      </c>
      <c r="E625" s="4" t="n">
        <v>6.15</v>
      </c>
      <c r="F625" s="4" t="n">
        <v>0.93</v>
      </c>
      <c r="G625" s="4" t="n">
        <v>1.01</v>
      </c>
    </row>
    <row r="626" customFormat="false" ht="15" hidden="false" customHeight="false" outlineLevel="0" collapsed="false">
      <c r="A626" s="4" t="s">
        <v>473</v>
      </c>
      <c r="B626" s="4" t="n">
        <v>3</v>
      </c>
      <c r="C626" s="4" t="n">
        <v>1</v>
      </c>
      <c r="D626" s="4" t="n">
        <v>1.2</v>
      </c>
      <c r="E626" s="4" t="n">
        <v>6.2</v>
      </c>
      <c r="F626" s="4" t="n">
        <v>0.88</v>
      </c>
      <c r="G626" s="4" t="n">
        <v>0.96</v>
      </c>
    </row>
    <row r="627" customFormat="false" ht="15" hidden="false" customHeight="false" outlineLevel="0" collapsed="false">
      <c r="A627" s="4" t="s">
        <v>473</v>
      </c>
      <c r="B627" s="4" t="n">
        <v>3</v>
      </c>
      <c r="C627" s="4" t="n">
        <v>1</v>
      </c>
      <c r="D627" s="4" t="n">
        <v>1.2</v>
      </c>
      <c r="E627" s="4" t="n">
        <v>6.25</v>
      </c>
      <c r="F627" s="4" t="n">
        <v>0.91</v>
      </c>
      <c r="G627" s="4" t="n">
        <v>0.99</v>
      </c>
    </row>
    <row r="628" customFormat="false" ht="15" hidden="false" customHeight="false" outlineLevel="0" collapsed="false">
      <c r="A628" s="4" t="s">
        <v>473</v>
      </c>
      <c r="B628" s="4" t="n">
        <v>3</v>
      </c>
      <c r="C628" s="4" t="n">
        <v>1</v>
      </c>
      <c r="D628" s="4" t="n">
        <v>1.2</v>
      </c>
      <c r="E628" s="4" t="n">
        <v>6.3</v>
      </c>
      <c r="F628" s="4" t="n">
        <v>0.94</v>
      </c>
      <c r="G628" s="4" t="n">
        <v>1.02</v>
      </c>
    </row>
    <row r="629" customFormat="false" ht="15" hidden="false" customHeight="false" outlineLevel="0" collapsed="false">
      <c r="A629" s="4" t="s">
        <v>473</v>
      </c>
      <c r="B629" s="4" t="n">
        <v>3</v>
      </c>
      <c r="C629" s="4" t="n">
        <v>1</v>
      </c>
      <c r="D629" s="4" t="n">
        <v>1.2</v>
      </c>
      <c r="E629" s="4" t="n">
        <v>6.35</v>
      </c>
      <c r="F629" s="4" t="n">
        <v>0.89</v>
      </c>
      <c r="G629" s="4" t="n">
        <v>0.97</v>
      </c>
    </row>
    <row r="630" customFormat="false" ht="15" hidden="false" customHeight="false" outlineLevel="0" collapsed="false">
      <c r="A630" s="4" t="s">
        <v>473</v>
      </c>
      <c r="B630" s="4" t="n">
        <v>3</v>
      </c>
      <c r="C630" s="4" t="n">
        <v>1</v>
      </c>
      <c r="D630" s="4" t="n">
        <v>1.2</v>
      </c>
      <c r="E630" s="4" t="n">
        <v>6.4</v>
      </c>
      <c r="F630" s="4" t="n">
        <v>0.92</v>
      </c>
      <c r="G630" s="4" t="n">
        <v>1</v>
      </c>
    </row>
    <row r="631" customFormat="false" ht="15" hidden="false" customHeight="false" outlineLevel="0" collapsed="false">
      <c r="A631" s="4" t="s">
        <v>473</v>
      </c>
      <c r="B631" s="4" t="n">
        <v>3</v>
      </c>
      <c r="C631" s="4" t="n">
        <v>1</v>
      </c>
      <c r="D631" s="4" t="n">
        <v>1.2</v>
      </c>
      <c r="E631" s="4" t="n">
        <v>6.45</v>
      </c>
      <c r="F631" s="4" t="n">
        <v>0.87</v>
      </c>
      <c r="G631" s="4" t="n">
        <v>0.95</v>
      </c>
    </row>
    <row r="632" customFormat="false" ht="15" hidden="false" customHeight="false" outlineLevel="0" collapsed="false">
      <c r="A632" s="4" t="s">
        <v>473</v>
      </c>
      <c r="B632" s="4" t="n">
        <v>3</v>
      </c>
      <c r="C632" s="4" t="n">
        <v>1</v>
      </c>
      <c r="D632" s="4" t="n">
        <v>1.2</v>
      </c>
      <c r="E632" s="4" t="n">
        <v>6.5</v>
      </c>
      <c r="F632" s="4" t="n">
        <v>0.9</v>
      </c>
      <c r="G632" s="4" t="n">
        <v>0.98</v>
      </c>
    </row>
    <row r="633" customFormat="false" ht="15" hidden="false" customHeight="false" outlineLevel="0" collapsed="false">
      <c r="A633" s="4" t="s">
        <v>473</v>
      </c>
      <c r="B633" s="4" t="n">
        <v>3</v>
      </c>
      <c r="C633" s="4" t="n">
        <v>1</v>
      </c>
      <c r="D633" s="4" t="n">
        <v>1.2</v>
      </c>
      <c r="E633" s="4" t="n">
        <v>6.55</v>
      </c>
      <c r="F633" s="4" t="n">
        <v>0.93</v>
      </c>
      <c r="G633" s="4" t="n">
        <v>1.01</v>
      </c>
    </row>
    <row r="634" customFormat="false" ht="15" hidden="false" customHeight="false" outlineLevel="0" collapsed="false">
      <c r="A634" s="4" t="s">
        <v>473</v>
      </c>
      <c r="B634" s="4" t="n">
        <v>3</v>
      </c>
      <c r="C634" s="4" t="n">
        <v>1</v>
      </c>
      <c r="D634" s="4" t="n">
        <v>1.2</v>
      </c>
      <c r="E634" s="4" t="n">
        <v>6.6</v>
      </c>
      <c r="F634" s="4" t="n">
        <v>0.88</v>
      </c>
      <c r="G634" s="4" t="n">
        <v>0.96</v>
      </c>
    </row>
    <row r="635" customFormat="false" ht="15" hidden="false" customHeight="false" outlineLevel="0" collapsed="false">
      <c r="A635" s="4" t="s">
        <v>473</v>
      </c>
      <c r="B635" s="4" t="n">
        <v>3</v>
      </c>
      <c r="C635" s="4" t="n">
        <v>1</v>
      </c>
      <c r="D635" s="4" t="n">
        <v>1.2</v>
      </c>
      <c r="E635" s="4" t="n">
        <v>6.65</v>
      </c>
      <c r="F635" s="4" t="n">
        <v>0.91</v>
      </c>
      <c r="G635" s="4" t="n">
        <v>0.99</v>
      </c>
    </row>
    <row r="636" customFormat="false" ht="15" hidden="false" customHeight="false" outlineLevel="0" collapsed="false">
      <c r="A636" s="4" t="s">
        <v>473</v>
      </c>
      <c r="B636" s="4" t="n">
        <v>3</v>
      </c>
      <c r="C636" s="4" t="n">
        <v>1</v>
      </c>
      <c r="D636" s="4" t="n">
        <v>1.2</v>
      </c>
      <c r="E636" s="4" t="n">
        <v>6.7</v>
      </c>
      <c r="F636" s="4" t="n">
        <v>0.94</v>
      </c>
      <c r="G636" s="4" t="n">
        <v>1.02</v>
      </c>
    </row>
    <row r="637" customFormat="false" ht="15" hidden="false" customHeight="false" outlineLevel="0" collapsed="false">
      <c r="A637" s="4" t="s">
        <v>473</v>
      </c>
      <c r="B637" s="4" t="n">
        <v>3</v>
      </c>
      <c r="C637" s="4" t="n">
        <v>1</v>
      </c>
      <c r="D637" s="4" t="n">
        <v>1.2</v>
      </c>
      <c r="E637" s="4" t="n">
        <v>6.75</v>
      </c>
      <c r="F637" s="4" t="n">
        <v>0.89</v>
      </c>
      <c r="G637" s="4" t="n">
        <v>0.97</v>
      </c>
    </row>
    <row r="638" customFormat="false" ht="15" hidden="false" customHeight="false" outlineLevel="0" collapsed="false">
      <c r="A638" s="4" t="s">
        <v>473</v>
      </c>
      <c r="B638" s="4" t="n">
        <v>3</v>
      </c>
      <c r="C638" s="4" t="n">
        <v>1</v>
      </c>
      <c r="D638" s="4" t="n">
        <v>1.2</v>
      </c>
      <c r="E638" s="4" t="n">
        <v>6.8</v>
      </c>
      <c r="F638" s="4" t="n">
        <v>0.92</v>
      </c>
      <c r="G638" s="4" t="n">
        <v>1</v>
      </c>
    </row>
    <row r="639" customFormat="false" ht="15" hidden="false" customHeight="false" outlineLevel="0" collapsed="false">
      <c r="A639" s="4" t="s">
        <v>473</v>
      </c>
      <c r="B639" s="4" t="n">
        <v>3</v>
      </c>
      <c r="C639" s="4" t="n">
        <v>1</v>
      </c>
      <c r="D639" s="4" t="n">
        <v>1.2</v>
      </c>
      <c r="E639" s="4" t="n">
        <v>6.85</v>
      </c>
      <c r="F639" s="4" t="n">
        <v>0.87</v>
      </c>
      <c r="G639" s="4" t="n">
        <v>0.95</v>
      </c>
    </row>
    <row r="640" customFormat="false" ht="15" hidden="false" customHeight="false" outlineLevel="0" collapsed="false">
      <c r="A640" s="4" t="s">
        <v>473</v>
      </c>
      <c r="B640" s="4" t="n">
        <v>3</v>
      </c>
      <c r="C640" s="4" t="n">
        <v>1</v>
      </c>
      <c r="D640" s="4" t="n">
        <v>1.2</v>
      </c>
      <c r="E640" s="4" t="n">
        <v>6.9</v>
      </c>
      <c r="F640" s="4" t="n">
        <v>0.9</v>
      </c>
      <c r="G640" s="4" t="n">
        <v>0.98</v>
      </c>
    </row>
    <row r="641" customFormat="false" ht="15" hidden="false" customHeight="false" outlineLevel="0" collapsed="false">
      <c r="A641" s="4" t="s">
        <v>473</v>
      </c>
      <c r="B641" s="4" t="n">
        <v>3</v>
      </c>
      <c r="C641" s="4" t="n">
        <v>1</v>
      </c>
      <c r="D641" s="4" t="n">
        <v>1.2</v>
      </c>
      <c r="E641" s="4" t="n">
        <v>6.95</v>
      </c>
      <c r="F641" s="4" t="n">
        <v>0.93</v>
      </c>
      <c r="G641" s="4" t="n">
        <v>1.01</v>
      </c>
    </row>
    <row r="643" customFormat="false" ht="15" hidden="false" customHeight="false" outlineLevel="0" collapsed="false">
      <c r="A643" s="13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2026-10-06T01:59:56Z</dcterms:created>
  <dc:creator>openpyxl</dc:creator>
  <dc:description/>
  <dc:language>en-US</dc:language>
  <cp:lastModifiedBy/>
  <dcterms:modified xsi:type="dcterms:W3CDTF">2026-10-06T14:18:31Z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