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_rels/sheet4.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_rels/workbook.xml.rels" ContentType="application/vnd.openxmlformats-package.relationships+xml"/>
  <Override PartName="/xl/comments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Dashboard" sheetId="2" state="visible" r:id="rId4"/>
    <sheet name="Constants" sheetId="3" state="visible" r:id="rId5"/>
    <sheet name="Rounds" sheetId="4" state="visible" r:id="rId6"/>
    <sheet name="Timeline" sheetId="5" state="visible" r:id="rId7"/>
    <sheet name="Losses" sheetId="6" state="visible" r:id="rId8"/>
    <sheet name="Hits" sheetId="7" state="visible" r:id="rId9"/>
    <sheet name="Cursor Path" sheetId="8" state="visible" r:id="rId10"/>
    <sheet name="Box Health" sheetId="9" state="visible" r:id="rId11"/>
    <sheet name="Bench V1 vs V2" sheetId="10" state="visible" r:id="rId12"/>
    <sheet name="Sources" sheetId="11" state="visible" r:id="rId13"/>
  </sheets>
  <definedNames>
    <definedName function="false" hidden="true" localSheetId="4" name="_xlnm._FilterDatabase" vbProcedure="false">Timeline!$A$4:$O$1151</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X5" authorId="0">
      <text>
        <r>
          <rPr>
            <sz val="10"/>
            <rFont val="Arial"/>
            <family val="2"/>
          </rPr>
          <t xml:space="preserve">The 'Game run starting' line of this run rotated out of game.log.3, so simulate=False is not logged. Treated as hardware: box readings show 'offline'/'timeout' and real ranges, and every hit lies on a 2-3-2 hole.</t>
        </r>
      </text>
    </comment>
    <comment ref="X6" authorId="0">
      <text>
        <r>
          <rPr>
            <sz val="10"/>
            <rFont val="Arial"/>
            <family val="2"/>
          </rPr>
          <t xml:space="preserve">The 'Game run starting' line of this run rotated out of game.log.3, so simulate=False is not logged. Treated as hardware: box readings show 'offline'/'timeout' and real ranges, and every hit lies on a 2-3-2 hole.</t>
        </r>
      </text>
    </comment>
    <comment ref="X7" authorId="0">
      <text>
        <r>
          <rPr>
            <sz val="10"/>
            <rFont val="Arial"/>
            <family val="2"/>
          </rPr>
          <t xml:space="preserve">The 'Game run starting' line of this run rotated out of game.log.3, so simulate=False is not logged. Treated as hardware: box readings show 'offline'/'timeout' and real ranges, and every hit lies on a 2-3-2 hole.</t>
        </r>
      </text>
    </comment>
    <comment ref="X8" authorId="0">
      <text>
        <r>
          <rPr>
            <sz val="10"/>
            <rFont val="Arial"/>
            <family val="2"/>
          </rPr>
          <t xml:space="preserve">The 'Game run starting' line of this run rotated out of game.log.3, so simulate=False is not logged. Treated as hardware: box readings show 'offline'/'timeout' and real ranges, and every hit lies on a 2-3-2 hole.</t>
        </r>
      </text>
    </comment>
  </commentList>
</comments>
</file>

<file path=xl/sharedStrings.xml><?xml version="1.0" encoding="utf-8"?>
<sst xmlns="http://schemas.openxmlformats.org/spreadsheetml/2006/main" count="10646" uniqueCount="666">
  <si>
    <t xml:space="preserve">Tracking subsystem &lt;-&gt; game subsystem: how they integrate</t>
  </si>
  <si>
    <t xml:space="preserve">Real field data from runtime-logs/game.log* (5-6 Oct 2026, real ESP32 boxes). All numbers below are live formulas over the data sheets.</t>
  </si>
  <si>
    <t xml:space="preserve">Key numbers</t>
  </si>
  <si>
    <t xml:space="preserve">Rounds analysed (real boxes)</t>
  </si>
  <si>
    <t xml:space="preserve">Play time (min)</t>
  </si>
  <si>
    <t xml:space="preserve">Tracker polls per second (= game frames)</t>
  </si>
  <si>
    <t xml:space="preserve">Hits registered (mole + king)</t>
  </si>
  <si>
    <t xml:space="preserve">Hits with cursor inside the hole ellipse</t>
  </si>
  <si>
    <t xml:space="preserve">Tracker losses (all rounds)</t>
  </si>
  <si>
    <t xml:space="preserve">Losses per minute: before -&gt; after ghost-echo fix</t>
  </si>
  <si>
    <t xml:space="preserve">Not like for like: after-fix rounds had much more movement (see Rounds, Hits / min). Standing still improved; moving play still loses the player ~14 times/min.</t>
  </si>
  <si>
    <t xml:space="preserve">Median reacquire (s): before -&gt; after fix</t>
  </si>
  <si>
    <t xml:space="preserve">Short losses (&lt; 1 s) cost the player nothing: the cursor still counts during the 1 s grace.</t>
  </si>
  <si>
    <t xml:space="preserve">Time with a position (1 or 2+ boxes), after fix</t>
  </si>
  <si>
    <t xml:space="preserve">Data flow, one game frame (every 1/60 s)</t>
  </si>
  <si>
    <t xml:space="preserve">Step</t>
  </si>
  <si>
    <t xml:space="preserve">Where (file / function)</t>
  </si>
  <si>
    <t xml:space="preserve">What happens</t>
  </si>
  <si>
    <t xml:space="preserve">Passes on</t>
  </si>
  <si>
    <t xml:space="preserve">Evidence in this workbook</t>
  </si>
  <si>
    <t xml:space="preserve">Direction</t>
  </si>
  <si>
    <t xml:space="preserve">1. Boxes measure</t>
  </si>
  <si>
    <t xml:space="preserve">firmware/ on ESP32 (tracker repo)</t>
  </si>
  <si>
    <t xml:space="preserve">Servo aims, HC-SR04 pings, reply over UDP 4210 (WM2 protocol)</t>
  </si>
  <si>
    <t xml:space="preserve">Range + bearing per box</t>
  </si>
  <si>
    <t xml:space="preserve">Box Health</t>
  </si>
  <si>
    <t xml:space="preserve">Boxes -&gt; laptop</t>
  </si>
  <si>
    <t xml:space="preserve">2. Tracker decides</t>
  </si>
  <si>
    <t xml:space="preserve">software/tracker/swarm.py SwarmController.poll()</t>
  </si>
  <si>
    <t xml:space="preserve">Sweep / aim / fuse ranges (least squares) / reject static echoes / declare loss</t>
  </si>
  <si>
    <t xml:space="preserve">Snapshot: position, state, alert, contributors</t>
  </si>
  <si>
    <t xml:space="preserve">Timeline, Losses</t>
  </si>
  <si>
    <t xml:space="preserve">Inside tracker</t>
  </si>
  <si>
    <t xml:space="preserve">3. Adapter maps</t>
  </si>
  <si>
    <t xml:space="preserve">software/game/swarm_tracking.py SwarmTrackingSource.poll()</t>
  </si>
  <si>
    <t xml:space="preserve">Mirror x (game_x = 1.50 - tracker_x), clamp/reject far fixes, map status</t>
  </si>
  <si>
    <t xml:space="preserve">PLAYABLE / WAITING / TRACKING_LOST / DEAD_ZONE</t>
  </si>
  <si>
    <t xml:space="preserve">Timeline (category)</t>
  </si>
  <si>
    <t xml:space="preserve">Tracker -&gt; game</t>
  </si>
  <si>
    <t xml:space="preserve">4. Game smooths</t>
  </si>
  <si>
    <t xml:space="preserve">main.py update_active_phase() + interpolate_position</t>
  </si>
  <si>
    <t xml:space="preserve">Smoothed cursor for drawing and contact; warning judged on raw fix</t>
  </si>
  <si>
    <t xml:space="preserve">Cursor (m) -&gt; pixels</t>
  </si>
  <si>
    <t xml:space="preserve">Cursor Path</t>
  </si>
  <si>
    <t xml:space="preserve">Inside game</t>
  </si>
  <si>
    <t xml:space="preserve">5. Contact test</t>
  </si>
  <si>
    <t xml:space="preserve">main.py contact_hole()</t>
  </si>
  <si>
    <t xml:space="preserve">Cursor inside hole ellipse (0.345 m x 0.28 m)?</t>
  </si>
  <si>
    <t xml:space="preserve">GameInput(contacted_holes)</t>
  </si>
  <si>
    <t xml:space="preserve">Hits (normalised distance)</t>
  </si>
  <si>
    <t xml:space="preserve">6. Gameplay</t>
  </si>
  <si>
    <t xml:space="preserve">software/gameplay game.step()</t>
  </si>
  <si>
    <t xml:space="preserve">Mole hit, score, level up; never imports the tracker</t>
  </si>
  <si>
    <t xml:space="preserve">Events (mole_hit, level up)</t>
  </si>
  <si>
    <t xml:space="preserve">Hits, Rounds</t>
  </si>
  <si>
    <t xml:space="preserve">7. Game -&gt; tracker</t>
  </si>
  <si>
    <t xml:space="preserve">SwarmTrackingSource.expect_game_point / start_for_round / park</t>
  </si>
  <si>
    <t xml:space="preserve">Newest mole hole as search hint; start search at round start; park servos on pause/end</t>
  </si>
  <si>
    <t xml:space="preserve">Hint point (tracker frame), commands</t>
  </si>
  <si>
    <t xml:space="preserve">Timeline (Paused rows)</t>
  </si>
  <si>
    <t xml:space="preserve">Game -&gt; tracker</t>
  </si>
  <si>
    <t xml:space="preserve">8. Display</t>
  </si>
  <si>
    <t xml:space="preserve">godot_frontend.py -&gt; Godot over UDP 47810 (or Pygame)</t>
  </si>
  <si>
    <t xml:space="preserve">Draws the frame; sends keys back</t>
  </si>
  <si>
    <t xml:space="preserve">Frame state</t>
  </si>
  <si>
    <t xml:space="preserve">-</t>
  </si>
  <si>
    <t xml:space="preserve">Game -&gt; view</t>
  </si>
  <si>
    <t xml:space="preserve">Status mapping (tracker Snapshot -&gt; game status -&gt; what the round does)</t>
  </si>
  <si>
    <t xml:space="preserve">Tracker reports</t>
  </si>
  <si>
    <t xml:space="preserve">Game status</t>
  </si>
  <si>
    <t xml:space="preserve">Round behaviour</t>
  </si>
  <si>
    <t xml:space="preserve">Cursor counts for hits?</t>
  </si>
  <si>
    <t xml:space="preserve">Share of field time</t>
  </si>
  <si>
    <t xml:space="preserve">Fix inside field (+0.10 m two-box / +0.40 m one-box margin), 2+ boxes</t>
  </si>
  <si>
    <t xml:space="preserve">PLAYABLE</t>
  </si>
  <si>
    <t xml:space="preserve">Plays normally</t>
  </si>
  <si>
    <t xml:space="preserve">Yes</t>
  </si>
  <si>
    <t xml:space="preserve">Same, coarse one-box fix</t>
  </si>
  <si>
    <t xml:space="preserve">No fix after a fix (state 'find', 'Searching')</t>
  </si>
  <si>
    <t xml:space="preserve">TRACKING_LOST</t>
  </si>
  <si>
    <t xml:space="preserve">Round runs on; cursor held; no contact after 1 s grace</t>
  </si>
  <si>
    <t xml:space="preserve">Only within grace</t>
  </si>
  <si>
    <t xml:space="preserve">Alert: too close / dead zone / two players</t>
  </si>
  <si>
    <t xml:space="preserve">DEAD_ZONE (too close) or shown only</t>
  </si>
  <si>
    <t xml:space="preserve">Screen-warning pause for too close; others are shown only</t>
  </si>
  <si>
    <t xml:space="preserve">No (too close)</t>
  </si>
  <si>
    <t xml:space="preserve">Tracker parked by the game (pause, round over), calibrating</t>
  </si>
  <si>
    <t xml:space="preserve">WAITING / LOST</t>
  </si>
  <si>
    <t xml:space="preserve">Round paused by the game</t>
  </si>
  <si>
    <t xml:space="preserve">No</t>
  </si>
  <si>
    <t xml:space="preserve">Sheets</t>
  </si>
  <si>
    <t xml:space="preserve">Dashboard</t>
  </si>
  <si>
    <t xml:space="preserve">All charts (native Excel charts on the data sheets)</t>
  </si>
  <si>
    <t xml:space="preserve">Rounds</t>
  </si>
  <si>
    <t xml:space="preserve">One row per field round; summary before/after the ghost-echo fix</t>
  </si>
  <si>
    <t xml:space="preserve">Timeline</t>
  </si>
  <si>
    <t xml:space="preserve">Tracker status stretches with each box's reading</t>
  </si>
  <si>
    <t xml:space="preserve">Losses</t>
  </si>
  <si>
    <t xml:space="preserve">Every tracker loss and its reacquire time, histogram</t>
  </si>
  <si>
    <t xml:space="preserve">Hits</t>
  </si>
  <si>
    <t xml:space="preserve">Every hit checked against the hole ellipse (proves tracker -&gt; contact -&gt; score chain)</t>
  </si>
  <si>
    <t xml:space="preserve">Full cursor stream of the best round; update-gap histogram</t>
  </si>
  <si>
    <t xml:space="preserve">Share of time each box gave a range</t>
  </si>
  <si>
    <t xml:space="preserve">Bench V1 vs V2</t>
  </si>
  <si>
    <t xml:space="preserve">Tracker-only bench that motivated the search-after-loss change</t>
  </si>
  <si>
    <t xml:space="preserve">Constants</t>
  </si>
  <si>
    <t xml:space="preserve">Field size, contact ellipse, frame rate, hole layouts (inputs)</t>
  </si>
  <si>
    <t xml:space="preserve">Sources</t>
  </si>
  <si>
    <t xml:space="preserve">Where every number comes from, and the assumptions</t>
  </si>
  <si>
    <t xml:space="preserve">Native Excel charts; each one reads the data sheet named in its title.</t>
  </si>
  <si>
    <t xml:space="preserve">Constants and hole layouts</t>
  </si>
  <si>
    <t xml:space="preserve">Inputs used by the formulas on the other sheets. Blue = typed-in value, black = formula.</t>
  </si>
  <si>
    <t xml:space="preserve">Constant</t>
  </si>
  <si>
    <t xml:space="preserve">Value</t>
  </si>
  <si>
    <t xml:space="preserve">Unit</t>
  </si>
  <si>
    <t xml:space="preserve">Source in code</t>
  </si>
  <si>
    <t xml:space="preserve">Field width</t>
  </si>
  <si>
    <t xml:space="preserve">m</t>
  </si>
  <si>
    <t xml:space="preserve">software/game/field_constants.py PLAY_AREA_WIDTH_M</t>
  </si>
  <si>
    <t xml:space="preserve">Tracked depth</t>
  </si>
  <si>
    <t xml:space="preserve">field_constants.py TRACKED_DEPTH_M</t>
  </si>
  <si>
    <t xml:space="preserve">Dead zone / screen warning depth</t>
  </si>
  <si>
    <t xml:space="preserve">field_constants.py PLAY_AREA_TOP_M</t>
  </si>
  <si>
    <t xml:space="preserve">Hole contact half-width</t>
  </si>
  <si>
    <t xml:space="preserve">main.py HOLE_CONTACT_HALF_WIDTH = 0.115 of window width</t>
  </si>
  <si>
    <t xml:space="preserve">Hole contact half-depth</t>
  </si>
  <si>
    <t xml:space="preserve">main.py HOLE_CONTACT_HALF_DEPTH = 0.07 of window height</t>
  </si>
  <si>
    <t xml:space="preserve">Game frame rate (tracker poll rate)</t>
  </si>
  <si>
    <t xml:space="preserve">Hz</t>
  </si>
  <si>
    <t xml:space="preserve">main.py FRAME_RATE; SwarmTrackingSource.poll() runs once per frame</t>
  </si>
  <si>
    <t xml:space="preserve">Frame period</t>
  </si>
  <si>
    <t xml:space="preserve">ms</t>
  </si>
  <si>
    <t xml:space="preserve">derived</t>
  </si>
  <si>
    <t xml:space="preserve">Tracking-loss grace</t>
  </si>
  <si>
    <t xml:space="preserve">main.py TRACKING_LOSS_GRACE_MS: cursor still counts this long after a fix</t>
  </si>
  <si>
    <t xml:space="preserve">Ghost-echo fix deployed</t>
  </si>
  <si>
    <t xml:space="preserve">time</t>
  </si>
  <si>
    <t xml:space="preserve">game commit 2506fce (tracker sync aee8ef0), 2026-10-05 03:37</t>
  </si>
  <si>
    <t xml:space="preserve">Hole centres by layout (game frame: x from player's left, y from the screen wall)</t>
  </si>
  <si>
    <t xml:space="preserve">Key</t>
  </si>
  <si>
    <t xml:space="preserve">Layout</t>
  </si>
  <si>
    <t xml:space="preserve">Hole</t>
  </si>
  <si>
    <t xml:space="preserve">x (m)</t>
  </si>
  <si>
    <t xml:space="preserve">y (m)</t>
  </si>
  <si>
    <t xml:space="preserve">3-3-3</t>
  </si>
  <si>
    <t xml:space="preserve">2-3-2</t>
  </si>
  <si>
    <t xml:space="preserve">3-2-3</t>
  </si>
  <si>
    <t xml:space="preserve">Source: software/game/hole_layouts.hole_positions_m() on branch CamHaoHa/grid-first-slower-moles @b7874bc.</t>
  </si>
  <si>
    <t xml:space="preserve">Field rounds with the real boxes</t>
  </si>
  <si>
    <t xml:space="preserve">One row per complete round (time_up) from runtime-logs/game.log*. Counts and shares are formulas over the Timeline, Losses and Hits sheets.</t>
  </si>
  <si>
    <t xml:space="preserve">Tracking, 2+ boxes fused</t>
  </si>
  <si>
    <t xml:space="preserve">Tracking, one box</t>
  </si>
  <si>
    <t xml:space="preserve">Searching (lost)</t>
  </si>
  <si>
    <t xml:space="preserve">Tracker alert</t>
  </si>
  <si>
    <t xml:space="preserve">Paused / calibrating</t>
  </si>
  <si>
    <t xml:space="preserve">Round</t>
  </si>
  <si>
    <t xml:space="preserve">Date</t>
  </si>
  <si>
    <t xml:space="preserve">Start</t>
  </si>
  <si>
    <t xml:space="preserve">End</t>
  </si>
  <si>
    <t xml:space="preserve">Duration (s)</t>
  </si>
  <si>
    <t xml:space="preserve">Tracker build</t>
  </si>
  <si>
    <t xml:space="preserve">Score</t>
  </si>
  <si>
    <t xml:space="preserve">Level reached</t>
  </si>
  <si>
    <t xml:space="preserve">Mole hits</t>
  </si>
  <si>
    <t xml:space="preserve">King hits</t>
  </si>
  <si>
    <t xml:space="preserve">Hits / min</t>
  </si>
  <si>
    <t xml:space="preserve">Tracker losses</t>
  </si>
  <si>
    <t xml:space="preserve">Losses / min</t>
  </si>
  <si>
    <t xml:space="preserve">Mean reacquire (s)</t>
  </si>
  <si>
    <t xml:space="preserve">Longest loss (s)</t>
  </si>
  <si>
    <t xml:space="preserve">% Tracking, 2+ boxes fused</t>
  </si>
  <si>
    <t xml:space="preserve">% Tracking, one box</t>
  </si>
  <si>
    <t xml:space="preserve">% Searching (lost)</t>
  </si>
  <si>
    <t xml:space="preserve">% Tracker alert</t>
  </si>
  <si>
    <t xml:space="preserve">% Paused / calibrating</t>
  </si>
  <si>
    <t xml:space="preserve">% check</t>
  </si>
  <si>
    <t xml:space="preserve">Cursor updates</t>
  </si>
  <si>
    <t xml:space="preserve">Position jumps</t>
  </si>
  <si>
    <t xml:space="preserve">Run header in log</t>
  </si>
  <si>
    <t xml:space="preserve">Rotated out</t>
  </si>
  <si>
    <t xml:space="preserve">Summary by tracker build</t>
  </si>
  <si>
    <t xml:space="preserve">Group</t>
  </si>
  <si>
    <t xml:space="preserve">Before fix</t>
  </si>
  <si>
    <t xml:space="preserve">After fix</t>
  </si>
  <si>
    <t xml:space="preserve">All rounds</t>
  </si>
  <si>
    <t xml:space="preserve">Tracker status timeline per round</t>
  </si>
  <si>
    <t xml:space="preserve">Each row = one stretch of constant tracker status, as logged by software/game/swarm_tracking.py. End = start of the next row (or round end).</t>
  </si>
  <si>
    <t xml:space="preserve">Start in round (s)</t>
  </si>
  <si>
    <t xml:space="preserve">End in round (s)</t>
  </si>
  <si>
    <t xml:space="preserve">Category</t>
  </si>
  <si>
    <t xml:space="preserve">Tracker status text</t>
  </si>
  <si>
    <t xml:space="preserve">Box 0 reading</t>
  </si>
  <si>
    <t xml:space="preserve">Box 1 reading</t>
  </si>
  <si>
    <t xml:space="preserve">Box 2 reading</t>
  </si>
  <si>
    <t xml:space="preserve">Box 0 state</t>
  </si>
  <si>
    <t xml:space="preserve">Box 1 state</t>
  </si>
  <si>
    <t xml:space="preserve">Box 2 state</t>
  </si>
  <si>
    <t xml:space="preserve">Day</t>
  </si>
  <si>
    <t xml:space="preserve">Waiting / other</t>
  </si>
  <si>
    <t xml:space="preserve">Searching — 0:sweep, 1:sweep, 2:sweep</t>
  </si>
  <si>
    <t xml:space="preserve">offline</t>
  </si>
  <si>
    <t xml:space="preserve">1.01 m</t>
  </si>
  <si>
    <t xml:space="preserve">1.13 m</t>
  </si>
  <si>
    <t xml:space="preserve">Tracking player (one box)</t>
  </si>
  <si>
    <t xml:space="preserve">timeout</t>
  </si>
  <si>
    <t xml:space="preserve">0.63 m</t>
  </si>
  <si>
    <t xml:space="preserve">Tracking player</t>
  </si>
  <si>
    <t xml:space="preserve">0.68 m</t>
  </si>
  <si>
    <t xml:space="preserve">Searching — 0:search, 1:search, 2:search</t>
  </si>
  <si>
    <t xml:space="preserve">0.69 m ?</t>
  </si>
  <si>
    <t xml:space="preserve">0.71 m</t>
  </si>
  <si>
    <t xml:space="preserve">no range reply</t>
  </si>
  <si>
    <t xml:space="preserve">0.65 m</t>
  </si>
  <si>
    <t xml:space="preserve">0.66 m</t>
  </si>
  <si>
    <t xml:space="preserve">0.86 m</t>
  </si>
  <si>
    <t xml:space="preserve">0.56 m ?</t>
  </si>
  <si>
    <t xml:space="preserve">1.05 m ?</t>
  </si>
  <si>
    <t xml:space="preserve">0.59 m</t>
  </si>
  <si>
    <t xml:space="preserve">1.05 m</t>
  </si>
  <si>
    <t xml:space="preserve">0.72 m</t>
  </si>
  <si>
    <t xml:space="preserve">invalid</t>
  </si>
  <si>
    <t xml:space="preserve">1.02 m</t>
  </si>
  <si>
    <t xml:space="preserve">0.65 m ?</t>
  </si>
  <si>
    <t xml:space="preserve">0.60 m ?</t>
  </si>
  <si>
    <t xml:space="preserve">0.53 m ?</t>
  </si>
  <si>
    <t xml:space="preserve">0.51 m</t>
  </si>
  <si>
    <t xml:space="preserve">0.49 m</t>
  </si>
  <si>
    <t xml:space="preserve">0.12 m</t>
  </si>
  <si>
    <t xml:space="preserve">0.20 m</t>
  </si>
  <si>
    <t xml:space="preserve">0.10 m</t>
  </si>
  <si>
    <t xml:space="preserve">0.11 m</t>
  </si>
  <si>
    <t xml:space="preserve">0.13 m</t>
  </si>
  <si>
    <t xml:space="preserve">0.78 m</t>
  </si>
  <si>
    <t xml:space="preserve">0.87 m ?</t>
  </si>
  <si>
    <t xml:space="preserve">0.77 m</t>
  </si>
  <si>
    <t xml:space="preserve">0.88 m</t>
  </si>
  <si>
    <t xml:space="preserve">0.97 m ?</t>
  </si>
  <si>
    <t xml:space="preserve">0.95 m</t>
  </si>
  <si>
    <t xml:space="preserve">0.86 m ?</t>
  </si>
  <si>
    <t xml:space="preserve">0.91 m ?</t>
  </si>
  <si>
    <t xml:space="preserve">0.87 m</t>
  </si>
  <si>
    <t xml:space="preserve">0.83 m</t>
  </si>
  <si>
    <t xml:space="preserve">0.90 m</t>
  </si>
  <si>
    <t xml:space="preserve">0.93 m</t>
  </si>
  <si>
    <t xml:space="preserve">0.89 m ?</t>
  </si>
  <si>
    <t xml:space="preserve">0.94 m</t>
  </si>
  <si>
    <t xml:space="preserve">1.17 m ?</t>
  </si>
  <si>
    <t xml:space="preserve">0.67 m ?</t>
  </si>
  <si>
    <t xml:space="preserve">0.57 m</t>
  </si>
  <si>
    <t xml:space="preserve">0.68 m ?</t>
  </si>
  <si>
    <t xml:space="preserve">0.80 m</t>
  </si>
  <si>
    <t xml:space="preserve">1.10 m ?</t>
  </si>
  <si>
    <t xml:space="preserve">1.15 m</t>
  </si>
  <si>
    <t xml:space="preserve">1.14 m</t>
  </si>
  <si>
    <t xml:space="preserve">1.39 m</t>
  </si>
  <si>
    <t xml:space="preserve">0.99 m</t>
  </si>
  <si>
    <t xml:space="preserve">1.38 m ?</t>
  </si>
  <si>
    <t xml:space="preserve">0.77 m ?</t>
  </si>
  <si>
    <t xml:space="preserve">1.09 m ?</t>
  </si>
  <si>
    <t xml:space="preserve">0.81 m</t>
  </si>
  <si>
    <t xml:space="preserve">0.73 m</t>
  </si>
  <si>
    <t xml:space="preserve">0.84 m</t>
  </si>
  <si>
    <t xml:space="preserve">0.74 m</t>
  </si>
  <si>
    <t xml:space="preserve">3.87 m (far)</t>
  </si>
  <si>
    <t xml:space="preserve">0.76 m</t>
  </si>
  <si>
    <t xml:space="preserve">0.75 m</t>
  </si>
  <si>
    <t xml:space="preserve">0.62 m</t>
  </si>
  <si>
    <t xml:space="preserve">1.06 m ?</t>
  </si>
  <si>
    <t xml:space="preserve">2.99 m</t>
  </si>
  <si>
    <t xml:space="preserve">0.41 m</t>
  </si>
  <si>
    <t xml:space="preserve">3.47 m (far)</t>
  </si>
  <si>
    <t xml:space="preserve">0.61 m</t>
  </si>
  <si>
    <t xml:space="preserve">0.56 m</t>
  </si>
  <si>
    <t xml:space="preserve">0.83 m ?</t>
  </si>
  <si>
    <t xml:space="preserve">0.79 m</t>
  </si>
  <si>
    <t xml:space="preserve">0.67 m</t>
  </si>
  <si>
    <t xml:space="preserve">0.64 m</t>
  </si>
  <si>
    <t xml:space="preserve">0.70 m</t>
  </si>
  <si>
    <t xml:space="preserve">0.88 m ?</t>
  </si>
  <si>
    <t xml:space="preserve">1.35 m</t>
  </si>
  <si>
    <t xml:space="preserve">0.85 m</t>
  </si>
  <si>
    <t xml:space="preserve">0.82 m</t>
  </si>
  <si>
    <t xml:space="preserve">0.92 m</t>
  </si>
  <si>
    <t xml:space="preserve">1.03 m</t>
  </si>
  <si>
    <t xml:space="preserve">0.96 m</t>
  </si>
  <si>
    <t xml:space="preserve">1.21 m ?</t>
  </si>
  <si>
    <t xml:space="preserve">1.22 m</t>
  </si>
  <si>
    <t xml:space="preserve">0.91 m</t>
  </si>
  <si>
    <t xml:space="preserve">0.96 m ?</t>
  </si>
  <si>
    <t xml:space="preserve">0.98 m</t>
  </si>
  <si>
    <t xml:space="preserve">1.00 m</t>
  </si>
  <si>
    <t xml:space="preserve">0.58 m</t>
  </si>
  <si>
    <t xml:space="preserve">0.99 m ?</t>
  </si>
  <si>
    <t xml:space="preserve">1.34 m</t>
  </si>
  <si>
    <t xml:space="preserve">0.93 m ?</t>
  </si>
  <si>
    <t xml:space="preserve">1.44 m</t>
  </si>
  <si>
    <t xml:space="preserve">1.42 m ?</t>
  </si>
  <si>
    <t xml:space="preserve">1.43 m</t>
  </si>
  <si>
    <t xml:space="preserve">0.73 m ?</t>
  </si>
  <si>
    <t xml:space="preserve">1.04 m</t>
  </si>
  <si>
    <t xml:space="preserve">0.31 m</t>
  </si>
  <si>
    <t xml:space="preserve">0.53 m</t>
  </si>
  <si>
    <t xml:space="preserve">0.57 m ?</t>
  </si>
  <si>
    <t xml:space="preserve">0.55 m</t>
  </si>
  <si>
    <t xml:space="preserve">2.31 m (far)</t>
  </si>
  <si>
    <t xml:space="preserve">0.59 m ?</t>
  </si>
  <si>
    <t xml:space="preserve">0.30 m ?</t>
  </si>
  <si>
    <t xml:space="preserve">0.54 m</t>
  </si>
  <si>
    <t xml:space="preserve">1.14 m ?</t>
  </si>
  <si>
    <t xml:space="preserve">1.30 m</t>
  </si>
  <si>
    <t xml:space="preserve">1.40 m</t>
  </si>
  <si>
    <t xml:space="preserve">1.07 m ?</t>
  </si>
  <si>
    <t xml:space="preserve">0.50 m</t>
  </si>
  <si>
    <t xml:space="preserve">1.06 m</t>
  </si>
  <si>
    <t xml:space="preserve">1.15 m ?</t>
  </si>
  <si>
    <t xml:space="preserve">1.18 m</t>
  </si>
  <si>
    <t xml:space="preserve">1.33 m ?</t>
  </si>
  <si>
    <t xml:space="preserve">0.63 m ?</t>
  </si>
  <si>
    <t xml:space="preserve">0.32 m ?</t>
  </si>
  <si>
    <t xml:space="preserve">1.30 m ?</t>
  </si>
  <si>
    <t xml:space="preserve">1.31 m</t>
  </si>
  <si>
    <t xml:space="preserve">2.43 m (far)</t>
  </si>
  <si>
    <t xml:space="preserve">0.34 m</t>
  </si>
  <si>
    <t xml:space="preserve">3.06 m (far)</t>
  </si>
  <si>
    <t xml:space="preserve">PAUSE: Two players detected</t>
  </si>
  <si>
    <t xml:space="preserve">0.79 m ?</t>
  </si>
  <si>
    <t xml:space="preserve">0.35 m</t>
  </si>
  <si>
    <t xml:space="preserve">1.08 m</t>
  </si>
  <si>
    <t xml:space="preserve">0.95 m ?</t>
  </si>
  <si>
    <t xml:space="preserve">1.20 m ?</t>
  </si>
  <si>
    <t xml:space="preserve">1.20 m</t>
  </si>
  <si>
    <t xml:space="preserve">1.55 m ?</t>
  </si>
  <si>
    <t xml:space="preserve">1.19 m</t>
  </si>
  <si>
    <t xml:space="preserve">1.54 m ?</t>
  </si>
  <si>
    <t xml:space="preserve">1.23 m ?</t>
  </si>
  <si>
    <t xml:space="preserve">1.24 m ?</t>
  </si>
  <si>
    <t xml:space="preserve">1.24 m</t>
  </si>
  <si>
    <t xml:space="preserve">1.26 m ?</t>
  </si>
  <si>
    <t xml:space="preserve">1.26 m</t>
  </si>
  <si>
    <t xml:space="preserve">0.47 m ?</t>
  </si>
  <si>
    <t xml:space="preserve">1.46 m ?</t>
  </si>
  <si>
    <t xml:space="preserve">1.29 m ?</t>
  </si>
  <si>
    <t xml:space="preserve">1.29 m</t>
  </si>
  <si>
    <t xml:space="preserve">1.32 m ?</t>
  </si>
  <si>
    <t xml:space="preserve">0.82 m ?</t>
  </si>
  <si>
    <t xml:space="preserve">0.76 m ?</t>
  </si>
  <si>
    <t xml:space="preserve">0.69 m</t>
  </si>
  <si>
    <t xml:space="preserve">1.17 m</t>
  </si>
  <si>
    <t xml:space="preserve">1.34 m ?</t>
  </si>
  <si>
    <t xml:space="preserve">1.11 m</t>
  </si>
  <si>
    <t xml:space="preserve">1.09 m</t>
  </si>
  <si>
    <t xml:space="preserve">0.89 m</t>
  </si>
  <si>
    <t xml:space="preserve">1.28 m</t>
  </si>
  <si>
    <t xml:space="preserve">0.25 m ?</t>
  </si>
  <si>
    <t xml:space="preserve">0.75 m ?</t>
  </si>
  <si>
    <t xml:space="preserve">0.62 m ?</t>
  </si>
  <si>
    <t xml:space="preserve">Calibration saved — press Search to track</t>
  </si>
  <si>
    <t xml:space="preserve">0.97 m</t>
  </si>
  <si>
    <t xml:space="preserve">1.28 m ?</t>
  </si>
  <si>
    <t xml:space="preserve">1.38 m</t>
  </si>
  <si>
    <t xml:space="preserve">0.81 m ?</t>
  </si>
  <si>
    <t xml:space="preserve">1.27 m</t>
  </si>
  <si>
    <t xml:space="preserve">0.90 m ?</t>
  </si>
  <si>
    <t xml:space="preserve">3.17 m (far)</t>
  </si>
  <si>
    <t xml:space="preserve">1.27 m ?</t>
  </si>
  <si>
    <t xml:space="preserve">0.84 m ?</t>
  </si>
  <si>
    <t xml:space="preserve">Connected 172.20.10.8</t>
  </si>
  <si>
    <t xml:space="preserve">Connected 172.20.10.6</t>
  </si>
  <si>
    <t xml:space="preserve">Connected 172.20.10.11</t>
  </si>
  <si>
    <t xml:space="preserve">3.81 m (far)</t>
  </si>
  <si>
    <t xml:space="preserve">1.01 m ?</t>
  </si>
  <si>
    <t xml:space="preserve">0.70 m ?</t>
  </si>
  <si>
    <t xml:space="preserve">0.60 m</t>
  </si>
  <si>
    <t xml:space="preserve">0.92 m ?</t>
  </si>
  <si>
    <t xml:space="preserve">1.16 m ?</t>
  </si>
  <si>
    <t xml:space="preserve">1.44 m ?</t>
  </si>
  <si>
    <t xml:space="preserve">1.39 m ?</t>
  </si>
  <si>
    <t xml:space="preserve">0.80 m ?</t>
  </si>
  <si>
    <t xml:space="preserve">1.41 m</t>
  </si>
  <si>
    <t xml:space="preserve">0.38 m</t>
  </si>
  <si>
    <t xml:space="preserve">1.93 m (far)</t>
  </si>
  <si>
    <t xml:space="preserve">0.94 m ?</t>
  </si>
  <si>
    <t xml:space="preserve">0.36 m</t>
  </si>
  <si>
    <t xml:space="preserve">servo did not settle</t>
  </si>
  <si>
    <t xml:space="preserve">1.03 m ?</t>
  </si>
  <si>
    <t xml:space="preserve">1.00 m ?</t>
  </si>
  <si>
    <t xml:space="preserve">1.48 m ?</t>
  </si>
  <si>
    <t xml:space="preserve">1.41 m ?</t>
  </si>
  <si>
    <t xml:space="preserve">0.66 m ?</t>
  </si>
  <si>
    <t xml:space="preserve">0.36 m ?</t>
  </si>
  <si>
    <t xml:space="preserve">1.02 m ?</t>
  </si>
  <si>
    <t xml:space="preserve">0.74 m ?</t>
  </si>
  <si>
    <t xml:space="preserve">0.36 m (outvoted)</t>
  </si>
  <si>
    <t xml:space="preserve">0.78 m ?</t>
  </si>
  <si>
    <t xml:space="preserve">1.16 m</t>
  </si>
  <si>
    <t xml:space="preserve">0.58 m ?</t>
  </si>
  <si>
    <t xml:space="preserve">0.52 m</t>
  </si>
  <si>
    <t xml:space="preserve">0.71 m ?</t>
  </si>
  <si>
    <t xml:space="preserve">1.47 m</t>
  </si>
  <si>
    <t xml:space="preserve">1.48 m</t>
  </si>
  <si>
    <t xml:space="preserve">1.23 m</t>
  </si>
  <si>
    <t xml:space="preserve">1.43 m ?</t>
  </si>
  <si>
    <t xml:space="preserve">1.11 m ?</t>
  </si>
  <si>
    <t xml:space="preserve">0.61 m ?</t>
  </si>
  <si>
    <t xml:space="preserve">0.45 m ?</t>
  </si>
  <si>
    <t xml:space="preserve">1.07 m</t>
  </si>
  <si>
    <t xml:space="preserve">0.37 m (outvoted)</t>
  </si>
  <si>
    <t xml:space="preserve">1.21 m</t>
  </si>
  <si>
    <t xml:space="preserve">0.47 m</t>
  </si>
  <si>
    <t xml:space="preserve">0.45 m</t>
  </si>
  <si>
    <t xml:space="preserve">0.48 m</t>
  </si>
  <si>
    <t xml:space="preserve">Paused — Search (Space) to track, Calibrate (C) for a new map</t>
  </si>
  <si>
    <t xml:space="preserve">1.13 m ?</t>
  </si>
  <si>
    <t xml:space="preserve">1.08 m ?</t>
  </si>
  <si>
    <t xml:space="preserve">1.58 m ?</t>
  </si>
  <si>
    <t xml:space="preserve">1.33 m</t>
  </si>
  <si>
    <t xml:space="preserve">1.46 m</t>
  </si>
  <si>
    <t xml:space="preserve">1.31 m ?</t>
  </si>
  <si>
    <t xml:space="preserve">1.49 m</t>
  </si>
  <si>
    <t xml:space="preserve">0.55 m ?</t>
  </si>
  <si>
    <t xml:space="preserve">0.37 m</t>
  </si>
  <si>
    <t xml:space="preserve">0.85 m ?</t>
  </si>
  <si>
    <t xml:space="preserve">1.52 m</t>
  </si>
  <si>
    <t xml:space="preserve">0.72 m ?</t>
  </si>
  <si>
    <t xml:space="preserve">1.22 m ?</t>
  </si>
  <si>
    <t xml:space="preserve">1.50 m</t>
  </si>
  <si>
    <t xml:space="preserve">1.19 m ?</t>
  </si>
  <si>
    <t xml:space="preserve">1.50 m ?</t>
  </si>
  <si>
    <t xml:space="preserve">1.55 m</t>
  </si>
  <si>
    <t xml:space="preserve">1.32 m</t>
  </si>
  <si>
    <t xml:space="preserve">1.12 m ?</t>
  </si>
  <si>
    <t xml:space="preserve">0.98 m ?</t>
  </si>
  <si>
    <t xml:space="preserve">3.49 m</t>
  </si>
  <si>
    <t xml:space="preserve">0.54 m ?</t>
  </si>
  <si>
    <t xml:space="preserve">3.43 m</t>
  </si>
  <si>
    <t xml:space="preserve">3.44 m</t>
  </si>
  <si>
    <t xml:space="preserve">1.37 m</t>
  </si>
  <si>
    <t xml:space="preserve">0.40 m ?</t>
  </si>
  <si>
    <t xml:space="preserve">0.43 m ?</t>
  </si>
  <si>
    <t xml:space="preserve">0.49 m ?</t>
  </si>
  <si>
    <t xml:space="preserve">1.60 m</t>
  </si>
  <si>
    <t xml:space="preserve">1.10 m</t>
  </si>
  <si>
    <t xml:space="preserve">1.75 m (far)</t>
  </si>
  <si>
    <t xml:space="preserve">1.57 m ?</t>
  </si>
  <si>
    <t xml:space="preserve">3.38 m</t>
  </si>
  <si>
    <t xml:space="preserve">2.78 m (far)</t>
  </si>
  <si>
    <t xml:space="preserve">1.58 m</t>
  </si>
  <si>
    <t xml:space="preserve">3.39 m</t>
  </si>
  <si>
    <t xml:space="preserve">1.25 m ?</t>
  </si>
  <si>
    <t xml:space="preserve">1.86 m (far)</t>
  </si>
  <si>
    <t xml:space="preserve">1.54 m</t>
  </si>
  <si>
    <t xml:space="preserve">PAUSE: Player outside the field</t>
  </si>
  <si>
    <t xml:space="preserve">1.40 m ?</t>
  </si>
  <si>
    <t xml:space="preserve">3.50 m</t>
  </si>
  <si>
    <t xml:space="preserve">3.41 m</t>
  </si>
  <si>
    <t xml:space="preserve">3.46 m</t>
  </si>
  <si>
    <t xml:space="preserve">1.79 m (far)</t>
  </si>
  <si>
    <t xml:space="preserve">0.37 m ?</t>
  </si>
  <si>
    <t xml:space="preserve">0.44 m ?</t>
  </si>
  <si>
    <t xml:space="preserve">0.17 m ?</t>
  </si>
  <si>
    <t xml:space="preserve">1.37 m ?</t>
  </si>
  <si>
    <t xml:space="preserve">1.68 m ?</t>
  </si>
  <si>
    <t xml:space="preserve">0.48 m ?</t>
  </si>
  <si>
    <t xml:space="preserve">1.12 m</t>
  </si>
  <si>
    <t xml:space="preserve">1.47 m ?</t>
  </si>
  <si>
    <t xml:space="preserve">3.51 m</t>
  </si>
  <si>
    <t xml:space="preserve">1.69 m ?</t>
  </si>
  <si>
    <t xml:space="preserve">0.64 m ?</t>
  </si>
  <si>
    <t xml:space="preserve">1.35 m ?</t>
  </si>
  <si>
    <t xml:space="preserve">3.45 m</t>
  </si>
  <si>
    <t xml:space="preserve">1.65 m ?</t>
  </si>
  <si>
    <t xml:space="preserve">1.63 m ?</t>
  </si>
  <si>
    <t xml:space="preserve">1.92 m (far)</t>
  </si>
  <si>
    <t xml:space="preserve">1.63 m</t>
  </si>
  <si>
    <t xml:space="preserve">0.33 m</t>
  </si>
  <si>
    <t xml:space="preserve">0.32 m</t>
  </si>
  <si>
    <t xml:space="preserve">0.39 m</t>
  </si>
  <si>
    <t xml:space="preserve">0.41 m ?</t>
  </si>
  <si>
    <t xml:space="preserve">0.40 m</t>
  </si>
  <si>
    <t xml:space="preserve">1.18 m ?</t>
  </si>
  <si>
    <t xml:space="preserve">2.65 m (far)</t>
  </si>
  <si>
    <t xml:space="preserve">1.68 m</t>
  </si>
  <si>
    <t xml:space="preserve">2.81 m (far)</t>
  </si>
  <si>
    <t xml:space="preserve">1.74 m (far)</t>
  </si>
  <si>
    <t xml:space="preserve">1.71 m (far)</t>
  </si>
  <si>
    <t xml:space="preserve">1.53 m</t>
  </si>
  <si>
    <t xml:space="preserve">1.25 m</t>
  </si>
  <si>
    <t xml:space="preserve">1.36 m ?</t>
  </si>
  <si>
    <t xml:space="preserve">1.36 m</t>
  </si>
  <si>
    <t xml:space="preserve">2.12 m (far)</t>
  </si>
  <si>
    <t xml:space="preserve">2.28 m (far)</t>
  </si>
  <si>
    <t xml:space="preserve">2.74 m (far)</t>
  </si>
  <si>
    <t xml:space="preserve">3.43 m (far)</t>
  </si>
  <si>
    <t xml:space="preserve">3.40 m</t>
  </si>
  <si>
    <t xml:space="preserve">1.87 m (far)</t>
  </si>
  <si>
    <t xml:space="preserve">3.48 m</t>
  </si>
  <si>
    <t xml:space="preserve">1.42 m</t>
  </si>
  <si>
    <t xml:space="preserve">Connected 172.20.10.12</t>
  </si>
  <si>
    <t xml:space="preserve">0.50 m ?</t>
  </si>
  <si>
    <t xml:space="preserve">1.61 m ?</t>
  </si>
  <si>
    <t xml:space="preserve">1.51 m</t>
  </si>
  <si>
    <t xml:space="preserve">0.46 m ?</t>
  </si>
  <si>
    <t xml:space="preserve">1.04 m ?</t>
  </si>
  <si>
    <t xml:space="preserve">1.72 m (far)</t>
  </si>
  <si>
    <t xml:space="preserve">1.66 m</t>
  </si>
  <si>
    <t xml:space="preserve">0.43 m</t>
  </si>
  <si>
    <t xml:space="preserve">1.51 m ?</t>
  </si>
  <si>
    <t xml:space="preserve">0.31 m ?</t>
  </si>
  <si>
    <t xml:space="preserve">PAUSE: Player too close to box 1</t>
  </si>
  <si>
    <t xml:space="preserve">0.10 m TOO CLOSE</t>
  </si>
  <si>
    <t xml:space="preserve">0.44 m</t>
  </si>
  <si>
    <t xml:space="preserve">PAUSE: Player in the dead zone</t>
  </si>
  <si>
    <t xml:space="preserve">0.20 m ?</t>
  </si>
  <si>
    <t xml:space="preserve">0.26 m</t>
  </si>
  <si>
    <t xml:space="preserve">0.34 m ?</t>
  </si>
  <si>
    <t xml:space="preserve">1.45 m ?</t>
  </si>
  <si>
    <t xml:space="preserve">0.51 m ?</t>
  </si>
  <si>
    <t xml:space="preserve">1.53 m ?</t>
  </si>
  <si>
    <t xml:space="preserve">1.81 m (far)</t>
  </si>
  <si>
    <t xml:space="preserve">1.62 m ?</t>
  </si>
  <si>
    <t xml:space="preserve">3.52 m (far)</t>
  </si>
  <si>
    <t xml:space="preserve">3.51 m (far)</t>
  </si>
  <si>
    <t xml:space="preserve">1.67 m</t>
  </si>
  <si>
    <t xml:space="preserve">1.70 m ?</t>
  </si>
  <si>
    <t xml:space="preserve">1.70 m</t>
  </si>
  <si>
    <t xml:space="preserve">0.52 m ?</t>
  </si>
  <si>
    <t xml:space="preserve">0.46 m</t>
  </si>
  <si>
    <t xml:space="preserve">2.59 m (far)</t>
  </si>
  <si>
    <t xml:space="preserve">0.42 m</t>
  </si>
  <si>
    <t xml:space="preserve">0.39 m ?</t>
  </si>
  <si>
    <t xml:space="preserve">2.64 m (far)</t>
  </si>
  <si>
    <t xml:space="preserve">0.29 m ?</t>
  </si>
  <si>
    <t xml:space="preserve">0.16 m</t>
  </si>
  <si>
    <t xml:space="preserve">0.21 m</t>
  </si>
  <si>
    <t xml:space="preserve">0.30 m</t>
  </si>
  <si>
    <t xml:space="preserve">0.03 m TOO CLOSE</t>
  </si>
  <si>
    <t xml:space="preserve">3.50 m (far)</t>
  </si>
  <si>
    <t xml:space="preserve">0.04 m TOO CLOSE</t>
  </si>
  <si>
    <t xml:space="preserve">0.06 m TOO CLOSE</t>
  </si>
  <si>
    <t xml:space="preserve">0.07 m TOO CLOSE</t>
  </si>
  <si>
    <t xml:space="preserve">PAUSE: Player too close to box 0</t>
  </si>
  <si>
    <t xml:space="preserve">0.09 m TOO CLOSE</t>
  </si>
  <si>
    <t xml:space="preserve">3.38 m (far)</t>
  </si>
  <si>
    <t xml:space="preserve">0.29 m</t>
  </si>
  <si>
    <t xml:space="preserve">0.24 m</t>
  </si>
  <si>
    <t xml:space="preserve">Tracker losses and reacquisition (field)</t>
  </si>
  <si>
    <t xml:space="preserve">A loss = tracker state 'track' -&gt; 'find' while not parked; it ends at the next 'track'. Same rule as results/report/reacquire_report.py.</t>
  </si>
  <si>
    <t xml:space="preserve">Lost at</t>
  </si>
  <si>
    <t xml:space="preserve">Reacquired at</t>
  </si>
  <si>
    <t xml:space="preserve">Lost at (s in round)</t>
  </si>
  <si>
    <t xml:space="preserve">Reacquire time (s)</t>
  </si>
  <si>
    <t xml:space="preserve">Longer than grace?</t>
  </si>
  <si>
    <t xml:space="preserve">Reacquire-time histogram</t>
  </si>
  <si>
    <t xml:space="preserve">Bin</t>
  </si>
  <si>
    <t xml:space="preserve">From (s)</t>
  </si>
  <si>
    <t xml:space="preserve">To (s)</t>
  </si>
  <si>
    <t xml:space="preserve">Before %</t>
  </si>
  <si>
    <t xml:space="preserve">After %</t>
  </si>
  <si>
    <t xml:space="preserve">&lt; 0.25 s</t>
  </si>
  <si>
    <t xml:space="preserve">0.25-0.5 s</t>
  </si>
  <si>
    <t xml:space="preserve">0.5-1 s</t>
  </si>
  <si>
    <t xml:space="preserve">1-2 s</t>
  </si>
  <si>
    <t xml:space="preserve">2-3 s</t>
  </si>
  <si>
    <t xml:space="preserve">&gt;= 3 s</t>
  </si>
  <si>
    <t xml:space="preserve">Total</t>
  </si>
  <si>
    <t xml:space="preserve">Median reacquire (s)</t>
  </si>
  <si>
    <t xml:space="preserve">Share longer than grace (1 s)</t>
  </si>
  <si>
    <t xml:space="preserve">Every hit: was the cursor on the hole?</t>
  </si>
  <si>
    <t xml:space="preserve">Cursor = last 'Cursor moved' sample at or before the hit. Normalised distance &lt;= 1 means inside the hole's contact ellipse (main.contact_hole).</t>
  </si>
  <si>
    <t xml:space="preserve">Time</t>
  </si>
  <si>
    <t xml:space="preserve">Time in round (s)</t>
  </si>
  <si>
    <t xml:space="preserve">Kind</t>
  </si>
  <si>
    <t xml:space="preserve">Points</t>
  </si>
  <si>
    <t xml:space="preserve">Score after</t>
  </si>
  <si>
    <t xml:space="preserve">Level (logged)</t>
  </si>
  <si>
    <t xml:space="preserve">Layout on screen</t>
  </si>
  <si>
    <t xml:space="preserve">Cursor x (m)</t>
  </si>
  <si>
    <t xml:space="preserve">Cursor y (m)</t>
  </si>
  <si>
    <t xml:space="preserve">Hole x (m)</t>
  </si>
  <si>
    <t xml:space="preserve">Hole y (m)</t>
  </si>
  <si>
    <t xml:space="preserve">dx (m)</t>
  </si>
  <si>
    <t xml:space="preserve">dy (m)</t>
  </si>
  <si>
    <t xml:space="preserve">Normalised distance</t>
  </si>
  <si>
    <t xml:space="preserve">Inside contact ellipse?</t>
  </si>
  <si>
    <t xml:space="preserve">Layout source</t>
  </si>
  <si>
    <t xml:space="preserve">Check</t>
  </si>
  <si>
    <t xml:space="preserve">Contact ellipse outline</t>
  </si>
  <si>
    <t xml:space="preserve">mole_hit</t>
  </si>
  <si>
    <t xml:space="preserve">Inferred: level 1 before @b7874bc (all hits fit 2-3-2)</t>
  </si>
  <si>
    <t xml:space="preserve">Angle (deg)</t>
  </si>
  <si>
    <t xml:space="preserve">Inside ellipse (&lt;= 1.05)</t>
  </si>
  <si>
    <t xml:space="preserve">Share inside</t>
  </si>
  <si>
    <t xml:space="preserve">Median normalised distance</t>
  </si>
  <si>
    <t xml:space="preserve">Largest normalised distance</t>
  </si>
  <si>
    <t xml:space="preserve">Tolerance 1.05: the cursor is logged only when it moves, so the logged sample can be up to one frame older than the position the hit was judged on (the hit fires on the first frame inside the ellipse, so values sit near 1.0).</t>
  </si>
  <si>
    <t xml:space="preserve">king_hit</t>
  </si>
  <si>
    <t xml:space="preserve">'Level up' log line</t>
  </si>
  <si>
    <t xml:space="preserve">Level 1 order of @b7874bc</t>
  </si>
  <si>
    <t xml:space="preserve">Cursor stream, round 15 (2026-10-06 12:34, score 4400)</t>
  </si>
  <si>
    <t xml:space="preserve">Every 'Cursor moved' log line: the smoothed position main.py draws and tests for contact, in the game frame (metres).</t>
  </si>
  <si>
    <t xml:space="preserve">Tracking status</t>
  </si>
  <si>
    <t xml:space="preserve">Gap to previous update (ms)</t>
  </si>
  <si>
    <t xml:space="preserve">Update-gap histogram</t>
  </si>
  <si>
    <t xml:space="preserve">playable</t>
  </si>
  <si>
    <t xml:space="preserve">Gap</t>
  </si>
  <si>
    <t xml:space="preserve">From (ms)</t>
  </si>
  <si>
    <t xml:space="preserve">To (ms)</t>
  </si>
  <si>
    <t xml:space="preserve">Updates</t>
  </si>
  <si>
    <t xml:space="preserve">Share</t>
  </si>
  <si>
    <t xml:space="preserve">1 frame</t>
  </si>
  <si>
    <t xml:space="preserve">2 frames</t>
  </si>
  <si>
    <t xml:space="preserve">3-5 frames</t>
  </si>
  <si>
    <t xml:space="preserve">6-12 frames</t>
  </si>
  <si>
    <t xml:space="preserve">&gt; 12 frames</t>
  </si>
  <si>
    <t xml:space="preserve">Median gap (ms)</t>
  </si>
  <si>
    <t xml:space="preserve">Frame period (ms)</t>
  </si>
  <si>
    <t xml:space="preserve">Gaps longer than 1 frame are frames where the smoothed cursor did not move (player still), not missed polls.</t>
  </si>
  <si>
    <t xml:space="preserve">Level-1 holes (3-3-3) and hits</t>
  </si>
  <si>
    <t xml:space="preserve">Hit row</t>
  </si>
  <si>
    <t xml:space="preserve">Hits!71</t>
  </si>
  <si>
    <t xml:space="preserve">Hits!72</t>
  </si>
  <si>
    <t xml:space="preserve">Hits!73</t>
  </si>
  <si>
    <t xml:space="preserve">What each box reported to the game</t>
  </si>
  <si>
    <t xml:space="preserve">Share of round time each box's last reading was a range, an error/timeout, or offline. From Timeline columns L-N.</t>
  </si>
  <si>
    <t xml:space="preserve">Box</t>
  </si>
  <si>
    <t xml:space="preserve">Range</t>
  </si>
  <si>
    <t xml:space="preserve">No echo / error</t>
  </si>
  <si>
    <t xml:space="preserve">Offline</t>
  </si>
  <si>
    <t xml:space="preserve">Box label</t>
  </si>
  <si>
    <t xml:space="preserve">2026-10-05</t>
  </si>
  <si>
    <t xml:space="preserve">Box 0</t>
  </si>
  <si>
    <t xml:space="preserve">Box 1</t>
  </si>
  <si>
    <t xml:space="preserve">Box 2</t>
  </si>
  <si>
    <t xml:space="preserve">2026-10-06</t>
  </si>
  <si>
    <t xml:space="preserve">'Unknown' (no reading logged yet in a round) is the small remainder to 100 %.</t>
  </si>
  <si>
    <t xml:space="preserve">Tracker-only bench: reacquire time V1 vs V2</t>
  </si>
  <si>
    <t xml:space="preserve">Source: tracker repo results/report/reacquire_losses.csv (jump-v1-3.csv vs jump-v2-1.csv, three boxes). This change flowed tracker -&gt; game.</t>
  </si>
  <si>
    <t xml:space="preserve">Version</t>
  </si>
  <si>
    <t xml:space="preserve">Reacquire (s)</t>
  </si>
  <si>
    <t xml:space="preserve">V1</t>
  </si>
  <si>
    <t xml:space="preserve">V2</t>
  </si>
  <si>
    <t xml:space="preserve">V1 %</t>
  </si>
  <si>
    <t xml:space="preserve">V2 %</t>
  </si>
  <si>
    <t xml:space="preserve">Mean (s)</t>
  </si>
  <si>
    <t xml:space="preserve">Longest (s)</t>
  </si>
  <si>
    <t xml:space="preserve">Sources and assumptions</t>
  </si>
  <si>
    <t xml:space="preserve">Field logs</t>
  </si>
  <si>
    <t xml:space="preserve">~/Desktop/ENGG3000_Group2_WhackAMole/runtime-logs/game.log.3, game.log.2, game.log.1, game.log (2026-10-05 02:34 to 2026-10-06 12:58).</t>
  </si>
  <si>
    <t xml:space="preserve">Rounds kept</t>
  </si>
  <si>
    <t xml:space="preserve">17 rounds that ended with reason=time_up in runs started with --input swarm (simulate=False). Excluded: the swarm-sim smoke test, aborted/quit rounds, the 22:53 run (0 of 3 boxes online), and the first round in game.log.3 (its start rotated out).</t>
  </si>
  <si>
    <t xml:space="preserve">Rounds 1-4</t>
  </si>
  <si>
    <t xml:space="preserve">The 'Game run starting' line of their run rotated out of the log; treated as hardware (box readings show offline/timeout and real ranges).</t>
  </si>
  <si>
    <t xml:space="preserve">Tracker statuses</t>
  </si>
  <si>
    <t xml:space="preserve">From 'Swarm tracker state=/reason=/alert=/paused=' INFO lines of software/game/swarm_tracking.py. Status only logged on change; a stretch lasts until the next logged change.</t>
  </si>
  <si>
    <t xml:space="preserve">Tracker parked</t>
  </si>
  <si>
    <t xml:space="preserve">'Tracker parked' (pause / round over) to 'Tracker resumed' or 'search/track started' counts as Paused; a loss open at a park is dropped (same rule as reacquire_report.py).</t>
  </si>
  <si>
    <t xml:space="preserve">Cursor</t>
  </si>
  <si>
    <t xml:space="preserve">'Cursor moved' DEBUG lines: smoothed position in the game frame, logged only when it changes (so gaps &gt; 1 frame = cursor still).</t>
  </si>
  <si>
    <t xml:space="preserve">Hit layout</t>
  </si>
  <si>
    <t xml:space="preserve">Layout of a hit = last 'Level up' before the hit time. The hit that levels up is logged with the new level number but was scored on the old layout. Level 1: 3-3-3 after game commit b7874bc (2026-10-05 04:05); before it 2-3-2 (inferred: all level-1 hits of rounds 1-8 fall on 2-3-2 holes).</t>
  </si>
  <si>
    <t xml:space="preserve">Ghost-echo fix</t>
  </si>
  <si>
    <t xml:space="preserve">Rounds starting before 2026-10-05 03:37 (game commit 2506fce = tracker aee8ef0) are 'Before fix'. Before-fix rounds also had box 1 often offline, so the comparison is not only the software change.</t>
  </si>
  <si>
    <t xml:space="preserve">Tracker repo results/report/reacquire_losses.csv, from jump-v1-3.csv and jump-v2-1.csv (tracker desktop app, no game).</t>
  </si>
  <si>
    <t xml:space="preserve">Code on game branch CamHaoHa/grid-first-slower-moles @b7874bc; tracker vendored at aee8ef0 (software/tracker/UPSTREAM.md).</t>
  </si>
  <si>
    <t xml:space="preserve">Colour code</t>
  </si>
  <si>
    <t xml:space="preserve">Blue text = value copied from logs or code; black = formula.</t>
  </si>
</sst>
</file>

<file path=xl/styles.xml><?xml version="1.0" encoding="utf-8"?>
<styleSheet xmlns="http://schemas.openxmlformats.org/spreadsheetml/2006/main">
  <numFmts count="9">
    <numFmt numFmtId="164" formatCode="General"/>
    <numFmt numFmtId="165" formatCode="0"/>
    <numFmt numFmtId="166" formatCode="0.0"/>
    <numFmt numFmtId="167" formatCode="0.0%"/>
    <numFmt numFmtId="168" formatCode="@"/>
    <numFmt numFmtId="169" formatCode="0%"/>
    <numFmt numFmtId="170" formatCode="0.00"/>
    <numFmt numFmtId="171" formatCode="0.000"/>
    <numFmt numFmtId="172" formatCode="yyyy\-mm\-dd\ hh:mm:ss.000"/>
  </numFmts>
  <fonts count="18">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sz val="11"/>
      <name val="Arial"/>
      <family val="0"/>
      <charset val="1"/>
    </font>
    <font>
      <i val="true"/>
      <sz val="10"/>
      <color rgb="FF595959"/>
      <name val="Arial"/>
      <family val="0"/>
      <charset val="1"/>
    </font>
    <font>
      <b val="true"/>
      <sz val="12"/>
      <color rgb="FF1F3864"/>
      <name val="Arial"/>
      <family val="0"/>
      <charset val="1"/>
    </font>
    <font>
      <b val="true"/>
      <sz val="11"/>
      <name val="Arial"/>
      <family val="0"/>
      <charset val="1"/>
    </font>
    <font>
      <i val="true"/>
      <sz val="9"/>
      <color rgb="FF595959"/>
      <name val="Arial"/>
      <family val="0"/>
      <charset val="1"/>
    </font>
    <font>
      <b val="true"/>
      <sz val="11"/>
      <color rgb="FFFFFFFF"/>
      <name val="Arial"/>
      <family val="0"/>
      <charset val="1"/>
    </font>
    <font>
      <b val="true"/>
      <sz val="18"/>
      <color rgb="FF000000"/>
      <name val="Calibri"/>
      <family val="2"/>
    </font>
    <font>
      <sz val="10"/>
      <color rgb="FF000000"/>
      <name val="Calibri"/>
      <family val="2"/>
    </font>
    <font>
      <b val="true"/>
      <sz val="10"/>
      <color rgb="FF000000"/>
      <name val="Calibri"/>
      <family val="2"/>
    </font>
    <font>
      <sz val="11"/>
      <color rgb="FF0000FF"/>
      <name val="Arial"/>
      <family val="0"/>
      <charset val="1"/>
    </font>
    <font>
      <i val="true"/>
      <sz val="9"/>
      <name val="Arial"/>
      <family val="0"/>
      <charset val="1"/>
    </font>
    <font>
      <sz val="8"/>
      <color rgb="FF808080"/>
      <name val="Arial"/>
      <family val="0"/>
      <charset val="1"/>
    </font>
    <font>
      <sz val="10"/>
      <name val="Arial"/>
      <family val="2"/>
    </font>
  </fonts>
  <fills count="4">
    <fill>
      <patternFill patternType="none"/>
    </fill>
    <fill>
      <patternFill patternType="gray125"/>
    </fill>
    <fill>
      <patternFill patternType="solid">
        <fgColor rgb="FFFFF2CC"/>
        <bgColor rgb="FFFFFFFF"/>
      </patternFill>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general" vertical="bottom" textRotation="0" wrapText="false" indent="0" shrinkToFit="false"/>
      <protection locked="true" hidden="false"/>
    </xf>
    <xf numFmtId="165" fontId="8" fillId="2" borderId="1" xfId="0" applyFont="true" applyBorder="true" applyAlignment="true" applyProtection="true">
      <alignment horizontal="right" vertical="bottom" textRotation="0" wrapText="false" indent="0" shrinkToFit="false"/>
      <protection locked="true" hidden="false"/>
    </xf>
    <xf numFmtId="166" fontId="8" fillId="2" borderId="1" xfId="0" applyFont="true" applyBorder="true" applyAlignment="true" applyProtection="true">
      <alignment horizontal="right" vertical="bottom" textRotation="0" wrapText="false" indent="0" shrinkToFit="false"/>
      <protection locked="true" hidden="false"/>
    </xf>
    <xf numFmtId="167" fontId="8" fillId="2" borderId="1" xfId="0" applyFont="true" applyBorder="true" applyAlignment="true" applyProtection="true">
      <alignment horizontal="right" vertical="bottom" textRotation="0" wrapText="false" indent="0" shrinkToFit="false"/>
      <protection locked="true" hidden="false"/>
    </xf>
    <xf numFmtId="168" fontId="8" fillId="2" borderId="1" xfId="0" applyFont="true" applyBorder="true" applyAlignment="true" applyProtection="true">
      <alignment horizontal="right" vertical="bottom" textRotation="0" wrapText="false" indent="0" shrinkToFit="false"/>
      <protection locked="true" hidden="false"/>
    </xf>
    <xf numFmtId="164" fontId="9" fillId="0" borderId="0" xfId="0" applyFont="true" applyBorder="true" applyAlignment="true" applyProtection="true">
      <alignment horizontal="general" vertical="top" textRotation="0" wrapText="true" indent="0" shrinkToFit="false"/>
      <protection locked="true" hidden="false"/>
    </xf>
    <xf numFmtId="164" fontId="10" fillId="3" borderId="1" xfId="0" applyFont="true" applyBorder="true" applyAlignment="true" applyProtection="true">
      <alignment horizontal="center" vertical="center" textRotation="0" wrapText="true" indent="0" shrinkToFit="false"/>
      <protection locked="true" hidden="false"/>
    </xf>
    <xf numFmtId="164" fontId="5" fillId="0" borderId="1" xfId="0" applyFont="true" applyBorder="true" applyAlignment="true" applyProtection="true">
      <alignment horizontal="general" vertical="top" textRotation="0" wrapText="true" indent="0" shrinkToFit="false"/>
      <protection locked="true" hidden="false"/>
    </xf>
    <xf numFmtId="167" fontId="5" fillId="0" borderId="1" xfId="0" applyFont="true" applyBorder="true" applyAlignment="true" applyProtection="true">
      <alignment horizontal="general" vertical="top"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xf numFmtId="171" fontId="14" fillId="0" borderId="1" xfId="0" applyFont="true" applyBorder="true" applyAlignment="true" applyProtection="true">
      <alignment horizontal="general" vertical="bottom" textRotation="0" wrapText="false" indent="0" shrinkToFit="false"/>
      <protection locked="true" hidden="false"/>
    </xf>
    <xf numFmtId="171" fontId="5" fillId="0" borderId="1" xfId="0" applyFont="true" applyBorder="true" applyAlignment="true" applyProtection="true">
      <alignment horizontal="general" vertical="bottom" textRotation="0" wrapText="false" indent="0" shrinkToFit="false"/>
      <protection locked="true" hidden="false"/>
    </xf>
    <xf numFmtId="172" fontId="14" fillId="0" borderId="1" xfId="0" applyFont="true" applyBorder="true" applyAlignment="true" applyProtection="true">
      <alignment horizontal="general" vertical="bottom" textRotation="0" wrapText="false" indent="0" shrinkToFit="false"/>
      <protection locked="true" hidden="false"/>
    </xf>
    <xf numFmtId="164" fontId="14" fillId="0" borderId="1" xfId="0" applyFont="true" applyBorder="tru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center" vertical="center" textRotation="0" wrapText="true" indent="0" shrinkToFit="false"/>
      <protection locked="true" hidden="false"/>
    </xf>
    <xf numFmtId="166" fontId="5" fillId="0" borderId="1" xfId="0" applyFont="true" applyBorder="true" applyAlignment="true" applyProtection="true">
      <alignment horizontal="general" vertical="bottom" textRotation="0" wrapText="false" indent="0" shrinkToFit="false"/>
      <protection locked="true" hidden="false"/>
    </xf>
    <xf numFmtId="167" fontId="5" fillId="0" borderId="1" xfId="0" applyFont="true" applyBorder="true" applyAlignment="true" applyProtection="true">
      <alignment horizontal="general" vertical="bottom" textRotation="0" wrapText="false" indent="0" shrinkToFit="false"/>
      <protection locked="true" hidden="false"/>
    </xf>
    <xf numFmtId="164" fontId="8" fillId="0" borderId="1" xfId="0" applyFont="true" applyBorder="true" applyAlignment="true" applyProtection="true">
      <alignment horizontal="general" vertical="bottom" textRotation="0" wrapText="false" indent="0" shrinkToFit="false"/>
      <protection locked="true" hidden="false"/>
    </xf>
    <xf numFmtId="170" fontId="5" fillId="0" borderId="1" xfId="0" applyFont="true" applyBorder="tru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72" fontId="14" fillId="0" borderId="0" xfId="0" applyFont="true" applyBorder="false" applyAlignment="true" applyProtection="true">
      <alignment horizontal="general" vertical="bottom" textRotation="0" wrapText="false" indent="0" shrinkToFit="false"/>
      <protection locked="true" hidden="false"/>
    </xf>
    <xf numFmtId="172" fontId="5" fillId="0" borderId="0" xfId="0" applyFont="true" applyBorder="false" applyAlignment="true" applyProtection="true">
      <alignment horizontal="general" vertical="bottom" textRotation="0" wrapText="false" indent="0" shrinkToFit="false"/>
      <protection locked="true" hidden="false"/>
    </xf>
    <xf numFmtId="170" fontId="5" fillId="0" borderId="0" xfId="0" applyFont="true" applyBorder="false" applyAlignment="true" applyProtection="true">
      <alignment horizontal="general" vertical="bottom" textRotation="0" wrapText="false" indent="0" shrinkToFit="false"/>
      <protection locked="true" hidden="false"/>
    </xf>
    <xf numFmtId="171" fontId="5" fillId="0" borderId="0" xfId="0" applyFont="true" applyBorder="false" applyAlignment="true" applyProtection="true">
      <alignment horizontal="general" vertical="bottom" textRotation="0" wrapText="false" indent="0" shrinkToFit="false"/>
      <protection locked="true" hidden="false"/>
    </xf>
    <xf numFmtId="166" fontId="5" fillId="0" borderId="0" xfId="0" applyFont="true" applyBorder="false" applyAlignment="true" applyProtection="true">
      <alignment horizontal="general" vertical="bottom" textRotation="0" wrapText="false" indent="0" shrinkToFit="false"/>
      <protection locked="true" hidden="false"/>
    </xf>
    <xf numFmtId="171" fontId="14" fillId="0" borderId="0" xfId="0" applyFont="true" applyBorder="false" applyAlignment="true" applyProtection="true">
      <alignment horizontal="general" vertical="bottom" textRotation="0" wrapText="false" indent="0" shrinkToFit="false"/>
      <protection locked="true" hidden="false"/>
    </xf>
    <xf numFmtId="165" fontId="5" fillId="0" borderId="1"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bgColor rgb="FF000000"/>
        </patternFill>
      </fill>
    </dxf>
    <dxf>
      <fill>
        <patternFill patternType="solid">
          <fgColor rgb="FF0000FF"/>
          <bgColor rgb="FF000000"/>
        </patternFill>
      </fill>
    </dxf>
    <dxf>
      <fill>
        <patternFill patternType="solid">
          <fgColor rgb="FFFFFFFF"/>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7F7F7F"/>
      <rgbColor rgb="FF800080"/>
      <rgbColor rgb="FF008080"/>
      <rgbColor rgb="FFBFBFBF"/>
      <rgbColor rgb="FF808080"/>
      <rgbColor rgb="FFA5A5A5"/>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DC3E6"/>
      <rgbColor rgb="FFFF99CC"/>
      <rgbColor rgb="FFCC99FF"/>
      <rgbColor rgb="FFFFCC99"/>
      <rgbColor rgb="FF2E75B6"/>
      <rgbColor rgb="FF33CCCC"/>
      <rgbColor rgb="FF99CC00"/>
      <rgbColor rgb="FFFFC000"/>
      <rgbColor rgb="FFFF9900"/>
      <rgbColor rgb="FFED7D31"/>
      <rgbColor rgb="FF595959"/>
      <rgbColor rgb="FF878787"/>
      <rgbColor rgb="FF1F3864"/>
      <rgbColor rgb="FF70AD47"/>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Rounds: where the tracker spent its time</a:t>
            </a:r>
          </a:p>
        </c:rich>
      </c:tx>
      <c:overlay val="0"/>
      <c:spPr>
        <a:noFill/>
        <a:ln w="0">
          <a:noFill/>
        </a:ln>
      </c:spPr>
    </c:title>
    <c:autoTitleDeleted val="0"/>
    <c:plotArea>
      <c:barChart>
        <c:barDir val="col"/>
        <c:grouping val="percentStacked"/>
        <c:varyColors val="0"/>
        <c:ser>
          <c:idx val="0"/>
          <c:order val="0"/>
          <c:tx>
            <c:strRef>
              <c:f>Rounds!P4</c:f>
              <c:strCache>
                <c:ptCount val="1"/>
                <c:pt idx="0">
                  <c:v>% Tracking, 2+ boxes fused</c:v>
                </c:pt>
              </c:strCache>
            </c:strRef>
          </c:tx>
          <c:spPr>
            <a:solidFill>
              <a:srgbClr val="2e75b6"/>
            </a:solidFill>
            <a:ln w="0">
              <a:solidFill>
                <a:srgbClr val="2e75b6"/>
              </a:solidFill>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Rounds!$A$5:$A$21</c:f>
              <c:strCach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strCache>
            </c:strRef>
          </c:cat>
          <c:val>
            <c:numRef>
              <c:f>Rounds!$P$5:$P$21</c:f>
              <c:numCache>
                <c:formatCode>0.0%</c:formatCode>
                <c:ptCount val="17"/>
                <c:pt idx="0">
                  <c:v>0.831749199169987</c:v>
                </c:pt>
                <c:pt idx="1">
                  <c:v>0.707490905217467</c:v>
                </c:pt>
                <c:pt idx="2">
                  <c:v>0.678467134646445</c:v>
                </c:pt>
                <c:pt idx="3">
                  <c:v>0.622275656758669</c:v>
                </c:pt>
                <c:pt idx="4">
                  <c:v>0.800444379091515</c:v>
                </c:pt>
                <c:pt idx="5">
                  <c:v>0.68064243333978</c:v>
                </c:pt>
                <c:pt idx="6">
                  <c:v>0.110794450683871</c:v>
                </c:pt>
                <c:pt idx="7">
                  <c:v>0.745524888055564</c:v>
                </c:pt>
                <c:pt idx="8">
                  <c:v>0.244622698242929</c:v>
                </c:pt>
                <c:pt idx="9">
                  <c:v>0.503160125621782</c:v>
                </c:pt>
                <c:pt idx="10">
                  <c:v>0.290835427460457</c:v>
                </c:pt>
                <c:pt idx="11">
                  <c:v>0.291286782208484</c:v>
                </c:pt>
                <c:pt idx="12">
                  <c:v>0.383475116056988</c:v>
                </c:pt>
                <c:pt idx="13">
                  <c:v>0.382901759306776</c:v>
                </c:pt>
                <c:pt idx="14">
                  <c:v>0.457920682331141</c:v>
                </c:pt>
                <c:pt idx="15">
                  <c:v>0.46748232408187</c:v>
                </c:pt>
                <c:pt idx="16">
                  <c:v>0.294496626413509</c:v>
                </c:pt>
              </c:numCache>
            </c:numRef>
          </c:val>
        </c:ser>
        <c:ser>
          <c:idx val="1"/>
          <c:order val="1"/>
          <c:tx>
            <c:strRef>
              <c:f>Rounds!Q4</c:f>
              <c:strCache>
                <c:ptCount val="1"/>
                <c:pt idx="0">
                  <c:v>% Tracking, one box</c:v>
                </c:pt>
              </c:strCache>
            </c:strRef>
          </c:tx>
          <c:spPr>
            <a:solidFill>
              <a:srgbClr val="9dc3e6"/>
            </a:solidFill>
            <a:ln w="0">
              <a:solidFill>
                <a:srgbClr val="9dc3e6"/>
              </a:solidFill>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Rounds!$A$5:$A$21</c:f>
              <c:strCach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strCache>
            </c:strRef>
          </c:cat>
          <c:val>
            <c:numRef>
              <c:f>Rounds!$Q$5:$Q$21</c:f>
              <c:numCache>
                <c:formatCode>0.0%</c:formatCode>
                <c:ptCount val="17"/>
                <c:pt idx="0">
                  <c:v>0.0896070596790052</c:v>
                </c:pt>
                <c:pt idx="1">
                  <c:v>0.147865333216873</c:v>
                </c:pt>
                <c:pt idx="2">
                  <c:v>0.144652509525675</c:v>
                </c:pt>
                <c:pt idx="3">
                  <c:v>0.141252875393484</c:v>
                </c:pt>
                <c:pt idx="4">
                  <c:v>0.122799783950854</c:v>
                </c:pt>
                <c:pt idx="5">
                  <c:v>0.127622397771164</c:v>
                </c:pt>
                <c:pt idx="6">
                  <c:v>0.0183066587376952</c:v>
                </c:pt>
                <c:pt idx="7">
                  <c:v>0.0880810855997544</c:v>
                </c:pt>
                <c:pt idx="8">
                  <c:v>0.248609901870985</c:v>
                </c:pt>
                <c:pt idx="9">
                  <c:v>0.224227270626608</c:v>
                </c:pt>
                <c:pt idx="10">
                  <c:v>0.229641488752689</c:v>
                </c:pt>
                <c:pt idx="11">
                  <c:v>0.26424867015425</c:v>
                </c:pt>
                <c:pt idx="12">
                  <c:v>0.250013382501929</c:v>
                </c:pt>
                <c:pt idx="13">
                  <c:v>0.217329865975795</c:v>
                </c:pt>
                <c:pt idx="14">
                  <c:v>0.219896939568902</c:v>
                </c:pt>
                <c:pt idx="15">
                  <c:v>0.19734271443222</c:v>
                </c:pt>
                <c:pt idx="16">
                  <c:v>0.174271031388576</c:v>
                </c:pt>
              </c:numCache>
            </c:numRef>
          </c:val>
        </c:ser>
        <c:ser>
          <c:idx val="2"/>
          <c:order val="2"/>
          <c:tx>
            <c:strRef>
              <c:f>Rounds!R4</c:f>
              <c:strCache>
                <c:ptCount val="1"/>
                <c:pt idx="0">
                  <c:v>% Searching (lost)</c:v>
                </c:pt>
              </c:strCache>
            </c:strRef>
          </c:tx>
          <c:spPr>
            <a:solidFill>
              <a:srgbClr val="ed7d31"/>
            </a:solidFill>
            <a:ln w="0">
              <a:solidFill>
                <a:srgbClr val="ed7d31"/>
              </a:solidFill>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Rounds!$A$5:$A$21</c:f>
              <c:strCach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strCache>
            </c:strRef>
          </c:cat>
          <c:val>
            <c:numRef>
              <c:f>Rounds!$R$5:$R$21</c:f>
              <c:numCache>
                <c:formatCode>0.0%</c:formatCode>
                <c:ptCount val="17"/>
                <c:pt idx="0">
                  <c:v>0.0786437408415612</c:v>
                </c:pt>
                <c:pt idx="1">
                  <c:v>0.144643761168898</c:v>
                </c:pt>
                <c:pt idx="2">
                  <c:v>0.119739772913616</c:v>
                </c:pt>
                <c:pt idx="3">
                  <c:v>0.154883780513569</c:v>
                </c:pt>
                <c:pt idx="4">
                  <c:v>0.076755836576709</c:v>
                </c:pt>
                <c:pt idx="5">
                  <c:v>0.114498355726675</c:v>
                </c:pt>
                <c:pt idx="6">
                  <c:v>0.0173657434121916</c:v>
                </c:pt>
                <c:pt idx="7">
                  <c:v>0.118195539483855</c:v>
                </c:pt>
                <c:pt idx="8">
                  <c:v>0.473000545274115</c:v>
                </c:pt>
                <c:pt idx="9">
                  <c:v>0.272612603241185</c:v>
                </c:pt>
                <c:pt idx="10">
                  <c:v>0.421585305386019</c:v>
                </c:pt>
                <c:pt idx="11">
                  <c:v>0.246570520823891</c:v>
                </c:pt>
                <c:pt idx="12">
                  <c:v>0.2216514337424</c:v>
                </c:pt>
                <c:pt idx="13">
                  <c:v>0.39976837444769</c:v>
                </c:pt>
                <c:pt idx="14">
                  <c:v>0.259797621457517</c:v>
                </c:pt>
                <c:pt idx="15">
                  <c:v>0.131706985986284</c:v>
                </c:pt>
                <c:pt idx="16">
                  <c:v>0.30421269877497</c:v>
                </c:pt>
              </c:numCache>
            </c:numRef>
          </c:val>
        </c:ser>
        <c:ser>
          <c:idx val="3"/>
          <c:order val="3"/>
          <c:tx>
            <c:strRef>
              <c:f>Rounds!S4</c:f>
              <c:strCache>
                <c:ptCount val="1"/>
                <c:pt idx="0">
                  <c:v>% Tracker alert</c:v>
                </c:pt>
              </c:strCache>
            </c:strRef>
          </c:tx>
          <c:spPr>
            <a:solidFill>
              <a:srgbClr val="ffc000"/>
            </a:solidFill>
            <a:ln w="0">
              <a:solidFill>
                <a:srgbClr val="ffc000"/>
              </a:solidFill>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Rounds!$A$5:$A$21</c:f>
              <c:strCach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strCache>
            </c:strRef>
          </c:cat>
          <c:val>
            <c:numRef>
              <c:f>Rounds!$S$5:$S$21</c:f>
              <c:numCache>
                <c:formatCode>0.0%</c:formatCode>
                <c:ptCount val="17"/>
                <c:pt idx="0">
                  <c:v>0</c:v>
                </c:pt>
                <c:pt idx="1">
                  <c:v>0</c:v>
                </c:pt>
                <c:pt idx="2">
                  <c:v>0.0571405824858288</c:v>
                </c:pt>
                <c:pt idx="3">
                  <c:v>0</c:v>
                </c:pt>
                <c:pt idx="4">
                  <c:v>0</c:v>
                </c:pt>
                <c:pt idx="5">
                  <c:v>0.0772368127656446</c:v>
                </c:pt>
                <c:pt idx="6">
                  <c:v>0.0823390208299215</c:v>
                </c:pt>
                <c:pt idx="7">
                  <c:v>0.0481984864633767</c:v>
                </c:pt>
                <c:pt idx="8">
                  <c:v>0.0337512764013124</c:v>
                </c:pt>
                <c:pt idx="9">
                  <c:v>0</c:v>
                </c:pt>
                <c:pt idx="10">
                  <c:v>0.0579377777129198</c:v>
                </c:pt>
                <c:pt idx="11">
                  <c:v>0.0491906500463764</c:v>
                </c:pt>
                <c:pt idx="12">
                  <c:v>0.0470246686696463</c:v>
                </c:pt>
                <c:pt idx="13">
                  <c:v>0</c:v>
                </c:pt>
                <c:pt idx="14">
                  <c:v>0.0623847560823835</c:v>
                </c:pt>
                <c:pt idx="15">
                  <c:v>0.203467974989192</c:v>
                </c:pt>
                <c:pt idx="16">
                  <c:v>0.227019642939202</c:v>
                </c:pt>
              </c:numCache>
            </c:numRef>
          </c:val>
        </c:ser>
        <c:ser>
          <c:idx val="4"/>
          <c:order val="4"/>
          <c:tx>
            <c:strRef>
              <c:f>Rounds!T4</c:f>
              <c:strCache>
                <c:ptCount val="1"/>
                <c:pt idx="0">
                  <c:v>% Paused / calibrating</c:v>
                </c:pt>
              </c:strCache>
            </c:strRef>
          </c:tx>
          <c:spPr>
            <a:solidFill>
              <a:srgbClr val="a5a5a5"/>
            </a:solidFill>
            <a:ln w="0">
              <a:solidFill>
                <a:srgbClr val="a5a5a5"/>
              </a:solidFill>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Rounds!$A$5:$A$21</c:f>
              <c:strCach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strCache>
            </c:strRef>
          </c:cat>
          <c:val>
            <c:numRef>
              <c:f>Rounds!$T$5:$T$21</c:f>
              <c:numCache>
                <c:formatCode>0.0%</c:formatCode>
                <c:ptCount val="17"/>
                <c:pt idx="0">
                  <c:v>0</c:v>
                </c:pt>
                <c:pt idx="1">
                  <c:v>0</c:v>
                </c:pt>
                <c:pt idx="2">
                  <c:v>0</c:v>
                </c:pt>
                <c:pt idx="3">
                  <c:v>0.0815876868398929</c:v>
                </c:pt>
                <c:pt idx="4">
                  <c:v>0</c:v>
                </c:pt>
                <c:pt idx="5">
                  <c:v>0</c:v>
                </c:pt>
                <c:pt idx="6">
                  <c:v>0.771194126292003</c:v>
                </c:pt>
                <c:pt idx="7">
                  <c:v>0</c:v>
                </c:pt>
                <c:pt idx="8">
                  <c:v>1.55777589812449E-005</c:v>
                </c:pt>
                <c:pt idx="9">
                  <c:v>0</c:v>
                </c:pt>
                <c:pt idx="10">
                  <c:v>0</c:v>
                </c:pt>
                <c:pt idx="11">
                  <c:v>0.148703376149865</c:v>
                </c:pt>
                <c:pt idx="12">
                  <c:v>0.0978353985474191</c:v>
                </c:pt>
                <c:pt idx="13">
                  <c:v>0</c:v>
                </c:pt>
                <c:pt idx="14">
                  <c:v>0</c:v>
                </c:pt>
                <c:pt idx="15">
                  <c:v>0</c:v>
                </c:pt>
                <c:pt idx="16">
                  <c:v>0</c:v>
                </c:pt>
              </c:numCache>
            </c:numRef>
          </c:val>
        </c:ser>
        <c:gapWidth val="150"/>
        <c:overlap val="100"/>
        <c:axId val="48428123"/>
        <c:axId val="57310161"/>
      </c:barChart>
      <c:catAx>
        <c:axId val="48428123"/>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Round</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7310161"/>
        <c:crosses val="autoZero"/>
        <c:auto val="1"/>
        <c:lblAlgn val="ctr"/>
        <c:lblOffset val="100"/>
        <c:noMultiLvlLbl val="0"/>
      </c:catAx>
      <c:valAx>
        <c:axId val="5731016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Share of round time</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8428123"/>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Rounds: hits per minute vs tracker losses per minute</a:t>
            </a:r>
          </a:p>
        </c:rich>
      </c:tx>
      <c:overlay val="0"/>
      <c:spPr>
        <a:noFill/>
        <a:ln w="0">
          <a:noFill/>
        </a:ln>
      </c:spPr>
    </c:title>
    <c:autoTitleDeleted val="0"/>
    <c:plotArea>
      <c:barChart>
        <c:barDir val="col"/>
        <c:grouping val="clustered"/>
        <c:varyColors val="0"/>
        <c:ser>
          <c:idx val="0"/>
          <c:order val="0"/>
          <c:tx>
            <c:strRef>
              <c:f>Rounds!K4</c:f>
              <c:strCache>
                <c:ptCount val="1"/>
                <c:pt idx="0">
                  <c:v>Hits / min</c:v>
                </c:pt>
              </c:strCache>
            </c:strRef>
          </c:tx>
          <c:spPr>
            <a:solidFill>
              <a:srgbClr val="70ad47"/>
            </a:solidFill>
            <a:ln w="0">
              <a:noFill/>
            </a:ln>
          </c:spPr>
          <c:invertIfNegative val="0"/>
          <c:dLbls>
            <c:txPr>
              <a:bodyPr wrap="non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Rounds!$A$5:$A$21</c:f>
              <c:strCach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strCache>
            </c:strRef>
          </c:cat>
          <c:val>
            <c:numRef>
              <c:f>Rounds!$K$5:$K$21</c:f>
              <c:numCache>
                <c:formatCode>0.0</c:formatCode>
                <c:ptCount val="17"/>
                <c:pt idx="0">
                  <c:v>3.5365368428017</c:v>
                </c:pt>
                <c:pt idx="1">
                  <c:v>1.90445962593735</c:v>
                </c:pt>
                <c:pt idx="2">
                  <c:v>0.952078706562857</c:v>
                </c:pt>
                <c:pt idx="3">
                  <c:v>0</c:v>
                </c:pt>
                <c:pt idx="4">
                  <c:v>1.9046107493204</c:v>
                </c:pt>
                <c:pt idx="5">
                  <c:v>0</c:v>
                </c:pt>
                <c:pt idx="6">
                  <c:v>0.613630785001052</c:v>
                </c:pt>
                <c:pt idx="7">
                  <c:v>7.33754220575372</c:v>
                </c:pt>
                <c:pt idx="8">
                  <c:v>6.54154670918228</c:v>
                </c:pt>
                <c:pt idx="9">
                  <c:v>12.6105298698069</c:v>
                </c:pt>
                <c:pt idx="10">
                  <c:v>9.17220831583048</c:v>
                </c:pt>
                <c:pt idx="11">
                  <c:v>5.39991518647126</c:v>
                </c:pt>
                <c:pt idx="12">
                  <c:v>6.42157652391975</c:v>
                </c:pt>
                <c:pt idx="13">
                  <c:v>0</c:v>
                </c:pt>
                <c:pt idx="14">
                  <c:v>11.4743125343907</c:v>
                </c:pt>
                <c:pt idx="15">
                  <c:v>11.7099534518272</c:v>
                </c:pt>
                <c:pt idx="16">
                  <c:v>0.617544432606125</c:v>
                </c:pt>
              </c:numCache>
            </c:numRef>
          </c:val>
        </c:ser>
        <c:ser>
          <c:idx val="1"/>
          <c:order val="1"/>
          <c:tx>
            <c:strRef>
              <c:f>Rounds!M4</c:f>
              <c:strCache>
                <c:ptCount val="1"/>
                <c:pt idx="0">
                  <c:v>Losses / min</c:v>
                </c:pt>
              </c:strCache>
            </c:strRef>
          </c:tx>
          <c:spPr>
            <a:solidFill>
              <a:srgbClr val="c00000"/>
            </a:solidFill>
            <a:ln w="0">
              <a:noFill/>
            </a:ln>
          </c:spPr>
          <c:invertIfNegative val="0"/>
          <c:dLbls>
            <c:txPr>
              <a:bodyPr wrap="non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Rounds!$A$5:$A$21</c:f>
              <c:strCach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strCache>
            </c:strRef>
          </c:cat>
          <c:val>
            <c:numRef>
              <c:f>Rounds!$M$5:$M$21</c:f>
              <c:numCache>
                <c:formatCode>0.0</c:formatCode>
                <c:ptCount val="17"/>
                <c:pt idx="0">
                  <c:v>8.84134210700426</c:v>
                </c:pt>
                <c:pt idx="1">
                  <c:v>11.4267577556241</c:v>
                </c:pt>
                <c:pt idx="2">
                  <c:v>12.3770231853171</c:v>
                </c:pt>
                <c:pt idx="3">
                  <c:v>14.407797190326</c:v>
                </c:pt>
                <c:pt idx="4">
                  <c:v>13.3322752452428</c:v>
                </c:pt>
                <c:pt idx="5">
                  <c:v>11.4260323985857</c:v>
                </c:pt>
                <c:pt idx="6">
                  <c:v>1.84089235500316</c:v>
                </c:pt>
                <c:pt idx="7">
                  <c:v>15.5922771872267</c:v>
                </c:pt>
                <c:pt idx="8">
                  <c:v>21.4936534730275</c:v>
                </c:pt>
                <c:pt idx="9">
                  <c:v>18.9157948047103</c:v>
                </c:pt>
                <c:pt idx="10">
                  <c:v>31.1855082738236</c:v>
                </c:pt>
                <c:pt idx="11">
                  <c:v>22.3710772010952</c:v>
                </c:pt>
                <c:pt idx="12">
                  <c:v>18.4620325062693</c:v>
                </c:pt>
                <c:pt idx="13">
                  <c:v>7.61614623459973</c:v>
                </c:pt>
                <c:pt idx="14">
                  <c:v>22.1290313163249</c:v>
                </c:pt>
                <c:pt idx="15">
                  <c:v>24.320672553795</c:v>
                </c:pt>
                <c:pt idx="16">
                  <c:v>16.6736996803654</c:v>
                </c:pt>
              </c:numCache>
            </c:numRef>
          </c:val>
        </c:ser>
        <c:gapWidth val="150"/>
        <c:overlap val="0"/>
        <c:axId val="43967874"/>
        <c:axId val="60085309"/>
      </c:barChart>
      <c:catAx>
        <c:axId val="43967874"/>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Round</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0085309"/>
        <c:crosses val="autoZero"/>
        <c:auto val="1"/>
        <c:lblAlgn val="ctr"/>
        <c:lblOffset val="100"/>
        <c:noMultiLvlLbl val="0"/>
      </c:catAx>
      <c:valAx>
        <c:axId val="6008530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Per minute</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396787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Field: reacquire time after a loss, before vs after the fix</a:t>
            </a:r>
          </a:p>
        </c:rich>
      </c:tx>
      <c:overlay val="0"/>
      <c:spPr>
        <a:noFill/>
        <a:ln w="0">
          <a:noFill/>
        </a:ln>
      </c:spPr>
    </c:title>
    <c:autoTitleDeleted val="0"/>
    <c:plotArea>
      <c:barChart>
        <c:barDir val="col"/>
        <c:grouping val="clustered"/>
        <c:varyColors val="0"/>
        <c:ser>
          <c:idx val="0"/>
          <c:order val="0"/>
          <c:tx>
            <c:strRef>
              <c:f>Losses!N5</c:f>
              <c:strCache>
                <c:ptCount val="1"/>
                <c:pt idx="0">
                  <c:v>Before %</c:v>
                </c:pt>
              </c:strCache>
            </c:strRef>
          </c:tx>
          <c:spPr>
            <a:solidFill>
              <a:srgbClr val="a5a5a5"/>
            </a:solidFill>
            <a:ln w="0">
              <a:noFill/>
            </a:ln>
          </c:spPr>
          <c:invertIfNegative val="0"/>
          <c:dLbls>
            <c:txPr>
              <a:bodyPr wrap="non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Losses!$I$6:$I$11</c:f>
              <c:strCache>
                <c:ptCount val="6"/>
                <c:pt idx="0">
                  <c:v>&lt; 0.25 s</c:v>
                </c:pt>
                <c:pt idx="1">
                  <c:v>0.25-0.5 s</c:v>
                </c:pt>
                <c:pt idx="2">
                  <c:v>0.5-1 s</c:v>
                </c:pt>
                <c:pt idx="3">
                  <c:v>1-2 s</c:v>
                </c:pt>
                <c:pt idx="4">
                  <c:v>2-3 s</c:v>
                </c:pt>
                <c:pt idx="5">
                  <c:v>&gt;= 3 s</c:v>
                </c:pt>
              </c:strCache>
            </c:strRef>
          </c:cat>
          <c:val>
            <c:numRef>
              <c:f>Losses!$N$6:$N$11</c:f>
              <c:numCache>
                <c:formatCode>0.0%</c:formatCode>
                <c:ptCount val="6"/>
                <c:pt idx="0">
                  <c:v>0.484848484848485</c:v>
                </c:pt>
                <c:pt idx="1">
                  <c:v>0.0909090909090909</c:v>
                </c:pt>
                <c:pt idx="2">
                  <c:v>0.287878787878788</c:v>
                </c:pt>
                <c:pt idx="3">
                  <c:v>0.121212121212121</c:v>
                </c:pt>
                <c:pt idx="4">
                  <c:v>0.0151515151515152</c:v>
                </c:pt>
                <c:pt idx="5">
                  <c:v>0</c:v>
                </c:pt>
              </c:numCache>
            </c:numRef>
          </c:val>
        </c:ser>
        <c:ser>
          <c:idx val="1"/>
          <c:order val="1"/>
          <c:tx>
            <c:strRef>
              <c:f>Losses!O5</c:f>
              <c:strCache>
                <c:ptCount val="1"/>
                <c:pt idx="0">
                  <c:v>After %</c:v>
                </c:pt>
              </c:strCache>
            </c:strRef>
          </c:tx>
          <c:spPr>
            <a:solidFill>
              <a:srgbClr val="2e75b6"/>
            </a:solidFill>
            <a:ln w="0">
              <a:noFill/>
            </a:ln>
          </c:spPr>
          <c:invertIfNegative val="0"/>
          <c:dLbls>
            <c:txPr>
              <a:bodyPr wrap="non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Losses!$I$6:$I$11</c:f>
              <c:strCache>
                <c:ptCount val="6"/>
                <c:pt idx="0">
                  <c:v>&lt; 0.25 s</c:v>
                </c:pt>
                <c:pt idx="1">
                  <c:v>0.25-0.5 s</c:v>
                </c:pt>
                <c:pt idx="2">
                  <c:v>0.5-1 s</c:v>
                </c:pt>
                <c:pt idx="3">
                  <c:v>1-2 s</c:v>
                </c:pt>
                <c:pt idx="4">
                  <c:v>2-3 s</c:v>
                </c:pt>
                <c:pt idx="5">
                  <c:v>&gt;= 3 s</c:v>
                </c:pt>
              </c:strCache>
            </c:strRef>
          </c:cat>
          <c:val>
            <c:numRef>
              <c:f>Losses!$O$6:$O$11</c:f>
              <c:numCache>
                <c:formatCode>0.0%</c:formatCode>
                <c:ptCount val="6"/>
                <c:pt idx="0">
                  <c:v>0.404669260700389</c:v>
                </c:pt>
                <c:pt idx="1">
                  <c:v>0.178988326848249</c:v>
                </c:pt>
                <c:pt idx="2">
                  <c:v>0.214007782101167</c:v>
                </c:pt>
                <c:pt idx="3">
                  <c:v>0.140077821011673</c:v>
                </c:pt>
                <c:pt idx="4">
                  <c:v>0.0233463035019455</c:v>
                </c:pt>
                <c:pt idx="5">
                  <c:v>0.0389105058365759</c:v>
                </c:pt>
              </c:numCache>
            </c:numRef>
          </c:val>
        </c:ser>
        <c:gapWidth val="150"/>
        <c:overlap val="0"/>
        <c:axId val="14671071"/>
        <c:axId val="66402282"/>
      </c:barChart>
      <c:catAx>
        <c:axId val="14671071"/>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Time to reacquire</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6402282"/>
        <c:crosses val="autoZero"/>
        <c:auto val="1"/>
        <c:lblAlgn val="ctr"/>
        <c:lblOffset val="100"/>
        <c:noMultiLvlLbl val="0"/>
      </c:catAx>
      <c:valAx>
        <c:axId val="6640228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Share of losses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4671071"/>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Rounds summary: before vs after the ghost-echo fix</a:t>
            </a:r>
          </a:p>
        </c:rich>
      </c:tx>
      <c:overlay val="0"/>
      <c:spPr>
        <a:noFill/>
        <a:ln w="0">
          <a:noFill/>
        </a:ln>
      </c:spPr>
    </c:title>
    <c:autoTitleDeleted val="0"/>
    <c:plotArea>
      <c:barChart>
        <c:barDir val="col"/>
        <c:grouping val="clustered"/>
        <c:varyColors val="0"/>
        <c:ser>
          <c:idx val="0"/>
          <c:order val="0"/>
          <c:tx>
            <c:strRef>
              <c:f>Rounds!E25</c:f>
              <c:strCache>
                <c:ptCount val="1"/>
                <c:pt idx="0">
                  <c:v>Hits / min</c:v>
                </c:pt>
              </c:strCache>
            </c:strRef>
          </c:tx>
          <c:spPr>
            <a:solidFill>
              <a:srgbClr val="70ad47"/>
            </a:solidFill>
            <a:ln w="0">
              <a:noFill/>
            </a:ln>
          </c:spPr>
          <c:invertIfNegative val="0"/>
          <c:dLbls>
            <c:txPr>
              <a:bodyPr wrap="non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Rounds!$A$26:$A$27</c:f>
              <c:strCache>
                <c:ptCount val="2"/>
                <c:pt idx="0">
                  <c:v>Before fix</c:v>
                </c:pt>
                <c:pt idx="1">
                  <c:v>After fix</c:v>
                </c:pt>
              </c:strCache>
            </c:strRef>
          </c:cat>
          <c:val>
            <c:numRef>
              <c:f>Rounds!$E$26:$E$27</c:f>
              <c:numCache>
                <c:formatCode>0.00</c:formatCode>
                <c:ptCount val="2"/>
                <c:pt idx="0">
                  <c:v>1.6478838467633</c:v>
                </c:pt>
                <c:pt idx="1">
                  <c:v>4.76401766512435</c:v>
                </c:pt>
              </c:numCache>
            </c:numRef>
          </c:val>
        </c:ser>
        <c:ser>
          <c:idx val="1"/>
          <c:order val="1"/>
          <c:tx>
            <c:strRef>
              <c:f>Rounds!F25</c:f>
              <c:strCache>
                <c:ptCount val="1"/>
                <c:pt idx="0">
                  <c:v>Losses / min</c:v>
                </c:pt>
              </c:strCache>
            </c:strRef>
          </c:tx>
          <c:spPr>
            <a:solidFill>
              <a:srgbClr val="c00000"/>
            </a:solidFill>
            <a:ln w="0">
              <a:noFill/>
            </a:ln>
          </c:spPr>
          <c:invertIfNegative val="0"/>
          <c:dLbls>
            <c:txPr>
              <a:bodyPr wrap="non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Rounds!$A$26:$A$27</c:f>
              <c:strCache>
                <c:ptCount val="2"/>
                <c:pt idx="0">
                  <c:v>Before fix</c:v>
                </c:pt>
                <c:pt idx="1">
                  <c:v>After fix</c:v>
                </c:pt>
              </c:strCache>
            </c:strRef>
          </c:cat>
          <c:val>
            <c:numRef>
              <c:f>Rounds!$F$26:$F$27</c:f>
              <c:numCache>
                <c:formatCode>0.0</c:formatCode>
                <c:ptCount val="2"/>
                <c:pt idx="0">
                  <c:v>12.0844815429309</c:v>
                </c:pt>
                <c:pt idx="1">
                  <c:v>14.4041475286701</c:v>
                </c:pt>
              </c:numCache>
            </c:numRef>
          </c:val>
        </c:ser>
        <c:gapWidth val="150"/>
        <c:overlap val="0"/>
        <c:axId val="18952450"/>
        <c:axId val="90611372"/>
      </c:barChart>
      <c:catAx>
        <c:axId val="18952450"/>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0611372"/>
        <c:crosses val="autoZero"/>
        <c:auto val="1"/>
        <c:lblAlgn val="ctr"/>
        <c:lblOffset val="100"/>
        <c:noMultiLvlLbl val="0"/>
      </c:catAx>
      <c:valAx>
        <c:axId val="9061137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Per minute</a:t>
                </a:r>
              </a:p>
            </c:rich>
          </c:tx>
          <c:overlay val="0"/>
          <c:spPr>
            <a:noFill/>
            <a:ln w="0">
              <a:noFill/>
            </a:ln>
          </c:spPr>
        </c:title>
        <c:numFmt formatCode="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8952450"/>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Hits: cursor offset from the hit hole vs contact ellipse</a:t>
            </a:r>
          </a:p>
        </c:rich>
      </c:tx>
      <c:overlay val="0"/>
      <c:spPr>
        <a:noFill/>
        <a:ln w="0">
          <a:noFill/>
        </a:ln>
      </c:spPr>
    </c:title>
    <c:autoTitleDeleted val="0"/>
    <c:plotArea>
      <c:scatterChart>
        <c:scatterStyle val="lineMarker"/>
        <c:varyColors val="0"/>
        <c:ser>
          <c:idx val="0"/>
          <c:order val="0"/>
          <c:tx>
            <c:strRef>
              <c:f>"Contact ellipse"</c:f>
              <c:strCache>
                <c:ptCount val="1"/>
                <c:pt idx="0">
                  <c:v>Contact ellipse</c:v>
                </c:pt>
              </c:strCache>
            </c:strRef>
          </c:tx>
          <c:spPr>
            <a:solidFill>
              <a:srgbClr val="7f7f7f"/>
            </a:solidFill>
            <a:ln w="47520">
              <a:solidFill>
                <a:srgbClr val="7f7f7f"/>
              </a:solidFill>
              <a:prstDash val="dash"/>
              <a:round/>
            </a:ln>
          </c:spPr>
          <c:marker>
            <c:symbol val="none"/>
          </c:marker>
          <c:dLbls>
            <c:txPr>
              <a:bodyPr wrap="non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Hits!$X$6:$X$42</c:f>
              <c:numCache>
                <c:formatCode>0.000</c:formatCode>
                <c:ptCount val="37"/>
                <c:pt idx="0">
                  <c:v>0.1725</c:v>
                </c:pt>
                <c:pt idx="1">
                  <c:v>0.169879337394606</c:v>
                </c:pt>
                <c:pt idx="2">
                  <c:v>0.162096977085569</c:v>
                </c:pt>
                <c:pt idx="3">
                  <c:v>0.149389382152816</c:v>
                </c:pt>
                <c:pt idx="4">
                  <c:v>0.132142666438024</c:v>
                </c:pt>
                <c:pt idx="5">
                  <c:v>0.110880862670928</c:v>
                </c:pt>
                <c:pt idx="6">
                  <c:v>0.08625</c:v>
                </c:pt>
                <c:pt idx="7">
                  <c:v>0.0589984747236779</c:v>
                </c:pt>
                <c:pt idx="8">
                  <c:v>0.0299543106475455</c:v>
                </c:pt>
                <c:pt idx="9">
                  <c:v>1.05625786426459E-017</c:v>
                </c:pt>
                <c:pt idx="10">
                  <c:v>-0.0299543106475455</c:v>
                </c:pt>
                <c:pt idx="11">
                  <c:v>-0.0589984747236779</c:v>
                </c:pt>
                <c:pt idx="12">
                  <c:v>-0.08625</c:v>
                </c:pt>
                <c:pt idx="13">
                  <c:v>-0.110880862670928</c:v>
                </c:pt>
                <c:pt idx="14">
                  <c:v>-0.132142666438024</c:v>
                </c:pt>
                <c:pt idx="15">
                  <c:v>-0.149389382152816</c:v>
                </c:pt>
                <c:pt idx="16">
                  <c:v>-0.162096977085569</c:v>
                </c:pt>
                <c:pt idx="17">
                  <c:v>-0.169879337394606</c:v>
                </c:pt>
                <c:pt idx="18">
                  <c:v>-0.1725</c:v>
                </c:pt>
                <c:pt idx="19">
                  <c:v>-0.169879337394606</c:v>
                </c:pt>
                <c:pt idx="20">
                  <c:v>-0.162096977085569</c:v>
                </c:pt>
                <c:pt idx="21">
                  <c:v>-0.149389382152816</c:v>
                </c:pt>
                <c:pt idx="22">
                  <c:v>-0.132142666438024</c:v>
                </c:pt>
                <c:pt idx="23">
                  <c:v>-0.110880862670928</c:v>
                </c:pt>
                <c:pt idx="24">
                  <c:v>-0.0862500000000001</c:v>
                </c:pt>
                <c:pt idx="25">
                  <c:v>-0.058998474723678</c:v>
                </c:pt>
                <c:pt idx="26">
                  <c:v>-0.0299543106475455</c:v>
                </c:pt>
                <c:pt idx="27">
                  <c:v>-3.16877359279378E-017</c:v>
                </c:pt>
                <c:pt idx="28">
                  <c:v>0.0299543106475454</c:v>
                </c:pt>
                <c:pt idx="29">
                  <c:v>0.0589984747236779</c:v>
                </c:pt>
                <c:pt idx="30">
                  <c:v>0.08625</c:v>
                </c:pt>
                <c:pt idx="31">
                  <c:v>0.110880862670928</c:v>
                </c:pt>
                <c:pt idx="32">
                  <c:v>0.132142666438024</c:v>
                </c:pt>
                <c:pt idx="33">
                  <c:v>0.149389382152816</c:v>
                </c:pt>
                <c:pt idx="34">
                  <c:v>0.162096977085569</c:v>
                </c:pt>
                <c:pt idx="35">
                  <c:v>0.169879337394606</c:v>
                </c:pt>
                <c:pt idx="36">
                  <c:v>0.1725</c:v>
                </c:pt>
              </c:numCache>
            </c:numRef>
          </c:xVal>
          <c:yVal>
            <c:numRef>
              <c:f>Hits!$Y$6:$Y$42</c:f>
              <c:numCache>
                <c:formatCode>0.000</c:formatCode>
                <c:ptCount val="37"/>
                <c:pt idx="0">
                  <c:v>0</c:v>
                </c:pt>
                <c:pt idx="1">
                  <c:v>0.0243107448733703</c:v>
                </c:pt>
                <c:pt idx="2">
                  <c:v>0.0478828200655936</c:v>
                </c:pt>
                <c:pt idx="3">
                  <c:v>0.07</c:v>
                </c:pt>
                <c:pt idx="4">
                  <c:v>0.0899902653561155</c:v>
                </c:pt>
                <c:pt idx="5">
                  <c:v>0.107246222036657</c:v>
                </c:pt>
                <c:pt idx="6">
                  <c:v>0.121243556529821</c:v>
                </c:pt>
                <c:pt idx="7">
                  <c:v>0.131556966910027</c:v>
                </c:pt>
                <c:pt idx="8">
                  <c:v>0.137873085421709</c:v>
                </c:pt>
                <c:pt idx="9">
                  <c:v>0.14</c:v>
                </c:pt>
                <c:pt idx="10">
                  <c:v>0.137873085421709</c:v>
                </c:pt>
                <c:pt idx="11">
                  <c:v>0.131556966910027</c:v>
                </c:pt>
                <c:pt idx="12">
                  <c:v>0.121243556529821</c:v>
                </c:pt>
                <c:pt idx="13">
                  <c:v>0.107246222036657</c:v>
                </c:pt>
                <c:pt idx="14">
                  <c:v>0.0899902653561155</c:v>
                </c:pt>
                <c:pt idx="15">
                  <c:v>0.07</c:v>
                </c:pt>
                <c:pt idx="16">
                  <c:v>0.0478828200655937</c:v>
                </c:pt>
                <c:pt idx="17">
                  <c:v>0.0243107448733703</c:v>
                </c:pt>
                <c:pt idx="18">
                  <c:v>1.71450551880629E-017</c:v>
                </c:pt>
                <c:pt idx="19">
                  <c:v>-0.0243107448733703</c:v>
                </c:pt>
                <c:pt idx="20">
                  <c:v>-0.0478828200655936</c:v>
                </c:pt>
                <c:pt idx="21">
                  <c:v>-0.07</c:v>
                </c:pt>
                <c:pt idx="22">
                  <c:v>-0.0899902653561155</c:v>
                </c:pt>
                <c:pt idx="23">
                  <c:v>-0.107246222036657</c:v>
                </c:pt>
                <c:pt idx="24">
                  <c:v>-0.121243556529821</c:v>
                </c:pt>
                <c:pt idx="25">
                  <c:v>-0.131556966910027</c:v>
                </c:pt>
                <c:pt idx="26">
                  <c:v>-0.137873085421709</c:v>
                </c:pt>
                <c:pt idx="27">
                  <c:v>-0.14</c:v>
                </c:pt>
                <c:pt idx="28">
                  <c:v>-0.137873085421709</c:v>
                </c:pt>
                <c:pt idx="29">
                  <c:v>-0.131556966910027</c:v>
                </c:pt>
                <c:pt idx="30">
                  <c:v>-0.121243556529821</c:v>
                </c:pt>
                <c:pt idx="31">
                  <c:v>-0.107246222036657</c:v>
                </c:pt>
                <c:pt idx="32">
                  <c:v>-0.0899902653561156</c:v>
                </c:pt>
                <c:pt idx="33">
                  <c:v>-0.0700000000000001</c:v>
                </c:pt>
                <c:pt idx="34">
                  <c:v>-0.0478828200655937</c:v>
                </c:pt>
                <c:pt idx="35">
                  <c:v>-0.0243107448733703</c:v>
                </c:pt>
                <c:pt idx="36">
                  <c:v>-3.42901103761259E-017</c:v>
                </c:pt>
              </c:numCache>
            </c:numRef>
          </c:yVal>
          <c:smooth val="1"/>
        </c:ser>
        <c:ser>
          <c:idx val="1"/>
          <c:order val="1"/>
          <c:tx>
            <c:strRef>
              <c:f>"Cursor at hit"</c:f>
              <c:strCache>
                <c:ptCount val="1"/>
                <c:pt idx="0">
                  <c:v>Cursor at hit</c:v>
                </c:pt>
              </c:strCache>
            </c:strRef>
          </c:tx>
          <c:spPr>
            <a:solidFill>
              <a:srgbClr val="c00000"/>
            </a:solidFill>
            <a:ln w="47520">
              <a:noFill/>
            </a:ln>
          </c:spPr>
          <c:marker>
            <c:symbol val="circle"/>
            <c:size val="6"/>
            <c:spPr>
              <a:solidFill>
                <a:srgbClr val="c00000"/>
              </a:solidFill>
            </c:spPr>
          </c:marker>
          <c:dLbls>
            <c:txPr>
              <a:bodyPr wrap="non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Hits!$N$5:$N$98</c:f>
              <c:numCache>
                <c:formatCode>0.000</c:formatCode>
                <c:ptCount val="94"/>
                <c:pt idx="0">
                  <c:v>0.0302</c:v>
                </c:pt>
                <c:pt idx="1">
                  <c:v>-0.1555</c:v>
                </c:pt>
                <c:pt idx="2">
                  <c:v>0.0862000000000001</c:v>
                </c:pt>
                <c:pt idx="3">
                  <c:v>0.1685</c:v>
                </c:pt>
                <c:pt idx="4">
                  <c:v>0.1363</c:v>
                </c:pt>
                <c:pt idx="5">
                  <c:v>0.1343</c:v>
                </c:pt>
                <c:pt idx="6">
                  <c:v>0.00539999999999996</c:v>
                </c:pt>
                <c:pt idx="7">
                  <c:v>-0.1577</c:v>
                </c:pt>
                <c:pt idx="8">
                  <c:v>-0.1637</c:v>
                </c:pt>
                <c:pt idx="9">
                  <c:v>-0.079</c:v>
                </c:pt>
                <c:pt idx="10">
                  <c:v>-0.1713</c:v>
                </c:pt>
                <c:pt idx="11">
                  <c:v>-0.0466</c:v>
                </c:pt>
                <c:pt idx="12">
                  <c:v>-0.1588</c:v>
                </c:pt>
                <c:pt idx="13">
                  <c:v>-0.1657</c:v>
                </c:pt>
                <c:pt idx="14">
                  <c:v>0.0195</c:v>
                </c:pt>
                <c:pt idx="15">
                  <c:v>0.151</c:v>
                </c:pt>
                <c:pt idx="16">
                  <c:v>-0.1119</c:v>
                </c:pt>
                <c:pt idx="17">
                  <c:v>-0.172</c:v>
                </c:pt>
                <c:pt idx="18">
                  <c:v>0.1091</c:v>
                </c:pt>
                <c:pt idx="19">
                  <c:v>-0.0292</c:v>
                </c:pt>
                <c:pt idx="20">
                  <c:v>-0.133</c:v>
                </c:pt>
                <c:pt idx="21">
                  <c:v>0.1254</c:v>
                </c:pt>
                <c:pt idx="22">
                  <c:v>-0.0109</c:v>
                </c:pt>
                <c:pt idx="23">
                  <c:v>-0.1692</c:v>
                </c:pt>
                <c:pt idx="24">
                  <c:v>0.0605</c:v>
                </c:pt>
                <c:pt idx="25">
                  <c:v>0.035</c:v>
                </c:pt>
                <c:pt idx="26">
                  <c:v>0.1016</c:v>
                </c:pt>
                <c:pt idx="27">
                  <c:v>0.0291</c:v>
                </c:pt>
                <c:pt idx="28">
                  <c:v>0.165</c:v>
                </c:pt>
                <c:pt idx="29">
                  <c:v>-0.00420000000000001</c:v>
                </c:pt>
                <c:pt idx="30">
                  <c:v>-0.161</c:v>
                </c:pt>
                <c:pt idx="31">
                  <c:v>0.1462</c:v>
                </c:pt>
                <c:pt idx="32">
                  <c:v>-0.0741000000000001</c:v>
                </c:pt>
                <c:pt idx="33">
                  <c:v>0.1342</c:v>
                </c:pt>
                <c:pt idx="34">
                  <c:v>-0.1564</c:v>
                </c:pt>
                <c:pt idx="35">
                  <c:v>-0.1568</c:v>
                </c:pt>
                <c:pt idx="36">
                  <c:v>0.0744</c:v>
                </c:pt>
                <c:pt idx="37">
                  <c:v>-0.166</c:v>
                </c:pt>
                <c:pt idx="38">
                  <c:v>-0.1496</c:v>
                </c:pt>
                <c:pt idx="39">
                  <c:v>-0.00349999999999995</c:v>
                </c:pt>
                <c:pt idx="40">
                  <c:v>0.1196</c:v>
                </c:pt>
                <c:pt idx="41">
                  <c:v>-0.0391</c:v>
                </c:pt>
                <c:pt idx="42">
                  <c:v>-0.1661</c:v>
                </c:pt>
                <c:pt idx="43">
                  <c:v>-0.0945</c:v>
                </c:pt>
                <c:pt idx="44">
                  <c:v>0.0509999999999999</c:v>
                </c:pt>
                <c:pt idx="45">
                  <c:v>-0.1323</c:v>
                </c:pt>
                <c:pt idx="46">
                  <c:v>0.1317</c:v>
                </c:pt>
                <c:pt idx="47">
                  <c:v>-0.0266</c:v>
                </c:pt>
                <c:pt idx="48">
                  <c:v>-0.1165</c:v>
                </c:pt>
                <c:pt idx="49">
                  <c:v>0.0893000000000001</c:v>
                </c:pt>
                <c:pt idx="50">
                  <c:v>0.083</c:v>
                </c:pt>
                <c:pt idx="51">
                  <c:v>-0.0129</c:v>
                </c:pt>
                <c:pt idx="52">
                  <c:v>0.1218</c:v>
                </c:pt>
                <c:pt idx="53">
                  <c:v>0.0473</c:v>
                </c:pt>
                <c:pt idx="54">
                  <c:v>-0.0343</c:v>
                </c:pt>
                <c:pt idx="55">
                  <c:v>0.1146</c:v>
                </c:pt>
                <c:pt idx="56">
                  <c:v>0.0967</c:v>
                </c:pt>
                <c:pt idx="57">
                  <c:v>0.0854</c:v>
                </c:pt>
                <c:pt idx="58">
                  <c:v>-0.0782000000000001</c:v>
                </c:pt>
                <c:pt idx="59">
                  <c:v>-0.0131</c:v>
                </c:pt>
                <c:pt idx="60">
                  <c:v>-0.1504</c:v>
                </c:pt>
                <c:pt idx="61">
                  <c:v>0.1664</c:v>
                </c:pt>
                <c:pt idx="62">
                  <c:v>0.0359</c:v>
                </c:pt>
                <c:pt idx="63">
                  <c:v>-0.1641</c:v>
                </c:pt>
                <c:pt idx="64">
                  <c:v>0.1315</c:v>
                </c:pt>
                <c:pt idx="65">
                  <c:v>-0.0182</c:v>
                </c:pt>
                <c:pt idx="66">
                  <c:v>0.1351</c:v>
                </c:pt>
                <c:pt idx="67">
                  <c:v>0.1586</c:v>
                </c:pt>
                <c:pt idx="68">
                  <c:v>0.1453</c:v>
                </c:pt>
                <c:pt idx="69">
                  <c:v>-0.1581</c:v>
                </c:pt>
                <c:pt idx="70">
                  <c:v>0.1328</c:v>
                </c:pt>
                <c:pt idx="71">
                  <c:v>-0.1596</c:v>
                </c:pt>
                <c:pt idx="72">
                  <c:v>0.00360000000000005</c:v>
                </c:pt>
                <c:pt idx="73">
                  <c:v>-0.0627</c:v>
                </c:pt>
                <c:pt idx="74">
                  <c:v>0.1302</c:v>
                </c:pt>
                <c:pt idx="75">
                  <c:v>-0.1552</c:v>
                </c:pt>
                <c:pt idx="76">
                  <c:v>0.1028</c:v>
                </c:pt>
                <c:pt idx="77">
                  <c:v>-0.00679999999999997</c:v>
                </c:pt>
                <c:pt idx="78">
                  <c:v>0.0338</c:v>
                </c:pt>
                <c:pt idx="79">
                  <c:v>0.0290999999999999</c:v>
                </c:pt>
                <c:pt idx="80">
                  <c:v>-0.1358</c:v>
                </c:pt>
                <c:pt idx="81">
                  <c:v>0.154</c:v>
                </c:pt>
                <c:pt idx="82">
                  <c:v>-0.0801000000000001</c:v>
                </c:pt>
                <c:pt idx="83">
                  <c:v>0.1317</c:v>
                </c:pt>
                <c:pt idx="84">
                  <c:v>0.0174000000000001</c:v>
                </c:pt>
                <c:pt idx="85">
                  <c:v>-0.0677</c:v>
                </c:pt>
                <c:pt idx="86">
                  <c:v>0.1405</c:v>
                </c:pt>
                <c:pt idx="87">
                  <c:v>-0.1218</c:v>
                </c:pt>
                <c:pt idx="88">
                  <c:v>-0.0411999999999999</c:v>
                </c:pt>
                <c:pt idx="89">
                  <c:v>0.1213</c:v>
                </c:pt>
                <c:pt idx="90">
                  <c:v>0.0883</c:v>
                </c:pt>
                <c:pt idx="91">
                  <c:v>0.0713</c:v>
                </c:pt>
                <c:pt idx="92">
                  <c:v>0.0365</c:v>
                </c:pt>
                <c:pt idx="93">
                  <c:v>-0.00760000000000005</c:v>
                </c:pt>
              </c:numCache>
            </c:numRef>
          </c:xVal>
          <c:yVal>
            <c:numRef>
              <c:f>Hits!$O$5:$O$98</c:f>
              <c:numCache>
                <c:formatCode>0.000</c:formatCode>
                <c:ptCount val="94"/>
                <c:pt idx="0">
                  <c:v>-0.1389</c:v>
                </c:pt>
                <c:pt idx="1">
                  <c:v>0.01</c:v>
                </c:pt>
                <c:pt idx="2">
                  <c:v>0.1187</c:v>
                </c:pt>
                <c:pt idx="3">
                  <c:v>-0.0250999999999999</c:v>
                </c:pt>
                <c:pt idx="4">
                  <c:v>0.0508000000000002</c:v>
                </c:pt>
                <c:pt idx="5">
                  <c:v>-0.0878999999999999</c:v>
                </c:pt>
                <c:pt idx="6">
                  <c:v>-0.1332</c:v>
                </c:pt>
                <c:pt idx="7">
                  <c:v>-0.0407</c:v>
                </c:pt>
                <c:pt idx="8">
                  <c:v>0.0267000000000002</c:v>
                </c:pt>
                <c:pt idx="9">
                  <c:v>-0.0972999999999999</c:v>
                </c:pt>
                <c:pt idx="10">
                  <c:v>-0.00819999999999999</c:v>
                </c:pt>
                <c:pt idx="11">
                  <c:v>0.1243</c:v>
                </c:pt>
                <c:pt idx="12">
                  <c:v>0.0162</c:v>
                </c:pt>
                <c:pt idx="13">
                  <c:v>-0.0081</c:v>
                </c:pt>
                <c:pt idx="14">
                  <c:v>0.1369</c:v>
                </c:pt>
                <c:pt idx="15">
                  <c:v>0.0369000000000002</c:v>
                </c:pt>
                <c:pt idx="16">
                  <c:v>0.104</c:v>
                </c:pt>
                <c:pt idx="17">
                  <c:v>-0.0146999999999999</c:v>
                </c:pt>
                <c:pt idx="18">
                  <c:v>0.1076</c:v>
                </c:pt>
                <c:pt idx="19">
                  <c:v>-0.1356</c:v>
                </c:pt>
                <c:pt idx="20">
                  <c:v>-0.0782000000000001</c:v>
                </c:pt>
                <c:pt idx="21">
                  <c:v>0.0614999999999999</c:v>
                </c:pt>
                <c:pt idx="22">
                  <c:v>-0.1301</c:v>
                </c:pt>
                <c:pt idx="23">
                  <c:v>-0.00970000000000004</c:v>
                </c:pt>
                <c:pt idx="24">
                  <c:v>-0.1189</c:v>
                </c:pt>
                <c:pt idx="25">
                  <c:v>-0.0285</c:v>
                </c:pt>
                <c:pt idx="26">
                  <c:v>0.1108</c:v>
                </c:pt>
                <c:pt idx="27">
                  <c:v>-0.1338</c:v>
                </c:pt>
                <c:pt idx="28">
                  <c:v>0.0123</c:v>
                </c:pt>
                <c:pt idx="29">
                  <c:v>0.1386</c:v>
                </c:pt>
                <c:pt idx="30">
                  <c:v>0.0284</c:v>
                </c:pt>
                <c:pt idx="31">
                  <c:v>0.00429999999999997</c:v>
                </c:pt>
                <c:pt idx="32">
                  <c:v>-0.1081</c:v>
                </c:pt>
                <c:pt idx="33">
                  <c:v>0.0590000000000002</c:v>
                </c:pt>
                <c:pt idx="34">
                  <c:v>0.0502</c:v>
                </c:pt>
                <c:pt idx="35">
                  <c:v>-0.00669999999999993</c:v>
                </c:pt>
                <c:pt idx="36">
                  <c:v>0.1273</c:v>
                </c:pt>
                <c:pt idx="37">
                  <c:v>0.0128000000000001</c:v>
                </c:pt>
                <c:pt idx="38">
                  <c:v>-0.0376000000000001</c:v>
                </c:pt>
                <c:pt idx="39">
                  <c:v>0.1313</c:v>
                </c:pt>
                <c:pt idx="40">
                  <c:v>0.0940000000000001</c:v>
                </c:pt>
                <c:pt idx="41">
                  <c:v>0.1184</c:v>
                </c:pt>
                <c:pt idx="42">
                  <c:v>-0.0256000000000001</c:v>
                </c:pt>
                <c:pt idx="43">
                  <c:v>-0.1003</c:v>
                </c:pt>
                <c:pt idx="44">
                  <c:v>-0.122</c:v>
                </c:pt>
                <c:pt idx="45">
                  <c:v>-0.0826</c:v>
                </c:pt>
                <c:pt idx="46">
                  <c:v>0.0868</c:v>
                </c:pt>
                <c:pt idx="47">
                  <c:v>0.1003</c:v>
                </c:pt>
                <c:pt idx="48">
                  <c:v>-0.0841999999999998</c:v>
                </c:pt>
                <c:pt idx="49">
                  <c:v>-0.0969</c:v>
                </c:pt>
                <c:pt idx="50">
                  <c:v>0.1232</c:v>
                </c:pt>
                <c:pt idx="51">
                  <c:v>-0.1382</c:v>
                </c:pt>
                <c:pt idx="52">
                  <c:v>0.0928</c:v>
                </c:pt>
                <c:pt idx="53">
                  <c:v>0.1351</c:v>
                </c:pt>
                <c:pt idx="54">
                  <c:v>-0.1333</c:v>
                </c:pt>
                <c:pt idx="55">
                  <c:v>0.0946</c:v>
                </c:pt>
                <c:pt idx="56">
                  <c:v>0.1077</c:v>
                </c:pt>
                <c:pt idx="57">
                  <c:v>0.106</c:v>
                </c:pt>
                <c:pt idx="58">
                  <c:v>0.1212</c:v>
                </c:pt>
                <c:pt idx="59">
                  <c:v>-0.0976999999999999</c:v>
                </c:pt>
                <c:pt idx="60">
                  <c:v>0.0468999999999999</c:v>
                </c:pt>
                <c:pt idx="61">
                  <c:v>0.00749999999999984</c:v>
                </c:pt>
                <c:pt idx="62">
                  <c:v>0.1274</c:v>
                </c:pt>
                <c:pt idx="63">
                  <c:v>-0.0169999999999999</c:v>
                </c:pt>
                <c:pt idx="64">
                  <c:v>0.0268999999999999</c:v>
                </c:pt>
                <c:pt idx="65">
                  <c:v>0.1235</c:v>
                </c:pt>
                <c:pt idx="66">
                  <c:v>0.0868</c:v>
                </c:pt>
                <c:pt idx="67">
                  <c:v>0.0448</c:v>
                </c:pt>
                <c:pt idx="68">
                  <c:v>-0.0142</c:v>
                </c:pt>
                <c:pt idx="69">
                  <c:v>0.0546</c:v>
                </c:pt>
                <c:pt idx="70">
                  <c:v>0.0872000000000002</c:v>
                </c:pt>
                <c:pt idx="71">
                  <c:v>-0.0522</c:v>
                </c:pt>
                <c:pt idx="72">
                  <c:v>0.1337</c:v>
                </c:pt>
                <c:pt idx="73">
                  <c:v>-0.1162</c:v>
                </c:pt>
                <c:pt idx="74">
                  <c:v>0.0589999999999999</c:v>
                </c:pt>
                <c:pt idx="75">
                  <c:v>0.00779999999999981</c:v>
                </c:pt>
                <c:pt idx="76">
                  <c:v>-0.0825</c:v>
                </c:pt>
                <c:pt idx="77">
                  <c:v>0.1373</c:v>
                </c:pt>
                <c:pt idx="78">
                  <c:v>0.1277</c:v>
                </c:pt>
                <c:pt idx="79">
                  <c:v>0.1289</c:v>
                </c:pt>
                <c:pt idx="80">
                  <c:v>0.0826</c:v>
                </c:pt>
                <c:pt idx="81">
                  <c:v>0.0391999999999999</c:v>
                </c:pt>
                <c:pt idx="82">
                  <c:v>-0.1068</c:v>
                </c:pt>
                <c:pt idx="83">
                  <c:v>0.0889</c:v>
                </c:pt>
                <c:pt idx="84">
                  <c:v>-0.1309</c:v>
                </c:pt>
                <c:pt idx="85">
                  <c:v>0.1266</c:v>
                </c:pt>
                <c:pt idx="86">
                  <c:v>0.0715999999999999</c:v>
                </c:pt>
                <c:pt idx="87">
                  <c:v>0.0902999999999998</c:v>
                </c:pt>
                <c:pt idx="88">
                  <c:v>-0.1218</c:v>
                </c:pt>
                <c:pt idx="89">
                  <c:v>-0.0734999999999999</c:v>
                </c:pt>
                <c:pt idx="90">
                  <c:v>0.1017</c:v>
                </c:pt>
                <c:pt idx="91">
                  <c:v>0.1237</c:v>
                </c:pt>
                <c:pt idx="92">
                  <c:v>0.1123</c:v>
                </c:pt>
                <c:pt idx="93">
                  <c:v>0.1271</c:v>
                </c:pt>
              </c:numCache>
            </c:numRef>
          </c:yVal>
          <c:smooth val="1"/>
        </c:ser>
        <c:axId val="81466731"/>
        <c:axId val="88299607"/>
      </c:scatterChart>
      <c:valAx>
        <c:axId val="81466731"/>
        <c:scaling>
          <c:orientation val="minMax"/>
          <c:max val="0.25"/>
          <c:min val="-0.25"/>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dx (m)</a:t>
                </a:r>
              </a:p>
            </c:rich>
          </c:tx>
          <c:overlay val="0"/>
          <c:spPr>
            <a:noFill/>
            <a:ln w="0">
              <a:noFill/>
            </a:ln>
          </c:spPr>
        </c:title>
        <c:numFmt formatCode="0.00" sourceLinked="0"/>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88299607"/>
        <c:crosses val="autoZero"/>
        <c:crossBetween val="midCat"/>
      </c:valAx>
      <c:valAx>
        <c:axId val="88299607"/>
        <c:scaling>
          <c:orientation val="minMax"/>
          <c:max val="0.2"/>
          <c:min val="-0.2"/>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dy (m)</a:t>
                </a:r>
              </a:p>
            </c:rich>
          </c:tx>
          <c:overlay val="0"/>
          <c:spPr>
            <a:noFill/>
            <a:ln w="0">
              <a:noFill/>
            </a:ln>
          </c:spPr>
        </c:title>
        <c:numFmt formatCode="0.00" sourceLinked="0"/>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81466731"/>
        <c:crosses val="autoZero"/>
        <c:crossBetween val="midCat"/>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Cursor Path: gap between cursor updates (frame = 16.7 ms)</a:t>
            </a:r>
          </a:p>
        </c:rich>
      </c:tx>
      <c:overlay val="0"/>
      <c:spPr>
        <a:noFill/>
        <a:ln w="0">
          <a:noFill/>
        </a:ln>
      </c:spPr>
    </c:title>
    <c:autoTitleDeleted val="0"/>
    <c:plotArea>
      <c:barChart>
        <c:barDir val="col"/>
        <c:grouping val="clustered"/>
        <c:varyColors val="0"/>
        <c:ser>
          <c:idx val="0"/>
          <c:order val="0"/>
          <c:tx>
            <c:strRef>
              <c:f>'Cursor Path'!M5</c:f>
              <c:strCache>
                <c:ptCount val="1"/>
                <c:pt idx="0">
                  <c:v>Share</c:v>
                </c:pt>
              </c:strCache>
            </c:strRef>
          </c:tx>
          <c:spPr>
            <a:solidFill>
              <a:srgbClr val="2e75b6"/>
            </a:solidFill>
            <a:ln w="0">
              <a:noFill/>
            </a:ln>
          </c:spPr>
          <c:invertIfNegative val="0"/>
          <c:dLbls>
            <c:txPr>
              <a:bodyPr wrap="non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'Cursor Path'!$I$6:$I$10</c:f>
              <c:strCache>
                <c:ptCount val="5"/>
                <c:pt idx="0">
                  <c:v>1 frame</c:v>
                </c:pt>
                <c:pt idx="1">
                  <c:v>2 frames</c:v>
                </c:pt>
                <c:pt idx="2">
                  <c:v>3-5 frames</c:v>
                </c:pt>
                <c:pt idx="3">
                  <c:v>6-12 frames</c:v>
                </c:pt>
                <c:pt idx="4">
                  <c:v>&gt; 12 frames</c:v>
                </c:pt>
              </c:strCache>
            </c:strRef>
          </c:cat>
          <c:val>
            <c:numRef>
              <c:f>'Cursor Path'!$M$6:$M$10</c:f>
              <c:numCache>
                <c:formatCode>0.0%</c:formatCode>
                <c:ptCount val="5"/>
                <c:pt idx="0">
                  <c:v>0.825304136253041</c:v>
                </c:pt>
                <c:pt idx="1">
                  <c:v>0.0880778588807786</c:v>
                </c:pt>
                <c:pt idx="2">
                  <c:v>0.0598540145985401</c:v>
                </c:pt>
                <c:pt idx="3">
                  <c:v>0.0116788321167883</c:v>
                </c:pt>
                <c:pt idx="4">
                  <c:v>0.0150851581508516</c:v>
                </c:pt>
              </c:numCache>
            </c:numRef>
          </c:val>
        </c:ser>
        <c:gapWidth val="150"/>
        <c:overlap val="0"/>
        <c:axId val="46190623"/>
        <c:axId val="52102476"/>
      </c:barChart>
      <c:catAx>
        <c:axId val="46190623"/>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2102476"/>
        <c:crosses val="autoZero"/>
        <c:auto val="1"/>
        <c:lblAlgn val="ctr"/>
        <c:lblOffset val="100"/>
        <c:noMultiLvlLbl val="0"/>
      </c:catAx>
      <c:valAx>
        <c:axId val="5210247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Share of updates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619062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Box Health: what each box reported</a:t>
            </a:r>
          </a:p>
        </c:rich>
      </c:tx>
      <c:overlay val="0"/>
      <c:spPr>
        <a:noFill/>
        <a:ln w="0">
          <a:noFill/>
        </a:ln>
      </c:spPr>
    </c:title>
    <c:autoTitleDeleted val="0"/>
    <c:plotArea>
      <c:barChart>
        <c:barDir val="bar"/>
        <c:grouping val="percentStacked"/>
        <c:varyColors val="0"/>
        <c:ser>
          <c:idx val="0"/>
          <c:order val="0"/>
          <c:tx>
            <c:strRef>
              <c:f>'Box Health'!C4</c:f>
              <c:strCache>
                <c:ptCount val="1"/>
                <c:pt idx="0">
                  <c:v>Range</c:v>
                </c:pt>
              </c:strCache>
            </c:strRef>
          </c:tx>
          <c:spPr>
            <a:solidFill>
              <a:srgbClr val="70ad47"/>
            </a:solidFill>
            <a:ln w="0">
              <a:noFill/>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'Box Health'!$H$5:$H$10</c:f>
              <c:strCache>
                <c:ptCount val="6"/>
                <c:pt idx="0">
                  <c:v>10-05 Box 0</c:v>
                </c:pt>
                <c:pt idx="1">
                  <c:v>10-05 Box 1</c:v>
                </c:pt>
                <c:pt idx="2">
                  <c:v>10-05 Box 2</c:v>
                </c:pt>
                <c:pt idx="3">
                  <c:v>10-06 Box 0</c:v>
                </c:pt>
                <c:pt idx="4">
                  <c:v>10-06 Box 1</c:v>
                </c:pt>
                <c:pt idx="5">
                  <c:v>10-06 Box 2</c:v>
                </c:pt>
              </c:strCache>
            </c:strRef>
          </c:cat>
          <c:val>
            <c:numRef>
              <c:f>'Box Health'!$C$5:$C$10</c:f>
              <c:numCache>
                <c:formatCode>0.0%</c:formatCode>
                <c:ptCount val="6"/>
                <c:pt idx="0">
                  <c:v>0.676781949399847</c:v>
                </c:pt>
                <c:pt idx="1">
                  <c:v>0.921647585764208</c:v>
                </c:pt>
                <c:pt idx="2">
                  <c:v>0.924261469119212</c:v>
                </c:pt>
                <c:pt idx="3">
                  <c:v>0.716146857159091</c:v>
                </c:pt>
                <c:pt idx="4">
                  <c:v>0.858350866629906</c:v>
                </c:pt>
                <c:pt idx="5">
                  <c:v>0.67292888824582</c:v>
                </c:pt>
              </c:numCache>
            </c:numRef>
          </c:val>
        </c:ser>
        <c:ser>
          <c:idx val="1"/>
          <c:order val="1"/>
          <c:tx>
            <c:strRef>
              <c:f>'Box Health'!D4</c:f>
              <c:strCache>
                <c:ptCount val="1"/>
                <c:pt idx="0">
                  <c:v>No echo / error</c:v>
                </c:pt>
              </c:strCache>
            </c:strRef>
          </c:tx>
          <c:spPr>
            <a:solidFill>
              <a:srgbClr val="ffc000"/>
            </a:solidFill>
            <a:ln w="0">
              <a:noFill/>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'Box Health'!$H$5:$H$10</c:f>
              <c:strCache>
                <c:ptCount val="6"/>
                <c:pt idx="0">
                  <c:v>10-05 Box 0</c:v>
                </c:pt>
                <c:pt idx="1">
                  <c:v>10-05 Box 1</c:v>
                </c:pt>
                <c:pt idx="2">
                  <c:v>10-05 Box 2</c:v>
                </c:pt>
                <c:pt idx="3">
                  <c:v>10-06 Box 0</c:v>
                </c:pt>
                <c:pt idx="4">
                  <c:v>10-06 Box 1</c:v>
                </c:pt>
                <c:pt idx="5">
                  <c:v>10-06 Box 2</c:v>
                </c:pt>
              </c:strCache>
            </c:strRef>
          </c:cat>
          <c:val>
            <c:numRef>
              <c:f>'Box Health'!$D$5:$D$10</c:f>
              <c:numCache>
                <c:formatCode>0.0%</c:formatCode>
                <c:ptCount val="6"/>
                <c:pt idx="0">
                  <c:v>0.0837456306044947</c:v>
                </c:pt>
                <c:pt idx="1">
                  <c:v>0.0783524142357924</c:v>
                </c:pt>
                <c:pt idx="2">
                  <c:v>0.0757385308807885</c:v>
                </c:pt>
                <c:pt idx="3">
                  <c:v>0.283850059503197</c:v>
                </c:pt>
                <c:pt idx="4">
                  <c:v>0.141646050032382</c:v>
                </c:pt>
                <c:pt idx="5">
                  <c:v>0.218793448747857</c:v>
                </c:pt>
              </c:numCache>
            </c:numRef>
          </c:val>
        </c:ser>
        <c:ser>
          <c:idx val="2"/>
          <c:order val="2"/>
          <c:tx>
            <c:strRef>
              <c:f>'Box Health'!E4</c:f>
              <c:strCache>
                <c:ptCount val="1"/>
                <c:pt idx="0">
                  <c:v>Offline</c:v>
                </c:pt>
              </c:strCache>
            </c:strRef>
          </c:tx>
          <c:spPr>
            <a:solidFill>
              <a:srgbClr val="c00000"/>
            </a:solidFill>
            <a:ln w="0">
              <a:noFill/>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'Box Health'!$H$5:$H$10</c:f>
              <c:strCache>
                <c:ptCount val="6"/>
                <c:pt idx="0">
                  <c:v>10-05 Box 0</c:v>
                </c:pt>
                <c:pt idx="1">
                  <c:v>10-05 Box 1</c:v>
                </c:pt>
                <c:pt idx="2">
                  <c:v>10-05 Box 2</c:v>
                </c:pt>
                <c:pt idx="3">
                  <c:v>10-06 Box 0</c:v>
                </c:pt>
                <c:pt idx="4">
                  <c:v>10-06 Box 1</c:v>
                </c:pt>
                <c:pt idx="5">
                  <c:v>10-06 Box 2</c:v>
                </c:pt>
              </c:strCache>
            </c:strRef>
          </c:cat>
          <c:val>
            <c:numRef>
              <c:f>'Box Health'!$E$5:$E$10</c:f>
              <c:numCache>
                <c:formatCode>0.0%</c:formatCode>
                <c:ptCount val="6"/>
                <c:pt idx="0">
                  <c:v>0.239472419995658</c:v>
                </c:pt>
                <c:pt idx="1">
                  <c:v>0</c:v>
                </c:pt>
                <c:pt idx="2">
                  <c:v>0</c:v>
                </c:pt>
                <c:pt idx="3">
                  <c:v>3.0833377122254E-006</c:v>
                </c:pt>
                <c:pt idx="4">
                  <c:v>3.0833377122254E-006</c:v>
                </c:pt>
                <c:pt idx="5">
                  <c:v>0.108277663006323</c:v>
                </c:pt>
              </c:numCache>
            </c:numRef>
          </c:val>
        </c:ser>
        <c:gapWidth val="150"/>
        <c:overlap val="100"/>
        <c:axId val="58285856"/>
        <c:axId val="16433401"/>
      </c:barChart>
      <c:catAx>
        <c:axId val="58285856"/>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6433401"/>
        <c:crosses val="autoZero"/>
        <c:auto val="1"/>
        <c:lblAlgn val="ctr"/>
        <c:lblOffset val="100"/>
        <c:noMultiLvlLbl val="0"/>
      </c:catAx>
      <c:valAx>
        <c:axId val="16433401"/>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8285856"/>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Bench V1 vs V2: reacquire time (tracker only)</a:t>
            </a:r>
          </a:p>
        </c:rich>
      </c:tx>
      <c:overlay val="0"/>
      <c:spPr>
        <a:noFill/>
        <a:ln w="0">
          <a:noFill/>
        </a:ln>
      </c:spPr>
    </c:title>
    <c:autoTitleDeleted val="0"/>
    <c:plotArea>
      <c:barChart>
        <c:barDir val="col"/>
        <c:grouping val="clustered"/>
        <c:varyColors val="0"/>
        <c:ser>
          <c:idx val="0"/>
          <c:order val="0"/>
          <c:tx>
            <c:strRef>
              <c:f>'Bench V1 vs V2'!I4</c:f>
              <c:strCache>
                <c:ptCount val="1"/>
                <c:pt idx="0">
                  <c:v>V1 %</c:v>
                </c:pt>
              </c:strCache>
            </c:strRef>
          </c:tx>
          <c:spPr>
            <a:solidFill>
              <a:srgbClr val="a5a5a5"/>
            </a:solidFill>
            <a:ln w="0">
              <a:noFill/>
            </a:ln>
          </c:spPr>
          <c:invertIfNegative val="0"/>
          <c:dLbls>
            <c:txPr>
              <a:bodyPr wrap="non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'Bench V1 vs V2'!$D$5:$D$10</c:f>
              <c:strCache>
                <c:ptCount val="6"/>
                <c:pt idx="0">
                  <c:v>&lt; 0.25 s</c:v>
                </c:pt>
                <c:pt idx="1">
                  <c:v>0.25-0.5 s</c:v>
                </c:pt>
                <c:pt idx="2">
                  <c:v>0.5-1 s</c:v>
                </c:pt>
                <c:pt idx="3">
                  <c:v>1-2 s</c:v>
                </c:pt>
                <c:pt idx="4">
                  <c:v>2-3 s</c:v>
                </c:pt>
                <c:pt idx="5">
                  <c:v>&gt;= 3 s</c:v>
                </c:pt>
              </c:strCache>
            </c:strRef>
          </c:cat>
          <c:val>
            <c:numRef>
              <c:f>'Bench V1 vs V2'!$I$5:$I$10</c:f>
              <c:numCache>
                <c:formatCode>0.0%</c:formatCode>
                <c:ptCount val="6"/>
                <c:pt idx="0">
                  <c:v>0.357142857142857</c:v>
                </c:pt>
                <c:pt idx="1">
                  <c:v>0.114285714285714</c:v>
                </c:pt>
                <c:pt idx="2">
                  <c:v>0.328571428571429</c:v>
                </c:pt>
                <c:pt idx="3">
                  <c:v>0.1</c:v>
                </c:pt>
                <c:pt idx="4">
                  <c:v>0.0571428571428571</c:v>
                </c:pt>
                <c:pt idx="5">
                  <c:v>0.0428571428571429</c:v>
                </c:pt>
              </c:numCache>
            </c:numRef>
          </c:val>
        </c:ser>
        <c:ser>
          <c:idx val="1"/>
          <c:order val="1"/>
          <c:tx>
            <c:strRef>
              <c:f>'Bench V1 vs V2'!J4</c:f>
              <c:strCache>
                <c:ptCount val="1"/>
                <c:pt idx="0">
                  <c:v>V2 %</c:v>
                </c:pt>
              </c:strCache>
            </c:strRef>
          </c:tx>
          <c:spPr>
            <a:solidFill>
              <a:srgbClr val="2e75b6"/>
            </a:solidFill>
            <a:ln w="0">
              <a:noFill/>
            </a:ln>
          </c:spPr>
          <c:invertIfNegative val="0"/>
          <c:dLbls>
            <c:txPr>
              <a:bodyPr wrap="non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'Bench V1 vs V2'!$D$5:$D$10</c:f>
              <c:strCache>
                <c:ptCount val="6"/>
                <c:pt idx="0">
                  <c:v>&lt; 0.25 s</c:v>
                </c:pt>
                <c:pt idx="1">
                  <c:v>0.25-0.5 s</c:v>
                </c:pt>
                <c:pt idx="2">
                  <c:v>0.5-1 s</c:v>
                </c:pt>
                <c:pt idx="3">
                  <c:v>1-2 s</c:v>
                </c:pt>
                <c:pt idx="4">
                  <c:v>2-3 s</c:v>
                </c:pt>
                <c:pt idx="5">
                  <c:v>&gt;= 3 s</c:v>
                </c:pt>
              </c:strCache>
            </c:strRef>
          </c:cat>
          <c:val>
            <c:numRef>
              <c:f>'Bench V1 vs V2'!$J$5:$J$10</c:f>
              <c:numCache>
                <c:formatCode>0.0%</c:formatCode>
                <c:ptCount val="6"/>
                <c:pt idx="0">
                  <c:v>0.513513513513514</c:v>
                </c:pt>
                <c:pt idx="1">
                  <c:v>0.189189189189189</c:v>
                </c:pt>
                <c:pt idx="2">
                  <c:v>0.135135135135135</c:v>
                </c:pt>
                <c:pt idx="3">
                  <c:v>0.135135135135135</c:v>
                </c:pt>
                <c:pt idx="4">
                  <c:v>0.027027027027027</c:v>
                </c:pt>
                <c:pt idx="5">
                  <c:v>0</c:v>
                </c:pt>
              </c:numCache>
            </c:numRef>
          </c:val>
        </c:ser>
        <c:gapWidth val="150"/>
        <c:overlap val="0"/>
        <c:axId val="82107665"/>
        <c:axId val="8602633"/>
      </c:barChart>
      <c:catAx>
        <c:axId val="82107665"/>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602633"/>
        <c:crosses val="autoZero"/>
        <c:auto val="1"/>
        <c:lblAlgn val="ctr"/>
        <c:lblOffset val="100"/>
        <c:noMultiLvlLbl val="0"/>
      </c:catAx>
      <c:valAx>
        <c:axId val="860263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Share of losses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2107665"/>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xdr:row>
      <xdr:rowOff>131040</xdr:rowOff>
    </xdr:from>
    <xdr:to>
      <xdr:col>8</xdr:col>
      <xdr:colOff>617760</xdr:colOff>
      <xdr:row>19</xdr:row>
      <xdr:rowOff>131760</xdr:rowOff>
    </xdr:to>
    <xdr:graphicFrame>
      <xdr:nvGraphicFramePr>
        <xdr:cNvPr id="0" name="Chart 1"/>
        <xdr:cNvGraphicFramePr/>
      </xdr:nvGraphicFramePr>
      <xdr:xfrm>
        <a:off x="0" y="571680"/>
        <a:ext cx="6119280" cy="323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2</xdr:row>
      <xdr:rowOff>131040</xdr:rowOff>
    </xdr:from>
    <xdr:to>
      <xdr:col>18</xdr:col>
      <xdr:colOff>617760</xdr:colOff>
      <xdr:row>19</xdr:row>
      <xdr:rowOff>131760</xdr:rowOff>
    </xdr:to>
    <xdr:graphicFrame>
      <xdr:nvGraphicFramePr>
        <xdr:cNvPr id="1" name="Chart 2"/>
        <xdr:cNvGraphicFramePr/>
      </xdr:nvGraphicFramePr>
      <xdr:xfrm>
        <a:off x="6877080" y="571680"/>
        <a:ext cx="6119280" cy="323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21</xdr:row>
      <xdr:rowOff>131040</xdr:rowOff>
    </xdr:from>
    <xdr:to>
      <xdr:col>8</xdr:col>
      <xdr:colOff>617760</xdr:colOff>
      <xdr:row>38</xdr:row>
      <xdr:rowOff>131760</xdr:rowOff>
    </xdr:to>
    <xdr:graphicFrame>
      <xdr:nvGraphicFramePr>
        <xdr:cNvPr id="2" name="Chart 3"/>
        <xdr:cNvGraphicFramePr/>
      </xdr:nvGraphicFramePr>
      <xdr:xfrm>
        <a:off x="0" y="4191120"/>
        <a:ext cx="6119280" cy="32392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0</xdr:colOff>
      <xdr:row>21</xdr:row>
      <xdr:rowOff>131040</xdr:rowOff>
    </xdr:from>
    <xdr:to>
      <xdr:col>18</xdr:col>
      <xdr:colOff>617760</xdr:colOff>
      <xdr:row>38</xdr:row>
      <xdr:rowOff>131760</xdr:rowOff>
    </xdr:to>
    <xdr:graphicFrame>
      <xdr:nvGraphicFramePr>
        <xdr:cNvPr id="3" name="Chart 4"/>
        <xdr:cNvGraphicFramePr/>
      </xdr:nvGraphicFramePr>
      <xdr:xfrm>
        <a:off x="6877080" y="4191120"/>
        <a:ext cx="6119280" cy="323928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62</xdr:row>
      <xdr:rowOff>131040</xdr:rowOff>
    </xdr:from>
    <xdr:to>
      <xdr:col>8</xdr:col>
      <xdr:colOff>617760</xdr:colOff>
      <xdr:row>83</xdr:row>
      <xdr:rowOff>89640</xdr:rowOff>
    </xdr:to>
    <xdr:graphicFrame>
      <xdr:nvGraphicFramePr>
        <xdr:cNvPr id="4" name="Chart 7"/>
        <xdr:cNvGraphicFramePr/>
      </xdr:nvGraphicFramePr>
      <xdr:xfrm>
        <a:off x="0" y="12001680"/>
        <a:ext cx="6119280" cy="395928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0</xdr:colOff>
      <xdr:row>62</xdr:row>
      <xdr:rowOff>131040</xdr:rowOff>
    </xdr:from>
    <xdr:to>
      <xdr:col>18</xdr:col>
      <xdr:colOff>617760</xdr:colOff>
      <xdr:row>83</xdr:row>
      <xdr:rowOff>89640</xdr:rowOff>
    </xdr:to>
    <xdr:graphicFrame>
      <xdr:nvGraphicFramePr>
        <xdr:cNvPr id="5" name="Chart 8"/>
        <xdr:cNvGraphicFramePr/>
      </xdr:nvGraphicFramePr>
      <xdr:xfrm>
        <a:off x="6877080" y="12001680"/>
        <a:ext cx="6119280" cy="395928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84</xdr:row>
      <xdr:rowOff>130680</xdr:rowOff>
    </xdr:from>
    <xdr:to>
      <xdr:col>8</xdr:col>
      <xdr:colOff>617760</xdr:colOff>
      <xdr:row>101</xdr:row>
      <xdr:rowOff>131400</xdr:rowOff>
    </xdr:to>
    <xdr:graphicFrame>
      <xdr:nvGraphicFramePr>
        <xdr:cNvPr id="6" name="Chart 9"/>
        <xdr:cNvGraphicFramePr/>
      </xdr:nvGraphicFramePr>
      <xdr:xfrm>
        <a:off x="0" y="16192440"/>
        <a:ext cx="6119280" cy="323928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10</xdr:col>
      <xdr:colOff>0</xdr:colOff>
      <xdr:row>84</xdr:row>
      <xdr:rowOff>130680</xdr:rowOff>
    </xdr:from>
    <xdr:to>
      <xdr:col>18</xdr:col>
      <xdr:colOff>617760</xdr:colOff>
      <xdr:row>101</xdr:row>
      <xdr:rowOff>131400</xdr:rowOff>
    </xdr:to>
    <xdr:graphicFrame>
      <xdr:nvGraphicFramePr>
        <xdr:cNvPr id="7" name="Chart 10"/>
        <xdr:cNvGraphicFramePr/>
      </xdr:nvGraphicFramePr>
      <xdr:xfrm>
        <a:off x="6877080" y="16192440"/>
        <a:ext cx="6119280" cy="323928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1" width="4"/>
    <col collapsed="false" customWidth="true" hidden="false" outlineLevel="0" max="3" min="2" style="1" width="30"/>
    <col collapsed="false" customWidth="true" hidden="false" outlineLevel="0" max="4" min="4" style="1" width="34"/>
    <col collapsed="false" customWidth="true" hidden="false" outlineLevel="0" max="5" min="5" style="1" width="26"/>
    <col collapsed="false" customWidth="true" hidden="false" outlineLevel="0" max="6" min="6" style="1" width="22"/>
    <col collapsed="false" customWidth="true" hidden="false" outlineLevel="0" max="7" min="7" style="1" width="16"/>
    <col collapsed="false" customWidth="true" hidden="false" outlineLevel="0" max="8" min="8" style="1" width="4"/>
  </cols>
  <sheetData>
    <row r="1" customFormat="false" ht="19.7" hidden="false" customHeight="false" outlineLevel="0" collapsed="false">
      <c r="A1" s="2" t="s">
        <v>0</v>
      </c>
      <c r="B1" s="3"/>
      <c r="C1" s="3"/>
      <c r="D1" s="3"/>
      <c r="E1" s="3"/>
      <c r="F1" s="3"/>
      <c r="G1" s="3"/>
    </row>
    <row r="2" customFormat="false" ht="15" hidden="false" customHeight="false" outlineLevel="0" collapsed="false">
      <c r="A2" s="4" t="s">
        <v>1</v>
      </c>
      <c r="B2" s="3"/>
      <c r="C2" s="3"/>
      <c r="D2" s="3"/>
      <c r="E2" s="3"/>
      <c r="F2" s="3"/>
      <c r="G2" s="3"/>
    </row>
    <row r="3" customFormat="false" ht="15" hidden="false" customHeight="false" outlineLevel="0" collapsed="false">
      <c r="A3" s="3"/>
      <c r="B3" s="3"/>
      <c r="C3" s="3"/>
      <c r="D3" s="3"/>
      <c r="E3" s="3"/>
      <c r="F3" s="3"/>
      <c r="G3" s="3"/>
    </row>
    <row r="4" customFormat="false" ht="15" hidden="false" customHeight="false" outlineLevel="0" collapsed="false">
      <c r="A4" s="3"/>
      <c r="B4" s="5" t="s">
        <v>2</v>
      </c>
      <c r="C4" s="3"/>
      <c r="D4" s="3"/>
      <c r="E4" s="3"/>
      <c r="F4" s="3"/>
      <c r="G4" s="3"/>
    </row>
    <row r="5" customFormat="false" ht="15" hidden="false" customHeight="false" outlineLevel="0" collapsed="false">
      <c r="A5" s="3"/>
      <c r="B5" s="6" t="s">
        <v>3</v>
      </c>
      <c r="C5" s="6"/>
      <c r="D5" s="7" t="n">
        <f aca="false">COUNT(Rounds!A5:A21)</f>
        <v>17</v>
      </c>
      <c r="E5" s="3"/>
      <c r="F5" s="3"/>
      <c r="G5" s="3"/>
    </row>
    <row r="6" customFormat="false" ht="15" hidden="false" customHeight="false" outlineLevel="0" collapsed="false">
      <c r="A6" s="3"/>
      <c r="B6" s="6" t="s">
        <v>4</v>
      </c>
      <c r="C6" s="6"/>
      <c r="D6" s="8" t="n">
        <f aca="false">SUM(Rounds!E5:E21)/60</f>
        <v>23.3036332808667</v>
      </c>
      <c r="E6" s="3"/>
      <c r="F6" s="3"/>
      <c r="G6" s="3"/>
    </row>
    <row r="7" customFormat="false" ht="15" hidden="false" customHeight="false" outlineLevel="0" collapsed="false">
      <c r="A7" s="3"/>
      <c r="B7" s="6" t="s">
        <v>5</v>
      </c>
      <c r="C7" s="6"/>
      <c r="D7" s="7" t="n">
        <f aca="false">Constants!B10</f>
        <v>60</v>
      </c>
      <c r="E7" s="3"/>
      <c r="F7" s="3"/>
      <c r="G7" s="3"/>
    </row>
    <row r="8" customFormat="false" ht="15" hidden="false" customHeight="false" outlineLevel="0" collapsed="false">
      <c r="A8" s="3"/>
      <c r="B8" s="6" t="s">
        <v>6</v>
      </c>
      <c r="C8" s="6"/>
      <c r="D8" s="7" t="n">
        <f aca="false">SUM(Rounds!I5:J21)</f>
        <v>94</v>
      </c>
      <c r="E8" s="3"/>
      <c r="F8" s="3"/>
      <c r="G8" s="3"/>
    </row>
    <row r="9" customFormat="false" ht="15" hidden="false" customHeight="false" outlineLevel="0" collapsed="false">
      <c r="A9" s="3"/>
      <c r="B9" s="6" t="s">
        <v>7</v>
      </c>
      <c r="C9" s="6"/>
      <c r="D9" s="9" t="n">
        <f aca="false">Hits!U7</f>
        <v>1</v>
      </c>
      <c r="E9" s="3"/>
      <c r="F9" s="3"/>
      <c r="G9" s="3"/>
    </row>
    <row r="10" customFormat="false" ht="15" hidden="false" customHeight="false" outlineLevel="0" collapsed="false">
      <c r="A10" s="3"/>
      <c r="B10" s="6" t="s">
        <v>8</v>
      </c>
      <c r="C10" s="6"/>
      <c r="D10" s="7" t="n">
        <f aca="false">SUM(Rounds!L5:L21)</f>
        <v>323</v>
      </c>
      <c r="E10" s="3"/>
      <c r="F10" s="3"/>
      <c r="G10" s="3"/>
    </row>
    <row r="11" customFormat="false" ht="36" hidden="false" customHeight="true" outlineLevel="0" collapsed="false">
      <c r="A11" s="3"/>
      <c r="B11" s="6" t="s">
        <v>9</v>
      </c>
      <c r="C11" s="6"/>
      <c r="D11" s="10" t="str">
        <f aca="false">TEXT(Rounds!F26,"0.0")&amp;" -&gt; "&amp;TEXT(Rounds!F27,"0.0")</f>
        <v>12.1 -&gt; 14.4</v>
      </c>
      <c r="E11" s="11" t="s">
        <v>10</v>
      </c>
      <c r="F11" s="11"/>
      <c r="G11" s="11"/>
    </row>
    <row r="12" customFormat="false" ht="36" hidden="false" customHeight="true" outlineLevel="0" collapsed="false">
      <c r="A12" s="3"/>
      <c r="B12" s="6" t="s">
        <v>11</v>
      </c>
      <c r="C12" s="6"/>
      <c r="D12" s="10" t="str">
        <f aca="false">TEXT(Losses!L14,"0.00")&amp;" -&gt; "&amp;TEXT(Losses!M14,"0.00")</f>
        <v>0.28 -&gt; 0.39</v>
      </c>
      <c r="E12" s="11" t="s">
        <v>12</v>
      </c>
      <c r="F12" s="11"/>
      <c r="G12" s="11"/>
    </row>
    <row r="13" customFormat="false" ht="15" hidden="false" customHeight="false" outlineLevel="0" collapsed="false">
      <c r="A13" s="3"/>
      <c r="B13" s="6" t="s">
        <v>13</v>
      </c>
      <c r="C13" s="6"/>
      <c r="D13" s="9" t="n">
        <f aca="false">Rounds!H27+Rounds!I27</f>
        <v>0.490732097539697</v>
      </c>
      <c r="E13" s="3"/>
      <c r="F13" s="3"/>
      <c r="G13" s="3"/>
    </row>
    <row r="14" customFormat="false" ht="15" hidden="false" customHeight="false" outlineLevel="0" collapsed="false">
      <c r="A14" s="3"/>
      <c r="B14" s="3"/>
      <c r="C14" s="3"/>
      <c r="D14" s="3"/>
      <c r="E14" s="3"/>
      <c r="F14" s="3"/>
      <c r="G14" s="3"/>
    </row>
    <row r="15" customFormat="false" ht="15" hidden="false" customHeight="false" outlineLevel="0" collapsed="false">
      <c r="A15" s="3"/>
      <c r="B15" s="3"/>
      <c r="C15" s="3"/>
      <c r="D15" s="3"/>
      <c r="E15" s="3"/>
      <c r="F15" s="3"/>
      <c r="G15" s="3"/>
    </row>
    <row r="16" customFormat="false" ht="15" hidden="false" customHeight="false" outlineLevel="0" collapsed="false">
      <c r="A16" s="3"/>
      <c r="B16" s="5" t="s">
        <v>14</v>
      </c>
      <c r="C16" s="3"/>
      <c r="D16" s="3"/>
      <c r="E16" s="3"/>
      <c r="F16" s="3"/>
      <c r="G16" s="3"/>
    </row>
    <row r="17" customFormat="false" ht="26.85" hidden="false" customHeight="false" outlineLevel="0" collapsed="false">
      <c r="A17" s="3"/>
      <c r="B17" s="12" t="s">
        <v>15</v>
      </c>
      <c r="C17" s="12" t="s">
        <v>16</v>
      </c>
      <c r="D17" s="12" t="s">
        <v>17</v>
      </c>
      <c r="E17" s="12" t="s">
        <v>18</v>
      </c>
      <c r="F17" s="12" t="s">
        <v>19</v>
      </c>
      <c r="G17" s="12" t="s">
        <v>20</v>
      </c>
    </row>
    <row r="18" customFormat="false" ht="43.5" hidden="false" customHeight="true" outlineLevel="0" collapsed="false">
      <c r="A18" s="3"/>
      <c r="B18" s="13" t="s">
        <v>21</v>
      </c>
      <c r="C18" s="13" t="s">
        <v>22</v>
      </c>
      <c r="D18" s="13" t="s">
        <v>23</v>
      </c>
      <c r="E18" s="13" t="s">
        <v>24</v>
      </c>
      <c r="F18" s="13" t="s">
        <v>25</v>
      </c>
      <c r="G18" s="13" t="s">
        <v>26</v>
      </c>
    </row>
    <row r="19" customFormat="false" ht="43.5" hidden="false" customHeight="true" outlineLevel="0" collapsed="false">
      <c r="A19" s="3"/>
      <c r="B19" s="13" t="s">
        <v>27</v>
      </c>
      <c r="C19" s="13" t="s">
        <v>28</v>
      </c>
      <c r="D19" s="13" t="s">
        <v>29</v>
      </c>
      <c r="E19" s="13" t="s">
        <v>30</v>
      </c>
      <c r="F19" s="13" t="s">
        <v>31</v>
      </c>
      <c r="G19" s="13" t="s">
        <v>32</v>
      </c>
    </row>
    <row r="20" customFormat="false" ht="43.5" hidden="false" customHeight="true" outlineLevel="0" collapsed="false">
      <c r="A20" s="3"/>
      <c r="B20" s="13" t="s">
        <v>33</v>
      </c>
      <c r="C20" s="13" t="s">
        <v>34</v>
      </c>
      <c r="D20" s="13" t="s">
        <v>35</v>
      </c>
      <c r="E20" s="13" t="s">
        <v>36</v>
      </c>
      <c r="F20" s="13" t="s">
        <v>37</v>
      </c>
      <c r="G20" s="13" t="s">
        <v>38</v>
      </c>
    </row>
    <row r="21" customFormat="false" ht="43.5" hidden="false" customHeight="true" outlineLevel="0" collapsed="false">
      <c r="A21" s="3"/>
      <c r="B21" s="13" t="s">
        <v>39</v>
      </c>
      <c r="C21" s="13" t="s">
        <v>40</v>
      </c>
      <c r="D21" s="13" t="s">
        <v>41</v>
      </c>
      <c r="E21" s="13" t="s">
        <v>42</v>
      </c>
      <c r="F21" s="13" t="s">
        <v>43</v>
      </c>
      <c r="G21" s="13" t="s">
        <v>44</v>
      </c>
    </row>
    <row r="22" customFormat="false" ht="43.5" hidden="false" customHeight="true" outlineLevel="0" collapsed="false">
      <c r="A22" s="3"/>
      <c r="B22" s="13" t="s">
        <v>45</v>
      </c>
      <c r="C22" s="13" t="s">
        <v>46</v>
      </c>
      <c r="D22" s="13" t="s">
        <v>47</v>
      </c>
      <c r="E22" s="13" t="s">
        <v>48</v>
      </c>
      <c r="F22" s="13" t="s">
        <v>49</v>
      </c>
      <c r="G22" s="13" t="s">
        <v>44</v>
      </c>
    </row>
    <row r="23" customFormat="false" ht="43.5" hidden="false" customHeight="true" outlineLevel="0" collapsed="false">
      <c r="A23" s="3"/>
      <c r="B23" s="13" t="s">
        <v>50</v>
      </c>
      <c r="C23" s="13" t="s">
        <v>51</v>
      </c>
      <c r="D23" s="13" t="s">
        <v>52</v>
      </c>
      <c r="E23" s="13" t="s">
        <v>53</v>
      </c>
      <c r="F23" s="13" t="s">
        <v>54</v>
      </c>
      <c r="G23" s="13" t="s">
        <v>44</v>
      </c>
    </row>
    <row r="24" customFormat="false" ht="43.5" hidden="false" customHeight="true" outlineLevel="0" collapsed="false">
      <c r="A24" s="3"/>
      <c r="B24" s="13" t="s">
        <v>55</v>
      </c>
      <c r="C24" s="13" t="s">
        <v>56</v>
      </c>
      <c r="D24" s="13" t="s">
        <v>57</v>
      </c>
      <c r="E24" s="13" t="s">
        <v>58</v>
      </c>
      <c r="F24" s="13" t="s">
        <v>59</v>
      </c>
      <c r="G24" s="13" t="s">
        <v>60</v>
      </c>
    </row>
    <row r="25" customFormat="false" ht="43.5" hidden="false" customHeight="true" outlineLevel="0" collapsed="false">
      <c r="A25" s="3"/>
      <c r="B25" s="13" t="s">
        <v>61</v>
      </c>
      <c r="C25" s="13" t="s">
        <v>62</v>
      </c>
      <c r="D25" s="13" t="s">
        <v>63</v>
      </c>
      <c r="E25" s="13" t="s">
        <v>64</v>
      </c>
      <c r="F25" s="13" t="s">
        <v>65</v>
      </c>
      <c r="G25" s="13" t="s">
        <v>66</v>
      </c>
    </row>
    <row r="26" customFormat="false" ht="15" hidden="false" customHeight="false" outlineLevel="0" collapsed="false">
      <c r="A26" s="3"/>
      <c r="B26" s="3"/>
      <c r="C26" s="3"/>
      <c r="D26" s="3"/>
      <c r="E26" s="3"/>
      <c r="F26" s="3"/>
      <c r="G26" s="3"/>
    </row>
    <row r="27" customFormat="false" ht="15" hidden="false" customHeight="false" outlineLevel="0" collapsed="false">
      <c r="A27" s="3"/>
      <c r="B27" s="5" t="s">
        <v>67</v>
      </c>
      <c r="C27" s="3"/>
      <c r="D27" s="3"/>
      <c r="E27" s="3"/>
      <c r="F27" s="3"/>
      <c r="G27" s="3"/>
    </row>
    <row r="28" customFormat="false" ht="15" hidden="false" customHeight="false" outlineLevel="0" collapsed="false">
      <c r="A28" s="3"/>
      <c r="B28" s="12" t="s">
        <v>68</v>
      </c>
      <c r="C28" s="12" t="s">
        <v>69</v>
      </c>
      <c r="D28" s="12" t="s">
        <v>70</v>
      </c>
      <c r="E28" s="12" t="s">
        <v>71</v>
      </c>
      <c r="F28" s="12" t="s">
        <v>72</v>
      </c>
      <c r="G28" s="12"/>
    </row>
    <row r="29" customFormat="false" ht="31.5" hidden="false" customHeight="true" outlineLevel="0" collapsed="false">
      <c r="A29" s="3"/>
      <c r="B29" s="13" t="s">
        <v>73</v>
      </c>
      <c r="C29" s="13" t="s">
        <v>74</v>
      </c>
      <c r="D29" s="13" t="s">
        <v>75</v>
      </c>
      <c r="E29" s="13" t="s">
        <v>76</v>
      </c>
      <c r="F29" s="14" t="n">
        <f aca="false">Rounds!H28</f>
        <v>0.428689225494532</v>
      </c>
      <c r="G29" s="3"/>
    </row>
    <row r="30" customFormat="false" ht="31.5" hidden="false" customHeight="true" outlineLevel="0" collapsed="false">
      <c r="A30" s="3"/>
      <c r="B30" s="13" t="s">
        <v>77</v>
      </c>
      <c r="C30" s="13" t="s">
        <v>74</v>
      </c>
      <c r="D30" s="13" t="s">
        <v>75</v>
      </c>
      <c r="E30" s="13" t="s">
        <v>76</v>
      </c>
      <c r="F30" s="14" t="n">
        <f aca="false">Rounds!I28</f>
        <v>0.147657936371744</v>
      </c>
      <c r="G30" s="3"/>
    </row>
    <row r="31" customFormat="false" ht="31.5" hidden="false" customHeight="true" outlineLevel="0" collapsed="false">
      <c r="A31" s="3"/>
      <c r="B31" s="13" t="s">
        <v>78</v>
      </c>
      <c r="C31" s="13" t="s">
        <v>79</v>
      </c>
      <c r="D31" s="13" t="s">
        <v>80</v>
      </c>
      <c r="E31" s="13" t="s">
        <v>81</v>
      </c>
      <c r="F31" s="14" t="n">
        <f aca="false">Rounds!J28</f>
        <v>0.180397490447049</v>
      </c>
      <c r="G31" s="3"/>
    </row>
    <row r="32" customFormat="false" ht="31.5" hidden="false" customHeight="true" outlineLevel="0" collapsed="false">
      <c r="A32" s="3"/>
      <c r="B32" s="13" t="s">
        <v>82</v>
      </c>
      <c r="C32" s="13" t="s">
        <v>83</v>
      </c>
      <c r="D32" s="13" t="s">
        <v>84</v>
      </c>
      <c r="E32" s="13" t="s">
        <v>85</v>
      </c>
      <c r="F32" s="14" t="n">
        <f aca="false">Rounds!K28</f>
        <v>0.0638305355494912</v>
      </c>
      <c r="G32" s="3"/>
    </row>
    <row r="33" customFormat="false" ht="31.5" hidden="false" customHeight="true" outlineLevel="0" collapsed="false">
      <c r="A33" s="3"/>
      <c r="B33" s="13" t="s">
        <v>86</v>
      </c>
      <c r="C33" s="13" t="s">
        <v>87</v>
      </c>
      <c r="D33" s="13" t="s">
        <v>88</v>
      </c>
      <c r="E33" s="13" t="s">
        <v>89</v>
      </c>
      <c r="F33" s="14" t="n">
        <f aca="false">Rounds!L28</f>
        <v>0.179424811760276</v>
      </c>
      <c r="G33" s="3"/>
    </row>
    <row r="34" customFormat="false" ht="15" hidden="false" customHeight="false" outlineLevel="0" collapsed="false">
      <c r="A34" s="3"/>
      <c r="B34" s="3"/>
      <c r="C34" s="3"/>
      <c r="D34" s="3"/>
      <c r="E34" s="3"/>
      <c r="F34" s="3"/>
      <c r="G34" s="3"/>
    </row>
    <row r="35" customFormat="false" ht="15" hidden="false" customHeight="false" outlineLevel="0" collapsed="false">
      <c r="A35" s="3"/>
      <c r="B35" s="5" t="s">
        <v>90</v>
      </c>
      <c r="C35" s="3"/>
      <c r="D35" s="3"/>
      <c r="E35" s="3"/>
      <c r="F35" s="3"/>
      <c r="G35" s="3"/>
    </row>
    <row r="36" customFormat="false" ht="15" hidden="false" customHeight="false" outlineLevel="0" collapsed="false">
      <c r="A36" s="3"/>
      <c r="B36" s="15" t="s">
        <v>91</v>
      </c>
      <c r="C36" s="16" t="s">
        <v>92</v>
      </c>
      <c r="D36" s="16"/>
      <c r="E36" s="16"/>
      <c r="F36" s="16"/>
      <c r="G36" s="3"/>
    </row>
    <row r="37" customFormat="false" ht="15" hidden="false" customHeight="false" outlineLevel="0" collapsed="false">
      <c r="A37" s="3"/>
      <c r="B37" s="15" t="s">
        <v>93</v>
      </c>
      <c r="C37" s="16" t="s">
        <v>94</v>
      </c>
      <c r="D37" s="16"/>
      <c r="E37" s="16"/>
      <c r="F37" s="16"/>
      <c r="G37" s="3"/>
    </row>
    <row r="38" customFormat="false" ht="15" hidden="false" customHeight="false" outlineLevel="0" collapsed="false">
      <c r="A38" s="3"/>
      <c r="B38" s="15" t="s">
        <v>95</v>
      </c>
      <c r="C38" s="16" t="s">
        <v>96</v>
      </c>
      <c r="D38" s="16"/>
      <c r="E38" s="16"/>
      <c r="F38" s="16"/>
      <c r="G38" s="3"/>
    </row>
    <row r="39" customFormat="false" ht="15" hidden="false" customHeight="false" outlineLevel="0" collapsed="false">
      <c r="A39" s="3"/>
      <c r="B39" s="15" t="s">
        <v>97</v>
      </c>
      <c r="C39" s="16" t="s">
        <v>98</v>
      </c>
      <c r="D39" s="16"/>
      <c r="E39" s="16"/>
      <c r="F39" s="16"/>
      <c r="G39" s="3"/>
    </row>
    <row r="40" customFormat="false" ht="15" hidden="false" customHeight="false" outlineLevel="0" collapsed="false">
      <c r="A40" s="3"/>
      <c r="B40" s="15" t="s">
        <v>99</v>
      </c>
      <c r="C40" s="16" t="s">
        <v>100</v>
      </c>
      <c r="D40" s="16"/>
      <c r="E40" s="16"/>
      <c r="F40" s="16"/>
      <c r="G40" s="3"/>
    </row>
    <row r="41" customFormat="false" ht="15" hidden="false" customHeight="false" outlineLevel="0" collapsed="false">
      <c r="A41" s="3"/>
      <c r="B41" s="15" t="s">
        <v>43</v>
      </c>
      <c r="C41" s="16" t="s">
        <v>101</v>
      </c>
      <c r="D41" s="16"/>
      <c r="E41" s="16"/>
      <c r="F41" s="16"/>
      <c r="G41" s="3"/>
    </row>
    <row r="42" customFormat="false" ht="15" hidden="false" customHeight="false" outlineLevel="0" collapsed="false">
      <c r="A42" s="3"/>
      <c r="B42" s="15" t="s">
        <v>25</v>
      </c>
      <c r="C42" s="16" t="s">
        <v>102</v>
      </c>
      <c r="D42" s="16"/>
      <c r="E42" s="16"/>
      <c r="F42" s="16"/>
      <c r="G42" s="3"/>
    </row>
    <row r="43" customFormat="false" ht="15" hidden="false" customHeight="false" outlineLevel="0" collapsed="false">
      <c r="A43" s="3"/>
      <c r="B43" s="15" t="s">
        <v>103</v>
      </c>
      <c r="C43" s="16" t="s">
        <v>104</v>
      </c>
      <c r="D43" s="16"/>
      <c r="E43" s="16"/>
      <c r="F43" s="16"/>
      <c r="G43" s="3"/>
    </row>
    <row r="44" customFormat="false" ht="15" hidden="false" customHeight="false" outlineLevel="0" collapsed="false">
      <c r="A44" s="3"/>
      <c r="B44" s="15" t="s">
        <v>105</v>
      </c>
      <c r="C44" s="16" t="s">
        <v>106</v>
      </c>
      <c r="D44" s="16"/>
      <c r="E44" s="16"/>
      <c r="F44" s="16"/>
      <c r="G44" s="3"/>
    </row>
    <row r="45" customFormat="false" ht="15" hidden="false" customHeight="false" outlineLevel="0" collapsed="false">
      <c r="A45" s="3"/>
      <c r="B45" s="15" t="s">
        <v>107</v>
      </c>
      <c r="C45" s="16" t="s">
        <v>108</v>
      </c>
      <c r="D45" s="16"/>
      <c r="E45" s="16"/>
      <c r="F45" s="16"/>
      <c r="G45" s="3"/>
    </row>
  </sheetData>
  <mergeCells count="21">
    <mergeCell ref="B5:C5"/>
    <mergeCell ref="B6:C6"/>
    <mergeCell ref="B7:C7"/>
    <mergeCell ref="B8:C8"/>
    <mergeCell ref="B9:C9"/>
    <mergeCell ref="B10:C10"/>
    <mergeCell ref="B11:C11"/>
    <mergeCell ref="E11:G11"/>
    <mergeCell ref="B12:C12"/>
    <mergeCell ref="E12:G12"/>
    <mergeCell ref="B13:C13"/>
    <mergeCell ref="C36:F36"/>
    <mergeCell ref="C37:F37"/>
    <mergeCell ref="C38:F38"/>
    <mergeCell ref="C39:F39"/>
    <mergeCell ref="C40:F40"/>
    <mergeCell ref="C41:F41"/>
    <mergeCell ref="C42:F42"/>
    <mergeCell ref="C43:F43"/>
    <mergeCell ref="C44:F44"/>
    <mergeCell ref="C45:F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9.7" hidden="false" customHeight="false" outlineLevel="0" collapsed="false">
      <c r="A1" s="2" t="s">
        <v>91</v>
      </c>
    </row>
    <row r="2" customFormat="false" ht="15" hidden="false" customHeight="false" outlineLevel="0" collapsed="false">
      <c r="A2" s="4" t="s">
        <v>109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1" width="34"/>
    <col collapsed="false" customWidth="true" hidden="false" outlineLevel="0" max="2" min="2" style="1" width="12"/>
    <col collapsed="false" customWidth="true" hidden="false" outlineLevel="0" max="3" min="3" style="1" width="10"/>
    <col collapsed="false" customWidth="true" hidden="false" outlineLevel="0" max="4" min="4" style="1" width="70"/>
    <col collapsed="false" customWidth="true" hidden="false" outlineLevel="0" max="5" min="5" style="1" width="10"/>
  </cols>
  <sheetData>
    <row r="1" customFormat="false" ht="19.7" hidden="false" customHeight="false" outlineLevel="0" collapsed="false">
      <c r="A1" s="2" t="s">
        <v>110</v>
      </c>
      <c r="B1" s="3"/>
      <c r="C1" s="3"/>
      <c r="D1" s="3"/>
      <c r="E1" s="3"/>
    </row>
    <row r="2" customFormat="false" ht="15" hidden="false" customHeight="false" outlineLevel="0" collapsed="false">
      <c r="A2" s="4" t="s">
        <v>111</v>
      </c>
      <c r="B2" s="3"/>
      <c r="C2" s="3"/>
      <c r="D2" s="3"/>
      <c r="E2" s="3"/>
    </row>
    <row r="3" customFormat="false" ht="15" hidden="false" customHeight="false" outlineLevel="0" collapsed="false">
      <c r="A3" s="3"/>
      <c r="B3" s="3"/>
      <c r="C3" s="3"/>
      <c r="D3" s="3"/>
      <c r="E3" s="3"/>
    </row>
    <row r="4" customFormat="false" ht="15" hidden="false" customHeight="false" outlineLevel="0" collapsed="false">
      <c r="A4" s="12" t="s">
        <v>112</v>
      </c>
      <c r="B4" s="12" t="s">
        <v>113</v>
      </c>
      <c r="C4" s="12" t="s">
        <v>114</v>
      </c>
      <c r="D4" s="12" t="s">
        <v>115</v>
      </c>
      <c r="E4" s="3"/>
    </row>
    <row r="5" customFormat="false" ht="15" hidden="false" customHeight="false" outlineLevel="0" collapsed="false">
      <c r="A5" s="6" t="s">
        <v>116</v>
      </c>
      <c r="B5" s="17" t="n">
        <v>1.5</v>
      </c>
      <c r="C5" s="6" t="s">
        <v>117</v>
      </c>
      <c r="D5" s="6" t="s">
        <v>118</v>
      </c>
      <c r="E5" s="3"/>
    </row>
    <row r="6" customFormat="false" ht="15" hidden="false" customHeight="false" outlineLevel="0" collapsed="false">
      <c r="A6" s="6" t="s">
        <v>119</v>
      </c>
      <c r="B6" s="17" t="n">
        <v>2</v>
      </c>
      <c r="C6" s="6" t="s">
        <v>117</v>
      </c>
      <c r="D6" s="6" t="s">
        <v>120</v>
      </c>
      <c r="E6" s="3"/>
    </row>
    <row r="7" customFormat="false" ht="15" hidden="false" customHeight="false" outlineLevel="0" collapsed="false">
      <c r="A7" s="6" t="s">
        <v>121</v>
      </c>
      <c r="B7" s="17" t="n">
        <v>0.6</v>
      </c>
      <c r="C7" s="6" t="s">
        <v>117</v>
      </c>
      <c r="D7" s="6" t="s">
        <v>122</v>
      </c>
      <c r="E7" s="3"/>
    </row>
    <row r="8" customFormat="false" ht="15" hidden="false" customHeight="false" outlineLevel="0" collapsed="false">
      <c r="A8" s="6" t="s">
        <v>123</v>
      </c>
      <c r="B8" s="18" t="n">
        <f aca="false">0.115*B5</f>
        <v>0.1725</v>
      </c>
      <c r="C8" s="6" t="s">
        <v>117</v>
      </c>
      <c r="D8" s="6" t="s">
        <v>124</v>
      </c>
      <c r="E8" s="3"/>
    </row>
    <row r="9" customFormat="false" ht="15" hidden="false" customHeight="false" outlineLevel="0" collapsed="false">
      <c r="A9" s="6" t="s">
        <v>125</v>
      </c>
      <c r="B9" s="18" t="n">
        <f aca="false">0.07*B6</f>
        <v>0.14</v>
      </c>
      <c r="C9" s="6" t="s">
        <v>117</v>
      </c>
      <c r="D9" s="6" t="s">
        <v>126</v>
      </c>
      <c r="E9" s="3"/>
    </row>
    <row r="10" customFormat="false" ht="15" hidden="false" customHeight="false" outlineLevel="0" collapsed="false">
      <c r="A10" s="6" t="s">
        <v>127</v>
      </c>
      <c r="B10" s="17" t="n">
        <v>60</v>
      </c>
      <c r="C10" s="6" t="s">
        <v>128</v>
      </c>
      <c r="D10" s="6" t="s">
        <v>129</v>
      </c>
      <c r="E10" s="3"/>
    </row>
    <row r="11" customFormat="false" ht="15" hidden="false" customHeight="false" outlineLevel="0" collapsed="false">
      <c r="A11" s="6" t="s">
        <v>130</v>
      </c>
      <c r="B11" s="18" t="n">
        <f aca="false">1000/B10</f>
        <v>16.6666666666667</v>
      </c>
      <c r="C11" s="6" t="s">
        <v>131</v>
      </c>
      <c r="D11" s="6" t="s">
        <v>132</v>
      </c>
      <c r="E11" s="3"/>
    </row>
    <row r="12" customFormat="false" ht="15" hidden="false" customHeight="false" outlineLevel="0" collapsed="false">
      <c r="A12" s="6" t="s">
        <v>133</v>
      </c>
      <c r="B12" s="17" t="n">
        <v>1000</v>
      </c>
      <c r="C12" s="6" t="s">
        <v>131</v>
      </c>
      <c r="D12" s="6" t="s">
        <v>134</v>
      </c>
      <c r="E12" s="3"/>
    </row>
    <row r="13" customFormat="false" ht="15" hidden="false" customHeight="false" outlineLevel="0" collapsed="false">
      <c r="A13" s="6" t="s">
        <v>135</v>
      </c>
      <c r="B13" s="19" t="n">
        <v>46300.1506944444</v>
      </c>
      <c r="C13" s="6" t="s">
        <v>136</v>
      </c>
      <c r="D13" s="6" t="s">
        <v>137</v>
      </c>
      <c r="E13" s="3"/>
    </row>
    <row r="14" customFormat="false" ht="15" hidden="false" customHeight="false" outlineLevel="0" collapsed="false">
      <c r="A14" s="3"/>
      <c r="B14" s="3"/>
      <c r="C14" s="3"/>
      <c r="D14" s="3"/>
      <c r="E14" s="3"/>
    </row>
    <row r="15" customFormat="false" ht="15" hidden="false" customHeight="false" outlineLevel="0" collapsed="false">
      <c r="A15" s="3"/>
      <c r="B15" s="3"/>
      <c r="C15" s="3"/>
      <c r="D15" s="3"/>
      <c r="E15" s="3"/>
    </row>
    <row r="16" customFormat="false" ht="15" hidden="false" customHeight="false" outlineLevel="0" collapsed="false">
      <c r="A16" s="15" t="s">
        <v>138</v>
      </c>
      <c r="B16" s="3"/>
      <c r="C16" s="3"/>
      <c r="D16" s="3"/>
      <c r="E16" s="3"/>
    </row>
    <row r="17" customFormat="false" ht="15" hidden="false" customHeight="false" outlineLevel="0" collapsed="false">
      <c r="A17" s="12" t="s">
        <v>139</v>
      </c>
      <c r="B17" s="12" t="s">
        <v>140</v>
      </c>
      <c r="C17" s="12" t="s">
        <v>141</v>
      </c>
      <c r="D17" s="12" t="s">
        <v>142</v>
      </c>
      <c r="E17" s="12" t="s">
        <v>143</v>
      </c>
    </row>
    <row r="18" customFormat="false" ht="15" hidden="false" customHeight="false" outlineLevel="0" collapsed="false">
      <c r="A18" s="6" t="str">
        <f aca="false">B18&amp;"#"&amp;C18</f>
        <v>3-3-3#0</v>
      </c>
      <c r="B18" s="20" t="s">
        <v>144</v>
      </c>
      <c r="C18" s="20" t="n">
        <v>0</v>
      </c>
      <c r="D18" s="20" t="n">
        <v>0.25</v>
      </c>
      <c r="E18" s="20" t="n">
        <v>1.1</v>
      </c>
    </row>
    <row r="19" customFormat="false" ht="15" hidden="false" customHeight="false" outlineLevel="0" collapsed="false">
      <c r="A19" s="6" t="str">
        <f aca="false">B19&amp;"#"&amp;C19</f>
        <v>3-3-3#1</v>
      </c>
      <c r="B19" s="20" t="s">
        <v>144</v>
      </c>
      <c r="C19" s="20" t="n">
        <v>1</v>
      </c>
      <c r="D19" s="20" t="n">
        <v>0.75</v>
      </c>
      <c r="E19" s="20" t="n">
        <v>1.1</v>
      </c>
    </row>
    <row r="20" customFormat="false" ht="15" hidden="false" customHeight="false" outlineLevel="0" collapsed="false">
      <c r="A20" s="6" t="str">
        <f aca="false">B20&amp;"#"&amp;C20</f>
        <v>3-3-3#2</v>
      </c>
      <c r="B20" s="20" t="s">
        <v>144</v>
      </c>
      <c r="C20" s="20" t="n">
        <v>2</v>
      </c>
      <c r="D20" s="20" t="n">
        <v>1.25</v>
      </c>
      <c r="E20" s="20" t="n">
        <v>1.1</v>
      </c>
    </row>
    <row r="21" customFormat="false" ht="15" hidden="false" customHeight="false" outlineLevel="0" collapsed="false">
      <c r="A21" s="6" t="str">
        <f aca="false">B21&amp;"#"&amp;C21</f>
        <v>3-3-3#3</v>
      </c>
      <c r="B21" s="20" t="s">
        <v>144</v>
      </c>
      <c r="C21" s="20" t="n">
        <v>3</v>
      </c>
      <c r="D21" s="20" t="n">
        <v>0.25</v>
      </c>
      <c r="E21" s="20" t="n">
        <v>1.45</v>
      </c>
    </row>
    <row r="22" customFormat="false" ht="15" hidden="false" customHeight="false" outlineLevel="0" collapsed="false">
      <c r="A22" s="6" t="str">
        <f aca="false">B22&amp;"#"&amp;C22</f>
        <v>3-3-3#4</v>
      </c>
      <c r="B22" s="20" t="s">
        <v>144</v>
      </c>
      <c r="C22" s="20" t="n">
        <v>4</v>
      </c>
      <c r="D22" s="20" t="n">
        <v>0.75</v>
      </c>
      <c r="E22" s="20" t="n">
        <v>1.45</v>
      </c>
    </row>
    <row r="23" customFormat="false" ht="15" hidden="false" customHeight="false" outlineLevel="0" collapsed="false">
      <c r="A23" s="6" t="str">
        <f aca="false">B23&amp;"#"&amp;C23</f>
        <v>3-3-3#5</v>
      </c>
      <c r="B23" s="20" t="s">
        <v>144</v>
      </c>
      <c r="C23" s="20" t="n">
        <v>5</v>
      </c>
      <c r="D23" s="20" t="n">
        <v>1.25</v>
      </c>
      <c r="E23" s="20" t="n">
        <v>1.45</v>
      </c>
    </row>
    <row r="24" customFormat="false" ht="15" hidden="false" customHeight="false" outlineLevel="0" collapsed="false">
      <c r="A24" s="6" t="str">
        <f aca="false">B24&amp;"#"&amp;C24</f>
        <v>3-3-3#6</v>
      </c>
      <c r="B24" s="20" t="s">
        <v>144</v>
      </c>
      <c r="C24" s="20" t="n">
        <v>6</v>
      </c>
      <c r="D24" s="20" t="n">
        <v>0.25</v>
      </c>
      <c r="E24" s="20" t="n">
        <v>1.8</v>
      </c>
    </row>
    <row r="25" customFormat="false" ht="15" hidden="false" customHeight="false" outlineLevel="0" collapsed="false">
      <c r="A25" s="6" t="str">
        <f aca="false">B25&amp;"#"&amp;C25</f>
        <v>3-3-3#7</v>
      </c>
      <c r="B25" s="20" t="s">
        <v>144</v>
      </c>
      <c r="C25" s="20" t="n">
        <v>7</v>
      </c>
      <c r="D25" s="20" t="n">
        <v>0.75</v>
      </c>
      <c r="E25" s="20" t="n">
        <v>1.8</v>
      </c>
    </row>
    <row r="26" customFormat="false" ht="15" hidden="false" customHeight="false" outlineLevel="0" collapsed="false">
      <c r="A26" s="6" t="str">
        <f aca="false">B26&amp;"#"&amp;C26</f>
        <v>3-3-3#8</v>
      </c>
      <c r="B26" s="20" t="s">
        <v>144</v>
      </c>
      <c r="C26" s="20" t="n">
        <v>8</v>
      </c>
      <c r="D26" s="20" t="n">
        <v>1.25</v>
      </c>
      <c r="E26" s="20" t="n">
        <v>1.8</v>
      </c>
    </row>
    <row r="27" customFormat="false" ht="15" hidden="false" customHeight="false" outlineLevel="0" collapsed="false">
      <c r="A27" s="6" t="str">
        <f aca="false">B27&amp;"#"&amp;C27</f>
        <v>2-3-2#0</v>
      </c>
      <c r="B27" s="20" t="s">
        <v>145</v>
      </c>
      <c r="C27" s="20" t="n">
        <v>0</v>
      </c>
      <c r="D27" s="20" t="n">
        <v>0.5</v>
      </c>
      <c r="E27" s="20" t="n">
        <v>1.1</v>
      </c>
    </row>
    <row r="28" customFormat="false" ht="15" hidden="false" customHeight="false" outlineLevel="0" collapsed="false">
      <c r="A28" s="6" t="str">
        <f aca="false">B28&amp;"#"&amp;C28</f>
        <v>2-3-2#1</v>
      </c>
      <c r="B28" s="20" t="s">
        <v>145</v>
      </c>
      <c r="C28" s="20" t="n">
        <v>1</v>
      </c>
      <c r="D28" s="20" t="n">
        <v>1</v>
      </c>
      <c r="E28" s="20" t="n">
        <v>1.1</v>
      </c>
    </row>
    <row r="29" customFormat="false" ht="15" hidden="false" customHeight="false" outlineLevel="0" collapsed="false">
      <c r="A29" s="6" t="str">
        <f aca="false">B29&amp;"#"&amp;C29</f>
        <v>2-3-2#2</v>
      </c>
      <c r="B29" s="20" t="s">
        <v>145</v>
      </c>
      <c r="C29" s="20" t="n">
        <v>2</v>
      </c>
      <c r="D29" s="20" t="n">
        <v>0.25</v>
      </c>
      <c r="E29" s="20" t="n">
        <v>1.42</v>
      </c>
    </row>
    <row r="30" customFormat="false" ht="15" hidden="false" customHeight="false" outlineLevel="0" collapsed="false">
      <c r="A30" s="6" t="str">
        <f aca="false">B30&amp;"#"&amp;C30</f>
        <v>2-3-2#3</v>
      </c>
      <c r="B30" s="20" t="s">
        <v>145</v>
      </c>
      <c r="C30" s="20" t="n">
        <v>3</v>
      </c>
      <c r="D30" s="20" t="n">
        <v>0.75</v>
      </c>
      <c r="E30" s="20" t="n">
        <v>1.42</v>
      </c>
    </row>
    <row r="31" customFormat="false" ht="15" hidden="false" customHeight="false" outlineLevel="0" collapsed="false">
      <c r="A31" s="6" t="str">
        <f aca="false">B31&amp;"#"&amp;C31</f>
        <v>2-3-2#4</v>
      </c>
      <c r="B31" s="20" t="s">
        <v>145</v>
      </c>
      <c r="C31" s="20" t="n">
        <v>4</v>
      </c>
      <c r="D31" s="20" t="n">
        <v>1.25</v>
      </c>
      <c r="E31" s="20" t="n">
        <v>1.42</v>
      </c>
    </row>
    <row r="32" customFormat="false" ht="15" hidden="false" customHeight="false" outlineLevel="0" collapsed="false">
      <c r="A32" s="6" t="str">
        <f aca="false">B32&amp;"#"&amp;C32</f>
        <v>2-3-2#5</v>
      </c>
      <c r="B32" s="20" t="s">
        <v>145</v>
      </c>
      <c r="C32" s="20" t="n">
        <v>5</v>
      </c>
      <c r="D32" s="20" t="n">
        <v>0.5</v>
      </c>
      <c r="E32" s="20" t="n">
        <v>1.74</v>
      </c>
    </row>
    <row r="33" customFormat="false" ht="15" hidden="false" customHeight="false" outlineLevel="0" collapsed="false">
      <c r="A33" s="6" t="str">
        <f aca="false">B33&amp;"#"&amp;C33</f>
        <v>2-3-2#6</v>
      </c>
      <c r="B33" s="20" t="s">
        <v>145</v>
      </c>
      <c r="C33" s="20" t="n">
        <v>6</v>
      </c>
      <c r="D33" s="20" t="n">
        <v>1</v>
      </c>
      <c r="E33" s="20" t="n">
        <v>1.74</v>
      </c>
    </row>
    <row r="34" customFormat="false" ht="15" hidden="false" customHeight="false" outlineLevel="0" collapsed="false">
      <c r="A34" s="6" t="str">
        <f aca="false">B34&amp;"#"&amp;C34</f>
        <v>3-2-3#0</v>
      </c>
      <c r="B34" s="20" t="s">
        <v>146</v>
      </c>
      <c r="C34" s="20" t="n">
        <v>0</v>
      </c>
      <c r="D34" s="20" t="n">
        <v>0.25</v>
      </c>
      <c r="E34" s="20" t="n">
        <v>1.1</v>
      </c>
    </row>
    <row r="35" customFormat="false" ht="15" hidden="false" customHeight="false" outlineLevel="0" collapsed="false">
      <c r="A35" s="6" t="str">
        <f aca="false">B35&amp;"#"&amp;C35</f>
        <v>3-2-3#1</v>
      </c>
      <c r="B35" s="20" t="s">
        <v>146</v>
      </c>
      <c r="C35" s="20" t="n">
        <v>1</v>
      </c>
      <c r="D35" s="20" t="n">
        <v>0.75</v>
      </c>
      <c r="E35" s="20" t="n">
        <v>1.1</v>
      </c>
    </row>
    <row r="36" customFormat="false" ht="15" hidden="false" customHeight="false" outlineLevel="0" collapsed="false">
      <c r="A36" s="6" t="str">
        <f aca="false">B36&amp;"#"&amp;C36</f>
        <v>3-2-3#2</v>
      </c>
      <c r="B36" s="20" t="s">
        <v>146</v>
      </c>
      <c r="C36" s="20" t="n">
        <v>2</v>
      </c>
      <c r="D36" s="20" t="n">
        <v>1.25</v>
      </c>
      <c r="E36" s="20" t="n">
        <v>1.1</v>
      </c>
    </row>
    <row r="37" customFormat="false" ht="15" hidden="false" customHeight="false" outlineLevel="0" collapsed="false">
      <c r="A37" s="6" t="str">
        <f aca="false">B37&amp;"#"&amp;C37</f>
        <v>3-2-3#3</v>
      </c>
      <c r="B37" s="20" t="s">
        <v>146</v>
      </c>
      <c r="C37" s="20" t="n">
        <v>3</v>
      </c>
      <c r="D37" s="20" t="n">
        <v>0.5</v>
      </c>
      <c r="E37" s="20" t="n">
        <v>1.42</v>
      </c>
    </row>
    <row r="38" customFormat="false" ht="15" hidden="false" customHeight="false" outlineLevel="0" collapsed="false">
      <c r="A38" s="6" t="str">
        <f aca="false">B38&amp;"#"&amp;C38</f>
        <v>3-2-3#4</v>
      </c>
      <c r="B38" s="20" t="s">
        <v>146</v>
      </c>
      <c r="C38" s="20" t="n">
        <v>4</v>
      </c>
      <c r="D38" s="20" t="n">
        <v>1</v>
      </c>
      <c r="E38" s="20" t="n">
        <v>1.42</v>
      </c>
    </row>
    <row r="39" customFormat="false" ht="15" hidden="false" customHeight="false" outlineLevel="0" collapsed="false">
      <c r="A39" s="6" t="str">
        <f aca="false">B39&amp;"#"&amp;C39</f>
        <v>3-2-3#5</v>
      </c>
      <c r="B39" s="20" t="s">
        <v>146</v>
      </c>
      <c r="C39" s="20" t="n">
        <v>5</v>
      </c>
      <c r="D39" s="20" t="n">
        <v>0.25</v>
      </c>
      <c r="E39" s="20" t="n">
        <v>1.74</v>
      </c>
    </row>
    <row r="40" customFormat="false" ht="15" hidden="false" customHeight="false" outlineLevel="0" collapsed="false">
      <c r="A40" s="6" t="str">
        <f aca="false">B40&amp;"#"&amp;C40</f>
        <v>3-2-3#6</v>
      </c>
      <c r="B40" s="20" t="s">
        <v>146</v>
      </c>
      <c r="C40" s="20" t="n">
        <v>6</v>
      </c>
      <c r="D40" s="20" t="n">
        <v>0.75</v>
      </c>
      <c r="E40" s="20" t="n">
        <v>1.74</v>
      </c>
    </row>
    <row r="41" customFormat="false" ht="15" hidden="false" customHeight="false" outlineLevel="0" collapsed="false">
      <c r="A41" s="6" t="str">
        <f aca="false">B41&amp;"#"&amp;C41</f>
        <v>3-2-3#7</v>
      </c>
      <c r="B41" s="20" t="s">
        <v>146</v>
      </c>
      <c r="C41" s="20" t="n">
        <v>7</v>
      </c>
      <c r="D41" s="20" t="n">
        <v>1.25</v>
      </c>
      <c r="E41" s="20" t="n">
        <v>1.74</v>
      </c>
    </row>
    <row r="42" customFormat="false" ht="15" hidden="false" customHeight="false" outlineLevel="0" collapsed="false">
      <c r="A42" s="21" t="s">
        <v>147</v>
      </c>
      <c r="B42" s="3"/>
      <c r="C42" s="3"/>
      <c r="D42" s="3"/>
      <c r="E42"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9765625" defaultRowHeight="15" zeroHeight="false" outlineLevelRow="0" outlineLevelCol="0"/>
  <cols>
    <col collapsed="false" customWidth="true" hidden="false" outlineLevel="0" max="1" min="1" style="1" width="7"/>
    <col collapsed="false" customWidth="true" hidden="false" outlineLevel="0" max="2" min="2" style="1" width="11"/>
    <col collapsed="false" customWidth="true" hidden="false" outlineLevel="0" max="4" min="3" style="1" width="22"/>
    <col collapsed="false" customWidth="true" hidden="false" outlineLevel="0" max="5" min="5" style="1" width="11"/>
    <col collapsed="false" customWidth="true" hidden="false" outlineLevel="0" max="6" min="6" style="1" width="16"/>
    <col collapsed="false" customWidth="true" hidden="false" outlineLevel="0" max="10" min="7" style="1" width="8"/>
    <col collapsed="false" customWidth="true" hidden="false" outlineLevel="0" max="13" min="11" style="1" width="9"/>
    <col collapsed="false" customWidth="true" hidden="false" outlineLevel="0" max="14" min="14" style="1" width="11"/>
    <col collapsed="false" customWidth="true" hidden="false" outlineLevel="0" max="15" min="15" style="1" width="10"/>
    <col collapsed="false" customWidth="true" hidden="false" outlineLevel="0" max="20" min="16" style="1" width="12"/>
    <col collapsed="false" customWidth="true" hidden="false" outlineLevel="0" max="21" min="21" style="1" width="9"/>
    <col collapsed="false" customWidth="true" hidden="false" outlineLevel="0" max="23" min="22" style="1" width="10"/>
    <col collapsed="false" customWidth="true" hidden="false" outlineLevel="0" max="24" min="24" style="1" width="12"/>
  </cols>
  <sheetData>
    <row r="1" customFormat="false" ht="19.7" hidden="false" customHeight="false" outlineLevel="0" collapsed="false">
      <c r="A1" s="2" t="s">
        <v>148</v>
      </c>
      <c r="B1" s="3"/>
      <c r="C1" s="3"/>
      <c r="D1" s="3"/>
      <c r="E1" s="3"/>
      <c r="F1" s="3"/>
      <c r="G1" s="3"/>
      <c r="H1" s="3"/>
      <c r="I1" s="3"/>
      <c r="J1" s="3"/>
      <c r="K1" s="3"/>
      <c r="L1" s="3"/>
      <c r="M1" s="3"/>
      <c r="N1" s="3"/>
      <c r="O1" s="3"/>
      <c r="P1" s="3"/>
      <c r="Q1" s="3"/>
      <c r="R1" s="3"/>
      <c r="S1" s="3"/>
      <c r="T1" s="3"/>
      <c r="U1" s="3"/>
      <c r="V1" s="3"/>
      <c r="W1" s="3"/>
      <c r="X1" s="3"/>
    </row>
    <row r="2" customFormat="false" ht="15" hidden="false" customHeight="false" outlineLevel="0" collapsed="false">
      <c r="A2" s="4" t="s">
        <v>149</v>
      </c>
      <c r="B2" s="3"/>
      <c r="C2" s="3"/>
      <c r="D2" s="3"/>
      <c r="E2" s="3"/>
      <c r="F2" s="3"/>
      <c r="G2" s="3"/>
      <c r="H2" s="3"/>
      <c r="I2" s="3"/>
      <c r="J2" s="3"/>
      <c r="K2" s="3"/>
      <c r="L2" s="3"/>
      <c r="M2" s="3"/>
      <c r="N2" s="3"/>
      <c r="O2" s="3"/>
      <c r="P2" s="3"/>
      <c r="Q2" s="3"/>
      <c r="R2" s="3"/>
      <c r="S2" s="3"/>
      <c r="T2" s="3"/>
      <c r="U2" s="3"/>
      <c r="V2" s="3"/>
      <c r="W2" s="3"/>
      <c r="X2" s="3"/>
    </row>
    <row r="3" customFormat="false" ht="30" hidden="false" customHeight="true" outlineLevel="0" collapsed="false">
      <c r="A3" s="3"/>
      <c r="B3" s="3"/>
      <c r="C3" s="3"/>
      <c r="D3" s="3"/>
      <c r="E3" s="3"/>
      <c r="F3" s="3"/>
      <c r="G3" s="3"/>
      <c r="H3" s="3"/>
      <c r="I3" s="3"/>
      <c r="J3" s="3"/>
      <c r="K3" s="3"/>
      <c r="L3" s="3"/>
      <c r="M3" s="3"/>
      <c r="N3" s="3"/>
      <c r="O3" s="3"/>
      <c r="P3" s="22" t="s">
        <v>150</v>
      </c>
      <c r="Q3" s="22" t="s">
        <v>151</v>
      </c>
      <c r="R3" s="22" t="s">
        <v>152</v>
      </c>
      <c r="S3" s="22" t="s">
        <v>153</v>
      </c>
      <c r="T3" s="22" t="s">
        <v>154</v>
      </c>
      <c r="U3" s="3"/>
      <c r="V3" s="3"/>
      <c r="W3" s="3"/>
      <c r="X3" s="3"/>
    </row>
    <row r="4" customFormat="false" ht="45" hidden="false" customHeight="true" outlineLevel="0" collapsed="false">
      <c r="A4" s="12" t="s">
        <v>155</v>
      </c>
      <c r="B4" s="12" t="s">
        <v>156</v>
      </c>
      <c r="C4" s="12" t="s">
        <v>157</v>
      </c>
      <c r="D4" s="12" t="s">
        <v>158</v>
      </c>
      <c r="E4" s="12" t="s">
        <v>159</v>
      </c>
      <c r="F4" s="12" t="s">
        <v>160</v>
      </c>
      <c r="G4" s="12" t="s">
        <v>161</v>
      </c>
      <c r="H4" s="12" t="s">
        <v>162</v>
      </c>
      <c r="I4" s="12" t="s">
        <v>163</v>
      </c>
      <c r="J4" s="12" t="s">
        <v>164</v>
      </c>
      <c r="K4" s="12" t="s">
        <v>165</v>
      </c>
      <c r="L4" s="12" t="s">
        <v>166</v>
      </c>
      <c r="M4" s="12" t="s">
        <v>167</v>
      </c>
      <c r="N4" s="12" t="s">
        <v>168</v>
      </c>
      <c r="O4" s="12" t="s">
        <v>169</v>
      </c>
      <c r="P4" s="12" t="s">
        <v>170</v>
      </c>
      <c r="Q4" s="12" t="s">
        <v>171</v>
      </c>
      <c r="R4" s="12" t="s">
        <v>172</v>
      </c>
      <c r="S4" s="12" t="s">
        <v>173</v>
      </c>
      <c r="T4" s="12" t="s">
        <v>174</v>
      </c>
      <c r="U4" s="12" t="s">
        <v>175</v>
      </c>
      <c r="V4" s="12" t="s">
        <v>176</v>
      </c>
      <c r="W4" s="12" t="s">
        <v>177</v>
      </c>
      <c r="X4" s="12" t="s">
        <v>178</v>
      </c>
    </row>
    <row r="5" customFormat="false" ht="15" hidden="false" customHeight="false" outlineLevel="0" collapsed="false">
      <c r="A5" s="20" t="n">
        <v>1</v>
      </c>
      <c r="B5" s="6" t="str">
        <f aca="false">TEXT(C5,"yyyy-mm-dd")</f>
        <v>2026-10-05</v>
      </c>
      <c r="C5" s="19" t="n">
        <v>46300.1111566088</v>
      </c>
      <c r="D5" s="19" t="n">
        <v>46300.1119420602</v>
      </c>
      <c r="E5" s="23" t="n">
        <f aca="false">(D5-C5)*86400</f>
        <v>67.863000067</v>
      </c>
      <c r="F5" s="6" t="str">
        <f aca="false">IF(C5&lt;Constants!$B$13,"Before fix","After fix")</f>
        <v>Before fix</v>
      </c>
      <c r="G5" s="20" t="n">
        <v>400</v>
      </c>
      <c r="H5" s="20" t="n">
        <v>2</v>
      </c>
      <c r="I5" s="6" t="n">
        <f aca="false">COUNTIFS(Hits!$A:$A,$A5,Hits!$D:$D,"mole_hit")</f>
        <v>4</v>
      </c>
      <c r="J5" s="6" t="n">
        <f aca="false">COUNTIFS(Hits!$A:$A,$A5,Hits!$D:$D,"king_hit")</f>
        <v>0</v>
      </c>
      <c r="K5" s="23" t="n">
        <f aca="false">(I5+J5)/(E5/60)</f>
        <v>3.5365368428017</v>
      </c>
      <c r="L5" s="6" t="n">
        <f aca="false">COUNTIF(Losses!$A:$A,$A5)</f>
        <v>10</v>
      </c>
      <c r="M5" s="23" t="n">
        <f aca="false">L5/(E5/60)</f>
        <v>8.84134210700426</v>
      </c>
      <c r="N5" s="23" t="n">
        <f aca="false">IFERROR(AVERAGEIF(Losses!$A:$A,$A5,Losses!$F:$F),0)</f>
        <v>0.4790000542</v>
      </c>
      <c r="O5" s="23" t="n">
        <f aca="false">IFERROR(_xlfn.MAXIFS(Losses!$F:$F,Losses!$A:$A,$A5),0)</f>
        <v>1.804000977</v>
      </c>
      <c r="P5" s="24" t="n">
        <f aca="false">SUMIFS(Timeline!$F:$F,Timeline!$A:$A,$A5,Timeline!$G:$G,P$3)/$E5</f>
        <v>0.831749199169987</v>
      </c>
      <c r="Q5" s="24" t="n">
        <f aca="false">SUMIFS(Timeline!$F:$F,Timeline!$A:$A,$A5,Timeline!$G:$G,Q$3)/$E5</f>
        <v>0.0896070596790052</v>
      </c>
      <c r="R5" s="24" t="n">
        <f aca="false">SUMIFS(Timeline!$F:$F,Timeline!$A:$A,$A5,Timeline!$G:$G,R$3)/$E5</f>
        <v>0.0786437408415612</v>
      </c>
      <c r="S5" s="24" t="n">
        <f aca="false">SUMIFS(Timeline!$F:$F,Timeline!$A:$A,$A5,Timeline!$G:$G,S$3)/$E5</f>
        <v>0</v>
      </c>
      <c r="T5" s="24" t="n">
        <f aca="false">SUMIFS(Timeline!$F:$F,Timeline!$A:$A,$A5,Timeline!$G:$G,T$3)/$E5</f>
        <v>0</v>
      </c>
      <c r="U5" s="24" t="n">
        <f aca="false">SUM(P5:T5)</f>
        <v>0.999999999690553</v>
      </c>
      <c r="V5" s="20" t="n">
        <v>2724</v>
      </c>
      <c r="W5" s="20" t="n">
        <v>0</v>
      </c>
      <c r="X5" s="20" t="s">
        <v>179</v>
      </c>
    </row>
    <row r="6" customFormat="false" ht="15" hidden="false" customHeight="false" outlineLevel="0" collapsed="false">
      <c r="A6" s="20" t="n">
        <v>2</v>
      </c>
      <c r="B6" s="6" t="str">
        <f aca="false">TEXT(C6,"yyyy-mm-dd")</f>
        <v>2026-10-05</v>
      </c>
      <c r="C6" s="19" t="n">
        <v>46300.1128393287</v>
      </c>
      <c r="D6" s="19" t="n">
        <v>46300.1135686111</v>
      </c>
      <c r="E6" s="23" t="n">
        <f aca="false">(D6-C6)*86400</f>
        <v>63.009999459</v>
      </c>
      <c r="F6" s="6" t="str">
        <f aca="false">IF(C6&lt;Constants!$B$13,"Before fix","After fix")</f>
        <v>Before fix</v>
      </c>
      <c r="G6" s="20" t="n">
        <v>200</v>
      </c>
      <c r="H6" s="20" t="n">
        <v>1</v>
      </c>
      <c r="I6" s="6" t="n">
        <f aca="false">COUNTIFS(Hits!$A:$A,$A6,Hits!$D:$D,"mole_hit")</f>
        <v>2</v>
      </c>
      <c r="J6" s="6" t="n">
        <f aca="false">COUNTIFS(Hits!$A:$A,$A6,Hits!$D:$D,"king_hit")</f>
        <v>0</v>
      </c>
      <c r="K6" s="23" t="n">
        <f aca="false">(I6+J6)/(E6/60)</f>
        <v>1.90445962593735</v>
      </c>
      <c r="L6" s="6" t="n">
        <f aca="false">COUNTIF(Losses!$A:$A,$A6)</f>
        <v>12</v>
      </c>
      <c r="M6" s="23" t="n">
        <f aca="false">L6/(E6/60)</f>
        <v>11.4267577556241</v>
      </c>
      <c r="N6" s="23" t="n">
        <f aca="false">IFERROR(AVERAGEIF(Losses!$A:$A,$A6,Losses!$F:$F),0)</f>
        <v>0.703666899916667</v>
      </c>
      <c r="O6" s="23" t="n">
        <f aca="false">IFERROR(_xlfn.MAXIFS(Losses!$F:$F,Losses!$A:$A,$A6),0)</f>
        <v>1.528999954</v>
      </c>
      <c r="P6" s="24" t="n">
        <f aca="false">SUMIFS(Timeline!$F:$F,Timeline!$A:$A,$A6,Timeline!$G:$G,P$3)/$E6</f>
        <v>0.707490905217467</v>
      </c>
      <c r="Q6" s="24" t="n">
        <f aca="false">SUMIFS(Timeline!$F:$F,Timeline!$A:$A,$A6,Timeline!$G:$G,Q$3)/$E6</f>
        <v>0.147865333216873</v>
      </c>
      <c r="R6" s="24" t="n">
        <f aca="false">SUMIFS(Timeline!$F:$F,Timeline!$A:$A,$A6,Timeline!$G:$G,R$3)/$E6</f>
        <v>0.144643761168898</v>
      </c>
      <c r="S6" s="24" t="n">
        <f aca="false">SUMIFS(Timeline!$F:$F,Timeline!$A:$A,$A6,Timeline!$G:$G,S$3)/$E6</f>
        <v>0</v>
      </c>
      <c r="T6" s="24" t="n">
        <f aca="false">SUMIFS(Timeline!$F:$F,Timeline!$A:$A,$A6,Timeline!$G:$G,T$3)/$E6</f>
        <v>0</v>
      </c>
      <c r="U6" s="24" t="n">
        <f aca="false">SUM(P6:T6)</f>
        <v>0.999999999603238</v>
      </c>
      <c r="V6" s="20" t="n">
        <v>2364</v>
      </c>
      <c r="W6" s="20" t="n">
        <v>2</v>
      </c>
      <c r="X6" s="20" t="s">
        <v>179</v>
      </c>
    </row>
    <row r="7" customFormat="false" ht="15" hidden="false" customHeight="false" outlineLevel="0" collapsed="false">
      <c r="A7" s="20" t="n">
        <v>3</v>
      </c>
      <c r="B7" s="6" t="str">
        <f aca="false">TEXT(C7,"yyyy-mm-dd")</f>
        <v>2026-10-05</v>
      </c>
      <c r="C7" s="19" t="n">
        <v>46300.1139619097</v>
      </c>
      <c r="D7" s="19" t="n">
        <v>46300.1146913079</v>
      </c>
      <c r="E7" s="23" t="n">
        <f aca="false">(D7-C7)*86400</f>
        <v>63.019999908</v>
      </c>
      <c r="F7" s="6" t="str">
        <f aca="false">IF(C7&lt;Constants!$B$13,"Before fix","After fix")</f>
        <v>Before fix</v>
      </c>
      <c r="G7" s="20" t="n">
        <v>100</v>
      </c>
      <c r="H7" s="20" t="n">
        <v>1</v>
      </c>
      <c r="I7" s="6" t="n">
        <f aca="false">COUNTIFS(Hits!$A:$A,$A7,Hits!$D:$D,"mole_hit")</f>
        <v>1</v>
      </c>
      <c r="J7" s="6" t="n">
        <f aca="false">COUNTIFS(Hits!$A:$A,$A7,Hits!$D:$D,"king_hit")</f>
        <v>0</v>
      </c>
      <c r="K7" s="23" t="n">
        <f aca="false">(I7+J7)/(E7/60)</f>
        <v>0.952078706562857</v>
      </c>
      <c r="L7" s="6" t="n">
        <f aca="false">COUNTIF(Losses!$A:$A,$A7)</f>
        <v>13</v>
      </c>
      <c r="M7" s="23" t="n">
        <f aca="false">L7/(E7/60)</f>
        <v>12.3770231853171</v>
      </c>
      <c r="N7" s="23" t="n">
        <f aca="false">IFERROR(AVERAGEIF(Losses!$A:$A,$A7,Losses!$F:$F),0)</f>
        <v>0.546000057307692</v>
      </c>
      <c r="O7" s="23" t="n">
        <f aca="false">IFERROR(_xlfn.MAXIFS(Losses!$F:$F,Losses!$A:$A,$A7),0)</f>
        <v>1.652000192</v>
      </c>
      <c r="P7" s="24" t="n">
        <f aca="false">SUMIFS(Timeline!$F:$F,Timeline!$A:$A,$A7,Timeline!$G:$G,P$3)/$E7</f>
        <v>0.678467134646445</v>
      </c>
      <c r="Q7" s="24" t="n">
        <f aca="false">SUMIFS(Timeline!$F:$F,Timeline!$A:$A,$A7,Timeline!$G:$G,Q$3)/$E7</f>
        <v>0.144652509525675</v>
      </c>
      <c r="R7" s="24" t="n">
        <f aca="false">SUMIFS(Timeline!$F:$F,Timeline!$A:$A,$A7,Timeline!$G:$G,R$3)/$E7</f>
        <v>0.119739772913616</v>
      </c>
      <c r="S7" s="24" t="n">
        <f aca="false">SUMIFS(Timeline!$F:$F,Timeline!$A:$A,$A7,Timeline!$G:$G,S$3)/$E7</f>
        <v>0.0571405824858288</v>
      </c>
      <c r="T7" s="24" t="n">
        <f aca="false">SUMIFS(Timeline!$F:$F,Timeline!$A:$A,$A7,Timeline!$G:$G,T$3)/$E7</f>
        <v>0</v>
      </c>
      <c r="U7" s="24" t="n">
        <f aca="false">SUM(P7:T7)</f>
        <v>0.999999999571565</v>
      </c>
      <c r="V7" s="20" t="n">
        <v>2030</v>
      </c>
      <c r="W7" s="20" t="n">
        <v>2</v>
      </c>
      <c r="X7" s="20" t="s">
        <v>179</v>
      </c>
    </row>
    <row r="8" customFormat="false" ht="15" hidden="false" customHeight="false" outlineLevel="0" collapsed="false">
      <c r="A8" s="20" t="n">
        <v>4</v>
      </c>
      <c r="B8" s="6" t="str">
        <f aca="false">TEXT(C8,"yyyy-mm-dd")</f>
        <v>2026-10-05</v>
      </c>
      <c r="C8" s="19" t="n">
        <v>46300.1148979861</v>
      </c>
      <c r="D8" s="19" t="n">
        <v>46300.1157173727</v>
      </c>
      <c r="E8" s="23" t="n">
        <f aca="false">(D8-C8)*86400</f>
        <v>70.794999855</v>
      </c>
      <c r="F8" s="6" t="str">
        <f aca="false">IF(C8&lt;Constants!$B$13,"Before fix","After fix")</f>
        <v>Before fix</v>
      </c>
      <c r="G8" s="20" t="n">
        <v>0</v>
      </c>
      <c r="H8" s="20" t="n">
        <v>1</v>
      </c>
      <c r="I8" s="6" t="n">
        <f aca="false">COUNTIFS(Hits!$A:$A,$A8,Hits!$D:$D,"mole_hit")</f>
        <v>0</v>
      </c>
      <c r="J8" s="6" t="n">
        <f aca="false">COUNTIFS(Hits!$A:$A,$A8,Hits!$D:$D,"king_hit")</f>
        <v>0</v>
      </c>
      <c r="K8" s="23" t="n">
        <f aca="false">(I8+J8)/(E8/60)</f>
        <v>0</v>
      </c>
      <c r="L8" s="6" t="n">
        <f aca="false">COUNTIF(Losses!$A:$A,$A8)</f>
        <v>17</v>
      </c>
      <c r="M8" s="23" t="n">
        <f aca="false">L8/(E8/60)</f>
        <v>14.407797190326</v>
      </c>
      <c r="N8" s="23" t="n">
        <f aca="false">IFERROR(AVERAGEIF(Losses!$A:$A,$A8,Losses!$F:$F),0)</f>
        <v>0.490941023235294</v>
      </c>
      <c r="O8" s="23" t="n">
        <f aca="false">IFERROR(_xlfn.MAXIFS(Losses!$F:$F,Losses!$A:$A,$A8),0)</f>
        <v>2.024999703</v>
      </c>
      <c r="P8" s="24" t="n">
        <f aca="false">SUMIFS(Timeline!$F:$F,Timeline!$A:$A,$A8,Timeline!$G:$G,P$3)/$E8</f>
        <v>0.622275656758669</v>
      </c>
      <c r="Q8" s="24" t="n">
        <f aca="false">SUMIFS(Timeline!$F:$F,Timeline!$A:$A,$A8,Timeline!$G:$G,Q$3)/$E8</f>
        <v>0.141252875393484</v>
      </c>
      <c r="R8" s="24" t="n">
        <f aca="false">SUMIFS(Timeline!$F:$F,Timeline!$A:$A,$A8,Timeline!$G:$G,R$3)/$E8</f>
        <v>0.154883780513569</v>
      </c>
      <c r="S8" s="24" t="n">
        <f aca="false">SUMIFS(Timeline!$F:$F,Timeline!$A:$A,$A8,Timeline!$G:$G,S$3)/$E8</f>
        <v>0</v>
      </c>
      <c r="T8" s="24" t="n">
        <f aca="false">SUMIFS(Timeline!$F:$F,Timeline!$A:$A,$A8,Timeline!$G:$G,T$3)/$E8</f>
        <v>0.0815876868398929</v>
      </c>
      <c r="U8" s="24" t="n">
        <f aca="false">SUM(P8:T8)</f>
        <v>0.999999999505615</v>
      </c>
      <c r="V8" s="20" t="n">
        <v>2087</v>
      </c>
      <c r="W8" s="20" t="n">
        <v>1</v>
      </c>
      <c r="X8" s="20" t="s">
        <v>179</v>
      </c>
    </row>
    <row r="9" customFormat="false" ht="15" hidden="false" customHeight="false" outlineLevel="0" collapsed="false">
      <c r="A9" s="20" t="n">
        <v>5</v>
      </c>
      <c r="B9" s="6" t="str">
        <f aca="false">TEXT(C9,"yyyy-mm-dd")</f>
        <v>2026-10-05</v>
      </c>
      <c r="C9" s="19" t="n">
        <v>46300.127267963</v>
      </c>
      <c r="D9" s="19" t="n">
        <v>46300.1279971875</v>
      </c>
      <c r="E9" s="23" t="n">
        <f aca="false">(D9-C9)*86400</f>
        <v>63.004999863</v>
      </c>
      <c r="F9" s="6" t="str">
        <f aca="false">IF(C9&lt;Constants!$B$13,"Before fix","After fix")</f>
        <v>Before fix</v>
      </c>
      <c r="G9" s="20" t="n">
        <v>200</v>
      </c>
      <c r="H9" s="20" t="n">
        <v>1</v>
      </c>
      <c r="I9" s="6" t="n">
        <f aca="false">COUNTIFS(Hits!$A:$A,$A9,Hits!$D:$D,"mole_hit")</f>
        <v>2</v>
      </c>
      <c r="J9" s="6" t="n">
        <f aca="false">COUNTIFS(Hits!$A:$A,$A9,Hits!$D:$D,"king_hit")</f>
        <v>0</v>
      </c>
      <c r="K9" s="23" t="n">
        <f aca="false">(I9+J9)/(E9/60)</f>
        <v>1.9046107493204</v>
      </c>
      <c r="L9" s="6" t="n">
        <f aca="false">COUNTIF(Losses!$A:$A,$A9)</f>
        <v>14</v>
      </c>
      <c r="M9" s="23" t="n">
        <f aca="false">L9/(E9/60)</f>
        <v>13.3322752452428</v>
      </c>
      <c r="N9" s="23" t="n">
        <f aca="false">IFERROR(AVERAGEIF(Losses!$A:$A,$A9,Losses!$F:$F),0)</f>
        <v>0.297285823785714</v>
      </c>
      <c r="O9" s="23" t="n">
        <f aca="false">IFERROR(_xlfn.MAXIFS(Losses!$F:$F,Losses!$A:$A,$A9),0)</f>
        <v>1.158999698</v>
      </c>
      <c r="P9" s="24" t="n">
        <f aca="false">SUMIFS(Timeline!$F:$F,Timeline!$A:$A,$A9,Timeline!$G:$G,P$3)/$E9</f>
        <v>0.800444379091515</v>
      </c>
      <c r="Q9" s="24" t="n">
        <f aca="false">SUMIFS(Timeline!$F:$F,Timeline!$A:$A,$A9,Timeline!$G:$G,Q$3)/$E9</f>
        <v>0.122799783950854</v>
      </c>
      <c r="R9" s="24" t="n">
        <f aca="false">SUMIFS(Timeline!$F:$F,Timeline!$A:$A,$A9,Timeline!$G:$G,R$3)/$E9</f>
        <v>0.076755836576709</v>
      </c>
      <c r="S9" s="24" t="n">
        <f aca="false">SUMIFS(Timeline!$F:$F,Timeline!$A:$A,$A9,Timeline!$G:$G,S$3)/$E9</f>
        <v>0</v>
      </c>
      <c r="T9" s="24" t="n">
        <f aca="false">SUMIFS(Timeline!$F:$F,Timeline!$A:$A,$A9,Timeline!$G:$G,T$3)/$E9</f>
        <v>0</v>
      </c>
      <c r="U9" s="24" t="n">
        <f aca="false">SUM(P9:T9)</f>
        <v>0.999999999619078</v>
      </c>
      <c r="V9" s="20" t="n">
        <v>1779</v>
      </c>
      <c r="W9" s="20" t="n">
        <v>3</v>
      </c>
      <c r="X9" s="20" t="s">
        <v>76</v>
      </c>
    </row>
    <row r="10" customFormat="false" ht="15" hidden="false" customHeight="false" outlineLevel="0" collapsed="false">
      <c r="A10" s="20" t="n">
        <v>6</v>
      </c>
      <c r="B10" s="6" t="str">
        <f aca="false">TEXT(C10,"yyyy-mm-dd")</f>
        <v>2026-10-05</v>
      </c>
      <c r="C10" s="19" t="n">
        <v>46300.1527333796</v>
      </c>
      <c r="D10" s="19" t="n">
        <v>46300.1534627083</v>
      </c>
      <c r="E10" s="23" t="n">
        <f aca="false">(D10-C10)*86400</f>
        <v>63.013999513</v>
      </c>
      <c r="F10" s="6" t="str">
        <f aca="false">IF(C10&lt;Constants!$B$13,"Before fix","After fix")</f>
        <v>After fix</v>
      </c>
      <c r="G10" s="20" t="n">
        <v>0</v>
      </c>
      <c r="H10" s="20" t="n">
        <v>1</v>
      </c>
      <c r="I10" s="6" t="n">
        <f aca="false">COUNTIFS(Hits!$A:$A,$A10,Hits!$D:$D,"mole_hit")</f>
        <v>0</v>
      </c>
      <c r="J10" s="6" t="n">
        <f aca="false">COUNTIFS(Hits!$A:$A,$A10,Hits!$D:$D,"king_hit")</f>
        <v>0</v>
      </c>
      <c r="K10" s="23" t="n">
        <f aca="false">(I10+J10)/(E10/60)</f>
        <v>0</v>
      </c>
      <c r="L10" s="6" t="n">
        <f aca="false">COUNTIF(Losses!$A:$A,$A10)</f>
        <v>12</v>
      </c>
      <c r="M10" s="23" t="n">
        <f aca="false">L10/(E10/60)</f>
        <v>11.4260323985857</v>
      </c>
      <c r="N10" s="23" t="n">
        <f aca="false">IFERROR(AVERAGEIF(Losses!$A:$A,$A10,Losses!$F:$F),0)</f>
        <v>0.498083279916667</v>
      </c>
      <c r="O10" s="23" t="n">
        <f aca="false">IFERROR(_xlfn.MAXIFS(Losses!$F:$F,Losses!$A:$A,$A10),0)</f>
        <v>1.10799917</v>
      </c>
      <c r="P10" s="24" t="n">
        <f aca="false">SUMIFS(Timeline!$F:$F,Timeline!$A:$A,$A10,Timeline!$G:$G,P$3)/$E10</f>
        <v>0.68064243333978</v>
      </c>
      <c r="Q10" s="24" t="n">
        <f aca="false">SUMIFS(Timeline!$F:$F,Timeline!$A:$A,$A10,Timeline!$G:$G,Q$3)/$E10</f>
        <v>0.127622397771164</v>
      </c>
      <c r="R10" s="24" t="n">
        <f aca="false">SUMIFS(Timeline!$F:$F,Timeline!$A:$A,$A10,Timeline!$G:$G,R$3)/$E10</f>
        <v>0.114498355726675</v>
      </c>
      <c r="S10" s="24" t="n">
        <f aca="false">SUMIFS(Timeline!$F:$F,Timeline!$A:$A,$A10,Timeline!$G:$G,S$3)/$E10</f>
        <v>0.0772368127656446</v>
      </c>
      <c r="T10" s="24" t="n">
        <f aca="false">SUMIFS(Timeline!$F:$F,Timeline!$A:$A,$A10,Timeline!$G:$G,T$3)/$E10</f>
        <v>0</v>
      </c>
      <c r="U10" s="24" t="n">
        <f aca="false">SUM(P10:T10)</f>
        <v>0.999999999603263</v>
      </c>
      <c r="V10" s="20" t="n">
        <v>2333</v>
      </c>
      <c r="W10" s="20" t="n">
        <v>3</v>
      </c>
      <c r="X10" s="20" t="s">
        <v>76</v>
      </c>
    </row>
    <row r="11" customFormat="false" ht="15" hidden="false" customHeight="false" outlineLevel="0" collapsed="false">
      <c r="A11" s="20" t="n">
        <v>7</v>
      </c>
      <c r="B11" s="6" t="str">
        <f aca="false">TEXT(C11,"yyyy-mm-dd")</f>
        <v>2026-10-05</v>
      </c>
      <c r="C11" s="19" t="n">
        <v>46300.1537463542</v>
      </c>
      <c r="D11" s="19" t="n">
        <v>46300.1571414468</v>
      </c>
      <c r="E11" s="23" t="n">
        <f aca="false">(D11-C11)*86400</f>
        <v>293.336000083</v>
      </c>
      <c r="F11" s="6" t="str">
        <f aca="false">IF(C11&lt;Constants!$B$13,"Before fix","After fix")</f>
        <v>After fix</v>
      </c>
      <c r="G11" s="20" t="n">
        <v>500</v>
      </c>
      <c r="H11" s="20" t="n">
        <v>1</v>
      </c>
      <c r="I11" s="6" t="n">
        <f aca="false">COUNTIFS(Hits!$A:$A,$A11,Hits!$D:$D,"mole_hit")</f>
        <v>2</v>
      </c>
      <c r="J11" s="6" t="n">
        <f aca="false">COUNTIFS(Hits!$A:$A,$A11,Hits!$D:$D,"king_hit")</f>
        <v>1</v>
      </c>
      <c r="K11" s="23" t="n">
        <f aca="false">(I11+J11)/(E11/60)</f>
        <v>0.613630785001052</v>
      </c>
      <c r="L11" s="6" t="n">
        <f aca="false">COUNTIF(Losses!$A:$A,$A11)</f>
        <v>9</v>
      </c>
      <c r="M11" s="23" t="n">
        <f aca="false">L11/(E11/60)</f>
        <v>1.84089235500316</v>
      </c>
      <c r="N11" s="23" t="n">
        <f aca="false">IFERROR(AVERAGEIF(Losses!$A:$A,$A11,Losses!$F:$F),0)</f>
        <v>0.497777410222222</v>
      </c>
      <c r="O11" s="23" t="n">
        <f aca="false">IFERROR(_xlfn.MAXIFS(Losses!$F:$F,Losses!$A:$A,$A11),0)</f>
        <v>0.851999502</v>
      </c>
      <c r="P11" s="24" t="n">
        <f aca="false">SUMIFS(Timeline!$F:$F,Timeline!$A:$A,$A11,Timeline!$G:$G,P$3)/$E11</f>
        <v>0.110794450683871</v>
      </c>
      <c r="Q11" s="24" t="n">
        <f aca="false">SUMIFS(Timeline!$F:$F,Timeline!$A:$A,$A11,Timeline!$G:$G,Q$3)/$E11</f>
        <v>0.0183066587376952</v>
      </c>
      <c r="R11" s="24" t="n">
        <f aca="false">SUMIFS(Timeline!$F:$F,Timeline!$A:$A,$A11,Timeline!$G:$G,R$3)/$E11</f>
        <v>0.0173657434121916</v>
      </c>
      <c r="S11" s="24" t="n">
        <f aca="false">SUMIFS(Timeline!$F:$F,Timeline!$A:$A,$A11,Timeline!$G:$G,S$3)/$E11</f>
        <v>0.0823390208299215</v>
      </c>
      <c r="T11" s="24" t="n">
        <f aca="false">SUMIFS(Timeline!$F:$F,Timeline!$A:$A,$A11,Timeline!$G:$G,T$3)/$E11</f>
        <v>0.771194126292003</v>
      </c>
      <c r="U11" s="24" t="n">
        <f aca="false">SUM(P11:T11)</f>
        <v>0.999999999955682</v>
      </c>
      <c r="V11" s="20" t="n">
        <v>2345</v>
      </c>
      <c r="W11" s="20" t="n">
        <v>2</v>
      </c>
      <c r="X11" s="20" t="s">
        <v>76</v>
      </c>
    </row>
    <row r="12" customFormat="false" ht="15" hidden="false" customHeight="false" outlineLevel="0" collapsed="false">
      <c r="A12" s="20" t="n">
        <v>8</v>
      </c>
      <c r="B12" s="6" t="str">
        <f aca="false">TEXT(C12,"yyyy-mm-dd")</f>
        <v>2026-10-05</v>
      </c>
      <c r="C12" s="19" t="n">
        <v>46300.1571832639</v>
      </c>
      <c r="D12" s="19" t="n">
        <v>46300.1579404051</v>
      </c>
      <c r="E12" s="23" t="n">
        <f aca="false">(D12-C12)*86400</f>
        <v>65.417000208</v>
      </c>
      <c r="F12" s="6" t="str">
        <f aca="false">IF(C12&lt;Constants!$B$13,"Before fix","After fix")</f>
        <v>After fix</v>
      </c>
      <c r="G12" s="20" t="n">
        <v>1800</v>
      </c>
      <c r="H12" s="20" t="n">
        <v>3</v>
      </c>
      <c r="I12" s="6" t="n">
        <f aca="false">COUNTIFS(Hits!$A:$A,$A12,Hits!$D:$D,"mole_hit")</f>
        <v>6</v>
      </c>
      <c r="J12" s="6" t="n">
        <f aca="false">COUNTIFS(Hits!$A:$A,$A12,Hits!$D:$D,"king_hit")</f>
        <v>2</v>
      </c>
      <c r="K12" s="23" t="n">
        <f aca="false">(I12+J12)/(E12/60)</f>
        <v>7.33754220575372</v>
      </c>
      <c r="L12" s="6" t="n">
        <f aca="false">COUNTIF(Losses!$A:$A,$A12)</f>
        <v>17</v>
      </c>
      <c r="M12" s="23" t="n">
        <f aca="false">L12/(E12/60)</f>
        <v>15.5922771872267</v>
      </c>
      <c r="N12" s="23" t="n">
        <f aca="false">IFERROR(AVERAGEIF(Losses!$A:$A,$A12,Losses!$F:$F),0)</f>
        <v>0.419764613235294</v>
      </c>
      <c r="O12" s="23" t="n">
        <f aca="false">IFERROR(_xlfn.MAXIFS(Losses!$F:$F,Losses!$A:$A,$A12),0)</f>
        <v>1.352000562</v>
      </c>
      <c r="P12" s="24" t="n">
        <f aca="false">SUMIFS(Timeline!$F:$F,Timeline!$A:$A,$A12,Timeline!$G:$G,P$3)/$E12</f>
        <v>0.745524888055564</v>
      </c>
      <c r="Q12" s="24" t="n">
        <f aca="false">SUMIFS(Timeline!$F:$F,Timeline!$A:$A,$A12,Timeline!$G:$G,Q$3)/$E12</f>
        <v>0.0880810855997544</v>
      </c>
      <c r="R12" s="24" t="n">
        <f aca="false">SUMIFS(Timeline!$F:$F,Timeline!$A:$A,$A12,Timeline!$G:$G,R$3)/$E12</f>
        <v>0.118195539483855</v>
      </c>
      <c r="S12" s="24" t="n">
        <f aca="false">SUMIFS(Timeline!$F:$F,Timeline!$A:$A,$A12,Timeline!$G:$G,S$3)/$E12</f>
        <v>0.0481984864633767</v>
      </c>
      <c r="T12" s="24" t="n">
        <f aca="false">SUMIFS(Timeline!$F:$F,Timeline!$A:$A,$A12,Timeline!$G:$G,T$3)/$E12</f>
        <v>0</v>
      </c>
      <c r="U12" s="24" t="n">
        <f aca="false">SUM(P12:T12)</f>
        <v>0.99999999960255</v>
      </c>
      <c r="V12" s="20" t="n">
        <v>2680</v>
      </c>
      <c r="W12" s="20" t="n">
        <v>2</v>
      </c>
      <c r="X12" s="20" t="s">
        <v>76</v>
      </c>
    </row>
    <row r="13" customFormat="false" ht="15" hidden="false" customHeight="false" outlineLevel="0" collapsed="false">
      <c r="A13" s="20" t="n">
        <v>9</v>
      </c>
      <c r="B13" s="6" t="str">
        <f aca="false">TEXT(C13,"yyyy-mm-dd")</f>
        <v>2026-10-06</v>
      </c>
      <c r="C13" s="19" t="n">
        <v>46301.4818656829</v>
      </c>
      <c r="D13" s="19" t="n">
        <v>46301.4826087963</v>
      </c>
      <c r="E13" s="23" t="n">
        <f aca="false">(D13-C13)*86400</f>
        <v>64.204999012</v>
      </c>
      <c r="F13" s="6" t="str">
        <f aca="false">IF(C13&lt;Constants!$B$13,"Before fix","After fix")</f>
        <v>After fix</v>
      </c>
      <c r="G13" s="20" t="n">
        <v>1600</v>
      </c>
      <c r="H13" s="20" t="n">
        <v>2</v>
      </c>
      <c r="I13" s="6" t="n">
        <f aca="false">COUNTIFS(Hits!$A:$A,$A13,Hits!$D:$D,"mole_hit")</f>
        <v>5</v>
      </c>
      <c r="J13" s="6" t="n">
        <f aca="false">COUNTIFS(Hits!$A:$A,$A13,Hits!$D:$D,"king_hit")</f>
        <v>2</v>
      </c>
      <c r="K13" s="23" t="n">
        <f aca="false">(I13+J13)/(E13/60)</f>
        <v>6.54154670918228</v>
      </c>
      <c r="L13" s="6" t="n">
        <f aca="false">COUNTIF(Losses!$A:$A,$A13)</f>
        <v>23</v>
      </c>
      <c r="M13" s="23" t="n">
        <f aca="false">L13/(E13/60)</f>
        <v>21.4936534730275</v>
      </c>
      <c r="N13" s="23" t="n">
        <f aca="false">IFERROR(AVERAGEIF(Losses!$A:$A,$A13,Losses!$F:$F),0)</f>
        <v>1.00513047730435</v>
      </c>
      <c r="O13" s="23" t="n">
        <f aca="false">IFERROR(_xlfn.MAXIFS(Losses!$F:$F,Losses!$A:$A,$A13),0)</f>
        <v>4.364999709</v>
      </c>
      <c r="P13" s="24" t="n">
        <f aca="false">SUMIFS(Timeline!$F:$F,Timeline!$A:$A,$A13,Timeline!$G:$G,P$3)/$E13</f>
        <v>0.244622698242929</v>
      </c>
      <c r="Q13" s="24" t="n">
        <f aca="false">SUMIFS(Timeline!$F:$F,Timeline!$A:$A,$A13,Timeline!$G:$G,Q$3)/$E13</f>
        <v>0.248609901870985</v>
      </c>
      <c r="R13" s="24" t="n">
        <f aca="false">SUMIFS(Timeline!$F:$F,Timeline!$A:$A,$A13,Timeline!$G:$G,R$3)/$E13</f>
        <v>0.473000545274115</v>
      </c>
      <c r="S13" s="24" t="n">
        <f aca="false">SUMIFS(Timeline!$F:$F,Timeline!$A:$A,$A13,Timeline!$G:$G,S$3)/$E13</f>
        <v>0.0337512764013124</v>
      </c>
      <c r="T13" s="24" t="n">
        <f aca="false">SUMIFS(Timeline!$F:$F,Timeline!$A:$A,$A13,Timeline!$G:$G,T$3)/$E13</f>
        <v>1.55777589812449E-005</v>
      </c>
      <c r="U13" s="24" t="n">
        <f aca="false">SUM(P13:T13)</f>
        <v>0.999999999548322</v>
      </c>
      <c r="V13" s="20" t="n">
        <v>1237</v>
      </c>
      <c r="W13" s="20" t="n">
        <v>0</v>
      </c>
      <c r="X13" s="20" t="s">
        <v>76</v>
      </c>
    </row>
    <row r="14" customFormat="false" ht="15" hidden="false" customHeight="false" outlineLevel="0" collapsed="false">
      <c r="A14" s="20" t="n">
        <v>10</v>
      </c>
      <c r="B14" s="6" t="str">
        <f aca="false">TEXT(C14,"yyyy-mm-dd")</f>
        <v>2026-10-06</v>
      </c>
      <c r="C14" s="19" t="n">
        <v>46301.4830999884</v>
      </c>
      <c r="D14" s="19" t="n">
        <v>46301.4838709491</v>
      </c>
      <c r="E14" s="23" t="n">
        <f aca="false">(D14-C14)*86400</f>
        <v>66.610999591</v>
      </c>
      <c r="F14" s="6" t="str">
        <f aca="false">IF(C14&lt;Constants!$B$13,"Before fix","After fix")</f>
        <v>After fix</v>
      </c>
      <c r="G14" s="20" t="n">
        <v>4400</v>
      </c>
      <c r="H14" s="20" t="n">
        <v>4</v>
      </c>
      <c r="I14" s="6" t="n">
        <f aca="false">COUNTIFS(Hits!$A:$A,$A14,Hits!$D:$D,"mole_hit")</f>
        <v>11</v>
      </c>
      <c r="J14" s="6" t="n">
        <f aca="false">COUNTIFS(Hits!$A:$A,$A14,Hits!$D:$D,"king_hit")</f>
        <v>3</v>
      </c>
      <c r="K14" s="23" t="n">
        <f aca="false">(I14+J14)/(E14/60)</f>
        <v>12.6105298698069</v>
      </c>
      <c r="L14" s="6" t="n">
        <f aca="false">COUNTIF(Losses!$A:$A,$A14)</f>
        <v>21</v>
      </c>
      <c r="M14" s="23" t="n">
        <f aca="false">L14/(E14/60)</f>
        <v>18.9157948047103</v>
      </c>
      <c r="N14" s="23" t="n">
        <f aca="false">IFERROR(AVERAGEIF(Losses!$A:$A,$A14,Losses!$F:$F),0)</f>
        <v>0.821047558476191</v>
      </c>
      <c r="O14" s="23" t="n">
        <f aca="false">IFERROR(_xlfn.MAXIFS(Losses!$F:$F,Losses!$A:$A,$A14),0)</f>
        <v>2.430000901</v>
      </c>
      <c r="P14" s="24" t="n">
        <f aca="false">SUMIFS(Timeline!$F:$F,Timeline!$A:$A,$A14,Timeline!$G:$G,P$3)/$E14</f>
        <v>0.503160125621782</v>
      </c>
      <c r="Q14" s="24" t="n">
        <f aca="false">SUMIFS(Timeline!$F:$F,Timeline!$A:$A,$A14,Timeline!$G:$G,Q$3)/$E14</f>
        <v>0.224227270626608</v>
      </c>
      <c r="R14" s="24" t="n">
        <f aca="false">SUMIFS(Timeline!$F:$F,Timeline!$A:$A,$A14,Timeline!$G:$G,R$3)/$E14</f>
        <v>0.272612603241185</v>
      </c>
      <c r="S14" s="24" t="n">
        <f aca="false">SUMIFS(Timeline!$F:$F,Timeline!$A:$A,$A14,Timeline!$G:$G,S$3)/$E14</f>
        <v>0</v>
      </c>
      <c r="T14" s="24" t="n">
        <f aca="false">SUMIFS(Timeline!$F:$F,Timeline!$A:$A,$A14,Timeline!$G:$G,T$3)/$E14</f>
        <v>0</v>
      </c>
      <c r="U14" s="24" t="n">
        <f aca="false">SUM(P14:T14)</f>
        <v>0.999999999489574</v>
      </c>
      <c r="V14" s="20" t="n">
        <v>2168</v>
      </c>
      <c r="W14" s="20" t="n">
        <v>0</v>
      </c>
      <c r="X14" s="20" t="s">
        <v>76</v>
      </c>
    </row>
    <row r="15" customFormat="false" ht="15" hidden="false" customHeight="false" outlineLevel="0" collapsed="false">
      <c r="A15" s="20" t="n">
        <v>11</v>
      </c>
      <c r="B15" s="6" t="str">
        <f aca="false">TEXT(C15,"yyyy-mm-dd")</f>
        <v>2026-10-06</v>
      </c>
      <c r="C15" s="19" t="n">
        <v>46301.4851254282</v>
      </c>
      <c r="D15" s="19" t="n">
        <v>46301.4858825463</v>
      </c>
      <c r="E15" s="23" t="n">
        <f aca="false">(D15-C15)*86400</f>
        <v>65.414999239</v>
      </c>
      <c r="F15" s="6" t="str">
        <f aca="false">IF(C15&lt;Constants!$B$13,"Before fix","After fix")</f>
        <v>After fix</v>
      </c>
      <c r="G15" s="20" t="n">
        <v>2400</v>
      </c>
      <c r="H15" s="20" t="n">
        <v>3</v>
      </c>
      <c r="I15" s="6" t="n">
        <f aca="false">COUNTIFS(Hits!$A:$A,$A15,Hits!$D:$D,"mole_hit")</f>
        <v>8</v>
      </c>
      <c r="J15" s="6" t="n">
        <f aca="false">COUNTIFS(Hits!$A:$A,$A15,Hits!$D:$D,"king_hit")</f>
        <v>2</v>
      </c>
      <c r="K15" s="23" t="n">
        <f aca="false">(I15+J15)/(E15/60)</f>
        <v>9.17220831583048</v>
      </c>
      <c r="L15" s="6" t="n">
        <f aca="false">COUNTIF(Losses!$A:$A,$A15)</f>
        <v>34</v>
      </c>
      <c r="M15" s="23" t="n">
        <f aca="false">L15/(E15/60)</f>
        <v>31.1855082738236</v>
      </c>
      <c r="N15" s="23" t="n">
        <f aca="false">IFERROR(AVERAGEIF(Losses!$A:$A,$A15,Losses!$F:$F),0)</f>
        <v>0.7756765605</v>
      </c>
      <c r="O15" s="23" t="n">
        <f aca="false">IFERROR(_xlfn.MAXIFS(Losses!$F:$F,Losses!$A:$A,$A15),0)</f>
        <v>5.50800045</v>
      </c>
      <c r="P15" s="24" t="n">
        <f aca="false">SUMIFS(Timeline!$F:$F,Timeline!$A:$A,$A15,Timeline!$G:$G,P$3)/$E15</f>
        <v>0.290835427460457</v>
      </c>
      <c r="Q15" s="24" t="n">
        <f aca="false">SUMIFS(Timeline!$F:$F,Timeline!$A:$A,$A15,Timeline!$G:$G,Q$3)/$E15</f>
        <v>0.229641488752689</v>
      </c>
      <c r="R15" s="24" t="n">
        <f aca="false">SUMIFS(Timeline!$F:$F,Timeline!$A:$A,$A15,Timeline!$G:$G,R$3)/$E15</f>
        <v>0.421585305386019</v>
      </c>
      <c r="S15" s="24" t="n">
        <f aca="false">SUMIFS(Timeline!$F:$F,Timeline!$A:$A,$A15,Timeline!$G:$G,S$3)/$E15</f>
        <v>0.0579377777129198</v>
      </c>
      <c r="T15" s="24" t="n">
        <f aca="false">SUMIFS(Timeline!$F:$F,Timeline!$A:$A,$A15,Timeline!$G:$G,T$3)/$E15</f>
        <v>0</v>
      </c>
      <c r="U15" s="24" t="n">
        <f aca="false">SUM(P15:T15)</f>
        <v>0.999999999312085</v>
      </c>
      <c r="V15" s="20" t="n">
        <v>1739</v>
      </c>
      <c r="W15" s="20" t="n">
        <v>0</v>
      </c>
      <c r="X15" s="20" t="s">
        <v>76</v>
      </c>
    </row>
    <row r="16" customFormat="false" ht="15" hidden="false" customHeight="false" outlineLevel="0" collapsed="false">
      <c r="A16" s="20" t="n">
        <v>12</v>
      </c>
      <c r="B16" s="6" t="str">
        <f aca="false">TEXT(C16,"yyyy-mm-dd")</f>
        <v>2026-10-06</v>
      </c>
      <c r="C16" s="19" t="n">
        <v>46301.4859287963</v>
      </c>
      <c r="D16" s="19" t="n">
        <v>46301.4868290162</v>
      </c>
      <c r="E16" s="23" t="n">
        <f aca="false">(D16-C16)*86400</f>
        <v>77.778999391</v>
      </c>
      <c r="F16" s="6" t="str">
        <f aca="false">IF(C16&lt;Constants!$B$13,"Before fix","After fix")</f>
        <v>After fix</v>
      </c>
      <c r="G16" s="20" t="n">
        <v>1400</v>
      </c>
      <c r="H16" s="20" t="n">
        <v>2</v>
      </c>
      <c r="I16" s="6" t="n">
        <f aca="false">COUNTIFS(Hits!$A:$A,$A16,Hits!$D:$D,"mole_hit")</f>
        <v>6</v>
      </c>
      <c r="J16" s="6" t="n">
        <f aca="false">COUNTIFS(Hits!$A:$A,$A16,Hits!$D:$D,"king_hit")</f>
        <v>1</v>
      </c>
      <c r="K16" s="23" t="n">
        <f aca="false">(I16+J16)/(E16/60)</f>
        <v>5.39991518647126</v>
      </c>
      <c r="L16" s="6" t="n">
        <f aca="false">COUNTIF(Losses!$A:$A,$A16)</f>
        <v>29</v>
      </c>
      <c r="M16" s="23" t="n">
        <f aca="false">L16/(E16/60)</f>
        <v>22.3710772010952</v>
      </c>
      <c r="N16" s="23" t="n">
        <f aca="false">IFERROR(AVERAGEIF(Losses!$A:$A,$A16,Losses!$F:$F),0)</f>
        <v>0.670586452827586</v>
      </c>
      <c r="O16" s="23" t="n">
        <f aca="false">IFERROR(_xlfn.MAXIFS(Losses!$F:$F,Losses!$A:$A,$A16),0)</f>
        <v>2.375000319</v>
      </c>
      <c r="P16" s="24" t="n">
        <f aca="false">SUMIFS(Timeline!$F:$F,Timeline!$A:$A,$A16,Timeline!$G:$G,P$3)/$E16</f>
        <v>0.291286782208484</v>
      </c>
      <c r="Q16" s="24" t="n">
        <f aca="false">SUMIFS(Timeline!$F:$F,Timeline!$A:$A,$A16,Timeline!$G:$G,Q$3)/$E16</f>
        <v>0.26424867015425</v>
      </c>
      <c r="R16" s="24" t="n">
        <f aca="false">SUMIFS(Timeline!$F:$F,Timeline!$A:$A,$A16,Timeline!$G:$G,R$3)/$E16</f>
        <v>0.246570520823891</v>
      </c>
      <c r="S16" s="24" t="n">
        <f aca="false">SUMIFS(Timeline!$F:$F,Timeline!$A:$A,$A16,Timeline!$G:$G,S$3)/$E16</f>
        <v>0.0491906500463764</v>
      </c>
      <c r="T16" s="24" t="n">
        <f aca="false">SUMIFS(Timeline!$F:$F,Timeline!$A:$A,$A16,Timeline!$G:$G,T$3)/$E16</f>
        <v>0.148703376149865</v>
      </c>
      <c r="U16" s="24" t="n">
        <f aca="false">SUM(P16:T16)</f>
        <v>0.999999999382867</v>
      </c>
      <c r="V16" s="20" t="n">
        <v>2028</v>
      </c>
      <c r="W16" s="20" t="n">
        <v>1</v>
      </c>
      <c r="X16" s="20" t="s">
        <v>76</v>
      </c>
    </row>
    <row r="17" customFormat="false" ht="15" hidden="false" customHeight="false" outlineLevel="0" collapsed="false">
      <c r="A17" s="20" t="n">
        <v>13</v>
      </c>
      <c r="B17" s="6" t="str">
        <f aca="false">TEXT(C17,"yyyy-mm-dd")</f>
        <v>2026-10-06</v>
      </c>
      <c r="C17" s="19" t="n">
        <v>46301.5214552546</v>
      </c>
      <c r="D17" s="19" t="n">
        <v>46301.5223203935</v>
      </c>
      <c r="E17" s="23" t="n">
        <f aca="false">(D17-C17)*86400</f>
        <v>74.747999687</v>
      </c>
      <c r="F17" s="6" t="str">
        <f aca="false">IF(C17&lt;Constants!$B$13,"Before fix","After fix")</f>
        <v>After fix</v>
      </c>
      <c r="G17" s="20" t="n">
        <v>1400</v>
      </c>
      <c r="H17" s="20" t="n">
        <v>3</v>
      </c>
      <c r="I17" s="6" t="n">
        <f aca="false">COUNTIFS(Hits!$A:$A,$A17,Hits!$D:$D,"mole_hit")</f>
        <v>7</v>
      </c>
      <c r="J17" s="6" t="n">
        <f aca="false">COUNTIFS(Hits!$A:$A,$A17,Hits!$D:$D,"king_hit")</f>
        <v>1</v>
      </c>
      <c r="K17" s="23" t="n">
        <f aca="false">(I17+J17)/(E17/60)</f>
        <v>6.42157652391975</v>
      </c>
      <c r="L17" s="6" t="n">
        <f aca="false">COUNTIF(Losses!$A:$A,$A17)</f>
        <v>23</v>
      </c>
      <c r="M17" s="23" t="n">
        <f aca="false">L17/(E17/60)</f>
        <v>18.4620325062693</v>
      </c>
      <c r="N17" s="23" t="n">
        <f aca="false">IFERROR(AVERAGEIF(Losses!$A:$A,$A17,Losses!$F:$F),0)</f>
        <v>0.603478305217391</v>
      </c>
      <c r="O17" s="23" t="n">
        <f aca="false">IFERROR(_xlfn.MAXIFS(Losses!$F:$F,Losses!$A:$A,$A17),0)</f>
        <v>3.062000591</v>
      </c>
      <c r="P17" s="24" t="n">
        <f aca="false">SUMIFS(Timeline!$F:$F,Timeline!$A:$A,$A17,Timeline!$G:$G,P$3)/$E17</f>
        <v>0.383475116056988</v>
      </c>
      <c r="Q17" s="24" t="n">
        <f aca="false">SUMIFS(Timeline!$F:$F,Timeline!$A:$A,$A17,Timeline!$G:$G,Q$3)/$E17</f>
        <v>0.250013382501929</v>
      </c>
      <c r="R17" s="24" t="n">
        <f aca="false">SUMIFS(Timeline!$F:$F,Timeline!$A:$A,$A17,Timeline!$G:$G,R$3)/$E17</f>
        <v>0.2216514337424</v>
      </c>
      <c r="S17" s="24" t="n">
        <f aca="false">SUMIFS(Timeline!$F:$F,Timeline!$A:$A,$A17,Timeline!$G:$G,S$3)/$E17</f>
        <v>0.0470246686696463</v>
      </c>
      <c r="T17" s="24" t="n">
        <f aca="false">SUMIFS(Timeline!$F:$F,Timeline!$A:$A,$A17,Timeline!$G:$G,T$3)/$E17</f>
        <v>0.0978353985474191</v>
      </c>
      <c r="U17" s="24" t="n">
        <f aca="false">SUM(P17:T17)</f>
        <v>0.999999999518382</v>
      </c>
      <c r="V17" s="20" t="n">
        <v>2186</v>
      </c>
      <c r="W17" s="20" t="n">
        <v>1</v>
      </c>
      <c r="X17" s="20" t="s">
        <v>76</v>
      </c>
    </row>
    <row r="18" customFormat="false" ht="15" hidden="false" customHeight="false" outlineLevel="0" collapsed="false">
      <c r="A18" s="20" t="n">
        <v>14</v>
      </c>
      <c r="B18" s="6" t="str">
        <f aca="false">TEXT(C18,"yyyy-mm-dd")</f>
        <v>2026-10-06</v>
      </c>
      <c r="C18" s="19" t="n">
        <v>46301.5228270949</v>
      </c>
      <c r="D18" s="19" t="n">
        <v>46301.5235565394</v>
      </c>
      <c r="E18" s="23" t="n">
        <f aca="false">(D18-C18)*86400</f>
        <v>63.023999962</v>
      </c>
      <c r="F18" s="6" t="str">
        <f aca="false">IF(C18&lt;Constants!$B$13,"Before fix","After fix")</f>
        <v>After fix</v>
      </c>
      <c r="G18" s="20" t="n">
        <v>0</v>
      </c>
      <c r="H18" s="20" t="n">
        <v>1</v>
      </c>
      <c r="I18" s="6" t="n">
        <f aca="false">COUNTIFS(Hits!$A:$A,$A18,Hits!$D:$D,"mole_hit")</f>
        <v>0</v>
      </c>
      <c r="J18" s="6" t="n">
        <f aca="false">COUNTIFS(Hits!$A:$A,$A18,Hits!$D:$D,"king_hit")</f>
        <v>0</v>
      </c>
      <c r="K18" s="23" t="n">
        <f aca="false">(I18+J18)/(E18/60)</f>
        <v>0</v>
      </c>
      <c r="L18" s="6" t="n">
        <f aca="false">COUNTIF(Losses!$A:$A,$A18)</f>
        <v>8</v>
      </c>
      <c r="M18" s="23" t="n">
        <f aca="false">L18/(E18/60)</f>
        <v>7.61614623459973</v>
      </c>
      <c r="N18" s="23" t="n">
        <f aca="false">IFERROR(AVERAGEIF(Losses!$A:$A,$A18,Losses!$F:$F),0)</f>
        <v>3.03650024825</v>
      </c>
      <c r="O18" s="23" t="n">
        <f aca="false">IFERROR(_xlfn.MAXIFS(Losses!$F:$F,Losses!$A:$A,$A18),0)</f>
        <v>11.752000101</v>
      </c>
      <c r="P18" s="24" t="n">
        <f aca="false">SUMIFS(Timeline!$F:$F,Timeline!$A:$A,$A18,Timeline!$G:$G,P$3)/$E18</f>
        <v>0.382901759306776</v>
      </c>
      <c r="Q18" s="24" t="n">
        <f aca="false">SUMIFS(Timeline!$F:$F,Timeline!$A:$A,$A18,Timeline!$G:$G,Q$3)/$E18</f>
        <v>0.217329865975795</v>
      </c>
      <c r="R18" s="24" t="n">
        <f aca="false">SUMIFS(Timeline!$F:$F,Timeline!$A:$A,$A18,Timeline!$G:$G,R$3)/$E18</f>
        <v>0.39976837444769</v>
      </c>
      <c r="S18" s="24" t="n">
        <f aca="false">SUMIFS(Timeline!$F:$F,Timeline!$A:$A,$A18,Timeline!$G:$G,S$3)/$E18</f>
        <v>0</v>
      </c>
      <c r="T18" s="24" t="n">
        <f aca="false">SUMIFS(Timeline!$F:$F,Timeline!$A:$A,$A18,Timeline!$G:$G,T$3)/$E18</f>
        <v>0</v>
      </c>
      <c r="U18" s="24" t="n">
        <f aca="false">SUM(P18:T18)</f>
        <v>0.999999999730262</v>
      </c>
      <c r="V18" s="20" t="n">
        <v>1172</v>
      </c>
      <c r="W18" s="20" t="n">
        <v>0</v>
      </c>
      <c r="X18" s="20" t="s">
        <v>76</v>
      </c>
    </row>
    <row r="19" customFormat="false" ht="15" hidden="false" customHeight="false" outlineLevel="0" collapsed="false">
      <c r="A19" s="20" t="n">
        <v>15</v>
      </c>
      <c r="B19" s="6" t="str">
        <f aca="false">TEXT(C19,"yyyy-mm-dd")</f>
        <v>2026-10-06</v>
      </c>
      <c r="C19" s="19" t="n">
        <v>46301.5236457639</v>
      </c>
      <c r="D19" s="19" t="n">
        <v>46301.5244930671</v>
      </c>
      <c r="E19" s="23" t="n">
        <f aca="false">(D19-C19)*86400</f>
        <v>73.2070002</v>
      </c>
      <c r="F19" s="6" t="str">
        <f aca="false">IF(C19&lt;Constants!$B$13,"Before fix","After fix")</f>
        <v>After fix</v>
      </c>
      <c r="G19" s="20" t="n">
        <v>4400</v>
      </c>
      <c r="H19" s="20" t="n">
        <v>4</v>
      </c>
      <c r="I19" s="6" t="n">
        <f aca="false">COUNTIFS(Hits!$A:$A,$A19,Hits!$D:$D,"mole_hit")</f>
        <v>11</v>
      </c>
      <c r="J19" s="6" t="n">
        <f aca="false">COUNTIFS(Hits!$A:$A,$A19,Hits!$D:$D,"king_hit")</f>
        <v>3</v>
      </c>
      <c r="K19" s="23" t="n">
        <f aca="false">(I19+J19)/(E19/60)</f>
        <v>11.4743125343907</v>
      </c>
      <c r="L19" s="6" t="n">
        <f aca="false">COUNTIF(Losses!$A:$A,$A19)</f>
        <v>27</v>
      </c>
      <c r="M19" s="23" t="n">
        <f aca="false">L19/(E19/60)</f>
        <v>22.1290313163249</v>
      </c>
      <c r="N19" s="23" t="n">
        <f aca="false">IFERROR(AVERAGEIF(Losses!$A:$A,$A19,Losses!$F:$F),0)</f>
        <v>0.680592795333333</v>
      </c>
      <c r="O19" s="23" t="n">
        <f aca="false">IFERROR(_xlfn.MAXIFS(Losses!$F:$F,Losses!$A:$A,$A19),0)</f>
        <v>7.507000118</v>
      </c>
      <c r="P19" s="24" t="n">
        <f aca="false">SUMIFS(Timeline!$F:$F,Timeline!$A:$A,$A19,Timeline!$G:$G,P$3)/$E19</f>
        <v>0.457920682331141</v>
      </c>
      <c r="Q19" s="24" t="n">
        <f aca="false">SUMIFS(Timeline!$F:$F,Timeline!$A:$A,$A19,Timeline!$G:$G,Q$3)/$E19</f>
        <v>0.219896939568902</v>
      </c>
      <c r="R19" s="24" t="n">
        <f aca="false">SUMIFS(Timeline!$F:$F,Timeline!$A:$A,$A19,Timeline!$G:$G,R$3)/$E19</f>
        <v>0.259797621457517</v>
      </c>
      <c r="S19" s="24" t="n">
        <f aca="false">SUMIFS(Timeline!$F:$F,Timeline!$A:$A,$A19,Timeline!$G:$G,S$3)/$E19</f>
        <v>0.0623847560823835</v>
      </c>
      <c r="T19" s="24" t="n">
        <f aca="false">SUMIFS(Timeline!$F:$F,Timeline!$A:$A,$A19,Timeline!$G:$G,T$3)/$E19</f>
        <v>0</v>
      </c>
      <c r="U19" s="24" t="n">
        <f aca="false">SUM(P19:T19)</f>
        <v>0.999999999439944</v>
      </c>
      <c r="V19" s="20" t="n">
        <v>2056</v>
      </c>
      <c r="W19" s="20" t="n">
        <v>0</v>
      </c>
      <c r="X19" s="20" t="s">
        <v>76</v>
      </c>
    </row>
    <row r="20" customFormat="false" ht="15" hidden="false" customHeight="false" outlineLevel="0" collapsed="false">
      <c r="A20" s="20" t="n">
        <v>16</v>
      </c>
      <c r="B20" s="6" t="str">
        <f aca="false">TEXT(C20,"yyyy-mm-dd")</f>
        <v>2026-10-06</v>
      </c>
      <c r="C20" s="19" t="n">
        <v>46301.5245488079</v>
      </c>
      <c r="D20" s="19" t="n">
        <v>46301.525319757</v>
      </c>
      <c r="E20" s="23" t="n">
        <f aca="false">(D20-C20)*86400</f>
        <v>66.610000049</v>
      </c>
      <c r="F20" s="6" t="str">
        <f aca="false">IF(C20&lt;Constants!$B$13,"Before fix","After fix")</f>
        <v>After fix</v>
      </c>
      <c r="G20" s="20" t="n">
        <v>4000</v>
      </c>
      <c r="H20" s="20" t="n">
        <v>4</v>
      </c>
      <c r="I20" s="6" t="n">
        <f aca="false">COUNTIFS(Hits!$A:$A,$A20,Hits!$D:$D,"mole_hit")</f>
        <v>10</v>
      </c>
      <c r="J20" s="6" t="n">
        <f aca="false">COUNTIFS(Hits!$A:$A,$A20,Hits!$D:$D,"king_hit")</f>
        <v>3</v>
      </c>
      <c r="K20" s="23" t="n">
        <f aca="false">(I20+J20)/(E20/60)</f>
        <v>11.7099534518272</v>
      </c>
      <c r="L20" s="6" t="n">
        <f aca="false">COUNTIF(Losses!$A:$A,$A20)</f>
        <v>27</v>
      </c>
      <c r="M20" s="23" t="n">
        <f aca="false">L20/(E20/60)</f>
        <v>24.320672553795</v>
      </c>
      <c r="N20" s="23" t="n">
        <f aca="false">IFERROR(AVERAGEIF(Losses!$A:$A,$A20,Losses!$F:$F),0)</f>
        <v>0.318444473111111</v>
      </c>
      <c r="O20" s="23" t="n">
        <f aca="false">IFERROR(_xlfn.MAXIFS(Losses!$F:$F,Losses!$A:$A,$A20),0)</f>
        <v>1.081999763</v>
      </c>
      <c r="P20" s="24" t="n">
        <f aca="false">SUMIFS(Timeline!$F:$F,Timeline!$A:$A,$A20,Timeline!$G:$G,P$3)/$E20</f>
        <v>0.46748232408187</v>
      </c>
      <c r="Q20" s="24" t="n">
        <f aca="false">SUMIFS(Timeline!$F:$F,Timeline!$A:$A,$A20,Timeline!$G:$G,Q$3)/$E20</f>
        <v>0.19734271443222</v>
      </c>
      <c r="R20" s="24" t="n">
        <f aca="false">SUMIFS(Timeline!$F:$F,Timeline!$A:$A,$A20,Timeline!$G:$G,R$3)/$E20</f>
        <v>0.131706985986284</v>
      </c>
      <c r="S20" s="24" t="n">
        <f aca="false">SUMIFS(Timeline!$F:$F,Timeline!$A:$A,$A20,Timeline!$G:$G,S$3)/$E20</f>
        <v>0.203467974989192</v>
      </c>
      <c r="T20" s="24" t="n">
        <f aca="false">SUMIFS(Timeline!$F:$F,Timeline!$A:$A,$A20,Timeline!$G:$G,T$3)/$E20</f>
        <v>0</v>
      </c>
      <c r="U20" s="24" t="n">
        <f aca="false">SUM(P20:T20)</f>
        <v>0.999999999489566</v>
      </c>
      <c r="V20" s="20" t="n">
        <v>2472</v>
      </c>
      <c r="W20" s="20" t="n">
        <v>9</v>
      </c>
      <c r="X20" s="20" t="s">
        <v>76</v>
      </c>
    </row>
    <row r="21" customFormat="false" ht="15" hidden="false" customHeight="false" outlineLevel="0" collapsed="false">
      <c r="A21" s="20" t="n">
        <v>17</v>
      </c>
      <c r="B21" s="6" t="str">
        <f aca="false">TEXT(C21,"yyyy-mm-dd")</f>
        <v>2026-10-06</v>
      </c>
      <c r="C21" s="19" t="n">
        <v>46301.5256614931</v>
      </c>
      <c r="D21" s="19" t="n">
        <v>46301.5267860185</v>
      </c>
      <c r="E21" s="23" t="n">
        <f aca="false">(D21-C21)*86400</f>
        <v>97.159000765</v>
      </c>
      <c r="F21" s="6" t="str">
        <f aca="false">IF(C21&lt;Constants!$B$13,"Before fix","After fix")</f>
        <v>After fix</v>
      </c>
      <c r="G21" s="20" t="n">
        <v>100</v>
      </c>
      <c r="H21" s="20" t="n">
        <v>1</v>
      </c>
      <c r="I21" s="6" t="n">
        <f aca="false">COUNTIFS(Hits!$A:$A,$A21,Hits!$D:$D,"mole_hit")</f>
        <v>1</v>
      </c>
      <c r="J21" s="6" t="n">
        <f aca="false">COUNTIFS(Hits!$A:$A,$A21,Hits!$D:$D,"king_hit")</f>
        <v>0</v>
      </c>
      <c r="K21" s="23" t="n">
        <f aca="false">(I21+J21)/(E21/60)</f>
        <v>0.617544432606125</v>
      </c>
      <c r="L21" s="6" t="n">
        <f aca="false">COUNTIF(Losses!$A:$A,$A21)</f>
        <v>27</v>
      </c>
      <c r="M21" s="23" t="n">
        <f aca="false">L21/(E21/60)</f>
        <v>16.6736996803654</v>
      </c>
      <c r="N21" s="23" t="n">
        <f aca="false">IFERROR(AVERAGEIF(Losses!$A:$A,$A21,Losses!$F:$F),0)</f>
        <v>1.14537046696296</v>
      </c>
      <c r="O21" s="23" t="n">
        <f aca="false">IFERROR(_xlfn.MAXIFS(Losses!$F:$F,Losses!$A:$A,$A21),0)</f>
        <v>18.922000564</v>
      </c>
      <c r="P21" s="24" t="n">
        <f aca="false">SUMIFS(Timeline!$F:$F,Timeline!$A:$A,$A21,Timeline!$G:$G,P$3)/$E21</f>
        <v>0.294496626413509</v>
      </c>
      <c r="Q21" s="24" t="n">
        <f aca="false">SUMIFS(Timeline!$F:$F,Timeline!$A:$A,$A21,Timeline!$G:$G,Q$3)/$E21</f>
        <v>0.174271031388576</v>
      </c>
      <c r="R21" s="24" t="n">
        <f aca="false">SUMIFS(Timeline!$F:$F,Timeline!$A:$A,$A21,Timeline!$G:$G,R$3)/$E21</f>
        <v>0.30421269877497</v>
      </c>
      <c r="S21" s="24" t="n">
        <f aca="false">SUMIFS(Timeline!$F:$F,Timeline!$A:$A,$A21,Timeline!$G:$G,S$3)/$E21</f>
        <v>0.227019642939202</v>
      </c>
      <c r="T21" s="24" t="n">
        <f aca="false">SUMIFS(Timeline!$F:$F,Timeline!$A:$A,$A21,Timeline!$G:$G,T$3)/$E21</f>
        <v>0</v>
      </c>
      <c r="U21" s="24" t="n">
        <f aca="false">SUM(P21:T21)</f>
        <v>0.999999999516257</v>
      </c>
      <c r="V21" s="20" t="n">
        <v>1665</v>
      </c>
      <c r="W21" s="20" t="n">
        <v>1</v>
      </c>
      <c r="X21" s="20" t="s">
        <v>76</v>
      </c>
    </row>
    <row r="22" customFormat="false" ht="15" hidden="false" customHeight="false" outlineLevel="0" collapsed="false">
      <c r="A22" s="3"/>
      <c r="B22" s="3"/>
      <c r="C22" s="3"/>
      <c r="D22" s="3"/>
      <c r="E22" s="3"/>
      <c r="F22" s="3"/>
      <c r="G22" s="3"/>
      <c r="H22" s="3"/>
      <c r="I22" s="3"/>
      <c r="J22" s="3"/>
      <c r="K22" s="3"/>
      <c r="L22" s="3"/>
      <c r="M22" s="3"/>
      <c r="N22" s="3"/>
      <c r="O22" s="3"/>
      <c r="P22" s="3"/>
      <c r="Q22" s="3"/>
      <c r="R22" s="3"/>
      <c r="S22" s="3"/>
      <c r="T22" s="3"/>
      <c r="U22" s="3"/>
      <c r="V22" s="3"/>
      <c r="W22" s="3"/>
      <c r="X22" s="3"/>
    </row>
    <row r="23" customFormat="false" ht="15" hidden="false" customHeight="false" outlineLevel="0" collapsed="false">
      <c r="A23" s="3"/>
      <c r="B23" s="3"/>
      <c r="C23" s="3"/>
      <c r="D23" s="3"/>
      <c r="E23" s="3"/>
      <c r="F23" s="3"/>
      <c r="G23" s="3"/>
      <c r="H23" s="3"/>
      <c r="I23" s="3"/>
      <c r="J23" s="3"/>
      <c r="K23" s="3"/>
      <c r="L23" s="3"/>
      <c r="M23" s="3"/>
      <c r="N23" s="3"/>
      <c r="O23" s="3"/>
      <c r="P23" s="3"/>
      <c r="Q23" s="3"/>
      <c r="R23" s="3"/>
      <c r="S23" s="3"/>
      <c r="T23" s="3"/>
      <c r="U23" s="3"/>
      <c r="V23" s="3"/>
      <c r="W23" s="3"/>
      <c r="X23" s="3"/>
    </row>
    <row r="24" customFormat="false" ht="15" hidden="false" customHeight="false" outlineLevel="0" collapsed="false">
      <c r="A24" s="5" t="s">
        <v>180</v>
      </c>
      <c r="B24" s="3"/>
      <c r="C24" s="3"/>
      <c r="D24" s="3"/>
      <c r="E24" s="3"/>
      <c r="F24" s="3"/>
      <c r="G24" s="3"/>
      <c r="H24" s="3"/>
      <c r="I24" s="3"/>
      <c r="J24" s="3"/>
      <c r="K24" s="3"/>
      <c r="L24" s="3"/>
      <c r="M24" s="3"/>
      <c r="N24" s="3"/>
      <c r="O24" s="3"/>
      <c r="P24" s="3"/>
      <c r="Q24" s="3"/>
      <c r="R24" s="3"/>
      <c r="S24" s="3"/>
      <c r="T24" s="3"/>
      <c r="U24" s="3"/>
      <c r="V24" s="3"/>
      <c r="W24" s="3"/>
      <c r="X24" s="3"/>
    </row>
    <row r="25" customFormat="false" ht="64.9" hidden="false" customHeight="false" outlineLevel="0" collapsed="false">
      <c r="A25" s="12" t="s">
        <v>181</v>
      </c>
      <c r="B25" s="12"/>
      <c r="C25" s="12" t="s">
        <v>93</v>
      </c>
      <c r="D25" s="12" t="s">
        <v>4</v>
      </c>
      <c r="E25" s="12" t="s">
        <v>165</v>
      </c>
      <c r="F25" s="12" t="s">
        <v>167</v>
      </c>
      <c r="G25" s="12" t="s">
        <v>168</v>
      </c>
      <c r="H25" s="12" t="s">
        <v>170</v>
      </c>
      <c r="I25" s="12" t="s">
        <v>171</v>
      </c>
      <c r="J25" s="12" t="s">
        <v>172</v>
      </c>
      <c r="K25" s="12" t="s">
        <v>173</v>
      </c>
      <c r="L25" s="12" t="s">
        <v>174</v>
      </c>
      <c r="M25" s="3"/>
      <c r="N25" s="3"/>
      <c r="O25" s="3"/>
      <c r="P25" s="3"/>
      <c r="Q25" s="3"/>
      <c r="R25" s="3"/>
      <c r="S25" s="3"/>
      <c r="T25" s="3"/>
      <c r="U25" s="3"/>
      <c r="V25" s="3"/>
      <c r="W25" s="3"/>
      <c r="X25" s="3"/>
    </row>
    <row r="26" customFormat="false" ht="15" hidden="false" customHeight="false" outlineLevel="0" collapsed="false">
      <c r="A26" s="25" t="s">
        <v>182</v>
      </c>
      <c r="B26" s="6"/>
      <c r="C26" s="6" t="n">
        <f aca="false">COUNTIF($F$5:$F$21,"Before fix")</f>
        <v>5</v>
      </c>
      <c r="D26" s="23" t="n">
        <f aca="false">SUMIF($F$5:$F$21,"Before fix",$E$5:$E$21)/60</f>
        <v>5.46154998586667</v>
      </c>
      <c r="E26" s="26" t="n">
        <f aca="false">(SUMIF($F$5:$F$21,"Before fix",$I$5:$I$21)+SUMIF($F$5:$F$21,"Before fix",$J$5:$J$21))/D26</f>
        <v>1.6478838467633</v>
      </c>
      <c r="F26" s="23" t="n">
        <f aca="false">SUMIF($F$5:$F$21,"Before fix",$L$5:$L$21)/D26</f>
        <v>12.0844815429309</v>
      </c>
      <c r="G26" s="26" t="n">
        <f aca="false">IFERROR(AVERAGEIF(Losses!$E:$E,"Before fix",Losses!$F:$F),0)</f>
        <v>0.497575803242424</v>
      </c>
      <c r="H26" s="24" t="n">
        <f aca="false">SUMPRODUCT(($F$5:$F$21="Before fix")*$E$5:$E$21*P$5:P$21)/(D26*60)</f>
        <v>0.727104332160237</v>
      </c>
      <c r="I26" s="24" t="n">
        <f aca="false">SUMPRODUCT(($F$5:$F$21="Before fix")*$E$5:$E$21*Q$5:Q$21)/(D26*60)</f>
        <v>0.128934696112937</v>
      </c>
      <c r="J26" s="24" t="n">
        <f aca="false">SUMPRODUCT(($F$5:$F$21="Before fix")*$E$5:$E$21*R$5:R$21)/(D26*60)</f>
        <v>0.115345774156949</v>
      </c>
      <c r="K26" s="24" t="n">
        <f aca="false">SUMPRODUCT(($F$5:$F$21="Before fix")*$E$5:$E$21*S$5:S$21)/(D26*60)</f>
        <v>0.0109889424318451</v>
      </c>
      <c r="L26" s="24" t="n">
        <f aca="false">SUMPRODUCT(($F$5:$F$21="Before fix")*$E$5:$E$21*T$5:T$21)/(D26*60)</f>
        <v>0.0176262547352158</v>
      </c>
      <c r="M26" s="3"/>
      <c r="N26" s="3"/>
      <c r="O26" s="3"/>
      <c r="P26" s="3"/>
      <c r="Q26" s="3"/>
      <c r="R26" s="3"/>
      <c r="S26" s="3"/>
      <c r="T26" s="3"/>
      <c r="U26" s="3"/>
      <c r="V26" s="3"/>
      <c r="W26" s="3"/>
      <c r="X26" s="3"/>
    </row>
    <row r="27" customFormat="false" ht="15" hidden="false" customHeight="false" outlineLevel="0" collapsed="false">
      <c r="A27" s="25" t="s">
        <v>183</v>
      </c>
      <c r="B27" s="6"/>
      <c r="C27" s="6" t="n">
        <f aca="false">COUNTIF($F$5:$F$21,"After fix")</f>
        <v>12</v>
      </c>
      <c r="D27" s="23" t="n">
        <f aca="false">SUMIF($F$5:$F$21,"After fix",$E$5:$E$21)/60</f>
        <v>17.842083295</v>
      </c>
      <c r="E27" s="26" t="n">
        <f aca="false">(SUMIF($F$5:$F$21,"After fix",$I$5:$I$21)+SUMIF($F$5:$F$21,"After fix",$J$5:$J$21))/D27</f>
        <v>4.76401766512435</v>
      </c>
      <c r="F27" s="23" t="n">
        <f aca="false">SUMIF($F$5:$F$21,"After fix",$L$5:$L$21)/D27</f>
        <v>14.4041475286701</v>
      </c>
      <c r="G27" s="26" t="n">
        <f aca="false">IFERROR(AVERAGEIF(Losses!$E:$E,"After fix",Losses!$F:$F),0)</f>
        <v>0.777603176003891</v>
      </c>
      <c r="H27" s="24" t="n">
        <f aca="false">SUMPRODUCT(($F$5:$F$21="After fix")*$E$5:$E$21*P$5:P$21)/(D27*60)</f>
        <v>0.337342884675172</v>
      </c>
      <c r="I27" s="24" t="n">
        <f aca="false">SUMPRODUCT(($F$5:$F$21="After fix")*$E$5:$E$21*Q$5:Q$21)/(D27*60)</f>
        <v>0.153389212864525</v>
      </c>
      <c r="J27" s="24" t="n">
        <f aca="false">SUMPRODUCT(($F$5:$F$21="After fix")*$E$5:$E$21*R$5:R$21)/(D27*60)</f>
        <v>0.200310142703546</v>
      </c>
      <c r="K27" s="24" t="n">
        <f aca="false">SUMPRODUCT(($F$5:$F$21="After fix")*$E$5:$E$21*S$5:S$21)/(D27*60)</f>
        <v>0.0800056086826678</v>
      </c>
      <c r="L27" s="24" t="n">
        <f aca="false">SUMPRODUCT(($F$5:$F$21="After fix")*$E$5:$E$21*T$5:T$21)/(D27*60)</f>
        <v>0.228952150705112</v>
      </c>
      <c r="M27" s="3"/>
      <c r="N27" s="3"/>
      <c r="O27" s="3"/>
      <c r="P27" s="3"/>
      <c r="Q27" s="3"/>
      <c r="R27" s="3"/>
      <c r="S27" s="3"/>
      <c r="T27" s="3"/>
      <c r="U27" s="3"/>
      <c r="V27" s="3"/>
      <c r="W27" s="3"/>
      <c r="X27" s="3"/>
    </row>
    <row r="28" customFormat="false" ht="15" hidden="false" customHeight="false" outlineLevel="0" collapsed="false">
      <c r="A28" s="25" t="s">
        <v>184</v>
      </c>
      <c r="B28" s="6"/>
      <c r="C28" s="6" t="n">
        <f aca="false">COUNTIF($F$5:$F$21,"*")</f>
        <v>17</v>
      </c>
      <c r="D28" s="23" t="n">
        <f aca="false">SUMIF($F$5:$F$21,"*",$E$5:$E$21)/60</f>
        <v>23.3036332808667</v>
      </c>
      <c r="E28" s="26" t="n">
        <f aca="false">(SUMIF($F$5:$F$21,"*",$I$5:$I$21)+SUMIF($F$5:$F$21,"*",$J$5:$J$21))/D28</f>
        <v>4.03370576884156</v>
      </c>
      <c r="F28" s="23" t="n">
        <f aca="false">SUMIF($F$5:$F$21,"*",$L$5:$L$21)/D28</f>
        <v>13.8604996099556</v>
      </c>
      <c r="G28" s="26" t="n">
        <f aca="false">IFERROR(AVERAGEIF(Losses!$E:$E,"*",Losses!$F:$F),0)</f>
        <v>0.720383960517028</v>
      </c>
      <c r="H28" s="24" t="n">
        <f aca="false">SUMPRODUCT(($F$5:$F$21=$F$5:$F$21)*$E$5:$E$21*P$5:P$21)/(D28*60)</f>
        <v>0.428689225494532</v>
      </c>
      <c r="I28" s="24" t="n">
        <f aca="false">SUMPRODUCT(($F$5:$F$21=$F$5:$F$21)*$E$5:$E$21*Q$5:Q$21)/(D28*60)</f>
        <v>0.147657936371744</v>
      </c>
      <c r="J28" s="24" t="n">
        <f aca="false">SUMPRODUCT(($F$5:$F$21=$F$5:$F$21)*$E$5:$E$21*R$5:R$21)/(D28*60)</f>
        <v>0.180397490447049</v>
      </c>
      <c r="K28" s="24" t="n">
        <f aca="false">SUMPRODUCT(($F$5:$F$21=$F$5:$F$21)*$E$5:$E$21*S$5:S$21)/(D28*60)</f>
        <v>0.0638305355494912</v>
      </c>
      <c r="L28" s="24" t="n">
        <f aca="false">SUMPRODUCT(($F$5:$F$21=$F$5:$F$21)*$E$5:$E$21*T$5:T$21)/(D28*60)</f>
        <v>0.179424811760276</v>
      </c>
      <c r="M28" s="3"/>
      <c r="N28" s="3"/>
      <c r="O28" s="3"/>
      <c r="P28" s="3"/>
      <c r="Q28" s="3"/>
      <c r="R28" s="3"/>
      <c r="S28" s="3"/>
      <c r="T28" s="3"/>
      <c r="U28" s="3"/>
      <c r="V28" s="3"/>
      <c r="W28" s="3"/>
      <c r="X28"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9765625" defaultRowHeight="15" zeroHeight="false" outlineLevelRow="0" outlineLevelCol="0"/>
  <cols>
    <col collapsed="false" customWidth="true" hidden="false" outlineLevel="0" max="1" min="1" style="1" width="7"/>
    <col collapsed="false" customWidth="true" hidden="false" outlineLevel="0" max="3" min="2" style="1" width="22"/>
    <col collapsed="false" customWidth="true" hidden="false" outlineLevel="0" max="6" min="4" style="1" width="10"/>
    <col collapsed="false" customWidth="true" hidden="false" outlineLevel="0" max="7" min="7" style="1" width="22"/>
    <col collapsed="false" customWidth="true" hidden="false" outlineLevel="0" max="8" min="8" style="1" width="52"/>
    <col collapsed="false" customWidth="true" hidden="false" outlineLevel="0" max="11" min="9" style="1" width="13"/>
    <col collapsed="false" customWidth="true" hidden="false" outlineLevel="0" max="14" min="12" style="1" width="14"/>
    <col collapsed="false" customWidth="true" hidden="false" outlineLevel="0" max="15" min="15" style="1" width="11"/>
  </cols>
  <sheetData>
    <row r="1" customFormat="false" ht="19.7" hidden="false" customHeight="false" outlineLevel="0" collapsed="false">
      <c r="A1" s="2" t="s">
        <v>185</v>
      </c>
      <c r="B1" s="3"/>
      <c r="C1" s="3"/>
      <c r="D1" s="3"/>
      <c r="E1" s="3"/>
      <c r="F1" s="3"/>
      <c r="G1" s="3"/>
      <c r="H1" s="3"/>
      <c r="I1" s="3"/>
      <c r="J1" s="3"/>
      <c r="K1" s="3"/>
      <c r="L1" s="3"/>
      <c r="M1" s="3"/>
      <c r="N1" s="3"/>
      <c r="O1" s="3"/>
    </row>
    <row r="2" customFormat="false" ht="15" hidden="false" customHeight="false" outlineLevel="0" collapsed="false">
      <c r="A2" s="4" t="s">
        <v>186</v>
      </c>
      <c r="B2" s="3"/>
      <c r="C2" s="3"/>
      <c r="D2" s="3"/>
      <c r="E2" s="3"/>
      <c r="F2" s="3"/>
      <c r="G2" s="3"/>
      <c r="H2" s="3"/>
      <c r="I2" s="3"/>
      <c r="J2" s="3"/>
      <c r="K2" s="3"/>
      <c r="L2" s="3"/>
      <c r="M2" s="3"/>
      <c r="N2" s="3"/>
      <c r="O2" s="3"/>
    </row>
    <row r="3" customFormat="false" ht="15" hidden="false" customHeight="false" outlineLevel="0" collapsed="false">
      <c r="A3" s="3"/>
      <c r="B3" s="3"/>
      <c r="C3" s="3"/>
      <c r="D3" s="3"/>
      <c r="E3" s="3"/>
      <c r="F3" s="3"/>
      <c r="G3" s="3"/>
      <c r="H3" s="3"/>
      <c r="I3" s="3"/>
      <c r="J3" s="3"/>
      <c r="K3" s="3"/>
      <c r="L3" s="3"/>
      <c r="M3" s="3"/>
      <c r="N3" s="3"/>
      <c r="O3" s="3"/>
    </row>
    <row r="4" customFormat="false" ht="31.5" hidden="false" customHeight="true" outlineLevel="0" collapsed="false">
      <c r="A4" s="12" t="s">
        <v>155</v>
      </c>
      <c r="B4" s="12" t="s">
        <v>157</v>
      </c>
      <c r="C4" s="12" t="s">
        <v>158</v>
      </c>
      <c r="D4" s="12" t="s">
        <v>187</v>
      </c>
      <c r="E4" s="12" t="s">
        <v>188</v>
      </c>
      <c r="F4" s="12" t="s">
        <v>159</v>
      </c>
      <c r="G4" s="12" t="s">
        <v>189</v>
      </c>
      <c r="H4" s="12" t="s">
        <v>190</v>
      </c>
      <c r="I4" s="12" t="s">
        <v>191</v>
      </c>
      <c r="J4" s="12" t="s">
        <v>192</v>
      </c>
      <c r="K4" s="12" t="s">
        <v>193</v>
      </c>
      <c r="L4" s="12" t="s">
        <v>194</v>
      </c>
      <c r="M4" s="12" t="s">
        <v>195</v>
      </c>
      <c r="N4" s="12" t="s">
        <v>196</v>
      </c>
      <c r="O4" s="12" t="s">
        <v>197</v>
      </c>
    </row>
    <row r="5" customFormat="false" ht="15" hidden="false" customHeight="false" outlineLevel="0" collapsed="false">
      <c r="A5" s="27" t="n">
        <v>1</v>
      </c>
      <c r="B5" s="28" t="n">
        <v>46300.1111566088</v>
      </c>
      <c r="C5" s="29" t="n">
        <f aca="false">IF(A6=A5,B6,INDEX(Rounds!$D:$D,MATCH(A5,Rounds!$A:$A,0)))</f>
        <v>46300.1111566088</v>
      </c>
      <c r="D5" s="30" t="n">
        <f aca="false">(B5-INDEX(Rounds!$C:$C,MATCH(A5,Rounds!$A:$A,0)))*86400</f>
        <v>0</v>
      </c>
      <c r="E5" s="30" t="n">
        <f aca="false">(C5-INDEX(Rounds!$C:$C,MATCH(A5,Rounds!$A:$A,0)))*86400</f>
        <v>0</v>
      </c>
      <c r="F5" s="31" t="n">
        <f aca="false">(C5-B5)*86400</f>
        <v>0</v>
      </c>
      <c r="G5" s="27" t="s">
        <v>198</v>
      </c>
      <c r="H5" s="27"/>
      <c r="I5" s="27"/>
      <c r="J5" s="27"/>
      <c r="K5" s="27"/>
      <c r="L5" s="3" t="str">
        <f aca="false">IF(ISNUMBER(SEARCH(" m",I5)),"Range",IF(I5="offline","Offline",IF(I5="","Unknown","No echo / error")))</f>
        <v>Unknown</v>
      </c>
      <c r="M5" s="3" t="str">
        <f aca="false">IF(ISNUMBER(SEARCH(" m",J5)),"Range",IF(J5="offline","Offline",IF(J5="","Unknown","No echo / error")))</f>
        <v>Unknown</v>
      </c>
      <c r="N5" s="3" t="str">
        <f aca="false">IF(ISNUMBER(SEARCH(" m",K5)),"Range",IF(K5="offline","Offline",IF(K5="","Unknown","No echo / error")))</f>
        <v>Unknown</v>
      </c>
      <c r="O5" s="3" t="str">
        <f aca="false">TEXT(B5,"yyyy-mm-dd")</f>
        <v>2026-10-05</v>
      </c>
    </row>
    <row r="6" customFormat="false" ht="15" hidden="false" customHeight="false" outlineLevel="0" collapsed="false">
      <c r="A6" s="27" t="n">
        <v>1</v>
      </c>
      <c r="B6" s="28" t="n">
        <v>46300.1111566088</v>
      </c>
      <c r="C6" s="29" t="n">
        <f aca="false">IF(A7=A6,B7,INDEX(Rounds!$D:$D,MATCH(A6,Rounds!$A:$A,0)))</f>
        <v>46300.1111566088</v>
      </c>
      <c r="D6" s="30" t="n">
        <f aca="false">(B6-INDEX(Rounds!$C:$C,MATCH(A6,Rounds!$A:$A,0)))*86400</f>
        <v>0</v>
      </c>
      <c r="E6" s="30" t="n">
        <f aca="false">(C6-INDEX(Rounds!$C:$C,MATCH(A6,Rounds!$A:$A,0)))*86400</f>
        <v>0</v>
      </c>
      <c r="F6" s="31" t="n">
        <f aca="false">(C6-B6)*86400</f>
        <v>0</v>
      </c>
      <c r="G6" s="27" t="s">
        <v>198</v>
      </c>
      <c r="H6" s="27"/>
      <c r="I6" s="27"/>
      <c r="J6" s="27"/>
      <c r="K6" s="27"/>
      <c r="L6" s="3" t="str">
        <f aca="false">IF(ISNUMBER(SEARCH(" m",I6)),"Range",IF(I6="offline","Offline",IF(I6="","Unknown","No echo / error")))</f>
        <v>Unknown</v>
      </c>
      <c r="M6" s="3" t="str">
        <f aca="false">IF(ISNUMBER(SEARCH(" m",J6)),"Range",IF(J6="offline","Offline",IF(J6="","Unknown","No echo / error")))</f>
        <v>Unknown</v>
      </c>
      <c r="N6" s="3" t="str">
        <f aca="false">IF(ISNUMBER(SEARCH(" m",K6)),"Range",IF(K6="offline","Offline",IF(K6="","Unknown","No echo / error")))</f>
        <v>Unknown</v>
      </c>
      <c r="O6" s="3" t="str">
        <f aca="false">TEXT(B6,"yyyy-mm-dd")</f>
        <v>2026-10-05</v>
      </c>
    </row>
    <row r="7" customFormat="false" ht="15" hidden="false" customHeight="false" outlineLevel="0" collapsed="false">
      <c r="A7" s="27" t="n">
        <v>1</v>
      </c>
      <c r="B7" s="28" t="n">
        <v>46300.1111566088</v>
      </c>
      <c r="C7" s="29" t="n">
        <f aca="false">IF(A8=A7,B8,INDEX(Rounds!$D:$D,MATCH(A7,Rounds!$A:$A,0)))</f>
        <v>46300.1111629398</v>
      </c>
      <c r="D7" s="30" t="n">
        <f aca="false">(B7-INDEX(Rounds!$C:$C,MATCH(A7,Rounds!$A:$A,0)))*86400</f>
        <v>0</v>
      </c>
      <c r="E7" s="30" t="n">
        <f aca="false">(C7-INDEX(Rounds!$C:$C,MATCH(A7,Rounds!$A:$A,0)))*86400</f>
        <v>0.546999648</v>
      </c>
      <c r="F7" s="31" t="n">
        <f aca="false">(C7-B7)*86400</f>
        <v>0.546999648</v>
      </c>
      <c r="G7" s="27" t="s">
        <v>152</v>
      </c>
      <c r="H7" s="27" t="s">
        <v>199</v>
      </c>
      <c r="I7" s="27" t="s">
        <v>200</v>
      </c>
      <c r="J7" s="27" t="s">
        <v>201</v>
      </c>
      <c r="K7" s="27" t="s">
        <v>202</v>
      </c>
      <c r="L7" s="3" t="str">
        <f aca="false">IF(ISNUMBER(SEARCH(" m",I7)),"Range",IF(I7="offline","Offline",IF(I7="","Unknown","No echo / error")))</f>
        <v>Offline</v>
      </c>
      <c r="M7" s="3" t="str">
        <f aca="false">IF(ISNUMBER(SEARCH(" m",J7)),"Range",IF(J7="offline","Offline",IF(J7="","Unknown","No echo / error")))</f>
        <v>Range</v>
      </c>
      <c r="N7" s="3" t="str">
        <f aca="false">IF(ISNUMBER(SEARCH(" m",K7)),"Range",IF(K7="offline","Offline",IF(K7="","Unknown","No echo / error")))</f>
        <v>Range</v>
      </c>
      <c r="O7" s="3" t="str">
        <f aca="false">TEXT(B7,"yyyy-mm-dd")</f>
        <v>2026-10-05</v>
      </c>
    </row>
    <row r="8" customFormat="false" ht="15" hidden="false" customHeight="false" outlineLevel="0" collapsed="false">
      <c r="A8" s="27" t="n">
        <v>1</v>
      </c>
      <c r="B8" s="28" t="n">
        <v>46300.1111629398</v>
      </c>
      <c r="C8" s="29" t="n">
        <f aca="false">IF(A9=A8,B9,INDEX(Rounds!$D:$D,MATCH(A8,Rounds!$A:$A,0)))</f>
        <v>46300.1111677778</v>
      </c>
      <c r="D8" s="30" t="n">
        <f aca="false">(B8-INDEX(Rounds!$C:$C,MATCH(A8,Rounds!$A:$A,0)))*86400</f>
        <v>0.546999648</v>
      </c>
      <c r="E8" s="30" t="n">
        <f aca="false">(C8-INDEX(Rounds!$C:$C,MATCH(A8,Rounds!$A:$A,0)))*86400</f>
        <v>0.965000549</v>
      </c>
      <c r="F8" s="31" t="n">
        <f aca="false">(C8-B8)*86400</f>
        <v>0.418000901</v>
      </c>
      <c r="G8" s="27" t="s">
        <v>151</v>
      </c>
      <c r="H8" s="27" t="s">
        <v>203</v>
      </c>
      <c r="I8" s="27" t="s">
        <v>200</v>
      </c>
      <c r="J8" s="27" t="s">
        <v>204</v>
      </c>
      <c r="K8" s="27" t="s">
        <v>205</v>
      </c>
      <c r="L8" s="3" t="str">
        <f aca="false">IF(ISNUMBER(SEARCH(" m",I8)),"Range",IF(I8="offline","Offline",IF(I8="","Unknown","No echo / error")))</f>
        <v>Offline</v>
      </c>
      <c r="M8" s="3" t="str">
        <f aca="false">IF(ISNUMBER(SEARCH(" m",J8)),"Range",IF(J8="offline","Offline",IF(J8="","Unknown","No echo / error")))</f>
        <v>No echo / error</v>
      </c>
      <c r="N8" s="3" t="str">
        <f aca="false">IF(ISNUMBER(SEARCH(" m",K8)),"Range",IF(K8="offline","Offline",IF(K8="","Unknown","No echo / error")))</f>
        <v>Range</v>
      </c>
      <c r="O8" s="3" t="str">
        <f aca="false">TEXT(B8,"yyyy-mm-dd")</f>
        <v>2026-10-05</v>
      </c>
    </row>
    <row r="9" customFormat="false" ht="15" hidden="false" customHeight="false" outlineLevel="0" collapsed="false">
      <c r="A9" s="27" t="n">
        <v>1</v>
      </c>
      <c r="B9" s="28" t="n">
        <v>46300.1111677778</v>
      </c>
      <c r="C9" s="29" t="n">
        <f aca="false">IF(A10=A9,B10,INDEX(Rounds!$D:$D,MATCH(A9,Rounds!$A:$A,0)))</f>
        <v>46300.1111735532</v>
      </c>
      <c r="D9" s="30" t="n">
        <f aca="false">(B9-INDEX(Rounds!$C:$C,MATCH(A9,Rounds!$A:$A,0)))*86400</f>
        <v>0.965000549</v>
      </c>
      <c r="E9" s="30" t="n">
        <f aca="false">(C9-INDEX(Rounds!$C:$C,MATCH(A9,Rounds!$A:$A,0)))*86400</f>
        <v>1.464000181</v>
      </c>
      <c r="F9" s="31" t="n">
        <f aca="false">(C9-B9)*86400</f>
        <v>0.498999631</v>
      </c>
      <c r="G9" s="27" t="s">
        <v>150</v>
      </c>
      <c r="H9" s="27" t="s">
        <v>206</v>
      </c>
      <c r="I9" s="27" t="s">
        <v>200</v>
      </c>
      <c r="J9" s="27" t="s">
        <v>207</v>
      </c>
      <c r="K9" s="27" t="s">
        <v>204</v>
      </c>
      <c r="L9" s="3" t="str">
        <f aca="false">IF(ISNUMBER(SEARCH(" m",I9)),"Range",IF(I9="offline","Offline",IF(I9="","Unknown","No echo / error")))</f>
        <v>Offline</v>
      </c>
      <c r="M9" s="3" t="str">
        <f aca="false">IF(ISNUMBER(SEARCH(" m",J9)),"Range",IF(J9="offline","Offline",IF(J9="","Unknown","No echo / error")))</f>
        <v>Range</v>
      </c>
      <c r="N9" s="3" t="str">
        <f aca="false">IF(ISNUMBER(SEARCH(" m",K9)),"Range",IF(K9="offline","Offline",IF(K9="","Unknown","No echo / error")))</f>
        <v>No echo / error</v>
      </c>
      <c r="O9" s="3" t="str">
        <f aca="false">TEXT(B9,"yyyy-mm-dd")</f>
        <v>2026-10-05</v>
      </c>
    </row>
    <row r="10" customFormat="false" ht="15" hidden="false" customHeight="false" outlineLevel="0" collapsed="false">
      <c r="A10" s="27" t="n">
        <v>1</v>
      </c>
      <c r="B10" s="28" t="n">
        <v>46300.1111735532</v>
      </c>
      <c r="C10" s="29" t="n">
        <f aca="false">IF(A11=A10,B11,INDEX(Rounds!$D:$D,MATCH(A10,Rounds!$A:$A,0)))</f>
        <v>46300.1111737384</v>
      </c>
      <c r="D10" s="30" t="n">
        <f aca="false">(B10-INDEX(Rounds!$C:$C,MATCH(A10,Rounds!$A:$A,0)))*86400</f>
        <v>1.464000181</v>
      </c>
      <c r="E10" s="30" t="n">
        <f aca="false">(C10-INDEX(Rounds!$C:$C,MATCH(A10,Rounds!$A:$A,0)))*86400</f>
        <v>1.480000396</v>
      </c>
      <c r="F10" s="31" t="n">
        <f aca="false">(C10-B10)*86400</f>
        <v>0.016000214</v>
      </c>
      <c r="G10" s="27" t="s">
        <v>152</v>
      </c>
      <c r="H10" s="27" t="s">
        <v>208</v>
      </c>
      <c r="I10" s="27" t="s">
        <v>200</v>
      </c>
      <c r="J10" s="27" t="s">
        <v>209</v>
      </c>
      <c r="K10" s="27" t="s">
        <v>204</v>
      </c>
      <c r="L10" s="3" t="str">
        <f aca="false">IF(ISNUMBER(SEARCH(" m",I10)),"Range",IF(I10="offline","Offline",IF(I10="","Unknown","No echo / error")))</f>
        <v>Offline</v>
      </c>
      <c r="M10" s="3" t="str">
        <f aca="false">IF(ISNUMBER(SEARCH(" m",J10)),"Range",IF(J10="offline","Offline",IF(J10="","Unknown","No echo / error")))</f>
        <v>Range</v>
      </c>
      <c r="N10" s="3" t="str">
        <f aca="false">IF(ISNUMBER(SEARCH(" m",K10)),"Range",IF(K10="offline","Offline",IF(K10="","Unknown","No echo / error")))</f>
        <v>No echo / error</v>
      </c>
      <c r="O10" s="3" t="str">
        <f aca="false">TEXT(B10,"yyyy-mm-dd")</f>
        <v>2026-10-05</v>
      </c>
    </row>
    <row r="11" customFormat="false" ht="15" hidden="false" customHeight="false" outlineLevel="0" collapsed="false">
      <c r="A11" s="27" t="n">
        <v>1</v>
      </c>
      <c r="B11" s="28" t="n">
        <v>46300.1111737384</v>
      </c>
      <c r="C11" s="29" t="n">
        <f aca="false">IF(A12=A11,B12,INDEX(Rounds!$D:$D,MATCH(A11,Rounds!$A:$A,0)))</f>
        <v>46300.1111832292</v>
      </c>
      <c r="D11" s="30" t="n">
        <f aca="false">(B11-INDEX(Rounds!$C:$C,MATCH(A11,Rounds!$A:$A,0)))*86400</f>
        <v>1.480000396</v>
      </c>
      <c r="E11" s="30" t="n">
        <f aca="false">(C11-INDEX(Rounds!$C:$C,MATCH(A11,Rounds!$A:$A,0)))*86400</f>
        <v>2.299999468</v>
      </c>
      <c r="F11" s="31" t="n">
        <f aca="false">(C11-B11)*86400</f>
        <v>0.819999072</v>
      </c>
      <c r="G11" s="27" t="s">
        <v>151</v>
      </c>
      <c r="H11" s="27" t="s">
        <v>203</v>
      </c>
      <c r="I11" s="27" t="s">
        <v>200</v>
      </c>
      <c r="J11" s="27" t="s">
        <v>210</v>
      </c>
      <c r="K11" s="27" t="s">
        <v>204</v>
      </c>
      <c r="L11" s="3" t="str">
        <f aca="false">IF(ISNUMBER(SEARCH(" m",I11)),"Range",IF(I11="offline","Offline",IF(I11="","Unknown","No echo / error")))</f>
        <v>Offline</v>
      </c>
      <c r="M11" s="3" t="str">
        <f aca="false">IF(ISNUMBER(SEARCH(" m",J11)),"Range",IF(J11="offline","Offline",IF(J11="","Unknown","No echo / error")))</f>
        <v>Range</v>
      </c>
      <c r="N11" s="3" t="str">
        <f aca="false">IF(ISNUMBER(SEARCH(" m",K11)),"Range",IF(K11="offline","Offline",IF(K11="","Unknown","No echo / error")))</f>
        <v>No echo / error</v>
      </c>
      <c r="O11" s="3" t="str">
        <f aca="false">TEXT(B11,"yyyy-mm-dd")</f>
        <v>2026-10-05</v>
      </c>
    </row>
    <row r="12" customFormat="false" ht="15" hidden="false" customHeight="false" outlineLevel="0" collapsed="false">
      <c r="A12" s="27" t="n">
        <v>1</v>
      </c>
      <c r="B12" s="28" t="n">
        <v>46300.1111832292</v>
      </c>
      <c r="C12" s="29" t="n">
        <f aca="false">IF(A13=A12,B13,INDEX(Rounds!$D:$D,MATCH(A12,Rounds!$A:$A,0)))</f>
        <v>46300.1111906829</v>
      </c>
      <c r="D12" s="30" t="n">
        <f aca="false">(B12-INDEX(Rounds!$C:$C,MATCH(A12,Rounds!$A:$A,0)))*86400</f>
        <v>2.299999468</v>
      </c>
      <c r="E12" s="30" t="n">
        <f aca="false">(C12-INDEX(Rounds!$C:$C,MATCH(A12,Rounds!$A:$A,0)))*86400</f>
        <v>2.943999948</v>
      </c>
      <c r="F12" s="31" t="n">
        <f aca="false">(C12-B12)*86400</f>
        <v>0.644000479</v>
      </c>
      <c r="G12" s="27" t="s">
        <v>152</v>
      </c>
      <c r="H12" s="27" t="s">
        <v>208</v>
      </c>
      <c r="I12" s="27" t="s">
        <v>200</v>
      </c>
      <c r="J12" s="27" t="s">
        <v>211</v>
      </c>
      <c r="K12" s="27" t="s">
        <v>204</v>
      </c>
      <c r="L12" s="3" t="str">
        <f aca="false">IF(ISNUMBER(SEARCH(" m",I12)),"Range",IF(I12="offline","Offline",IF(I12="","Unknown","No echo / error")))</f>
        <v>Offline</v>
      </c>
      <c r="M12" s="3" t="str">
        <f aca="false">IF(ISNUMBER(SEARCH(" m",J12)),"Range",IF(J12="offline","Offline",IF(J12="","Unknown","No echo / error")))</f>
        <v>No echo / error</v>
      </c>
      <c r="N12" s="3" t="str">
        <f aca="false">IF(ISNUMBER(SEARCH(" m",K12)),"Range",IF(K12="offline","Offline",IF(K12="","Unknown","No echo / error")))</f>
        <v>No echo / error</v>
      </c>
      <c r="O12" s="3" t="str">
        <f aca="false">TEXT(B12,"yyyy-mm-dd")</f>
        <v>2026-10-05</v>
      </c>
    </row>
    <row r="13" customFormat="false" ht="15" hidden="false" customHeight="false" outlineLevel="0" collapsed="false">
      <c r="A13" s="27" t="n">
        <v>1</v>
      </c>
      <c r="B13" s="28" t="n">
        <v>46300.1111906829</v>
      </c>
      <c r="C13" s="29" t="n">
        <f aca="false">IF(A14=A13,B14,INDEX(Rounds!$D:$D,MATCH(A13,Rounds!$A:$A,0)))</f>
        <v>46300.1111968634</v>
      </c>
      <c r="D13" s="30" t="n">
        <f aca="false">(B13-INDEX(Rounds!$C:$C,MATCH(A13,Rounds!$A:$A,0)))*86400</f>
        <v>2.943999948</v>
      </c>
      <c r="E13" s="30" t="n">
        <f aca="false">(C13-INDEX(Rounds!$C:$C,MATCH(A13,Rounds!$A:$A,0)))*86400</f>
        <v>3.478000522</v>
      </c>
      <c r="F13" s="31" t="n">
        <f aca="false">(C13-B13)*86400</f>
        <v>0.534000573</v>
      </c>
      <c r="G13" s="27" t="s">
        <v>151</v>
      </c>
      <c r="H13" s="27" t="s">
        <v>203</v>
      </c>
      <c r="I13" s="27" t="s">
        <v>200</v>
      </c>
      <c r="J13" s="27" t="s">
        <v>212</v>
      </c>
      <c r="K13" s="27" t="s">
        <v>204</v>
      </c>
      <c r="L13" s="3" t="str">
        <f aca="false">IF(ISNUMBER(SEARCH(" m",I13)),"Range",IF(I13="offline","Offline",IF(I13="","Unknown","No echo / error")))</f>
        <v>Offline</v>
      </c>
      <c r="M13" s="3" t="str">
        <f aca="false">IF(ISNUMBER(SEARCH(" m",J13)),"Range",IF(J13="offline","Offline",IF(J13="","Unknown","No echo / error")))</f>
        <v>Range</v>
      </c>
      <c r="N13" s="3" t="str">
        <f aca="false">IF(ISNUMBER(SEARCH(" m",K13)),"Range",IF(K13="offline","Offline",IF(K13="","Unknown","No echo / error")))</f>
        <v>No echo / error</v>
      </c>
      <c r="O13" s="3" t="str">
        <f aca="false">TEXT(B13,"yyyy-mm-dd")</f>
        <v>2026-10-05</v>
      </c>
    </row>
    <row r="14" customFormat="false" ht="15" hidden="false" customHeight="false" outlineLevel="0" collapsed="false">
      <c r="A14" s="27" t="n">
        <v>1</v>
      </c>
      <c r="B14" s="28" t="n">
        <v>46300.1111968634</v>
      </c>
      <c r="C14" s="29" t="n">
        <f aca="false">IF(A15=A14,B15,INDEX(Rounds!$D:$D,MATCH(A14,Rounds!$A:$A,0)))</f>
        <v>46300.111226331</v>
      </c>
      <c r="D14" s="30" t="n">
        <f aca="false">(B14-INDEX(Rounds!$C:$C,MATCH(A14,Rounds!$A:$A,0)))*86400</f>
        <v>3.478000522</v>
      </c>
      <c r="E14" s="30" t="n">
        <f aca="false">(C14-INDEX(Rounds!$C:$C,MATCH(A14,Rounds!$A:$A,0)))*86400</f>
        <v>6.024000467</v>
      </c>
      <c r="F14" s="31" t="n">
        <f aca="false">(C14-B14)*86400</f>
        <v>2.545999945</v>
      </c>
      <c r="G14" s="27" t="s">
        <v>150</v>
      </c>
      <c r="H14" s="27" t="s">
        <v>206</v>
      </c>
      <c r="I14" s="27" t="s">
        <v>200</v>
      </c>
      <c r="J14" s="27" t="s">
        <v>213</v>
      </c>
      <c r="K14" s="27" t="s">
        <v>214</v>
      </c>
      <c r="L14" s="3" t="str">
        <f aca="false">IF(ISNUMBER(SEARCH(" m",I14)),"Range",IF(I14="offline","Offline",IF(I14="","Unknown","No echo / error")))</f>
        <v>Offline</v>
      </c>
      <c r="M14" s="3" t="str">
        <f aca="false">IF(ISNUMBER(SEARCH(" m",J14)),"Range",IF(J14="offline","Offline",IF(J14="","Unknown","No echo / error")))</f>
        <v>Range</v>
      </c>
      <c r="N14" s="3" t="str">
        <f aca="false">IF(ISNUMBER(SEARCH(" m",K14)),"Range",IF(K14="offline","Offline",IF(K14="","Unknown","No echo / error")))</f>
        <v>Range</v>
      </c>
      <c r="O14" s="3" t="str">
        <f aca="false">TEXT(B14,"yyyy-mm-dd")</f>
        <v>2026-10-05</v>
      </c>
    </row>
    <row r="15" customFormat="false" ht="15" hidden="false" customHeight="false" outlineLevel="0" collapsed="false">
      <c r="A15" s="27" t="n">
        <v>1</v>
      </c>
      <c r="B15" s="28" t="n">
        <v>46300.111226331</v>
      </c>
      <c r="C15" s="29" t="n">
        <f aca="false">IF(A16=A15,B16,INDEX(Rounds!$D:$D,MATCH(A15,Rounds!$A:$A,0)))</f>
        <v>46300.1112270833</v>
      </c>
      <c r="D15" s="30" t="n">
        <f aca="false">(B15-INDEX(Rounds!$C:$C,MATCH(A15,Rounds!$A:$A,0)))*86400</f>
        <v>6.024000467</v>
      </c>
      <c r="E15" s="30" t="n">
        <f aca="false">(C15-INDEX(Rounds!$C:$C,MATCH(A15,Rounds!$A:$A,0)))*86400</f>
        <v>6.08900024</v>
      </c>
      <c r="F15" s="31" t="n">
        <f aca="false">(C15-B15)*86400</f>
        <v>0.064999773</v>
      </c>
      <c r="G15" s="27" t="s">
        <v>152</v>
      </c>
      <c r="H15" s="27" t="s">
        <v>208</v>
      </c>
      <c r="I15" s="27" t="s">
        <v>200</v>
      </c>
      <c r="J15" s="27" t="s">
        <v>215</v>
      </c>
      <c r="K15" s="27" t="s">
        <v>216</v>
      </c>
      <c r="L15" s="3" t="str">
        <f aca="false">IF(ISNUMBER(SEARCH(" m",I15)),"Range",IF(I15="offline","Offline",IF(I15="","Unknown","No echo / error")))</f>
        <v>Offline</v>
      </c>
      <c r="M15" s="3" t="str">
        <f aca="false">IF(ISNUMBER(SEARCH(" m",J15)),"Range",IF(J15="offline","Offline",IF(J15="","Unknown","No echo / error")))</f>
        <v>Range</v>
      </c>
      <c r="N15" s="3" t="str">
        <f aca="false">IF(ISNUMBER(SEARCH(" m",K15)),"Range",IF(K15="offline","Offline",IF(K15="","Unknown","No echo / error")))</f>
        <v>Range</v>
      </c>
      <c r="O15" s="3" t="str">
        <f aca="false">TEXT(B15,"yyyy-mm-dd")</f>
        <v>2026-10-05</v>
      </c>
    </row>
    <row r="16" customFormat="false" ht="15" hidden="false" customHeight="false" outlineLevel="0" collapsed="false">
      <c r="A16" s="27" t="n">
        <v>1</v>
      </c>
      <c r="B16" s="28" t="n">
        <v>46300.1112270833</v>
      </c>
      <c r="C16" s="29" t="n">
        <f aca="false">IF(A17=A16,B17,INDEX(Rounds!$D:$D,MATCH(A16,Rounds!$A:$A,0)))</f>
        <v>46300.1112283796</v>
      </c>
      <c r="D16" s="30" t="n">
        <f aca="false">(B16-INDEX(Rounds!$C:$C,MATCH(A16,Rounds!$A:$A,0)))*86400</f>
        <v>6.08900024</v>
      </c>
      <c r="E16" s="30" t="n">
        <f aca="false">(C16-INDEX(Rounds!$C:$C,MATCH(A16,Rounds!$A:$A,0)))*86400</f>
        <v>6.201000488</v>
      </c>
      <c r="F16" s="31" t="n">
        <f aca="false">(C16-B16)*86400</f>
        <v>0.112000247</v>
      </c>
      <c r="G16" s="27" t="s">
        <v>151</v>
      </c>
      <c r="H16" s="27" t="s">
        <v>203</v>
      </c>
      <c r="I16" s="27" t="s">
        <v>200</v>
      </c>
      <c r="J16" s="27" t="s">
        <v>217</v>
      </c>
      <c r="K16" s="27" t="s">
        <v>216</v>
      </c>
      <c r="L16" s="3" t="str">
        <f aca="false">IF(ISNUMBER(SEARCH(" m",I16)),"Range",IF(I16="offline","Offline",IF(I16="","Unknown","No echo / error")))</f>
        <v>Offline</v>
      </c>
      <c r="M16" s="3" t="str">
        <f aca="false">IF(ISNUMBER(SEARCH(" m",J16)),"Range",IF(J16="offline","Offline",IF(J16="","Unknown","No echo / error")))</f>
        <v>Range</v>
      </c>
      <c r="N16" s="3" t="str">
        <f aca="false">IF(ISNUMBER(SEARCH(" m",K16)),"Range",IF(K16="offline","Offline",IF(K16="","Unknown","No echo / error")))</f>
        <v>Range</v>
      </c>
      <c r="O16" s="3" t="str">
        <f aca="false">TEXT(B16,"yyyy-mm-dd")</f>
        <v>2026-10-05</v>
      </c>
    </row>
    <row r="17" customFormat="false" ht="15" hidden="false" customHeight="false" outlineLevel="0" collapsed="false">
      <c r="A17" s="27" t="n">
        <v>1</v>
      </c>
      <c r="B17" s="28" t="n">
        <v>46300.1112283796</v>
      </c>
      <c r="C17" s="29" t="n">
        <f aca="false">IF(A18=A17,B18,INDEX(Rounds!$D:$D,MATCH(A17,Rounds!$A:$A,0)))</f>
        <v>46300.1112639583</v>
      </c>
      <c r="D17" s="30" t="n">
        <f aca="false">(B17-INDEX(Rounds!$C:$C,MATCH(A17,Rounds!$A:$A,0)))*86400</f>
        <v>6.201000488</v>
      </c>
      <c r="E17" s="30" t="n">
        <f aca="false">(C17-INDEX(Rounds!$C:$C,MATCH(A17,Rounds!$A:$A,0)))*86400</f>
        <v>9.274999983</v>
      </c>
      <c r="F17" s="31" t="n">
        <f aca="false">(C17-B17)*86400</f>
        <v>3.073999495</v>
      </c>
      <c r="G17" s="27" t="s">
        <v>150</v>
      </c>
      <c r="H17" s="27" t="s">
        <v>206</v>
      </c>
      <c r="I17" s="27" t="s">
        <v>200</v>
      </c>
      <c r="J17" s="27" t="s">
        <v>217</v>
      </c>
      <c r="K17" s="27" t="s">
        <v>218</v>
      </c>
      <c r="L17" s="3" t="str">
        <f aca="false">IF(ISNUMBER(SEARCH(" m",I17)),"Range",IF(I17="offline","Offline",IF(I17="","Unknown","No echo / error")))</f>
        <v>Offline</v>
      </c>
      <c r="M17" s="3" t="str">
        <f aca="false">IF(ISNUMBER(SEARCH(" m",J17)),"Range",IF(J17="offline","Offline",IF(J17="","Unknown","No echo / error")))</f>
        <v>Range</v>
      </c>
      <c r="N17" s="3" t="str">
        <f aca="false">IF(ISNUMBER(SEARCH(" m",K17)),"Range",IF(K17="offline","Offline",IF(K17="","Unknown","No echo / error")))</f>
        <v>Range</v>
      </c>
      <c r="O17" s="3" t="str">
        <f aca="false">TEXT(B17,"yyyy-mm-dd")</f>
        <v>2026-10-05</v>
      </c>
    </row>
    <row r="18" customFormat="false" ht="15" hidden="false" customHeight="false" outlineLevel="0" collapsed="false">
      <c r="A18" s="27" t="n">
        <v>1</v>
      </c>
      <c r="B18" s="28" t="n">
        <v>46300.1112639583</v>
      </c>
      <c r="C18" s="29" t="n">
        <f aca="false">IF(A19=A18,B19,INDEX(Rounds!$D:$D,MATCH(A18,Rounds!$A:$A,0)))</f>
        <v>46300.1112682407</v>
      </c>
      <c r="D18" s="30" t="n">
        <f aca="false">(B18-INDEX(Rounds!$C:$C,MATCH(A18,Rounds!$A:$A,0)))*86400</f>
        <v>9.274999983</v>
      </c>
      <c r="E18" s="30" t="n">
        <f aca="false">(C18-INDEX(Rounds!$C:$C,MATCH(A18,Rounds!$A:$A,0)))*86400</f>
        <v>9.645000239</v>
      </c>
      <c r="F18" s="31" t="n">
        <f aca="false">(C18-B18)*86400</f>
        <v>0.370000256</v>
      </c>
      <c r="G18" s="27" t="s">
        <v>151</v>
      </c>
      <c r="H18" s="27" t="s">
        <v>203</v>
      </c>
      <c r="I18" s="27" t="s">
        <v>200</v>
      </c>
      <c r="J18" s="27" t="s">
        <v>219</v>
      </c>
      <c r="K18" s="27" t="s">
        <v>220</v>
      </c>
      <c r="L18" s="3" t="str">
        <f aca="false">IF(ISNUMBER(SEARCH(" m",I18)),"Range",IF(I18="offline","Offline",IF(I18="","Unknown","No echo / error")))</f>
        <v>Offline</v>
      </c>
      <c r="M18" s="3" t="str">
        <f aca="false">IF(ISNUMBER(SEARCH(" m",J18)),"Range",IF(J18="offline","Offline",IF(J18="","Unknown","No echo / error")))</f>
        <v>Range</v>
      </c>
      <c r="N18" s="3" t="str">
        <f aca="false">IF(ISNUMBER(SEARCH(" m",K18)),"Range",IF(K18="offline","Offline",IF(K18="","Unknown","No echo / error")))</f>
        <v>No echo / error</v>
      </c>
      <c r="O18" s="3" t="str">
        <f aca="false">TEXT(B18,"yyyy-mm-dd")</f>
        <v>2026-10-05</v>
      </c>
    </row>
    <row r="19" customFormat="false" ht="15" hidden="false" customHeight="false" outlineLevel="0" collapsed="false">
      <c r="A19" s="27" t="n">
        <v>1</v>
      </c>
      <c r="B19" s="28" t="n">
        <v>46300.1112682407</v>
      </c>
      <c r="C19" s="29" t="n">
        <f aca="false">IF(A20=A19,B20,INDEX(Rounds!$D:$D,MATCH(A19,Rounds!$A:$A,0)))</f>
        <v>46300.1113115972</v>
      </c>
      <c r="D19" s="30" t="n">
        <f aca="false">(B19-INDEX(Rounds!$C:$C,MATCH(A19,Rounds!$A:$A,0)))*86400</f>
        <v>9.645000239</v>
      </c>
      <c r="E19" s="30" t="n">
        <f aca="false">(C19-INDEX(Rounds!$C:$C,MATCH(A19,Rounds!$A:$A,0)))*86400</f>
        <v>13.391001219</v>
      </c>
      <c r="F19" s="31" t="n">
        <f aca="false">(C19-B19)*86400</f>
        <v>3.74600098</v>
      </c>
      <c r="G19" s="27" t="s">
        <v>150</v>
      </c>
      <c r="H19" s="27" t="s">
        <v>206</v>
      </c>
      <c r="I19" s="27" t="s">
        <v>200</v>
      </c>
      <c r="J19" s="27" t="s">
        <v>219</v>
      </c>
      <c r="K19" s="27" t="s">
        <v>221</v>
      </c>
      <c r="L19" s="3" t="str">
        <f aca="false">IF(ISNUMBER(SEARCH(" m",I19)),"Range",IF(I19="offline","Offline",IF(I19="","Unknown","No echo / error")))</f>
        <v>Offline</v>
      </c>
      <c r="M19" s="3" t="str">
        <f aca="false">IF(ISNUMBER(SEARCH(" m",J19)),"Range",IF(J19="offline","Offline",IF(J19="","Unknown","No echo / error")))</f>
        <v>Range</v>
      </c>
      <c r="N19" s="3" t="str">
        <f aca="false">IF(ISNUMBER(SEARCH(" m",K19)),"Range",IF(K19="offline","Offline",IF(K19="","Unknown","No echo / error")))</f>
        <v>Range</v>
      </c>
      <c r="O19" s="3" t="str">
        <f aca="false">TEXT(B19,"yyyy-mm-dd")</f>
        <v>2026-10-05</v>
      </c>
    </row>
    <row r="20" customFormat="false" ht="15" hidden="false" customHeight="false" outlineLevel="0" collapsed="false">
      <c r="A20" s="27" t="n">
        <v>1</v>
      </c>
      <c r="B20" s="28" t="n">
        <v>46300.1113115972</v>
      </c>
      <c r="C20" s="29" t="n">
        <f aca="false">IF(A21=A20,B21,INDEX(Rounds!$D:$D,MATCH(A20,Rounds!$A:$A,0)))</f>
        <v>46300.111314375</v>
      </c>
      <c r="D20" s="30" t="n">
        <f aca="false">(B20-INDEX(Rounds!$C:$C,MATCH(A20,Rounds!$A:$A,0)))*86400</f>
        <v>13.391001219</v>
      </c>
      <c r="E20" s="30" t="n">
        <f aca="false">(C20-INDEX(Rounds!$C:$C,MATCH(A20,Rounds!$A:$A,0)))*86400</f>
        <v>13.631000043</v>
      </c>
      <c r="F20" s="31" t="n">
        <f aca="false">(C20-B20)*86400</f>
        <v>0.239998823</v>
      </c>
      <c r="G20" s="27" t="s">
        <v>152</v>
      </c>
      <c r="H20" s="27" t="s">
        <v>208</v>
      </c>
      <c r="I20" s="27" t="s">
        <v>200</v>
      </c>
      <c r="J20" s="27" t="s">
        <v>222</v>
      </c>
      <c r="K20" s="27" t="s">
        <v>223</v>
      </c>
      <c r="L20" s="3" t="str">
        <f aca="false">IF(ISNUMBER(SEARCH(" m",I20)),"Range",IF(I20="offline","Offline",IF(I20="","Unknown","No echo / error")))</f>
        <v>Offline</v>
      </c>
      <c r="M20" s="3" t="str">
        <f aca="false">IF(ISNUMBER(SEARCH(" m",J20)),"Range",IF(J20="offline","Offline",IF(J20="","Unknown","No echo / error")))</f>
        <v>Range</v>
      </c>
      <c r="N20" s="3" t="str">
        <f aca="false">IF(ISNUMBER(SEARCH(" m",K20)),"Range",IF(K20="offline","Offline",IF(K20="","Unknown","No echo / error")))</f>
        <v>Range</v>
      </c>
      <c r="O20" s="3" t="str">
        <f aca="false">TEXT(B20,"yyyy-mm-dd")</f>
        <v>2026-10-05</v>
      </c>
    </row>
    <row r="21" customFormat="false" ht="15" hidden="false" customHeight="false" outlineLevel="0" collapsed="false">
      <c r="A21" s="27" t="n">
        <v>1</v>
      </c>
      <c r="B21" s="28" t="n">
        <v>46300.111314375</v>
      </c>
      <c r="C21" s="29" t="n">
        <f aca="false">IF(A22=A21,B22,INDEX(Rounds!$D:$D,MATCH(A21,Rounds!$A:$A,0)))</f>
        <v>46300.1113158681</v>
      </c>
      <c r="D21" s="30" t="n">
        <f aca="false">(B21-INDEX(Rounds!$C:$C,MATCH(A21,Rounds!$A:$A,0)))*86400</f>
        <v>13.631000043</v>
      </c>
      <c r="E21" s="30" t="n">
        <f aca="false">(C21-INDEX(Rounds!$C:$C,MATCH(A21,Rounds!$A:$A,0)))*86400</f>
        <v>13.760000048</v>
      </c>
      <c r="F21" s="31" t="n">
        <f aca="false">(C21-B21)*86400</f>
        <v>0.129000004</v>
      </c>
      <c r="G21" s="27" t="s">
        <v>151</v>
      </c>
      <c r="H21" s="27" t="s">
        <v>203</v>
      </c>
      <c r="I21" s="27" t="s">
        <v>200</v>
      </c>
      <c r="J21" s="27" t="s">
        <v>224</v>
      </c>
      <c r="K21" s="27" t="s">
        <v>225</v>
      </c>
      <c r="L21" s="3" t="str">
        <f aca="false">IF(ISNUMBER(SEARCH(" m",I21)),"Range",IF(I21="offline","Offline",IF(I21="","Unknown","No echo / error")))</f>
        <v>Offline</v>
      </c>
      <c r="M21" s="3" t="str">
        <f aca="false">IF(ISNUMBER(SEARCH(" m",J21)),"Range",IF(J21="offline","Offline",IF(J21="","Unknown","No echo / error")))</f>
        <v>Range</v>
      </c>
      <c r="N21" s="3" t="str">
        <f aca="false">IF(ISNUMBER(SEARCH(" m",K21)),"Range",IF(K21="offline","Offline",IF(K21="","Unknown","No echo / error")))</f>
        <v>Range</v>
      </c>
      <c r="O21" s="3" t="str">
        <f aca="false">TEXT(B21,"yyyy-mm-dd")</f>
        <v>2026-10-05</v>
      </c>
    </row>
    <row r="22" customFormat="false" ht="15" hidden="false" customHeight="false" outlineLevel="0" collapsed="false">
      <c r="A22" s="27" t="n">
        <v>1</v>
      </c>
      <c r="B22" s="28" t="n">
        <v>46300.1113158681</v>
      </c>
      <c r="C22" s="29" t="n">
        <f aca="false">IF(A23=A22,B23,INDEX(Rounds!$D:$D,MATCH(A22,Rounds!$A:$A,0)))</f>
        <v>46300.111366875</v>
      </c>
      <c r="D22" s="30" t="n">
        <f aca="false">(B22-INDEX(Rounds!$C:$C,MATCH(A22,Rounds!$A:$A,0)))*86400</f>
        <v>13.760000048</v>
      </c>
      <c r="E22" s="30" t="n">
        <f aca="false">(C22-INDEX(Rounds!$C:$C,MATCH(A22,Rounds!$A:$A,0)))*86400</f>
        <v>18.167000007</v>
      </c>
      <c r="F22" s="31" t="n">
        <f aca="false">(C22-B22)*86400</f>
        <v>4.406999959</v>
      </c>
      <c r="G22" s="27" t="s">
        <v>150</v>
      </c>
      <c r="H22" s="27" t="s">
        <v>206</v>
      </c>
      <c r="I22" s="27" t="s">
        <v>200</v>
      </c>
      <c r="J22" s="27" t="s">
        <v>226</v>
      </c>
      <c r="K22" s="27" t="s">
        <v>225</v>
      </c>
      <c r="L22" s="3" t="str">
        <f aca="false">IF(ISNUMBER(SEARCH(" m",I22)),"Range",IF(I22="offline","Offline",IF(I22="","Unknown","No echo / error")))</f>
        <v>Offline</v>
      </c>
      <c r="M22" s="3" t="str">
        <f aca="false">IF(ISNUMBER(SEARCH(" m",J22)),"Range",IF(J22="offline","Offline",IF(J22="","Unknown","No echo / error")))</f>
        <v>Range</v>
      </c>
      <c r="N22" s="3" t="str">
        <f aca="false">IF(ISNUMBER(SEARCH(" m",K22)),"Range",IF(K22="offline","Offline",IF(K22="","Unknown","No echo / error")))</f>
        <v>Range</v>
      </c>
      <c r="O22" s="3" t="str">
        <f aca="false">TEXT(B22,"yyyy-mm-dd")</f>
        <v>2026-10-05</v>
      </c>
    </row>
    <row r="23" customFormat="false" ht="15" hidden="false" customHeight="false" outlineLevel="0" collapsed="false">
      <c r="A23" s="27" t="n">
        <v>1</v>
      </c>
      <c r="B23" s="28" t="n">
        <v>46300.111366875</v>
      </c>
      <c r="C23" s="29" t="n">
        <f aca="false">IF(A24=A23,B24,INDEX(Rounds!$D:$D,MATCH(A23,Rounds!$A:$A,0)))</f>
        <v>46300.1113679745</v>
      </c>
      <c r="D23" s="30" t="n">
        <f aca="false">(B23-INDEX(Rounds!$C:$C,MATCH(A23,Rounds!$A:$A,0)))*86400</f>
        <v>18.167000007</v>
      </c>
      <c r="E23" s="30" t="n">
        <f aca="false">(C23-INDEX(Rounds!$C:$C,MATCH(A23,Rounds!$A:$A,0)))*86400</f>
        <v>18.262000498</v>
      </c>
      <c r="F23" s="31" t="n">
        <f aca="false">(C23-B23)*86400</f>
        <v>0.09500049</v>
      </c>
      <c r="G23" s="27" t="s">
        <v>151</v>
      </c>
      <c r="H23" s="27" t="s">
        <v>203</v>
      </c>
      <c r="I23" s="27" t="s">
        <v>200</v>
      </c>
      <c r="J23" s="27" t="s">
        <v>227</v>
      </c>
      <c r="K23" s="27" t="s">
        <v>228</v>
      </c>
      <c r="L23" s="3" t="str">
        <f aca="false">IF(ISNUMBER(SEARCH(" m",I23)),"Range",IF(I23="offline","Offline",IF(I23="","Unknown","No echo / error")))</f>
        <v>Offline</v>
      </c>
      <c r="M23" s="3" t="str">
        <f aca="false">IF(ISNUMBER(SEARCH(" m",J23)),"Range",IF(J23="offline","Offline",IF(J23="","Unknown","No echo / error")))</f>
        <v>Range</v>
      </c>
      <c r="N23" s="3" t="str">
        <f aca="false">IF(ISNUMBER(SEARCH(" m",K23)),"Range",IF(K23="offline","Offline",IF(K23="","Unknown","No echo / error")))</f>
        <v>Range</v>
      </c>
      <c r="O23" s="3" t="str">
        <f aca="false">TEXT(B23,"yyyy-mm-dd")</f>
        <v>2026-10-05</v>
      </c>
    </row>
    <row r="24" customFormat="false" ht="15" hidden="false" customHeight="false" outlineLevel="0" collapsed="false">
      <c r="A24" s="27" t="n">
        <v>1</v>
      </c>
      <c r="B24" s="28" t="n">
        <v>46300.1113679745</v>
      </c>
      <c r="C24" s="29" t="n">
        <f aca="false">IF(A25=A24,B25,INDEX(Rounds!$D:$D,MATCH(A24,Rounds!$A:$A,0)))</f>
        <v>46300.1113716898</v>
      </c>
      <c r="D24" s="30" t="n">
        <f aca="false">(B24-INDEX(Rounds!$C:$C,MATCH(A24,Rounds!$A:$A,0)))*86400</f>
        <v>18.262000498</v>
      </c>
      <c r="E24" s="30" t="n">
        <f aca="false">(C24-INDEX(Rounds!$C:$C,MATCH(A24,Rounds!$A:$A,0)))*86400</f>
        <v>18.583000567</v>
      </c>
      <c r="F24" s="31" t="n">
        <f aca="false">(C24-B24)*86400</f>
        <v>0.321000069</v>
      </c>
      <c r="G24" s="27" t="s">
        <v>150</v>
      </c>
      <c r="H24" s="27" t="s">
        <v>206</v>
      </c>
      <c r="I24" s="27" t="s">
        <v>200</v>
      </c>
      <c r="J24" s="27" t="s">
        <v>229</v>
      </c>
      <c r="K24" s="27" t="s">
        <v>228</v>
      </c>
      <c r="L24" s="3" t="str">
        <f aca="false">IF(ISNUMBER(SEARCH(" m",I24)),"Range",IF(I24="offline","Offline",IF(I24="","Unknown","No echo / error")))</f>
        <v>Offline</v>
      </c>
      <c r="M24" s="3" t="str">
        <f aca="false">IF(ISNUMBER(SEARCH(" m",J24)),"Range",IF(J24="offline","Offline",IF(J24="","Unknown","No echo / error")))</f>
        <v>Range</v>
      </c>
      <c r="N24" s="3" t="str">
        <f aca="false">IF(ISNUMBER(SEARCH(" m",K24)),"Range",IF(K24="offline","Offline",IF(K24="","Unknown","No echo / error")))</f>
        <v>Range</v>
      </c>
      <c r="O24" s="3" t="str">
        <f aca="false">TEXT(B24,"yyyy-mm-dd")</f>
        <v>2026-10-05</v>
      </c>
    </row>
    <row r="25" customFormat="false" ht="15" hidden="false" customHeight="false" outlineLevel="0" collapsed="false">
      <c r="A25" s="27" t="n">
        <v>1</v>
      </c>
      <c r="B25" s="28" t="n">
        <v>46300.1113716898</v>
      </c>
      <c r="C25" s="29" t="n">
        <f aca="false">IF(A26=A25,B26,INDEX(Rounds!$D:$D,MATCH(A25,Rounds!$A:$A,0)))</f>
        <v>46300.1113728125</v>
      </c>
      <c r="D25" s="30" t="n">
        <f aca="false">(B25-INDEX(Rounds!$C:$C,MATCH(A25,Rounds!$A:$A,0)))*86400</f>
        <v>18.583000567</v>
      </c>
      <c r="E25" s="30" t="n">
        <f aca="false">(C25-INDEX(Rounds!$C:$C,MATCH(A25,Rounds!$A:$A,0)))*86400</f>
        <v>18.680000142</v>
      </c>
      <c r="F25" s="31" t="n">
        <f aca="false">(C25-B25)*86400</f>
        <v>0.096999574</v>
      </c>
      <c r="G25" s="27" t="s">
        <v>151</v>
      </c>
      <c r="H25" s="27" t="s">
        <v>203</v>
      </c>
      <c r="I25" s="27" t="s">
        <v>200</v>
      </c>
      <c r="J25" s="27" t="s">
        <v>230</v>
      </c>
      <c r="K25" s="27" t="s">
        <v>228</v>
      </c>
      <c r="L25" s="3" t="str">
        <f aca="false">IF(ISNUMBER(SEARCH(" m",I25)),"Range",IF(I25="offline","Offline",IF(I25="","Unknown","No echo / error")))</f>
        <v>Offline</v>
      </c>
      <c r="M25" s="3" t="str">
        <f aca="false">IF(ISNUMBER(SEARCH(" m",J25)),"Range",IF(J25="offline","Offline",IF(J25="","Unknown","No echo / error")))</f>
        <v>Range</v>
      </c>
      <c r="N25" s="3" t="str">
        <f aca="false">IF(ISNUMBER(SEARCH(" m",K25)),"Range",IF(K25="offline","Offline",IF(K25="","Unknown","No echo / error")))</f>
        <v>Range</v>
      </c>
      <c r="O25" s="3" t="str">
        <f aca="false">TEXT(B25,"yyyy-mm-dd")</f>
        <v>2026-10-05</v>
      </c>
    </row>
    <row r="26" customFormat="false" ht="15" hidden="false" customHeight="false" outlineLevel="0" collapsed="false">
      <c r="A26" s="27" t="n">
        <v>1</v>
      </c>
      <c r="B26" s="28" t="n">
        <v>46300.1113728125</v>
      </c>
      <c r="C26" s="29" t="n">
        <f aca="false">IF(A27=A26,B27,INDEX(Rounds!$D:$D,MATCH(A26,Rounds!$A:$A,0)))</f>
        <v>46300.1113988773</v>
      </c>
      <c r="D26" s="30" t="n">
        <f aca="false">(B26-INDEX(Rounds!$C:$C,MATCH(A26,Rounds!$A:$A,0)))*86400</f>
        <v>18.680000142</v>
      </c>
      <c r="E26" s="30" t="n">
        <f aca="false">(C26-INDEX(Rounds!$C:$C,MATCH(A26,Rounds!$A:$A,0)))*86400</f>
        <v>20.931999594</v>
      </c>
      <c r="F26" s="31" t="n">
        <f aca="false">(C26-B26)*86400</f>
        <v>2.251999452</v>
      </c>
      <c r="G26" s="27" t="s">
        <v>150</v>
      </c>
      <c r="H26" s="27" t="s">
        <v>206</v>
      </c>
      <c r="I26" s="27" t="s">
        <v>200</v>
      </c>
      <c r="J26" s="27" t="s">
        <v>231</v>
      </c>
      <c r="K26" s="27" t="s">
        <v>228</v>
      </c>
      <c r="L26" s="3" t="str">
        <f aca="false">IF(ISNUMBER(SEARCH(" m",I26)),"Range",IF(I26="offline","Offline",IF(I26="","Unknown","No echo / error")))</f>
        <v>Offline</v>
      </c>
      <c r="M26" s="3" t="str">
        <f aca="false">IF(ISNUMBER(SEARCH(" m",J26)),"Range",IF(J26="offline","Offline",IF(J26="","Unknown","No echo / error")))</f>
        <v>Range</v>
      </c>
      <c r="N26" s="3" t="str">
        <f aca="false">IF(ISNUMBER(SEARCH(" m",K26)),"Range",IF(K26="offline","Offline",IF(K26="","Unknown","No echo / error")))</f>
        <v>Range</v>
      </c>
      <c r="O26" s="3" t="str">
        <f aca="false">TEXT(B26,"yyyy-mm-dd")</f>
        <v>2026-10-05</v>
      </c>
    </row>
    <row r="27" customFormat="false" ht="15" hidden="false" customHeight="false" outlineLevel="0" collapsed="false">
      <c r="A27" s="27" t="n">
        <v>1</v>
      </c>
      <c r="B27" s="28" t="n">
        <v>46300.1113988773</v>
      </c>
      <c r="C27" s="29" t="n">
        <f aca="false">IF(A28=A27,B28,INDEX(Rounds!$D:$D,MATCH(A27,Rounds!$A:$A,0)))</f>
        <v>46300.1114025926</v>
      </c>
      <c r="D27" s="30" t="n">
        <f aca="false">(B27-INDEX(Rounds!$C:$C,MATCH(A27,Rounds!$A:$A,0)))*86400</f>
        <v>20.931999594</v>
      </c>
      <c r="E27" s="30" t="n">
        <f aca="false">(C27-INDEX(Rounds!$C:$C,MATCH(A27,Rounds!$A:$A,0)))*86400</f>
        <v>21.253000292</v>
      </c>
      <c r="F27" s="31" t="n">
        <f aca="false">(C27-B27)*86400</f>
        <v>0.321000698</v>
      </c>
      <c r="G27" s="27" t="s">
        <v>151</v>
      </c>
      <c r="H27" s="27" t="s">
        <v>203</v>
      </c>
      <c r="I27" s="27" t="s">
        <v>200</v>
      </c>
      <c r="J27" s="27" t="s">
        <v>232</v>
      </c>
      <c r="K27" s="27" t="s">
        <v>233</v>
      </c>
      <c r="L27" s="3" t="str">
        <f aca="false">IF(ISNUMBER(SEARCH(" m",I27)),"Range",IF(I27="offline","Offline",IF(I27="","Unknown","No echo / error")))</f>
        <v>Offline</v>
      </c>
      <c r="M27" s="3" t="str">
        <f aca="false">IF(ISNUMBER(SEARCH(" m",J27)),"Range",IF(J27="offline","Offline",IF(J27="","Unknown","No echo / error")))</f>
        <v>Range</v>
      </c>
      <c r="N27" s="3" t="str">
        <f aca="false">IF(ISNUMBER(SEARCH(" m",K27)),"Range",IF(K27="offline","Offline",IF(K27="","Unknown","No echo / error")))</f>
        <v>Range</v>
      </c>
      <c r="O27" s="3" t="str">
        <f aca="false">TEXT(B27,"yyyy-mm-dd")</f>
        <v>2026-10-05</v>
      </c>
    </row>
    <row r="28" customFormat="false" ht="15" hidden="false" customHeight="false" outlineLevel="0" collapsed="false">
      <c r="A28" s="27" t="n">
        <v>1</v>
      </c>
      <c r="B28" s="28" t="n">
        <v>46300.1114025926</v>
      </c>
      <c r="C28" s="29" t="n">
        <f aca="false">IF(A29=A28,B29,INDEX(Rounds!$D:$D,MATCH(A28,Rounds!$A:$A,0)))</f>
        <v>46300.1114373495</v>
      </c>
      <c r="D28" s="30" t="n">
        <f aca="false">(B28-INDEX(Rounds!$C:$C,MATCH(A28,Rounds!$A:$A,0)))*86400</f>
        <v>21.253000292</v>
      </c>
      <c r="E28" s="30" t="n">
        <f aca="false">(C28-INDEX(Rounds!$C:$C,MATCH(A28,Rounds!$A:$A,0)))*86400</f>
        <v>24.256000248</v>
      </c>
      <c r="F28" s="31" t="n">
        <f aca="false">(C28-B28)*86400</f>
        <v>3.002999955</v>
      </c>
      <c r="G28" s="27" t="s">
        <v>150</v>
      </c>
      <c r="H28" s="27" t="s">
        <v>206</v>
      </c>
      <c r="I28" s="27" t="s">
        <v>200</v>
      </c>
      <c r="J28" s="27" t="s">
        <v>232</v>
      </c>
      <c r="K28" s="27" t="s">
        <v>234</v>
      </c>
      <c r="L28" s="3" t="str">
        <f aca="false">IF(ISNUMBER(SEARCH(" m",I28)),"Range",IF(I28="offline","Offline",IF(I28="","Unknown","No echo / error")))</f>
        <v>Offline</v>
      </c>
      <c r="M28" s="3" t="str">
        <f aca="false">IF(ISNUMBER(SEARCH(" m",J28)),"Range",IF(J28="offline","Offline",IF(J28="","Unknown","No echo / error")))</f>
        <v>Range</v>
      </c>
      <c r="N28" s="3" t="str">
        <f aca="false">IF(ISNUMBER(SEARCH(" m",K28)),"Range",IF(K28="offline","Offline",IF(K28="","Unknown","No echo / error")))</f>
        <v>Range</v>
      </c>
      <c r="O28" s="3" t="str">
        <f aca="false">TEXT(B28,"yyyy-mm-dd")</f>
        <v>2026-10-05</v>
      </c>
    </row>
    <row r="29" customFormat="false" ht="15" hidden="false" customHeight="false" outlineLevel="0" collapsed="false">
      <c r="A29" s="27" t="n">
        <v>1</v>
      </c>
      <c r="B29" s="28" t="n">
        <v>46300.1114373495</v>
      </c>
      <c r="C29" s="29" t="n">
        <f aca="false">IF(A30=A29,B30,INDEX(Rounds!$D:$D,MATCH(A29,Rounds!$A:$A,0)))</f>
        <v>46300.1114384722</v>
      </c>
      <c r="D29" s="30" t="n">
        <f aca="false">(B29-INDEX(Rounds!$C:$C,MATCH(A29,Rounds!$A:$A,0)))*86400</f>
        <v>24.256000248</v>
      </c>
      <c r="E29" s="30" t="n">
        <f aca="false">(C29-INDEX(Rounds!$C:$C,MATCH(A29,Rounds!$A:$A,0)))*86400</f>
        <v>24.352999823</v>
      </c>
      <c r="F29" s="31" t="n">
        <f aca="false">(C29-B29)*86400</f>
        <v>0.096999574</v>
      </c>
      <c r="G29" s="27" t="s">
        <v>151</v>
      </c>
      <c r="H29" s="27" t="s">
        <v>203</v>
      </c>
      <c r="I29" s="27" t="s">
        <v>200</v>
      </c>
      <c r="J29" s="27" t="s">
        <v>235</v>
      </c>
      <c r="K29" s="27" t="s">
        <v>236</v>
      </c>
      <c r="L29" s="3" t="str">
        <f aca="false">IF(ISNUMBER(SEARCH(" m",I29)),"Range",IF(I29="offline","Offline",IF(I29="","Unknown","No echo / error")))</f>
        <v>Offline</v>
      </c>
      <c r="M29" s="3" t="str">
        <f aca="false">IF(ISNUMBER(SEARCH(" m",J29)),"Range",IF(J29="offline","Offline",IF(J29="","Unknown","No echo / error")))</f>
        <v>Range</v>
      </c>
      <c r="N29" s="3" t="str">
        <f aca="false">IF(ISNUMBER(SEARCH(" m",K29)),"Range",IF(K29="offline","Offline",IF(K29="","Unknown","No echo / error")))</f>
        <v>Range</v>
      </c>
      <c r="O29" s="3" t="str">
        <f aca="false">TEXT(B29,"yyyy-mm-dd")</f>
        <v>2026-10-05</v>
      </c>
    </row>
    <row r="30" customFormat="false" ht="15" hidden="false" customHeight="false" outlineLevel="0" collapsed="false">
      <c r="A30" s="27" t="n">
        <v>1</v>
      </c>
      <c r="B30" s="28" t="n">
        <v>46300.1114384722</v>
      </c>
      <c r="C30" s="29" t="n">
        <f aca="false">IF(A31=A30,B31,INDEX(Rounds!$D:$D,MATCH(A30,Rounds!$A:$A,0)))</f>
        <v>46300.1114593056</v>
      </c>
      <c r="D30" s="30" t="n">
        <f aca="false">(B30-INDEX(Rounds!$C:$C,MATCH(A30,Rounds!$A:$A,0)))*86400</f>
        <v>24.352999823</v>
      </c>
      <c r="E30" s="30" t="n">
        <f aca="false">(C30-INDEX(Rounds!$C:$C,MATCH(A30,Rounds!$A:$A,0)))*86400</f>
        <v>26.153000118</v>
      </c>
      <c r="F30" s="31" t="n">
        <f aca="false">(C30-B30)*86400</f>
        <v>1.800000295</v>
      </c>
      <c r="G30" s="27" t="s">
        <v>150</v>
      </c>
      <c r="H30" s="27" t="s">
        <v>206</v>
      </c>
      <c r="I30" s="27" t="s">
        <v>200</v>
      </c>
      <c r="J30" s="27" t="s">
        <v>235</v>
      </c>
      <c r="K30" s="27" t="s">
        <v>237</v>
      </c>
      <c r="L30" s="3" t="str">
        <f aca="false">IF(ISNUMBER(SEARCH(" m",I30)),"Range",IF(I30="offline","Offline",IF(I30="","Unknown","No echo / error")))</f>
        <v>Offline</v>
      </c>
      <c r="M30" s="3" t="str">
        <f aca="false">IF(ISNUMBER(SEARCH(" m",J30)),"Range",IF(J30="offline","Offline",IF(J30="","Unknown","No echo / error")))</f>
        <v>Range</v>
      </c>
      <c r="N30" s="3" t="str">
        <f aca="false">IF(ISNUMBER(SEARCH(" m",K30)),"Range",IF(K30="offline","Offline",IF(K30="","Unknown","No echo / error")))</f>
        <v>Range</v>
      </c>
      <c r="O30" s="3" t="str">
        <f aca="false">TEXT(B30,"yyyy-mm-dd")</f>
        <v>2026-10-05</v>
      </c>
    </row>
    <row r="31" customFormat="false" ht="15" hidden="false" customHeight="false" outlineLevel="0" collapsed="false">
      <c r="A31" s="27" t="n">
        <v>1</v>
      </c>
      <c r="B31" s="28" t="n">
        <v>46300.1114593056</v>
      </c>
      <c r="C31" s="29" t="n">
        <f aca="false">IF(A32=A31,B32,INDEX(Rounds!$D:$D,MATCH(A31,Rounds!$A:$A,0)))</f>
        <v>46300.1114607986</v>
      </c>
      <c r="D31" s="30" t="n">
        <f aca="false">(B31-INDEX(Rounds!$C:$C,MATCH(A31,Rounds!$A:$A,0)))*86400</f>
        <v>26.153000118</v>
      </c>
      <c r="E31" s="30" t="n">
        <f aca="false">(C31-INDEX(Rounds!$C:$C,MATCH(A31,Rounds!$A:$A,0)))*86400</f>
        <v>26.282000122</v>
      </c>
      <c r="F31" s="31" t="n">
        <f aca="false">(C31-B31)*86400</f>
        <v>0.129000004</v>
      </c>
      <c r="G31" s="27" t="s">
        <v>151</v>
      </c>
      <c r="H31" s="27" t="s">
        <v>203</v>
      </c>
      <c r="I31" s="27" t="s">
        <v>200</v>
      </c>
      <c r="J31" s="27" t="s">
        <v>238</v>
      </c>
      <c r="K31" s="27" t="s">
        <v>232</v>
      </c>
      <c r="L31" s="3" t="str">
        <f aca="false">IF(ISNUMBER(SEARCH(" m",I31)),"Range",IF(I31="offline","Offline",IF(I31="","Unknown","No echo / error")))</f>
        <v>Offline</v>
      </c>
      <c r="M31" s="3" t="str">
        <f aca="false">IF(ISNUMBER(SEARCH(" m",J31)),"Range",IF(J31="offline","Offline",IF(J31="","Unknown","No echo / error")))</f>
        <v>Range</v>
      </c>
      <c r="N31" s="3" t="str">
        <f aca="false">IF(ISNUMBER(SEARCH(" m",K31)),"Range",IF(K31="offline","Offline",IF(K31="","Unknown","No echo / error")))</f>
        <v>Range</v>
      </c>
      <c r="O31" s="3" t="str">
        <f aca="false">TEXT(B31,"yyyy-mm-dd")</f>
        <v>2026-10-05</v>
      </c>
    </row>
    <row r="32" customFormat="false" ht="15" hidden="false" customHeight="false" outlineLevel="0" collapsed="false">
      <c r="A32" s="27" t="n">
        <v>1</v>
      </c>
      <c r="B32" s="28" t="n">
        <v>46300.1114607986</v>
      </c>
      <c r="C32" s="29" t="n">
        <f aca="false">IF(A33=A32,B33,INDEX(Rounds!$D:$D,MATCH(A32,Rounds!$A:$A,0)))</f>
        <v>46300.1114886458</v>
      </c>
      <c r="D32" s="30" t="n">
        <f aca="false">(B32-INDEX(Rounds!$C:$C,MATCH(A32,Rounds!$A:$A,0)))*86400</f>
        <v>26.282000122</v>
      </c>
      <c r="E32" s="30" t="n">
        <f aca="false">(C32-INDEX(Rounds!$C:$C,MATCH(A32,Rounds!$A:$A,0)))*86400</f>
        <v>28.688000072</v>
      </c>
      <c r="F32" s="31" t="n">
        <f aca="false">(C32-B32)*86400</f>
        <v>2.40599995</v>
      </c>
      <c r="G32" s="27" t="s">
        <v>150</v>
      </c>
      <c r="H32" s="27" t="s">
        <v>206</v>
      </c>
      <c r="I32" s="27" t="s">
        <v>200</v>
      </c>
      <c r="J32" s="27" t="s">
        <v>235</v>
      </c>
      <c r="K32" s="27" t="s">
        <v>232</v>
      </c>
      <c r="L32" s="3" t="str">
        <f aca="false">IF(ISNUMBER(SEARCH(" m",I32)),"Range",IF(I32="offline","Offline",IF(I32="","Unknown","No echo / error")))</f>
        <v>Offline</v>
      </c>
      <c r="M32" s="3" t="str">
        <f aca="false">IF(ISNUMBER(SEARCH(" m",J32)),"Range",IF(J32="offline","Offline",IF(J32="","Unknown","No echo / error")))</f>
        <v>Range</v>
      </c>
      <c r="N32" s="3" t="str">
        <f aca="false">IF(ISNUMBER(SEARCH(" m",K32)),"Range",IF(K32="offline","Offline",IF(K32="","Unknown","No echo / error")))</f>
        <v>Range</v>
      </c>
      <c r="O32" s="3" t="str">
        <f aca="false">TEXT(B32,"yyyy-mm-dd")</f>
        <v>2026-10-05</v>
      </c>
    </row>
    <row r="33" customFormat="false" ht="15" hidden="false" customHeight="false" outlineLevel="0" collapsed="false">
      <c r="A33" s="27" t="n">
        <v>1</v>
      </c>
      <c r="B33" s="28" t="n">
        <v>46300.1114886458</v>
      </c>
      <c r="C33" s="29" t="n">
        <f aca="false">IF(A34=A33,B34,INDEX(Rounds!$D:$D,MATCH(A33,Rounds!$A:$A,0)))</f>
        <v>46300.111489375</v>
      </c>
      <c r="D33" s="30" t="n">
        <f aca="false">(B33-INDEX(Rounds!$C:$C,MATCH(A33,Rounds!$A:$A,0)))*86400</f>
        <v>28.688000072</v>
      </c>
      <c r="E33" s="30" t="n">
        <f aca="false">(C33-INDEX(Rounds!$C:$C,MATCH(A33,Rounds!$A:$A,0)))*86400</f>
        <v>28.751000133</v>
      </c>
      <c r="F33" s="31" t="n">
        <f aca="false">(C33-B33)*86400</f>
        <v>0.06300006</v>
      </c>
      <c r="G33" s="27" t="s">
        <v>152</v>
      </c>
      <c r="H33" s="27" t="s">
        <v>208</v>
      </c>
      <c r="I33" s="27" t="s">
        <v>200</v>
      </c>
      <c r="J33" s="27" t="s">
        <v>233</v>
      </c>
      <c r="K33" s="27" t="s">
        <v>239</v>
      </c>
      <c r="L33" s="3" t="str">
        <f aca="false">IF(ISNUMBER(SEARCH(" m",I33)),"Range",IF(I33="offline","Offline",IF(I33="","Unknown","No echo / error")))</f>
        <v>Offline</v>
      </c>
      <c r="M33" s="3" t="str">
        <f aca="false">IF(ISNUMBER(SEARCH(" m",J33)),"Range",IF(J33="offline","Offline",IF(J33="","Unknown","No echo / error")))</f>
        <v>Range</v>
      </c>
      <c r="N33" s="3" t="str">
        <f aca="false">IF(ISNUMBER(SEARCH(" m",K33)),"Range",IF(K33="offline","Offline",IF(K33="","Unknown","No echo / error")))</f>
        <v>Range</v>
      </c>
      <c r="O33" s="3" t="str">
        <f aca="false">TEXT(B33,"yyyy-mm-dd")</f>
        <v>2026-10-05</v>
      </c>
    </row>
    <row r="34" customFormat="false" ht="15" hidden="false" customHeight="false" outlineLevel="0" collapsed="false">
      <c r="A34" s="27" t="n">
        <v>1</v>
      </c>
      <c r="B34" s="28" t="n">
        <v>46300.111489375</v>
      </c>
      <c r="C34" s="29" t="n">
        <f aca="false">IF(A35=A34,B35,INDEX(Rounds!$D:$D,MATCH(A34,Rounds!$A:$A,0)))</f>
        <v>46300.1114906713</v>
      </c>
      <c r="D34" s="30" t="n">
        <f aca="false">(B34-INDEX(Rounds!$C:$C,MATCH(A34,Rounds!$A:$A,0)))*86400</f>
        <v>28.751000133</v>
      </c>
      <c r="E34" s="30" t="n">
        <f aca="false">(C34-INDEX(Rounds!$C:$C,MATCH(A34,Rounds!$A:$A,0)))*86400</f>
        <v>28.86300038</v>
      </c>
      <c r="F34" s="31" t="n">
        <f aca="false">(C34-B34)*86400</f>
        <v>0.112000247</v>
      </c>
      <c r="G34" s="27" t="s">
        <v>151</v>
      </c>
      <c r="H34" s="27" t="s">
        <v>203</v>
      </c>
      <c r="I34" s="27" t="s">
        <v>200</v>
      </c>
      <c r="J34" s="27" t="s">
        <v>240</v>
      </c>
      <c r="K34" s="27" t="s">
        <v>239</v>
      </c>
      <c r="L34" s="3" t="str">
        <f aca="false">IF(ISNUMBER(SEARCH(" m",I34)),"Range",IF(I34="offline","Offline",IF(I34="","Unknown","No echo / error")))</f>
        <v>Offline</v>
      </c>
      <c r="M34" s="3" t="str">
        <f aca="false">IF(ISNUMBER(SEARCH(" m",J34)),"Range",IF(J34="offline","Offline",IF(J34="","Unknown","No echo / error")))</f>
        <v>Range</v>
      </c>
      <c r="N34" s="3" t="str">
        <f aca="false">IF(ISNUMBER(SEARCH(" m",K34)),"Range",IF(K34="offline","Offline",IF(K34="","Unknown","No echo / error")))</f>
        <v>Range</v>
      </c>
      <c r="O34" s="3" t="str">
        <f aca="false">TEXT(B34,"yyyy-mm-dd")</f>
        <v>2026-10-05</v>
      </c>
    </row>
    <row r="35" customFormat="false" ht="15" hidden="false" customHeight="false" outlineLevel="0" collapsed="false">
      <c r="A35" s="27" t="n">
        <v>1</v>
      </c>
      <c r="B35" s="28" t="n">
        <v>46300.1114906713</v>
      </c>
      <c r="C35" s="29" t="n">
        <f aca="false">IF(A36=A35,B36,INDEX(Rounds!$D:$D,MATCH(A35,Rounds!$A:$A,0)))</f>
        <v>46300.1115456482</v>
      </c>
      <c r="D35" s="30" t="n">
        <f aca="false">(B35-INDEX(Rounds!$C:$C,MATCH(A35,Rounds!$A:$A,0)))*86400</f>
        <v>28.86300038</v>
      </c>
      <c r="E35" s="30" t="n">
        <f aca="false">(C35-INDEX(Rounds!$C:$C,MATCH(A35,Rounds!$A:$A,0)))*86400</f>
        <v>33.613000391</v>
      </c>
      <c r="F35" s="31" t="n">
        <f aca="false">(C35-B35)*86400</f>
        <v>4.75000001</v>
      </c>
      <c r="G35" s="27" t="s">
        <v>150</v>
      </c>
      <c r="H35" s="27" t="s">
        <v>206</v>
      </c>
      <c r="I35" s="27" t="s">
        <v>200</v>
      </c>
      <c r="J35" s="27" t="s">
        <v>240</v>
      </c>
      <c r="K35" s="27" t="s">
        <v>241</v>
      </c>
      <c r="L35" s="3" t="str">
        <f aca="false">IF(ISNUMBER(SEARCH(" m",I35)),"Range",IF(I35="offline","Offline",IF(I35="","Unknown","No echo / error")))</f>
        <v>Offline</v>
      </c>
      <c r="M35" s="3" t="str">
        <f aca="false">IF(ISNUMBER(SEARCH(" m",J35)),"Range",IF(J35="offline","Offline",IF(J35="","Unknown","No echo / error")))</f>
        <v>Range</v>
      </c>
      <c r="N35" s="3" t="str">
        <f aca="false">IF(ISNUMBER(SEARCH(" m",K35)),"Range",IF(K35="offline","Offline",IF(K35="","Unknown","No echo / error")))</f>
        <v>Range</v>
      </c>
      <c r="O35" s="3" t="str">
        <f aca="false">TEXT(B35,"yyyy-mm-dd")</f>
        <v>2026-10-05</v>
      </c>
    </row>
    <row r="36" customFormat="false" ht="15" hidden="false" customHeight="false" outlineLevel="0" collapsed="false">
      <c r="A36" s="27" t="n">
        <v>1</v>
      </c>
      <c r="B36" s="28" t="n">
        <v>46300.1115456482</v>
      </c>
      <c r="C36" s="29" t="n">
        <f aca="false">IF(A37=A36,B37,INDEX(Rounds!$D:$D,MATCH(A36,Rounds!$A:$A,0)))</f>
        <v>46300.1115588426</v>
      </c>
      <c r="D36" s="30" t="n">
        <f aca="false">(B36-INDEX(Rounds!$C:$C,MATCH(A36,Rounds!$A:$A,0)))*86400</f>
        <v>33.613000391</v>
      </c>
      <c r="E36" s="30" t="n">
        <f aca="false">(C36-INDEX(Rounds!$C:$C,MATCH(A36,Rounds!$A:$A,0)))*86400</f>
        <v>34.752999991</v>
      </c>
      <c r="F36" s="31" t="n">
        <f aca="false">(C36-B36)*86400</f>
        <v>1.1399996</v>
      </c>
      <c r="G36" s="27" t="s">
        <v>152</v>
      </c>
      <c r="H36" s="27" t="s">
        <v>208</v>
      </c>
      <c r="I36" s="27" t="s">
        <v>200</v>
      </c>
      <c r="J36" s="27" t="s">
        <v>242</v>
      </c>
      <c r="K36" s="27" t="s">
        <v>243</v>
      </c>
      <c r="L36" s="3" t="str">
        <f aca="false">IF(ISNUMBER(SEARCH(" m",I36)),"Range",IF(I36="offline","Offline",IF(I36="","Unknown","No echo / error")))</f>
        <v>Offline</v>
      </c>
      <c r="M36" s="3" t="str">
        <f aca="false">IF(ISNUMBER(SEARCH(" m",J36)),"Range",IF(J36="offline","Offline",IF(J36="","Unknown","No echo / error")))</f>
        <v>Range</v>
      </c>
      <c r="N36" s="3" t="str">
        <f aca="false">IF(ISNUMBER(SEARCH(" m",K36)),"Range",IF(K36="offline","Offline",IF(K36="","Unknown","No echo / error")))</f>
        <v>Range</v>
      </c>
      <c r="O36" s="3" t="str">
        <f aca="false">TEXT(B36,"yyyy-mm-dd")</f>
        <v>2026-10-05</v>
      </c>
    </row>
    <row r="37" customFormat="false" ht="15" hidden="false" customHeight="false" outlineLevel="0" collapsed="false">
      <c r="A37" s="27" t="n">
        <v>1</v>
      </c>
      <c r="B37" s="28" t="n">
        <v>46300.1115588426</v>
      </c>
      <c r="C37" s="29" t="n">
        <f aca="false">IF(A38=A37,B38,INDEX(Rounds!$D:$D,MATCH(A37,Rounds!$A:$A,0)))</f>
        <v>46300.1115647917</v>
      </c>
      <c r="D37" s="30" t="n">
        <f aca="false">(B37-INDEX(Rounds!$C:$C,MATCH(A37,Rounds!$A:$A,0)))*86400</f>
        <v>34.752999991</v>
      </c>
      <c r="E37" s="30" t="n">
        <f aca="false">(C37-INDEX(Rounds!$C:$C,MATCH(A37,Rounds!$A:$A,0)))*86400</f>
        <v>35.267000296</v>
      </c>
      <c r="F37" s="31" t="n">
        <f aca="false">(C37-B37)*86400</f>
        <v>0.514000304</v>
      </c>
      <c r="G37" s="27" t="s">
        <v>151</v>
      </c>
      <c r="H37" s="27" t="s">
        <v>203</v>
      </c>
      <c r="I37" s="27" t="s">
        <v>200</v>
      </c>
      <c r="J37" s="27" t="s">
        <v>244</v>
      </c>
      <c r="K37" s="27" t="s">
        <v>245</v>
      </c>
      <c r="L37" s="3" t="str">
        <f aca="false">IF(ISNUMBER(SEARCH(" m",I37)),"Range",IF(I37="offline","Offline",IF(I37="","Unknown","No echo / error")))</f>
        <v>Offline</v>
      </c>
      <c r="M37" s="3" t="str">
        <f aca="false">IF(ISNUMBER(SEARCH(" m",J37)),"Range",IF(J37="offline","Offline",IF(J37="","Unknown","No echo / error")))</f>
        <v>Range</v>
      </c>
      <c r="N37" s="3" t="str">
        <f aca="false">IF(ISNUMBER(SEARCH(" m",K37)),"Range",IF(K37="offline","Offline",IF(K37="","Unknown","No echo / error")))</f>
        <v>Range</v>
      </c>
      <c r="O37" s="3" t="str">
        <f aca="false">TEXT(B37,"yyyy-mm-dd")</f>
        <v>2026-10-05</v>
      </c>
    </row>
    <row r="38" customFormat="false" ht="15" hidden="false" customHeight="false" outlineLevel="0" collapsed="false">
      <c r="A38" s="27" t="n">
        <v>1</v>
      </c>
      <c r="B38" s="28" t="n">
        <v>46300.1115647917</v>
      </c>
      <c r="C38" s="29" t="n">
        <f aca="false">IF(A39=A38,B39,INDEX(Rounds!$D:$D,MATCH(A38,Rounds!$A:$A,0)))</f>
        <v>46300.1116110069</v>
      </c>
      <c r="D38" s="30" t="n">
        <f aca="false">(B38-INDEX(Rounds!$C:$C,MATCH(A38,Rounds!$A:$A,0)))*86400</f>
        <v>35.267000296</v>
      </c>
      <c r="E38" s="30" t="n">
        <f aca="false">(C38-INDEX(Rounds!$C:$C,MATCH(A38,Rounds!$A:$A,0)))*86400</f>
        <v>39.260000037</v>
      </c>
      <c r="F38" s="31" t="n">
        <f aca="false">(C38-B38)*86400</f>
        <v>3.99299974</v>
      </c>
      <c r="G38" s="27" t="s">
        <v>150</v>
      </c>
      <c r="H38" s="27" t="s">
        <v>206</v>
      </c>
      <c r="I38" s="27" t="s">
        <v>200</v>
      </c>
      <c r="J38" s="27" t="s">
        <v>242</v>
      </c>
      <c r="K38" s="27" t="s">
        <v>246</v>
      </c>
      <c r="L38" s="3" t="str">
        <f aca="false">IF(ISNUMBER(SEARCH(" m",I38)),"Range",IF(I38="offline","Offline",IF(I38="","Unknown","No echo / error")))</f>
        <v>Offline</v>
      </c>
      <c r="M38" s="3" t="str">
        <f aca="false">IF(ISNUMBER(SEARCH(" m",J38)),"Range",IF(J38="offline","Offline",IF(J38="","Unknown","No echo / error")))</f>
        <v>Range</v>
      </c>
      <c r="N38" s="3" t="str">
        <f aca="false">IF(ISNUMBER(SEARCH(" m",K38)),"Range",IF(K38="offline","Offline",IF(K38="","Unknown","No echo / error")))</f>
        <v>Range</v>
      </c>
      <c r="O38" s="3" t="str">
        <f aca="false">TEXT(B38,"yyyy-mm-dd")</f>
        <v>2026-10-05</v>
      </c>
    </row>
    <row r="39" customFormat="false" ht="15" hidden="false" customHeight="false" outlineLevel="0" collapsed="false">
      <c r="A39" s="27" t="n">
        <v>1</v>
      </c>
      <c r="B39" s="28" t="n">
        <v>46300.1116110069</v>
      </c>
      <c r="C39" s="29" t="n">
        <f aca="false">IF(A40=A39,B40,INDEX(Rounds!$D:$D,MATCH(A39,Rounds!$A:$A,0)))</f>
        <v>46300.1116121181</v>
      </c>
      <c r="D39" s="30" t="n">
        <f aca="false">(B39-INDEX(Rounds!$C:$C,MATCH(A39,Rounds!$A:$A,0)))*86400</f>
        <v>39.260000037</v>
      </c>
      <c r="E39" s="30" t="n">
        <f aca="false">(C39-INDEX(Rounds!$C:$C,MATCH(A39,Rounds!$A:$A,0)))*86400</f>
        <v>39.356000069</v>
      </c>
      <c r="F39" s="31" t="n">
        <f aca="false">(C39-B39)*86400</f>
        <v>0.096000032</v>
      </c>
      <c r="G39" s="27" t="s">
        <v>151</v>
      </c>
      <c r="H39" s="27" t="s">
        <v>203</v>
      </c>
      <c r="I39" s="27" t="s">
        <v>200</v>
      </c>
      <c r="J39" s="27" t="s">
        <v>247</v>
      </c>
      <c r="K39" s="27" t="s">
        <v>234</v>
      </c>
      <c r="L39" s="3" t="str">
        <f aca="false">IF(ISNUMBER(SEARCH(" m",I39)),"Range",IF(I39="offline","Offline",IF(I39="","Unknown","No echo / error")))</f>
        <v>Offline</v>
      </c>
      <c r="M39" s="3" t="str">
        <f aca="false">IF(ISNUMBER(SEARCH(" m",J39)),"Range",IF(J39="offline","Offline",IF(J39="","Unknown","No echo / error")))</f>
        <v>Range</v>
      </c>
      <c r="N39" s="3" t="str">
        <f aca="false">IF(ISNUMBER(SEARCH(" m",K39)),"Range",IF(K39="offline","Offline",IF(K39="","Unknown","No echo / error")))</f>
        <v>Range</v>
      </c>
      <c r="O39" s="3" t="str">
        <f aca="false">TEXT(B39,"yyyy-mm-dd")</f>
        <v>2026-10-05</v>
      </c>
    </row>
    <row r="40" customFormat="false" ht="15" hidden="false" customHeight="false" outlineLevel="0" collapsed="false">
      <c r="A40" s="27" t="n">
        <v>1</v>
      </c>
      <c r="B40" s="28" t="n">
        <v>46300.1116121181</v>
      </c>
      <c r="C40" s="29" t="n">
        <f aca="false">IF(A41=A40,B41,INDEX(Rounds!$D:$D,MATCH(A40,Rounds!$A:$A,0)))</f>
        <v>46300.1116381597</v>
      </c>
      <c r="D40" s="30" t="n">
        <f aca="false">(B40-INDEX(Rounds!$C:$C,MATCH(A40,Rounds!$A:$A,0)))*86400</f>
        <v>39.356000069</v>
      </c>
      <c r="E40" s="30" t="n">
        <f aca="false">(C40-INDEX(Rounds!$C:$C,MATCH(A40,Rounds!$A:$A,0)))*86400</f>
        <v>41.605999809</v>
      </c>
      <c r="F40" s="31" t="n">
        <f aca="false">(C40-B40)*86400</f>
        <v>2.24999974</v>
      </c>
      <c r="G40" s="27" t="s">
        <v>150</v>
      </c>
      <c r="H40" s="27" t="s">
        <v>206</v>
      </c>
      <c r="I40" s="27" t="s">
        <v>200</v>
      </c>
      <c r="J40" s="27" t="s">
        <v>248</v>
      </c>
      <c r="K40" s="27" t="s">
        <v>234</v>
      </c>
      <c r="L40" s="3" t="str">
        <f aca="false">IF(ISNUMBER(SEARCH(" m",I40)),"Range",IF(I40="offline","Offline",IF(I40="","Unknown","No echo / error")))</f>
        <v>Offline</v>
      </c>
      <c r="M40" s="3" t="str">
        <f aca="false">IF(ISNUMBER(SEARCH(" m",J40)),"Range",IF(J40="offline","Offline",IF(J40="","Unknown","No echo / error")))</f>
        <v>Range</v>
      </c>
      <c r="N40" s="3" t="str">
        <f aca="false">IF(ISNUMBER(SEARCH(" m",K40)),"Range",IF(K40="offline","Offline",IF(K40="","Unknown","No echo / error")))</f>
        <v>Range</v>
      </c>
      <c r="O40" s="3" t="str">
        <f aca="false">TEXT(B40,"yyyy-mm-dd")</f>
        <v>2026-10-05</v>
      </c>
    </row>
    <row r="41" customFormat="false" ht="15" hidden="false" customHeight="false" outlineLevel="0" collapsed="false">
      <c r="A41" s="27" t="n">
        <v>1</v>
      </c>
      <c r="B41" s="28" t="n">
        <v>46300.1116381597</v>
      </c>
      <c r="C41" s="29" t="n">
        <f aca="false">IF(A42=A41,B42,INDEX(Rounds!$D:$D,MATCH(A41,Rounds!$A:$A,0)))</f>
        <v>46300.1116392708</v>
      </c>
      <c r="D41" s="30" t="n">
        <f aca="false">(B41-INDEX(Rounds!$C:$C,MATCH(A41,Rounds!$A:$A,0)))*86400</f>
        <v>41.605999809</v>
      </c>
      <c r="E41" s="30" t="n">
        <f aca="false">(C41-INDEX(Rounds!$C:$C,MATCH(A41,Rounds!$A:$A,0)))*86400</f>
        <v>41.702001099</v>
      </c>
      <c r="F41" s="31" t="n">
        <f aca="false">(C41-B41)*86400</f>
        <v>0.096001289</v>
      </c>
      <c r="G41" s="27" t="s">
        <v>151</v>
      </c>
      <c r="H41" s="27" t="s">
        <v>203</v>
      </c>
      <c r="I41" s="27" t="s">
        <v>200</v>
      </c>
      <c r="J41" s="27" t="s">
        <v>249</v>
      </c>
      <c r="K41" s="27" t="s">
        <v>250</v>
      </c>
      <c r="L41" s="3" t="str">
        <f aca="false">IF(ISNUMBER(SEARCH(" m",I41)),"Range",IF(I41="offline","Offline",IF(I41="","Unknown","No echo / error")))</f>
        <v>Offline</v>
      </c>
      <c r="M41" s="3" t="str">
        <f aca="false">IF(ISNUMBER(SEARCH(" m",J41)),"Range",IF(J41="offline","Offline",IF(J41="","Unknown","No echo / error")))</f>
        <v>Range</v>
      </c>
      <c r="N41" s="3" t="str">
        <f aca="false">IF(ISNUMBER(SEARCH(" m",K41)),"Range",IF(K41="offline","Offline",IF(K41="","Unknown","No echo / error")))</f>
        <v>Range</v>
      </c>
      <c r="O41" s="3" t="str">
        <f aca="false">TEXT(B41,"yyyy-mm-dd")</f>
        <v>2026-10-05</v>
      </c>
    </row>
    <row r="42" customFormat="false" ht="15" hidden="false" customHeight="false" outlineLevel="0" collapsed="false">
      <c r="A42" s="27" t="n">
        <v>1</v>
      </c>
      <c r="B42" s="28" t="n">
        <v>46300.1116392708</v>
      </c>
      <c r="C42" s="29" t="n">
        <f aca="false">IF(A43=A42,B43,INDEX(Rounds!$D:$D,MATCH(A42,Rounds!$A:$A,0)))</f>
        <v>46300.1117017593</v>
      </c>
      <c r="D42" s="30" t="n">
        <f aca="false">(B42-INDEX(Rounds!$C:$C,MATCH(A42,Rounds!$A:$A,0)))*86400</f>
        <v>41.702001099</v>
      </c>
      <c r="E42" s="30" t="n">
        <f aca="false">(C42-INDEX(Rounds!$C:$C,MATCH(A42,Rounds!$A:$A,0)))*86400</f>
        <v>47.101000556</v>
      </c>
      <c r="F42" s="31" t="n">
        <f aca="false">(C42-B42)*86400</f>
        <v>5.398999457</v>
      </c>
      <c r="G42" s="27" t="s">
        <v>150</v>
      </c>
      <c r="H42" s="27" t="s">
        <v>206</v>
      </c>
      <c r="I42" s="27" t="s">
        <v>200</v>
      </c>
      <c r="J42" s="27" t="s">
        <v>234</v>
      </c>
      <c r="K42" s="27" t="s">
        <v>250</v>
      </c>
      <c r="L42" s="3" t="str">
        <f aca="false">IF(ISNUMBER(SEARCH(" m",I42)),"Range",IF(I42="offline","Offline",IF(I42="","Unknown","No echo / error")))</f>
        <v>Offline</v>
      </c>
      <c r="M42" s="3" t="str">
        <f aca="false">IF(ISNUMBER(SEARCH(" m",J42)),"Range",IF(J42="offline","Offline",IF(J42="","Unknown","No echo / error")))</f>
        <v>Range</v>
      </c>
      <c r="N42" s="3" t="str">
        <f aca="false">IF(ISNUMBER(SEARCH(" m",K42)),"Range",IF(K42="offline","Offline",IF(K42="","Unknown","No echo / error")))</f>
        <v>Range</v>
      </c>
      <c r="O42" s="3" t="str">
        <f aca="false">TEXT(B42,"yyyy-mm-dd")</f>
        <v>2026-10-05</v>
      </c>
    </row>
    <row r="43" customFormat="false" ht="15" hidden="false" customHeight="false" outlineLevel="0" collapsed="false">
      <c r="A43" s="27" t="n">
        <v>1</v>
      </c>
      <c r="B43" s="28" t="n">
        <v>46300.1117017593</v>
      </c>
      <c r="C43" s="29" t="n">
        <f aca="false">IF(A44=A43,B44,INDEX(Rounds!$D:$D,MATCH(A43,Rounds!$A:$A,0)))</f>
        <v>46300.111701956</v>
      </c>
      <c r="D43" s="30" t="n">
        <f aca="false">(B43-INDEX(Rounds!$C:$C,MATCH(A43,Rounds!$A:$A,0)))*86400</f>
        <v>47.101000556</v>
      </c>
      <c r="E43" s="30" t="n">
        <f aca="false">(C43-INDEX(Rounds!$C:$C,MATCH(A43,Rounds!$A:$A,0)))*86400</f>
        <v>47.118000313</v>
      </c>
      <c r="F43" s="31" t="n">
        <f aca="false">(C43-B43)*86400</f>
        <v>0.016999756</v>
      </c>
      <c r="G43" s="27" t="s">
        <v>152</v>
      </c>
      <c r="H43" s="27" t="s">
        <v>208</v>
      </c>
      <c r="I43" s="27" t="s">
        <v>200</v>
      </c>
      <c r="J43" s="27" t="s">
        <v>251</v>
      </c>
      <c r="K43" s="27" t="s">
        <v>220</v>
      </c>
      <c r="L43" s="3" t="str">
        <f aca="false">IF(ISNUMBER(SEARCH(" m",I43)),"Range",IF(I43="offline","Offline",IF(I43="","Unknown","No echo / error")))</f>
        <v>Offline</v>
      </c>
      <c r="M43" s="3" t="str">
        <f aca="false">IF(ISNUMBER(SEARCH(" m",J43)),"Range",IF(J43="offline","Offline",IF(J43="","Unknown","No echo / error")))</f>
        <v>Range</v>
      </c>
      <c r="N43" s="3" t="str">
        <f aca="false">IF(ISNUMBER(SEARCH(" m",K43)),"Range",IF(K43="offline","Offline",IF(K43="","Unknown","No echo / error")))</f>
        <v>No echo / error</v>
      </c>
      <c r="O43" s="3" t="str">
        <f aca="false">TEXT(B43,"yyyy-mm-dd")</f>
        <v>2026-10-05</v>
      </c>
    </row>
    <row r="44" customFormat="false" ht="15" hidden="false" customHeight="false" outlineLevel="0" collapsed="false">
      <c r="A44" s="27" t="n">
        <v>1</v>
      </c>
      <c r="B44" s="28" t="n">
        <v>46300.111701956</v>
      </c>
      <c r="C44" s="29" t="n">
        <f aca="false">IF(A45=A44,B45,INDEX(Rounds!$D:$D,MATCH(A44,Rounds!$A:$A,0)))</f>
        <v>46300.1117058912</v>
      </c>
      <c r="D44" s="30" t="n">
        <f aca="false">(B44-INDEX(Rounds!$C:$C,MATCH(A44,Rounds!$A:$A,0)))*86400</f>
        <v>47.118000313</v>
      </c>
      <c r="E44" s="30" t="n">
        <f aca="false">(C44-INDEX(Rounds!$C:$C,MATCH(A44,Rounds!$A:$A,0)))*86400</f>
        <v>47.458001109</v>
      </c>
      <c r="F44" s="31" t="n">
        <f aca="false">(C44-B44)*86400</f>
        <v>0.340000796</v>
      </c>
      <c r="G44" s="27" t="s">
        <v>151</v>
      </c>
      <c r="H44" s="27" t="s">
        <v>203</v>
      </c>
      <c r="I44" s="27" t="s">
        <v>200</v>
      </c>
      <c r="J44" s="27" t="s">
        <v>252</v>
      </c>
      <c r="K44" s="27" t="s">
        <v>220</v>
      </c>
      <c r="L44" s="3" t="str">
        <f aca="false">IF(ISNUMBER(SEARCH(" m",I44)),"Range",IF(I44="offline","Offline",IF(I44="","Unknown","No echo / error")))</f>
        <v>Offline</v>
      </c>
      <c r="M44" s="3" t="str">
        <f aca="false">IF(ISNUMBER(SEARCH(" m",J44)),"Range",IF(J44="offline","Offline",IF(J44="","Unknown","No echo / error")))</f>
        <v>Range</v>
      </c>
      <c r="N44" s="3" t="str">
        <f aca="false">IF(ISNUMBER(SEARCH(" m",K44)),"Range",IF(K44="offline","Offline",IF(K44="","Unknown","No echo / error")))</f>
        <v>No echo / error</v>
      </c>
      <c r="O44" s="3" t="str">
        <f aca="false">TEXT(B44,"yyyy-mm-dd")</f>
        <v>2026-10-05</v>
      </c>
    </row>
    <row r="45" customFormat="false" ht="15" hidden="false" customHeight="false" outlineLevel="0" collapsed="false">
      <c r="A45" s="27" t="n">
        <v>1</v>
      </c>
      <c r="B45" s="28" t="n">
        <v>46300.1117058912</v>
      </c>
      <c r="C45" s="29" t="n">
        <f aca="false">IF(A46=A45,B46,INDEX(Rounds!$D:$D,MATCH(A45,Rounds!$A:$A,0)))</f>
        <v>46300.1117225116</v>
      </c>
      <c r="D45" s="30" t="n">
        <f aca="false">(B45-INDEX(Rounds!$C:$C,MATCH(A45,Rounds!$A:$A,0)))*86400</f>
        <v>47.458001109</v>
      </c>
      <c r="E45" s="30" t="n">
        <f aca="false">(C45-INDEX(Rounds!$C:$C,MATCH(A45,Rounds!$A:$A,0)))*86400</f>
        <v>48.893999657</v>
      </c>
      <c r="F45" s="31" t="n">
        <f aca="false">(C45-B45)*86400</f>
        <v>1.435998547</v>
      </c>
      <c r="G45" s="27" t="s">
        <v>150</v>
      </c>
      <c r="H45" s="27" t="s">
        <v>206</v>
      </c>
      <c r="I45" s="27" t="s">
        <v>200</v>
      </c>
      <c r="J45" s="27" t="s">
        <v>253</v>
      </c>
      <c r="K45" s="27" t="s">
        <v>254</v>
      </c>
      <c r="L45" s="3" t="str">
        <f aca="false">IF(ISNUMBER(SEARCH(" m",I45)),"Range",IF(I45="offline","Offline",IF(I45="","Unknown","No echo / error")))</f>
        <v>Offline</v>
      </c>
      <c r="M45" s="3" t="str">
        <f aca="false">IF(ISNUMBER(SEARCH(" m",J45)),"Range",IF(J45="offline","Offline",IF(J45="","Unknown","No echo / error")))</f>
        <v>Range</v>
      </c>
      <c r="N45" s="3" t="str">
        <f aca="false">IF(ISNUMBER(SEARCH(" m",K45)),"Range",IF(K45="offline","Offline",IF(K45="","Unknown","No echo / error")))</f>
        <v>Range</v>
      </c>
      <c r="O45" s="3" t="str">
        <f aca="false">TEXT(B45,"yyyy-mm-dd")</f>
        <v>2026-10-05</v>
      </c>
    </row>
    <row r="46" customFormat="false" ht="15" hidden="false" customHeight="false" outlineLevel="0" collapsed="false">
      <c r="A46" s="27" t="n">
        <v>1</v>
      </c>
      <c r="B46" s="28" t="n">
        <v>46300.1117225116</v>
      </c>
      <c r="C46" s="29" t="n">
        <f aca="false">IF(A47=A46,B47,INDEX(Rounds!$D:$D,MATCH(A46,Rounds!$A:$A,0)))</f>
        <v>46300.1117282755</v>
      </c>
      <c r="D46" s="30" t="n">
        <f aca="false">(B46-INDEX(Rounds!$C:$C,MATCH(A46,Rounds!$A:$A,0)))*86400</f>
        <v>48.893999657</v>
      </c>
      <c r="E46" s="30" t="n">
        <f aca="false">(C46-INDEX(Rounds!$C:$C,MATCH(A46,Rounds!$A:$A,0)))*86400</f>
        <v>49.391999747</v>
      </c>
      <c r="F46" s="31" t="n">
        <f aca="false">(C46-B46)*86400</f>
        <v>0.49800009</v>
      </c>
      <c r="G46" s="27" t="s">
        <v>151</v>
      </c>
      <c r="H46" s="27" t="s">
        <v>203</v>
      </c>
      <c r="I46" s="27" t="s">
        <v>200</v>
      </c>
      <c r="J46" s="27" t="s">
        <v>255</v>
      </c>
      <c r="K46" s="27" t="s">
        <v>256</v>
      </c>
      <c r="L46" s="3" t="str">
        <f aca="false">IF(ISNUMBER(SEARCH(" m",I46)),"Range",IF(I46="offline","Offline",IF(I46="","Unknown","No echo / error")))</f>
        <v>Offline</v>
      </c>
      <c r="M46" s="3" t="str">
        <f aca="false">IF(ISNUMBER(SEARCH(" m",J46)),"Range",IF(J46="offline","Offline",IF(J46="","Unknown","No echo / error")))</f>
        <v>Range</v>
      </c>
      <c r="N46" s="3" t="str">
        <f aca="false">IF(ISNUMBER(SEARCH(" m",K46)),"Range",IF(K46="offline","Offline",IF(K46="","Unknown","No echo / error")))</f>
        <v>Range</v>
      </c>
      <c r="O46" s="3" t="str">
        <f aca="false">TEXT(B46,"yyyy-mm-dd")</f>
        <v>2026-10-05</v>
      </c>
    </row>
    <row r="47" customFormat="false" ht="15" hidden="false" customHeight="false" outlineLevel="0" collapsed="false">
      <c r="A47" s="27" t="n">
        <v>1</v>
      </c>
      <c r="B47" s="28" t="n">
        <v>46300.1117282755</v>
      </c>
      <c r="C47" s="29" t="n">
        <f aca="false">IF(A48=A47,B48,INDEX(Rounds!$D:$D,MATCH(A47,Rounds!$A:$A,0)))</f>
        <v>46300.1117292014</v>
      </c>
      <c r="D47" s="30" t="n">
        <f aca="false">(B47-INDEX(Rounds!$C:$C,MATCH(A47,Rounds!$A:$A,0)))*86400</f>
        <v>49.391999747</v>
      </c>
      <c r="E47" s="30" t="n">
        <f aca="false">(C47-INDEX(Rounds!$C:$C,MATCH(A47,Rounds!$A:$A,0)))*86400</f>
        <v>49.472000193</v>
      </c>
      <c r="F47" s="31" t="n">
        <f aca="false">(C47-B47)*86400</f>
        <v>0.080000446</v>
      </c>
      <c r="G47" s="27" t="s">
        <v>152</v>
      </c>
      <c r="H47" s="27" t="s">
        <v>208</v>
      </c>
      <c r="I47" s="27" t="s">
        <v>200</v>
      </c>
      <c r="J47" s="27" t="s">
        <v>257</v>
      </c>
      <c r="K47" s="27" t="s">
        <v>258</v>
      </c>
      <c r="L47" s="3" t="str">
        <f aca="false">IF(ISNUMBER(SEARCH(" m",I47)),"Range",IF(I47="offline","Offline",IF(I47="","Unknown","No echo / error")))</f>
        <v>Offline</v>
      </c>
      <c r="M47" s="3" t="str">
        <f aca="false">IF(ISNUMBER(SEARCH(" m",J47)),"Range",IF(J47="offline","Offline",IF(J47="","Unknown","No echo / error")))</f>
        <v>Range</v>
      </c>
      <c r="N47" s="3" t="str">
        <f aca="false">IF(ISNUMBER(SEARCH(" m",K47)),"Range",IF(K47="offline","Offline",IF(K47="","Unknown","No echo / error")))</f>
        <v>Range</v>
      </c>
      <c r="O47" s="3" t="str">
        <f aca="false">TEXT(B47,"yyyy-mm-dd")</f>
        <v>2026-10-05</v>
      </c>
    </row>
    <row r="48" customFormat="false" ht="15" hidden="false" customHeight="false" outlineLevel="0" collapsed="false">
      <c r="A48" s="27" t="n">
        <v>1</v>
      </c>
      <c r="B48" s="28" t="n">
        <v>46300.1117292014</v>
      </c>
      <c r="C48" s="29" t="n">
        <f aca="false">IF(A49=A48,B49,INDEX(Rounds!$D:$D,MATCH(A48,Rounds!$A:$A,0)))</f>
        <v>46300.1117304977</v>
      </c>
      <c r="D48" s="30" t="n">
        <f aca="false">(B48-INDEX(Rounds!$C:$C,MATCH(A48,Rounds!$A:$A,0)))*86400</f>
        <v>49.472000193</v>
      </c>
      <c r="E48" s="30" t="n">
        <f aca="false">(C48-INDEX(Rounds!$C:$C,MATCH(A48,Rounds!$A:$A,0)))*86400</f>
        <v>49.584000441</v>
      </c>
      <c r="F48" s="31" t="n">
        <f aca="false">(C48-B48)*86400</f>
        <v>0.112000247</v>
      </c>
      <c r="G48" s="27" t="s">
        <v>151</v>
      </c>
      <c r="H48" s="27" t="s">
        <v>203</v>
      </c>
      <c r="I48" s="27" t="s">
        <v>200</v>
      </c>
      <c r="J48" s="27" t="s">
        <v>257</v>
      </c>
      <c r="K48" s="27" t="s">
        <v>221</v>
      </c>
      <c r="L48" s="3" t="str">
        <f aca="false">IF(ISNUMBER(SEARCH(" m",I48)),"Range",IF(I48="offline","Offline",IF(I48="","Unknown","No echo / error")))</f>
        <v>Offline</v>
      </c>
      <c r="M48" s="3" t="str">
        <f aca="false">IF(ISNUMBER(SEARCH(" m",J48)),"Range",IF(J48="offline","Offline",IF(J48="","Unknown","No echo / error")))</f>
        <v>Range</v>
      </c>
      <c r="N48" s="3" t="str">
        <f aca="false">IF(ISNUMBER(SEARCH(" m",K48)),"Range",IF(K48="offline","Offline",IF(K48="","Unknown","No echo / error")))</f>
        <v>Range</v>
      </c>
      <c r="O48" s="3" t="str">
        <f aca="false">TEXT(B48,"yyyy-mm-dd")</f>
        <v>2026-10-05</v>
      </c>
    </row>
    <row r="49" customFormat="false" ht="15" hidden="false" customHeight="false" outlineLevel="0" collapsed="false">
      <c r="A49" s="27" t="n">
        <v>1</v>
      </c>
      <c r="B49" s="28" t="n">
        <v>46300.1117304977</v>
      </c>
      <c r="C49" s="29" t="n">
        <f aca="false">IF(A50=A49,B50,INDEX(Rounds!$D:$D,MATCH(A49,Rounds!$A:$A,0)))</f>
        <v>46300.1117440394</v>
      </c>
      <c r="D49" s="30" t="n">
        <f aca="false">(B49-INDEX(Rounds!$C:$C,MATCH(A49,Rounds!$A:$A,0)))*86400</f>
        <v>49.584000441</v>
      </c>
      <c r="E49" s="30" t="n">
        <f aca="false">(C49-INDEX(Rounds!$C:$C,MATCH(A49,Rounds!$A:$A,0)))*86400</f>
        <v>50.75400013</v>
      </c>
      <c r="F49" s="31" t="n">
        <f aca="false">(C49-B49)*86400</f>
        <v>1.169999688</v>
      </c>
      <c r="G49" s="27" t="s">
        <v>150</v>
      </c>
      <c r="H49" s="27" t="s">
        <v>206</v>
      </c>
      <c r="I49" s="27" t="s">
        <v>200</v>
      </c>
      <c r="J49" s="27" t="s">
        <v>259</v>
      </c>
      <c r="K49" s="27" t="s">
        <v>221</v>
      </c>
      <c r="L49" s="3" t="str">
        <f aca="false">IF(ISNUMBER(SEARCH(" m",I49)),"Range",IF(I49="offline","Offline",IF(I49="","Unknown","No echo / error")))</f>
        <v>Offline</v>
      </c>
      <c r="M49" s="3" t="str">
        <f aca="false">IF(ISNUMBER(SEARCH(" m",J49)),"Range",IF(J49="offline","Offline",IF(J49="","Unknown","No echo / error")))</f>
        <v>Range</v>
      </c>
      <c r="N49" s="3" t="str">
        <f aca="false">IF(ISNUMBER(SEARCH(" m",K49)),"Range",IF(K49="offline","Offline",IF(K49="","Unknown","No echo / error")))</f>
        <v>Range</v>
      </c>
      <c r="O49" s="3" t="str">
        <f aca="false">TEXT(B49,"yyyy-mm-dd")</f>
        <v>2026-10-05</v>
      </c>
    </row>
    <row r="50" customFormat="false" ht="15" hidden="false" customHeight="false" outlineLevel="0" collapsed="false">
      <c r="A50" s="27" t="n">
        <v>1</v>
      </c>
      <c r="B50" s="28" t="n">
        <v>46300.1117440394</v>
      </c>
      <c r="C50" s="29" t="n">
        <f aca="false">IF(A51=A50,B51,INDEX(Rounds!$D:$D,MATCH(A50,Rounds!$A:$A,0)))</f>
        <v>46300.1117523843</v>
      </c>
      <c r="D50" s="30" t="n">
        <f aca="false">(B50-INDEX(Rounds!$C:$C,MATCH(A50,Rounds!$A:$A,0)))*86400</f>
        <v>50.75400013</v>
      </c>
      <c r="E50" s="30" t="n">
        <f aca="false">(C50-INDEX(Rounds!$C:$C,MATCH(A50,Rounds!$A:$A,0)))*86400</f>
        <v>51.475000544</v>
      </c>
      <c r="F50" s="31" t="n">
        <f aca="false">(C50-B50)*86400</f>
        <v>0.721000414</v>
      </c>
      <c r="G50" s="27" t="s">
        <v>152</v>
      </c>
      <c r="H50" s="27" t="s">
        <v>208</v>
      </c>
      <c r="I50" s="27" t="s">
        <v>200</v>
      </c>
      <c r="J50" s="27" t="s">
        <v>260</v>
      </c>
      <c r="K50" s="27" t="s">
        <v>221</v>
      </c>
      <c r="L50" s="3" t="str">
        <f aca="false">IF(ISNUMBER(SEARCH(" m",I50)),"Range",IF(I50="offline","Offline",IF(I50="","Unknown","No echo / error")))</f>
        <v>Offline</v>
      </c>
      <c r="M50" s="3" t="str">
        <f aca="false">IF(ISNUMBER(SEARCH(" m",J50)),"Range",IF(J50="offline","Offline",IF(J50="","Unknown","No echo / error")))</f>
        <v>Range</v>
      </c>
      <c r="N50" s="3" t="str">
        <f aca="false">IF(ISNUMBER(SEARCH(" m",K50)),"Range",IF(K50="offline","Offline",IF(K50="","Unknown","No echo / error")))</f>
        <v>Range</v>
      </c>
      <c r="O50" s="3" t="str">
        <f aca="false">TEXT(B50,"yyyy-mm-dd")</f>
        <v>2026-10-05</v>
      </c>
    </row>
    <row r="51" customFormat="false" ht="15" hidden="false" customHeight="false" outlineLevel="0" collapsed="false">
      <c r="A51" s="27" t="n">
        <v>1</v>
      </c>
      <c r="B51" s="28" t="n">
        <v>46300.1117523843</v>
      </c>
      <c r="C51" s="29" t="n">
        <f aca="false">IF(A52=A51,B52,INDEX(Rounds!$D:$D,MATCH(A51,Rounds!$A:$A,0)))</f>
        <v>46300.1117585417</v>
      </c>
      <c r="D51" s="30" t="n">
        <f aca="false">(B51-INDEX(Rounds!$C:$C,MATCH(A51,Rounds!$A:$A,0)))*86400</f>
        <v>51.475000544</v>
      </c>
      <c r="E51" s="30" t="n">
        <f aca="false">(C51-INDEX(Rounds!$C:$C,MATCH(A51,Rounds!$A:$A,0)))*86400</f>
        <v>52.007000776</v>
      </c>
      <c r="F51" s="31" t="n">
        <f aca="false">(C51-B51)*86400</f>
        <v>0.532000232</v>
      </c>
      <c r="G51" s="27" t="s">
        <v>151</v>
      </c>
      <c r="H51" s="27" t="s">
        <v>203</v>
      </c>
      <c r="I51" s="27" t="s">
        <v>200</v>
      </c>
      <c r="J51" s="27" t="s">
        <v>241</v>
      </c>
      <c r="K51" s="27" t="s">
        <v>221</v>
      </c>
      <c r="L51" s="3" t="str">
        <f aca="false">IF(ISNUMBER(SEARCH(" m",I51)),"Range",IF(I51="offline","Offline",IF(I51="","Unknown","No echo / error")))</f>
        <v>Offline</v>
      </c>
      <c r="M51" s="3" t="str">
        <f aca="false">IF(ISNUMBER(SEARCH(" m",J51)),"Range",IF(J51="offline","Offline",IF(J51="","Unknown","No echo / error")))</f>
        <v>Range</v>
      </c>
      <c r="N51" s="3" t="str">
        <f aca="false">IF(ISNUMBER(SEARCH(" m",K51)),"Range",IF(K51="offline","Offline",IF(K51="","Unknown","No echo / error")))</f>
        <v>Range</v>
      </c>
      <c r="O51" s="3" t="str">
        <f aca="false">TEXT(B51,"yyyy-mm-dd")</f>
        <v>2026-10-05</v>
      </c>
    </row>
    <row r="52" customFormat="false" ht="15" hidden="false" customHeight="false" outlineLevel="0" collapsed="false">
      <c r="A52" s="27" t="n">
        <v>1</v>
      </c>
      <c r="B52" s="28" t="n">
        <v>46300.1117585417</v>
      </c>
      <c r="C52" s="29" t="n">
        <f aca="false">IF(A53=A52,B53,INDEX(Rounds!$D:$D,MATCH(A52,Rounds!$A:$A,0)))</f>
        <v>46300.1118423958</v>
      </c>
      <c r="D52" s="30" t="n">
        <f aca="false">(B52-INDEX(Rounds!$C:$C,MATCH(A52,Rounds!$A:$A,0)))*86400</f>
        <v>52.007000776</v>
      </c>
      <c r="E52" s="30" t="n">
        <f aca="false">(C52-INDEX(Rounds!$C:$C,MATCH(A52,Rounds!$A:$A,0)))*86400</f>
        <v>59.252000204</v>
      </c>
      <c r="F52" s="31" t="n">
        <f aca="false">(C52-B52)*86400</f>
        <v>7.244999427</v>
      </c>
      <c r="G52" s="27" t="s">
        <v>150</v>
      </c>
      <c r="H52" s="27" t="s">
        <v>206</v>
      </c>
      <c r="I52" s="27" t="s">
        <v>200</v>
      </c>
      <c r="J52" s="27" t="s">
        <v>261</v>
      </c>
      <c r="K52" s="27" t="s">
        <v>262</v>
      </c>
      <c r="L52" s="3" t="str">
        <f aca="false">IF(ISNUMBER(SEARCH(" m",I52)),"Range",IF(I52="offline","Offline",IF(I52="","Unknown","No echo / error")))</f>
        <v>Offline</v>
      </c>
      <c r="M52" s="3" t="str">
        <f aca="false">IF(ISNUMBER(SEARCH(" m",J52)),"Range",IF(J52="offline","Offline",IF(J52="","Unknown","No echo / error")))</f>
        <v>Range</v>
      </c>
      <c r="N52" s="3" t="str">
        <f aca="false">IF(ISNUMBER(SEARCH(" m",K52)),"Range",IF(K52="offline","Offline",IF(K52="","Unknown","No echo / error")))</f>
        <v>Range</v>
      </c>
      <c r="O52" s="3" t="str">
        <f aca="false">TEXT(B52,"yyyy-mm-dd")</f>
        <v>2026-10-05</v>
      </c>
    </row>
    <row r="53" customFormat="false" ht="15" hidden="false" customHeight="false" outlineLevel="0" collapsed="false">
      <c r="A53" s="27" t="n">
        <v>1</v>
      </c>
      <c r="B53" s="28" t="n">
        <v>46300.1118423958</v>
      </c>
      <c r="C53" s="29" t="n">
        <f aca="false">IF(A54=A53,B54,INDEX(Rounds!$D:$D,MATCH(A53,Rounds!$A:$A,0)))</f>
        <v>46300.1118632755</v>
      </c>
      <c r="D53" s="30" t="n">
        <f aca="false">(B53-INDEX(Rounds!$C:$C,MATCH(A53,Rounds!$A:$A,0)))*86400</f>
        <v>59.252000204</v>
      </c>
      <c r="E53" s="30" t="n">
        <f aca="false">(C53-INDEX(Rounds!$C:$C,MATCH(A53,Rounds!$A:$A,0)))*86400</f>
        <v>61.056001181</v>
      </c>
      <c r="F53" s="31" t="n">
        <f aca="false">(C53-B53)*86400</f>
        <v>1.804000977</v>
      </c>
      <c r="G53" s="27" t="s">
        <v>152</v>
      </c>
      <c r="H53" s="27" t="s">
        <v>208</v>
      </c>
      <c r="I53" s="27" t="s">
        <v>200</v>
      </c>
      <c r="J53" s="27" t="s">
        <v>263</v>
      </c>
      <c r="K53" s="27" t="s">
        <v>204</v>
      </c>
      <c r="L53" s="3" t="str">
        <f aca="false">IF(ISNUMBER(SEARCH(" m",I53)),"Range",IF(I53="offline","Offline",IF(I53="","Unknown","No echo / error")))</f>
        <v>Offline</v>
      </c>
      <c r="M53" s="3" t="str">
        <f aca="false">IF(ISNUMBER(SEARCH(" m",J53)),"Range",IF(J53="offline","Offline",IF(J53="","Unknown","No echo / error")))</f>
        <v>Range</v>
      </c>
      <c r="N53" s="3" t="str">
        <f aca="false">IF(ISNUMBER(SEARCH(" m",K53)),"Range",IF(K53="offline","Offline",IF(K53="","Unknown","No echo / error")))</f>
        <v>No echo / error</v>
      </c>
      <c r="O53" s="3" t="str">
        <f aca="false">TEXT(B53,"yyyy-mm-dd")</f>
        <v>2026-10-05</v>
      </c>
    </row>
    <row r="54" customFormat="false" ht="15" hidden="false" customHeight="false" outlineLevel="0" collapsed="false">
      <c r="A54" s="27" t="n">
        <v>1</v>
      </c>
      <c r="B54" s="28" t="n">
        <v>46300.1118632755</v>
      </c>
      <c r="C54" s="29" t="n">
        <f aca="false">IF(A55=A54,B55,INDEX(Rounds!$D:$D,MATCH(A54,Rounds!$A:$A,0)))</f>
        <v>46300.1118709028</v>
      </c>
      <c r="D54" s="30" t="n">
        <f aca="false">(B54-INDEX(Rounds!$C:$C,MATCH(A54,Rounds!$A:$A,0)))*86400</f>
        <v>61.056001181</v>
      </c>
      <c r="E54" s="30" t="n">
        <f aca="false">(C54-INDEX(Rounds!$C:$C,MATCH(A54,Rounds!$A:$A,0)))*86400</f>
        <v>61.715000448</v>
      </c>
      <c r="F54" s="31" t="n">
        <f aca="false">(C54-B54)*86400</f>
        <v>0.658999267</v>
      </c>
      <c r="G54" s="27" t="s">
        <v>151</v>
      </c>
      <c r="H54" s="27" t="s">
        <v>203</v>
      </c>
      <c r="I54" s="27" t="s">
        <v>200</v>
      </c>
      <c r="J54" s="27" t="s">
        <v>204</v>
      </c>
      <c r="K54" s="27" t="s">
        <v>264</v>
      </c>
      <c r="L54" s="3" t="str">
        <f aca="false">IF(ISNUMBER(SEARCH(" m",I54)),"Range",IF(I54="offline","Offline",IF(I54="","Unknown","No echo / error")))</f>
        <v>Offline</v>
      </c>
      <c r="M54" s="3" t="str">
        <f aca="false">IF(ISNUMBER(SEARCH(" m",J54)),"Range",IF(J54="offline","Offline",IF(J54="","Unknown","No echo / error")))</f>
        <v>No echo / error</v>
      </c>
      <c r="N54" s="3" t="str">
        <f aca="false">IF(ISNUMBER(SEARCH(" m",K54)),"Range",IF(K54="offline","Offline",IF(K54="","Unknown","No echo / error")))</f>
        <v>Range</v>
      </c>
      <c r="O54" s="3" t="str">
        <f aca="false">TEXT(B54,"yyyy-mm-dd")</f>
        <v>2026-10-05</v>
      </c>
    </row>
    <row r="55" customFormat="false" ht="15" hidden="false" customHeight="false" outlineLevel="0" collapsed="false">
      <c r="A55" s="27" t="n">
        <v>1</v>
      </c>
      <c r="B55" s="28" t="n">
        <v>46300.1118709028</v>
      </c>
      <c r="C55" s="29" t="n">
        <f aca="false">IF(A56=A55,B56,INDEX(Rounds!$D:$D,MATCH(A55,Rounds!$A:$A,0)))</f>
        <v>46300.1119420602</v>
      </c>
      <c r="D55" s="30" t="n">
        <f aca="false">(B55-INDEX(Rounds!$C:$C,MATCH(A55,Rounds!$A:$A,0)))*86400</f>
        <v>61.715000448</v>
      </c>
      <c r="E55" s="30" t="n">
        <f aca="false">(C55-INDEX(Rounds!$C:$C,MATCH(A55,Rounds!$A:$A,0)))*86400</f>
        <v>67.863000067</v>
      </c>
      <c r="F55" s="31" t="n">
        <f aca="false">(C55-B55)*86400</f>
        <v>6.147999619</v>
      </c>
      <c r="G55" s="27" t="s">
        <v>150</v>
      </c>
      <c r="H55" s="27" t="s">
        <v>206</v>
      </c>
      <c r="I55" s="27" t="s">
        <v>200</v>
      </c>
      <c r="J55" s="27" t="s">
        <v>210</v>
      </c>
      <c r="K55" s="27" t="s">
        <v>265</v>
      </c>
      <c r="L55" s="3" t="str">
        <f aca="false">IF(ISNUMBER(SEARCH(" m",I55)),"Range",IF(I55="offline","Offline",IF(I55="","Unknown","No echo / error")))</f>
        <v>Offline</v>
      </c>
      <c r="M55" s="3" t="str">
        <f aca="false">IF(ISNUMBER(SEARCH(" m",J55)),"Range",IF(J55="offline","Offline",IF(J55="","Unknown","No echo / error")))</f>
        <v>Range</v>
      </c>
      <c r="N55" s="3" t="str">
        <f aca="false">IF(ISNUMBER(SEARCH(" m",K55)),"Range",IF(K55="offline","Offline",IF(K55="","Unknown","No echo / error")))</f>
        <v>Range</v>
      </c>
      <c r="O55" s="3" t="str">
        <f aca="false">TEXT(B55,"yyyy-mm-dd")</f>
        <v>2026-10-05</v>
      </c>
    </row>
    <row r="56" customFormat="false" ht="15" hidden="false" customHeight="false" outlineLevel="0" collapsed="false">
      <c r="A56" s="27" t="n">
        <v>1</v>
      </c>
      <c r="B56" s="28" t="n">
        <v>46300.1119420602</v>
      </c>
      <c r="C56" s="29" t="n">
        <f aca="false">IF(A57=A56,B57,INDEX(Rounds!$D:$D,MATCH(A56,Rounds!$A:$A,0)))</f>
        <v>46300.1119420602</v>
      </c>
      <c r="D56" s="30" t="n">
        <f aca="false">(B56-INDEX(Rounds!$C:$C,MATCH(A56,Rounds!$A:$A,0)))*86400</f>
        <v>67.863000067</v>
      </c>
      <c r="E56" s="30" t="n">
        <f aca="false">(C56-INDEX(Rounds!$C:$C,MATCH(A56,Rounds!$A:$A,0)))*86400</f>
        <v>67.863000067</v>
      </c>
      <c r="F56" s="31" t="n">
        <f aca="false">(C56-B56)*86400</f>
        <v>0</v>
      </c>
      <c r="G56" s="27" t="s">
        <v>154</v>
      </c>
      <c r="H56" s="27" t="s">
        <v>206</v>
      </c>
      <c r="I56" s="27" t="s">
        <v>200</v>
      </c>
      <c r="J56" s="27" t="s">
        <v>210</v>
      </c>
      <c r="K56" s="27" t="s">
        <v>265</v>
      </c>
      <c r="L56" s="3" t="str">
        <f aca="false">IF(ISNUMBER(SEARCH(" m",I56)),"Range",IF(I56="offline","Offline",IF(I56="","Unknown","No echo / error")))</f>
        <v>Offline</v>
      </c>
      <c r="M56" s="3" t="str">
        <f aca="false">IF(ISNUMBER(SEARCH(" m",J56)),"Range",IF(J56="offline","Offline",IF(J56="","Unknown","No echo / error")))</f>
        <v>Range</v>
      </c>
      <c r="N56" s="3" t="str">
        <f aca="false">IF(ISNUMBER(SEARCH(" m",K56)),"Range",IF(K56="offline","Offline",IF(K56="","Unknown","No echo / error")))</f>
        <v>Range</v>
      </c>
      <c r="O56" s="3" t="str">
        <f aca="false">TEXT(B56,"yyyy-mm-dd")</f>
        <v>2026-10-05</v>
      </c>
    </row>
    <row r="57" customFormat="false" ht="15" hidden="false" customHeight="false" outlineLevel="0" collapsed="false">
      <c r="A57" s="27" t="n">
        <v>2</v>
      </c>
      <c r="B57" s="28" t="n">
        <v>46300.1128393287</v>
      </c>
      <c r="C57" s="29" t="n">
        <f aca="false">IF(A58=A57,B58,INDEX(Rounds!$D:$D,MATCH(A57,Rounds!$A:$A,0)))</f>
        <v>46300.1128393287</v>
      </c>
      <c r="D57" s="30" t="n">
        <f aca="false">(B57-INDEX(Rounds!$C:$C,MATCH(A57,Rounds!$A:$A,0)))*86400</f>
        <v>0</v>
      </c>
      <c r="E57" s="30" t="n">
        <f aca="false">(C57-INDEX(Rounds!$C:$C,MATCH(A57,Rounds!$A:$A,0)))*86400</f>
        <v>0</v>
      </c>
      <c r="F57" s="31" t="n">
        <f aca="false">(C57-B57)*86400</f>
        <v>0</v>
      </c>
      <c r="G57" s="27" t="s">
        <v>150</v>
      </c>
      <c r="H57" s="27" t="s">
        <v>206</v>
      </c>
      <c r="I57" s="27" t="s">
        <v>200</v>
      </c>
      <c r="J57" s="27" t="s">
        <v>210</v>
      </c>
      <c r="K57" s="27" t="s">
        <v>265</v>
      </c>
      <c r="L57" s="3" t="str">
        <f aca="false">IF(ISNUMBER(SEARCH(" m",I57)),"Range",IF(I57="offline","Offline",IF(I57="","Unknown","No echo / error")))</f>
        <v>Offline</v>
      </c>
      <c r="M57" s="3" t="str">
        <f aca="false">IF(ISNUMBER(SEARCH(" m",J57)),"Range",IF(J57="offline","Offline",IF(J57="","Unknown","No echo / error")))</f>
        <v>Range</v>
      </c>
      <c r="N57" s="3" t="str">
        <f aca="false">IF(ISNUMBER(SEARCH(" m",K57)),"Range",IF(K57="offline","Offline",IF(K57="","Unknown","No echo / error")))</f>
        <v>Range</v>
      </c>
      <c r="O57" s="3" t="str">
        <f aca="false">TEXT(B57,"yyyy-mm-dd")</f>
        <v>2026-10-05</v>
      </c>
    </row>
    <row r="58" customFormat="false" ht="15" hidden="false" customHeight="false" outlineLevel="0" collapsed="false">
      <c r="A58" s="27" t="n">
        <v>2</v>
      </c>
      <c r="B58" s="28" t="n">
        <v>46300.1128393287</v>
      </c>
      <c r="C58" s="29" t="n">
        <f aca="false">IF(A59=A58,B59,INDEX(Rounds!$D:$D,MATCH(A58,Rounds!$A:$A,0)))</f>
        <v>46300.1128393287</v>
      </c>
      <c r="D58" s="30" t="n">
        <f aca="false">(B58-INDEX(Rounds!$C:$C,MATCH(A58,Rounds!$A:$A,0)))*86400</f>
        <v>0</v>
      </c>
      <c r="E58" s="30" t="n">
        <f aca="false">(C58-INDEX(Rounds!$C:$C,MATCH(A58,Rounds!$A:$A,0)))*86400</f>
        <v>0</v>
      </c>
      <c r="F58" s="31" t="n">
        <f aca="false">(C58-B58)*86400</f>
        <v>0</v>
      </c>
      <c r="G58" s="27" t="s">
        <v>150</v>
      </c>
      <c r="H58" s="27" t="s">
        <v>206</v>
      </c>
      <c r="I58" s="27" t="s">
        <v>200</v>
      </c>
      <c r="J58" s="27" t="s">
        <v>210</v>
      </c>
      <c r="K58" s="27" t="s">
        <v>265</v>
      </c>
      <c r="L58" s="3" t="str">
        <f aca="false">IF(ISNUMBER(SEARCH(" m",I58)),"Range",IF(I58="offline","Offline",IF(I58="","Unknown","No echo / error")))</f>
        <v>Offline</v>
      </c>
      <c r="M58" s="3" t="str">
        <f aca="false">IF(ISNUMBER(SEARCH(" m",J58)),"Range",IF(J58="offline","Offline",IF(J58="","Unknown","No echo / error")))</f>
        <v>Range</v>
      </c>
      <c r="N58" s="3" t="str">
        <f aca="false">IF(ISNUMBER(SEARCH(" m",K58)),"Range",IF(K58="offline","Offline",IF(K58="","Unknown","No echo / error")))</f>
        <v>Range</v>
      </c>
      <c r="O58" s="3" t="str">
        <f aca="false">TEXT(B58,"yyyy-mm-dd")</f>
        <v>2026-10-05</v>
      </c>
    </row>
    <row r="59" customFormat="false" ht="15" hidden="false" customHeight="false" outlineLevel="0" collapsed="false">
      <c r="A59" s="27" t="n">
        <v>2</v>
      </c>
      <c r="B59" s="28" t="n">
        <v>46300.1128393287</v>
      </c>
      <c r="C59" s="29" t="n">
        <f aca="false">IF(A60=A59,B60,INDEX(Rounds!$D:$D,MATCH(A59,Rounds!$A:$A,0)))</f>
        <v>46300.1128470833</v>
      </c>
      <c r="D59" s="30" t="n">
        <f aca="false">(B59-INDEX(Rounds!$C:$C,MATCH(A59,Rounds!$A:$A,0)))*86400</f>
        <v>0</v>
      </c>
      <c r="E59" s="30" t="n">
        <f aca="false">(C59-INDEX(Rounds!$C:$C,MATCH(A59,Rounds!$A:$A,0)))*86400</f>
        <v>0.670000514</v>
      </c>
      <c r="F59" s="31" t="n">
        <f aca="false">(C59-B59)*86400</f>
        <v>0.670000514</v>
      </c>
      <c r="G59" s="27" t="s">
        <v>152</v>
      </c>
      <c r="H59" s="27" t="s">
        <v>199</v>
      </c>
      <c r="I59" s="27" t="s">
        <v>200</v>
      </c>
      <c r="J59" s="27" t="s">
        <v>266</v>
      </c>
      <c r="K59" s="27" t="s">
        <v>267</v>
      </c>
      <c r="L59" s="3" t="str">
        <f aca="false">IF(ISNUMBER(SEARCH(" m",I59)),"Range",IF(I59="offline","Offline",IF(I59="","Unknown","No echo / error")))</f>
        <v>Offline</v>
      </c>
      <c r="M59" s="3" t="str">
        <f aca="false">IF(ISNUMBER(SEARCH(" m",J59)),"Range",IF(J59="offline","Offline",IF(J59="","Unknown","No echo / error")))</f>
        <v>Range</v>
      </c>
      <c r="N59" s="3" t="str">
        <f aca="false">IF(ISNUMBER(SEARCH(" m",K59)),"Range",IF(K59="offline","Offline",IF(K59="","Unknown","No echo / error")))</f>
        <v>Range</v>
      </c>
      <c r="O59" s="3" t="str">
        <f aca="false">TEXT(B59,"yyyy-mm-dd")</f>
        <v>2026-10-05</v>
      </c>
    </row>
    <row r="60" customFormat="false" ht="15" hidden="false" customHeight="false" outlineLevel="0" collapsed="false">
      <c r="A60" s="27" t="n">
        <v>2</v>
      </c>
      <c r="B60" s="28" t="n">
        <v>46300.1128470833</v>
      </c>
      <c r="C60" s="29" t="n">
        <f aca="false">IF(A61=A60,B61,INDEX(Rounds!$D:$D,MATCH(A60,Rounds!$A:$A,0)))</f>
        <v>46300.1128526968</v>
      </c>
      <c r="D60" s="30" t="n">
        <f aca="false">(B60-INDEX(Rounds!$C:$C,MATCH(A60,Rounds!$A:$A,0)))*86400</f>
        <v>0.670000514</v>
      </c>
      <c r="E60" s="30" t="n">
        <f aca="false">(C60-INDEX(Rounds!$C:$C,MATCH(A60,Rounds!$A:$A,0)))*86400</f>
        <v>1.154999644</v>
      </c>
      <c r="F60" s="31" t="n">
        <f aca="false">(C60-B60)*86400</f>
        <v>0.484999129</v>
      </c>
      <c r="G60" s="27" t="s">
        <v>151</v>
      </c>
      <c r="H60" s="27" t="s">
        <v>203</v>
      </c>
      <c r="I60" s="27" t="s">
        <v>200</v>
      </c>
      <c r="J60" s="27" t="s">
        <v>268</v>
      </c>
      <c r="K60" s="27" t="s">
        <v>269</v>
      </c>
      <c r="L60" s="3" t="str">
        <f aca="false">IF(ISNUMBER(SEARCH(" m",I60)),"Range",IF(I60="offline","Offline",IF(I60="","Unknown","No echo / error")))</f>
        <v>Offline</v>
      </c>
      <c r="M60" s="3" t="str">
        <f aca="false">IF(ISNUMBER(SEARCH(" m",J60)),"Range",IF(J60="offline","Offline",IF(J60="","Unknown","No echo / error")))</f>
        <v>Range</v>
      </c>
      <c r="N60" s="3" t="str">
        <f aca="false">IF(ISNUMBER(SEARCH(" m",K60)),"Range",IF(K60="offline","Offline",IF(K60="","Unknown","No echo / error")))</f>
        <v>Range</v>
      </c>
      <c r="O60" s="3" t="str">
        <f aca="false">TEXT(B60,"yyyy-mm-dd")</f>
        <v>2026-10-05</v>
      </c>
    </row>
    <row r="61" customFormat="false" ht="15" hidden="false" customHeight="false" outlineLevel="0" collapsed="false">
      <c r="A61" s="27" t="n">
        <v>2</v>
      </c>
      <c r="B61" s="28" t="n">
        <v>46300.1128526968</v>
      </c>
      <c r="C61" s="29" t="n">
        <f aca="false">IF(A62=A61,B62,INDEX(Rounds!$D:$D,MATCH(A61,Rounds!$A:$A,0)))</f>
        <v>46300.1128588426</v>
      </c>
      <c r="D61" s="30" t="n">
        <f aca="false">(B61-INDEX(Rounds!$C:$C,MATCH(A61,Rounds!$A:$A,0)))*86400</f>
        <v>1.154999644</v>
      </c>
      <c r="E61" s="30" t="n">
        <f aca="false">(C61-INDEX(Rounds!$C:$C,MATCH(A61,Rounds!$A:$A,0)))*86400</f>
        <v>1.685999706</v>
      </c>
      <c r="F61" s="31" t="n">
        <f aca="false">(C61-B61)*86400</f>
        <v>0.531000061</v>
      </c>
      <c r="G61" s="27" t="s">
        <v>152</v>
      </c>
      <c r="H61" s="27" t="s">
        <v>208</v>
      </c>
      <c r="I61" s="27" t="s">
        <v>200</v>
      </c>
      <c r="J61" s="27" t="s">
        <v>268</v>
      </c>
      <c r="K61" s="27" t="s">
        <v>269</v>
      </c>
      <c r="L61" s="3" t="str">
        <f aca="false">IF(ISNUMBER(SEARCH(" m",I61)),"Range",IF(I61="offline","Offline",IF(I61="","Unknown","No echo / error")))</f>
        <v>Offline</v>
      </c>
      <c r="M61" s="3" t="str">
        <f aca="false">IF(ISNUMBER(SEARCH(" m",J61)),"Range",IF(J61="offline","Offline",IF(J61="","Unknown","No echo / error")))</f>
        <v>Range</v>
      </c>
      <c r="N61" s="3" t="str">
        <f aca="false">IF(ISNUMBER(SEARCH(" m",K61)),"Range",IF(K61="offline","Offline",IF(K61="","Unknown","No echo / error")))</f>
        <v>Range</v>
      </c>
      <c r="O61" s="3" t="str">
        <f aca="false">TEXT(B61,"yyyy-mm-dd")</f>
        <v>2026-10-05</v>
      </c>
    </row>
    <row r="62" customFormat="false" ht="15" hidden="false" customHeight="false" outlineLevel="0" collapsed="false">
      <c r="A62" s="27" t="n">
        <v>2</v>
      </c>
      <c r="B62" s="28" t="n">
        <v>46300.1128588426</v>
      </c>
      <c r="C62" s="29" t="n">
        <f aca="false">IF(A63=A62,B63,INDEX(Rounds!$D:$D,MATCH(A62,Rounds!$A:$A,0)))</f>
        <v>46300.1128717014</v>
      </c>
      <c r="D62" s="30" t="n">
        <f aca="false">(B62-INDEX(Rounds!$C:$C,MATCH(A62,Rounds!$A:$A,0)))*86400</f>
        <v>1.685999706</v>
      </c>
      <c r="E62" s="30" t="n">
        <f aca="false">(C62-INDEX(Rounds!$C:$C,MATCH(A62,Rounds!$A:$A,0)))*86400</f>
        <v>2.797000017</v>
      </c>
      <c r="F62" s="31" t="n">
        <f aca="false">(C62-B62)*86400</f>
        <v>1.11100031</v>
      </c>
      <c r="G62" s="27" t="s">
        <v>151</v>
      </c>
      <c r="H62" s="27" t="s">
        <v>203</v>
      </c>
      <c r="I62" s="27" t="s">
        <v>200</v>
      </c>
      <c r="J62" s="27" t="s">
        <v>270</v>
      </c>
      <c r="K62" s="27" t="s">
        <v>271</v>
      </c>
      <c r="L62" s="3" t="str">
        <f aca="false">IF(ISNUMBER(SEARCH(" m",I62)),"Range",IF(I62="offline","Offline",IF(I62="","Unknown","No echo / error")))</f>
        <v>Offline</v>
      </c>
      <c r="M62" s="3" t="str">
        <f aca="false">IF(ISNUMBER(SEARCH(" m",J62)),"Range",IF(J62="offline","Offline",IF(J62="","Unknown","No echo / error")))</f>
        <v>Range</v>
      </c>
      <c r="N62" s="3" t="str">
        <f aca="false">IF(ISNUMBER(SEARCH(" m",K62)),"Range",IF(K62="offline","Offline",IF(K62="","Unknown","No echo / error")))</f>
        <v>Range</v>
      </c>
      <c r="O62" s="3" t="str">
        <f aca="false">TEXT(B62,"yyyy-mm-dd")</f>
        <v>2026-10-05</v>
      </c>
    </row>
    <row r="63" customFormat="false" ht="15" hidden="false" customHeight="false" outlineLevel="0" collapsed="false">
      <c r="A63" s="27" t="n">
        <v>2</v>
      </c>
      <c r="B63" s="28" t="n">
        <v>46300.1128717014</v>
      </c>
      <c r="C63" s="29" t="n">
        <f aca="false">IF(A64=A63,B64,INDEX(Rounds!$D:$D,MATCH(A63,Rounds!$A:$A,0)))</f>
        <v>46300.1128815972</v>
      </c>
      <c r="D63" s="30" t="n">
        <f aca="false">(B63-INDEX(Rounds!$C:$C,MATCH(A63,Rounds!$A:$A,0)))*86400</f>
        <v>2.797000017</v>
      </c>
      <c r="E63" s="30" t="n">
        <f aca="false">(C63-INDEX(Rounds!$C:$C,MATCH(A63,Rounds!$A:$A,0)))*86400</f>
        <v>3.651999402</v>
      </c>
      <c r="F63" s="31" t="n">
        <f aca="false">(C63-B63)*86400</f>
        <v>0.854999385</v>
      </c>
      <c r="G63" s="27" t="s">
        <v>150</v>
      </c>
      <c r="H63" s="27" t="s">
        <v>206</v>
      </c>
      <c r="I63" s="27" t="s">
        <v>200</v>
      </c>
      <c r="J63" s="27" t="s">
        <v>232</v>
      </c>
      <c r="K63" s="27" t="s">
        <v>272</v>
      </c>
      <c r="L63" s="3" t="str">
        <f aca="false">IF(ISNUMBER(SEARCH(" m",I63)),"Range",IF(I63="offline","Offline",IF(I63="","Unknown","No echo / error")))</f>
        <v>Offline</v>
      </c>
      <c r="M63" s="3" t="str">
        <f aca="false">IF(ISNUMBER(SEARCH(" m",J63)),"Range",IF(J63="offline","Offline",IF(J63="","Unknown","No echo / error")))</f>
        <v>Range</v>
      </c>
      <c r="N63" s="3" t="str">
        <f aca="false">IF(ISNUMBER(SEARCH(" m",K63)),"Range",IF(K63="offline","Offline",IF(K63="","Unknown","No echo / error")))</f>
        <v>Range</v>
      </c>
      <c r="O63" s="3" t="str">
        <f aca="false">TEXT(B63,"yyyy-mm-dd")</f>
        <v>2026-10-05</v>
      </c>
    </row>
    <row r="64" customFormat="false" ht="15" hidden="false" customHeight="false" outlineLevel="0" collapsed="false">
      <c r="A64" s="27" t="n">
        <v>2</v>
      </c>
      <c r="B64" s="28" t="n">
        <v>46300.1128815972</v>
      </c>
      <c r="C64" s="29" t="n">
        <f aca="false">IF(A65=A64,B65,INDEX(Rounds!$D:$D,MATCH(A64,Rounds!$A:$A,0)))</f>
        <v>46300.1128817824</v>
      </c>
      <c r="D64" s="30" t="n">
        <f aca="false">(B64-INDEX(Rounds!$C:$C,MATCH(A64,Rounds!$A:$A,0)))*86400</f>
        <v>3.651999402</v>
      </c>
      <c r="E64" s="30" t="n">
        <f aca="false">(C64-INDEX(Rounds!$C:$C,MATCH(A64,Rounds!$A:$A,0)))*86400</f>
        <v>3.667999617</v>
      </c>
      <c r="F64" s="31" t="n">
        <f aca="false">(C64-B64)*86400</f>
        <v>0.016000214</v>
      </c>
      <c r="G64" s="27" t="s">
        <v>152</v>
      </c>
      <c r="H64" s="27" t="s">
        <v>208</v>
      </c>
      <c r="I64" s="27" t="s">
        <v>200</v>
      </c>
      <c r="J64" s="27" t="s">
        <v>273</v>
      </c>
      <c r="K64" s="27" t="s">
        <v>247</v>
      </c>
      <c r="L64" s="3" t="str">
        <f aca="false">IF(ISNUMBER(SEARCH(" m",I64)),"Range",IF(I64="offline","Offline",IF(I64="","Unknown","No echo / error")))</f>
        <v>Offline</v>
      </c>
      <c r="M64" s="3" t="str">
        <f aca="false">IF(ISNUMBER(SEARCH(" m",J64)),"Range",IF(J64="offline","Offline",IF(J64="","Unknown","No echo / error")))</f>
        <v>Range</v>
      </c>
      <c r="N64" s="3" t="str">
        <f aca="false">IF(ISNUMBER(SEARCH(" m",K64)),"Range",IF(K64="offline","Offline",IF(K64="","Unknown","No echo / error")))</f>
        <v>Range</v>
      </c>
      <c r="O64" s="3" t="str">
        <f aca="false">TEXT(B64,"yyyy-mm-dd")</f>
        <v>2026-10-05</v>
      </c>
    </row>
    <row r="65" customFormat="false" ht="15" hidden="false" customHeight="false" outlineLevel="0" collapsed="false">
      <c r="A65" s="27" t="n">
        <v>2</v>
      </c>
      <c r="B65" s="28" t="n">
        <v>46300.1128817824</v>
      </c>
      <c r="C65" s="29" t="n">
        <f aca="false">IF(A66=A65,B66,INDEX(Rounds!$D:$D,MATCH(A65,Rounds!$A:$A,0)))</f>
        <v>46300.1128828819</v>
      </c>
      <c r="D65" s="30" t="n">
        <f aca="false">(B65-INDEX(Rounds!$C:$C,MATCH(A65,Rounds!$A:$A,0)))*86400</f>
        <v>3.667999617</v>
      </c>
      <c r="E65" s="30" t="n">
        <f aca="false">(C65-INDEX(Rounds!$C:$C,MATCH(A65,Rounds!$A:$A,0)))*86400</f>
        <v>3.762999479</v>
      </c>
      <c r="F65" s="31" t="n">
        <f aca="false">(C65-B65)*86400</f>
        <v>0.094999861</v>
      </c>
      <c r="G65" s="27" t="s">
        <v>151</v>
      </c>
      <c r="H65" s="27" t="s">
        <v>203</v>
      </c>
      <c r="I65" s="27" t="s">
        <v>200</v>
      </c>
      <c r="J65" s="27" t="s">
        <v>273</v>
      </c>
      <c r="K65" s="27" t="s">
        <v>266</v>
      </c>
      <c r="L65" s="3" t="str">
        <f aca="false">IF(ISNUMBER(SEARCH(" m",I65)),"Range",IF(I65="offline","Offline",IF(I65="","Unknown","No echo / error")))</f>
        <v>Offline</v>
      </c>
      <c r="M65" s="3" t="str">
        <f aca="false">IF(ISNUMBER(SEARCH(" m",J65)),"Range",IF(J65="offline","Offline",IF(J65="","Unknown","No echo / error")))</f>
        <v>Range</v>
      </c>
      <c r="N65" s="3" t="str">
        <f aca="false">IF(ISNUMBER(SEARCH(" m",K65)),"Range",IF(K65="offline","Offline",IF(K65="","Unknown","No echo / error")))</f>
        <v>Range</v>
      </c>
      <c r="O65" s="3" t="str">
        <f aca="false">TEXT(B65,"yyyy-mm-dd")</f>
        <v>2026-10-05</v>
      </c>
    </row>
    <row r="66" customFormat="false" ht="15" hidden="false" customHeight="false" outlineLevel="0" collapsed="false">
      <c r="A66" s="27" t="n">
        <v>2</v>
      </c>
      <c r="B66" s="28" t="n">
        <v>46300.1128828819</v>
      </c>
      <c r="C66" s="29" t="n">
        <f aca="false">IF(A67=A66,B67,INDEX(Rounds!$D:$D,MATCH(A66,Rounds!$A:$A,0)))</f>
        <v>46300.1128905208</v>
      </c>
      <c r="D66" s="30" t="n">
        <f aca="false">(B66-INDEX(Rounds!$C:$C,MATCH(A66,Rounds!$A:$A,0)))*86400</f>
        <v>3.762999479</v>
      </c>
      <c r="E66" s="30" t="n">
        <f aca="false">(C66-INDEX(Rounds!$C:$C,MATCH(A66,Rounds!$A:$A,0)))*86400</f>
        <v>4.422999545</v>
      </c>
      <c r="F66" s="31" t="n">
        <f aca="false">(C66-B66)*86400</f>
        <v>0.660000066</v>
      </c>
      <c r="G66" s="27" t="s">
        <v>150</v>
      </c>
      <c r="H66" s="27" t="s">
        <v>206</v>
      </c>
      <c r="I66" s="27" t="s">
        <v>200</v>
      </c>
      <c r="J66" s="27" t="s">
        <v>250</v>
      </c>
      <c r="K66" s="27" t="s">
        <v>266</v>
      </c>
      <c r="L66" s="3" t="str">
        <f aca="false">IF(ISNUMBER(SEARCH(" m",I66)),"Range",IF(I66="offline","Offline",IF(I66="","Unknown","No echo / error")))</f>
        <v>Offline</v>
      </c>
      <c r="M66" s="3" t="str">
        <f aca="false">IF(ISNUMBER(SEARCH(" m",J66)),"Range",IF(J66="offline","Offline",IF(J66="","Unknown","No echo / error")))</f>
        <v>Range</v>
      </c>
      <c r="N66" s="3" t="str">
        <f aca="false">IF(ISNUMBER(SEARCH(" m",K66)),"Range",IF(K66="offline","Offline",IF(K66="","Unknown","No echo / error")))</f>
        <v>Range</v>
      </c>
      <c r="O66" s="3" t="str">
        <f aca="false">TEXT(B66,"yyyy-mm-dd")</f>
        <v>2026-10-05</v>
      </c>
    </row>
    <row r="67" customFormat="false" ht="15" hidden="false" customHeight="false" outlineLevel="0" collapsed="false">
      <c r="A67" s="27" t="n">
        <v>2</v>
      </c>
      <c r="B67" s="28" t="n">
        <v>46300.1128905208</v>
      </c>
      <c r="C67" s="29" t="n">
        <f aca="false">IF(A68=A67,B68,INDEX(Rounds!$D:$D,MATCH(A67,Rounds!$A:$A,0)))</f>
        <v>46300.112895</v>
      </c>
      <c r="D67" s="30" t="n">
        <f aca="false">(B67-INDEX(Rounds!$C:$C,MATCH(A67,Rounds!$A:$A,0)))*86400</f>
        <v>4.422999545</v>
      </c>
      <c r="E67" s="30" t="n">
        <f aca="false">(C67-INDEX(Rounds!$C:$C,MATCH(A67,Rounds!$A:$A,0)))*86400</f>
        <v>4.809999559</v>
      </c>
      <c r="F67" s="31" t="n">
        <f aca="false">(C67-B67)*86400</f>
        <v>0.387000013</v>
      </c>
      <c r="G67" s="27" t="s">
        <v>151</v>
      </c>
      <c r="H67" s="27" t="s">
        <v>203</v>
      </c>
      <c r="I67" s="27" t="s">
        <v>200</v>
      </c>
      <c r="J67" s="27" t="s">
        <v>204</v>
      </c>
      <c r="K67" s="27" t="s">
        <v>248</v>
      </c>
      <c r="L67" s="3" t="str">
        <f aca="false">IF(ISNUMBER(SEARCH(" m",I67)),"Range",IF(I67="offline","Offline",IF(I67="","Unknown","No echo / error")))</f>
        <v>Offline</v>
      </c>
      <c r="M67" s="3" t="str">
        <f aca="false">IF(ISNUMBER(SEARCH(" m",J67)),"Range",IF(J67="offline","Offline",IF(J67="","Unknown","No echo / error")))</f>
        <v>No echo / error</v>
      </c>
      <c r="N67" s="3" t="str">
        <f aca="false">IF(ISNUMBER(SEARCH(" m",K67)),"Range",IF(K67="offline","Offline",IF(K67="","Unknown","No echo / error")))</f>
        <v>Range</v>
      </c>
      <c r="O67" s="3" t="str">
        <f aca="false">TEXT(B67,"yyyy-mm-dd")</f>
        <v>2026-10-05</v>
      </c>
    </row>
    <row r="68" customFormat="false" ht="15" hidden="false" customHeight="false" outlineLevel="0" collapsed="false">
      <c r="A68" s="27" t="n">
        <v>2</v>
      </c>
      <c r="B68" s="28" t="n">
        <v>46300.112895</v>
      </c>
      <c r="C68" s="29" t="n">
        <f aca="false">IF(A69=A68,B69,INDEX(Rounds!$D:$D,MATCH(A68,Rounds!$A:$A,0)))</f>
        <v>46300.1129535995</v>
      </c>
      <c r="D68" s="30" t="n">
        <f aca="false">(B68-INDEX(Rounds!$C:$C,MATCH(A68,Rounds!$A:$A,0)))*86400</f>
        <v>4.809999559</v>
      </c>
      <c r="E68" s="30" t="n">
        <f aca="false">(C68-INDEX(Rounds!$C:$C,MATCH(A68,Rounds!$A:$A,0)))*86400</f>
        <v>9.873000159</v>
      </c>
      <c r="F68" s="31" t="n">
        <f aca="false">(C68-B68)*86400</f>
        <v>5.0630006</v>
      </c>
      <c r="G68" s="27" t="s">
        <v>150</v>
      </c>
      <c r="H68" s="27" t="s">
        <v>206</v>
      </c>
      <c r="I68" s="27" t="s">
        <v>200</v>
      </c>
      <c r="J68" s="27" t="s">
        <v>274</v>
      </c>
      <c r="K68" s="27" t="s">
        <v>275</v>
      </c>
      <c r="L68" s="3" t="str">
        <f aca="false">IF(ISNUMBER(SEARCH(" m",I68)),"Range",IF(I68="offline","Offline",IF(I68="","Unknown","No echo / error")))</f>
        <v>Offline</v>
      </c>
      <c r="M68" s="3" t="str">
        <f aca="false">IF(ISNUMBER(SEARCH(" m",J68)),"Range",IF(J68="offline","Offline",IF(J68="","Unknown","No echo / error")))</f>
        <v>Range</v>
      </c>
      <c r="N68" s="3" t="str">
        <f aca="false">IF(ISNUMBER(SEARCH(" m",K68)),"Range",IF(K68="offline","Offline",IF(K68="","Unknown","No echo / error")))</f>
        <v>Range</v>
      </c>
      <c r="O68" s="3" t="str">
        <f aca="false">TEXT(B68,"yyyy-mm-dd")</f>
        <v>2026-10-05</v>
      </c>
    </row>
    <row r="69" customFormat="false" ht="15" hidden="false" customHeight="false" outlineLevel="0" collapsed="false">
      <c r="A69" s="27" t="n">
        <v>2</v>
      </c>
      <c r="B69" s="28" t="n">
        <v>46300.1129535995</v>
      </c>
      <c r="C69" s="29" t="n">
        <f aca="false">IF(A70=A69,B70,INDEX(Rounds!$D:$D,MATCH(A69,Rounds!$A:$A,0)))</f>
        <v>46300.112954537</v>
      </c>
      <c r="D69" s="30" t="n">
        <f aca="false">(B69-INDEX(Rounds!$C:$C,MATCH(A69,Rounds!$A:$A,0)))*86400</f>
        <v>9.873000159</v>
      </c>
      <c r="E69" s="30" t="n">
        <f aca="false">(C69-INDEX(Rounds!$C:$C,MATCH(A69,Rounds!$A:$A,0)))*86400</f>
        <v>9.95399889</v>
      </c>
      <c r="F69" s="31" t="n">
        <f aca="false">(C69-B69)*86400</f>
        <v>0.08099873</v>
      </c>
      <c r="G69" s="27" t="s">
        <v>151</v>
      </c>
      <c r="H69" s="27" t="s">
        <v>203</v>
      </c>
      <c r="I69" s="27" t="s">
        <v>200</v>
      </c>
      <c r="J69" s="27" t="s">
        <v>257</v>
      </c>
      <c r="K69" s="27" t="s">
        <v>276</v>
      </c>
      <c r="L69" s="3" t="str">
        <f aca="false">IF(ISNUMBER(SEARCH(" m",I69)),"Range",IF(I69="offline","Offline",IF(I69="","Unknown","No echo / error")))</f>
        <v>Offline</v>
      </c>
      <c r="M69" s="3" t="str">
        <f aca="false">IF(ISNUMBER(SEARCH(" m",J69)),"Range",IF(J69="offline","Offline",IF(J69="","Unknown","No echo / error")))</f>
        <v>Range</v>
      </c>
      <c r="N69" s="3" t="str">
        <f aca="false">IF(ISNUMBER(SEARCH(" m",K69)),"Range",IF(K69="offline","Offline",IF(K69="","Unknown","No echo / error")))</f>
        <v>Range</v>
      </c>
      <c r="O69" s="3" t="str">
        <f aca="false">TEXT(B69,"yyyy-mm-dd")</f>
        <v>2026-10-05</v>
      </c>
    </row>
    <row r="70" customFormat="false" ht="15" hidden="false" customHeight="false" outlineLevel="0" collapsed="false">
      <c r="A70" s="27" t="n">
        <v>2</v>
      </c>
      <c r="B70" s="28" t="n">
        <v>46300.112954537</v>
      </c>
      <c r="C70" s="29" t="n">
        <f aca="false">IF(A71=A70,B71,INDEX(Rounds!$D:$D,MATCH(A70,Rounds!$A:$A,0)))</f>
        <v>46300.1130460417</v>
      </c>
      <c r="D70" s="30" t="n">
        <f aca="false">(B70-INDEX(Rounds!$C:$C,MATCH(A70,Rounds!$A:$A,0)))*86400</f>
        <v>9.95399889</v>
      </c>
      <c r="E70" s="30" t="n">
        <f aca="false">(C70-INDEX(Rounds!$C:$C,MATCH(A70,Rounds!$A:$A,0)))*86400</f>
        <v>17.859999812</v>
      </c>
      <c r="F70" s="31" t="n">
        <f aca="false">(C70-B70)*86400</f>
        <v>7.906000921</v>
      </c>
      <c r="G70" s="27" t="s">
        <v>150</v>
      </c>
      <c r="H70" s="27" t="s">
        <v>206</v>
      </c>
      <c r="I70" s="27" t="s">
        <v>200</v>
      </c>
      <c r="J70" s="27" t="s">
        <v>234</v>
      </c>
      <c r="K70" s="27" t="s">
        <v>276</v>
      </c>
      <c r="L70" s="3" t="str">
        <f aca="false">IF(ISNUMBER(SEARCH(" m",I70)),"Range",IF(I70="offline","Offline",IF(I70="","Unknown","No echo / error")))</f>
        <v>Offline</v>
      </c>
      <c r="M70" s="3" t="str">
        <f aca="false">IF(ISNUMBER(SEARCH(" m",J70)),"Range",IF(J70="offline","Offline",IF(J70="","Unknown","No echo / error")))</f>
        <v>Range</v>
      </c>
      <c r="N70" s="3" t="str">
        <f aca="false">IF(ISNUMBER(SEARCH(" m",K70)),"Range",IF(K70="offline","Offline",IF(K70="","Unknown","No echo / error")))</f>
        <v>Range</v>
      </c>
      <c r="O70" s="3" t="str">
        <f aca="false">TEXT(B70,"yyyy-mm-dd")</f>
        <v>2026-10-05</v>
      </c>
    </row>
    <row r="71" customFormat="false" ht="15" hidden="false" customHeight="false" outlineLevel="0" collapsed="false">
      <c r="A71" s="27" t="n">
        <v>2</v>
      </c>
      <c r="B71" s="28" t="n">
        <v>46300.1130460417</v>
      </c>
      <c r="C71" s="29" t="n">
        <f aca="false">IF(A72=A71,B72,INDEX(Rounds!$D:$D,MATCH(A71,Rounds!$A:$A,0)))</f>
        <v>46300.113047338</v>
      </c>
      <c r="D71" s="30" t="n">
        <f aca="false">(B71-INDEX(Rounds!$C:$C,MATCH(A71,Rounds!$A:$A,0)))*86400</f>
        <v>17.859999812</v>
      </c>
      <c r="E71" s="30" t="n">
        <f aca="false">(C71-INDEX(Rounds!$C:$C,MATCH(A71,Rounds!$A:$A,0)))*86400</f>
        <v>17.971999431</v>
      </c>
      <c r="F71" s="31" t="n">
        <f aca="false">(C71-B71)*86400</f>
        <v>0.111999618</v>
      </c>
      <c r="G71" s="27" t="s">
        <v>151</v>
      </c>
      <c r="H71" s="27" t="s">
        <v>203</v>
      </c>
      <c r="I71" s="27" t="s">
        <v>200</v>
      </c>
      <c r="J71" s="27" t="s">
        <v>277</v>
      </c>
      <c r="K71" s="27" t="s">
        <v>278</v>
      </c>
      <c r="L71" s="3" t="str">
        <f aca="false">IF(ISNUMBER(SEARCH(" m",I71)),"Range",IF(I71="offline","Offline",IF(I71="","Unknown","No echo / error")))</f>
        <v>Offline</v>
      </c>
      <c r="M71" s="3" t="str">
        <f aca="false">IF(ISNUMBER(SEARCH(" m",J71)),"Range",IF(J71="offline","Offline",IF(J71="","Unknown","No echo / error")))</f>
        <v>Range</v>
      </c>
      <c r="N71" s="3" t="str">
        <f aca="false">IF(ISNUMBER(SEARCH(" m",K71)),"Range",IF(K71="offline","Offline",IF(K71="","Unknown","No echo / error")))</f>
        <v>Range</v>
      </c>
      <c r="O71" s="3" t="str">
        <f aca="false">TEXT(B71,"yyyy-mm-dd")</f>
        <v>2026-10-05</v>
      </c>
    </row>
    <row r="72" customFormat="false" ht="15" hidden="false" customHeight="false" outlineLevel="0" collapsed="false">
      <c r="A72" s="27" t="n">
        <v>2</v>
      </c>
      <c r="B72" s="28" t="n">
        <v>46300.113047338</v>
      </c>
      <c r="C72" s="29" t="n">
        <f aca="false">IF(A73=A72,B73,INDEX(Rounds!$D:$D,MATCH(A72,Rounds!$A:$A,0)))</f>
        <v>46300.1131016435</v>
      </c>
      <c r="D72" s="30" t="n">
        <f aca="false">(B72-INDEX(Rounds!$C:$C,MATCH(A72,Rounds!$A:$A,0)))*86400</f>
        <v>17.971999431</v>
      </c>
      <c r="E72" s="30" t="n">
        <f aca="false">(C72-INDEX(Rounds!$C:$C,MATCH(A72,Rounds!$A:$A,0)))*86400</f>
        <v>22.663999604</v>
      </c>
      <c r="F72" s="31" t="n">
        <f aca="false">(C72-B72)*86400</f>
        <v>4.692000173</v>
      </c>
      <c r="G72" s="27" t="s">
        <v>150</v>
      </c>
      <c r="H72" s="27" t="s">
        <v>206</v>
      </c>
      <c r="I72" s="27" t="s">
        <v>200</v>
      </c>
      <c r="J72" s="27" t="s">
        <v>277</v>
      </c>
      <c r="K72" s="27" t="s">
        <v>242</v>
      </c>
      <c r="L72" s="3" t="str">
        <f aca="false">IF(ISNUMBER(SEARCH(" m",I72)),"Range",IF(I72="offline","Offline",IF(I72="","Unknown","No echo / error")))</f>
        <v>Offline</v>
      </c>
      <c r="M72" s="3" t="str">
        <f aca="false">IF(ISNUMBER(SEARCH(" m",J72)),"Range",IF(J72="offline","Offline",IF(J72="","Unknown","No echo / error")))</f>
        <v>Range</v>
      </c>
      <c r="N72" s="3" t="str">
        <f aca="false">IF(ISNUMBER(SEARCH(" m",K72)),"Range",IF(K72="offline","Offline",IF(K72="","Unknown","No echo / error")))</f>
        <v>Range</v>
      </c>
      <c r="O72" s="3" t="str">
        <f aca="false">TEXT(B72,"yyyy-mm-dd")</f>
        <v>2026-10-05</v>
      </c>
    </row>
    <row r="73" customFormat="false" ht="15" hidden="false" customHeight="false" outlineLevel="0" collapsed="false">
      <c r="A73" s="27" t="n">
        <v>2</v>
      </c>
      <c r="B73" s="28" t="n">
        <v>46300.1131016435</v>
      </c>
      <c r="C73" s="29" t="n">
        <f aca="false">IF(A74=A73,B74,INDEX(Rounds!$D:$D,MATCH(A73,Rounds!$A:$A,0)))</f>
        <v>46300.1131111111</v>
      </c>
      <c r="D73" s="30" t="n">
        <f aca="false">(B73-INDEX(Rounds!$C:$C,MATCH(A73,Rounds!$A:$A,0)))*86400</f>
        <v>22.663999604</v>
      </c>
      <c r="E73" s="30" t="n">
        <f aca="false">(C73-INDEX(Rounds!$C:$C,MATCH(A73,Rounds!$A:$A,0)))*86400</f>
        <v>23.481999593</v>
      </c>
      <c r="F73" s="31" t="n">
        <f aca="false">(C73-B73)*86400</f>
        <v>0.817999988</v>
      </c>
      <c r="G73" s="27" t="s">
        <v>152</v>
      </c>
      <c r="H73" s="27" t="s">
        <v>208</v>
      </c>
      <c r="I73" s="27" t="s">
        <v>200</v>
      </c>
      <c r="J73" s="27" t="s">
        <v>261</v>
      </c>
      <c r="K73" s="27" t="s">
        <v>279</v>
      </c>
      <c r="L73" s="3" t="str">
        <f aca="false">IF(ISNUMBER(SEARCH(" m",I73)),"Range",IF(I73="offline","Offline",IF(I73="","Unknown","No echo / error")))</f>
        <v>Offline</v>
      </c>
      <c r="M73" s="3" t="str">
        <f aca="false">IF(ISNUMBER(SEARCH(" m",J73)),"Range",IF(J73="offline","Offline",IF(J73="","Unknown","No echo / error")))</f>
        <v>Range</v>
      </c>
      <c r="N73" s="3" t="str">
        <f aca="false">IF(ISNUMBER(SEARCH(" m",K73)),"Range",IF(K73="offline","Offline",IF(K73="","Unknown","No echo / error")))</f>
        <v>Range</v>
      </c>
      <c r="O73" s="3" t="str">
        <f aca="false">TEXT(B73,"yyyy-mm-dd")</f>
        <v>2026-10-05</v>
      </c>
    </row>
    <row r="74" customFormat="false" ht="15" hidden="false" customHeight="false" outlineLevel="0" collapsed="false">
      <c r="A74" s="27" t="n">
        <v>2</v>
      </c>
      <c r="B74" s="28" t="n">
        <v>46300.1131111111</v>
      </c>
      <c r="C74" s="29" t="n">
        <f aca="false">IF(A75=A74,B75,INDEX(Rounds!$D:$D,MATCH(A74,Rounds!$A:$A,0)))</f>
        <v>46300.1131309838</v>
      </c>
      <c r="D74" s="30" t="n">
        <f aca="false">(B74-INDEX(Rounds!$C:$C,MATCH(A74,Rounds!$A:$A,0)))*86400</f>
        <v>23.481999593</v>
      </c>
      <c r="E74" s="30" t="n">
        <f aca="false">(C74-INDEX(Rounds!$C:$C,MATCH(A74,Rounds!$A:$A,0)))*86400</f>
        <v>25.19899893</v>
      </c>
      <c r="F74" s="31" t="n">
        <f aca="false">(C74-B74)*86400</f>
        <v>1.716999337</v>
      </c>
      <c r="G74" s="27" t="s">
        <v>151</v>
      </c>
      <c r="H74" s="27" t="s">
        <v>203</v>
      </c>
      <c r="I74" s="27" t="s">
        <v>200</v>
      </c>
      <c r="J74" s="27" t="s">
        <v>280</v>
      </c>
      <c r="K74" s="27" t="s">
        <v>211</v>
      </c>
      <c r="L74" s="3" t="str">
        <f aca="false">IF(ISNUMBER(SEARCH(" m",I74)),"Range",IF(I74="offline","Offline",IF(I74="","Unknown","No echo / error")))</f>
        <v>Offline</v>
      </c>
      <c r="M74" s="3" t="str">
        <f aca="false">IF(ISNUMBER(SEARCH(" m",J74)),"Range",IF(J74="offline","Offline",IF(J74="","Unknown","No echo / error")))</f>
        <v>Range</v>
      </c>
      <c r="N74" s="3" t="str">
        <f aca="false">IF(ISNUMBER(SEARCH(" m",K74)),"Range",IF(K74="offline","Offline",IF(K74="","Unknown","No echo / error")))</f>
        <v>No echo / error</v>
      </c>
      <c r="O74" s="3" t="str">
        <f aca="false">TEXT(B74,"yyyy-mm-dd")</f>
        <v>2026-10-05</v>
      </c>
    </row>
    <row r="75" customFormat="false" ht="15" hidden="false" customHeight="false" outlineLevel="0" collapsed="false">
      <c r="A75" s="27" t="n">
        <v>2</v>
      </c>
      <c r="B75" s="28" t="n">
        <v>46300.1131309838</v>
      </c>
      <c r="C75" s="29" t="n">
        <f aca="false">IF(A76=A75,B76,INDEX(Rounds!$D:$D,MATCH(A75,Rounds!$A:$A,0)))</f>
        <v>46300.1131346991</v>
      </c>
      <c r="D75" s="30" t="n">
        <f aca="false">(B75-INDEX(Rounds!$C:$C,MATCH(A75,Rounds!$A:$A,0)))*86400</f>
        <v>25.19899893</v>
      </c>
      <c r="E75" s="30" t="n">
        <f aca="false">(C75-INDEX(Rounds!$C:$C,MATCH(A75,Rounds!$A:$A,0)))*86400</f>
        <v>25.519999628</v>
      </c>
      <c r="F75" s="31" t="n">
        <f aca="false">(C75-B75)*86400</f>
        <v>0.321000698</v>
      </c>
      <c r="G75" s="27" t="s">
        <v>150</v>
      </c>
      <c r="H75" s="27" t="s">
        <v>206</v>
      </c>
      <c r="I75" s="27" t="s">
        <v>200</v>
      </c>
      <c r="J75" s="27" t="s">
        <v>204</v>
      </c>
      <c r="K75" s="27" t="s">
        <v>261</v>
      </c>
      <c r="L75" s="3" t="str">
        <f aca="false">IF(ISNUMBER(SEARCH(" m",I75)),"Range",IF(I75="offline","Offline",IF(I75="","Unknown","No echo / error")))</f>
        <v>Offline</v>
      </c>
      <c r="M75" s="3" t="str">
        <f aca="false">IF(ISNUMBER(SEARCH(" m",J75)),"Range",IF(J75="offline","Offline",IF(J75="","Unknown","No echo / error")))</f>
        <v>No echo / error</v>
      </c>
      <c r="N75" s="3" t="str">
        <f aca="false">IF(ISNUMBER(SEARCH(" m",K75)),"Range",IF(K75="offline","Offline",IF(K75="","Unknown","No echo / error")))</f>
        <v>Range</v>
      </c>
      <c r="O75" s="3" t="str">
        <f aca="false">TEXT(B75,"yyyy-mm-dd")</f>
        <v>2026-10-05</v>
      </c>
    </row>
    <row r="76" customFormat="false" ht="15" hidden="false" customHeight="false" outlineLevel="0" collapsed="false">
      <c r="A76" s="27" t="n">
        <v>2</v>
      </c>
      <c r="B76" s="28" t="n">
        <v>46300.1131346991</v>
      </c>
      <c r="C76" s="29" t="n">
        <f aca="false">IF(A77=A76,B77,INDEX(Rounds!$D:$D,MATCH(A76,Rounds!$A:$A,0)))</f>
        <v>46300.1131439699</v>
      </c>
      <c r="D76" s="30" t="n">
        <f aca="false">(B76-INDEX(Rounds!$C:$C,MATCH(A76,Rounds!$A:$A,0)))*86400</f>
        <v>25.519999628</v>
      </c>
      <c r="E76" s="30" t="n">
        <f aca="false">(C76-INDEX(Rounds!$C:$C,MATCH(A76,Rounds!$A:$A,0)))*86400</f>
        <v>26.32099986</v>
      </c>
      <c r="F76" s="31" t="n">
        <f aca="false">(C76-B76)*86400</f>
        <v>0.801000231</v>
      </c>
      <c r="G76" s="27" t="s">
        <v>151</v>
      </c>
      <c r="H76" s="27" t="s">
        <v>203</v>
      </c>
      <c r="I76" s="27" t="s">
        <v>200</v>
      </c>
      <c r="J76" s="27" t="s">
        <v>204</v>
      </c>
      <c r="K76" s="27" t="s">
        <v>281</v>
      </c>
      <c r="L76" s="3" t="str">
        <f aca="false">IF(ISNUMBER(SEARCH(" m",I76)),"Range",IF(I76="offline","Offline",IF(I76="","Unknown","No echo / error")))</f>
        <v>Offline</v>
      </c>
      <c r="M76" s="3" t="str">
        <f aca="false">IF(ISNUMBER(SEARCH(" m",J76)),"Range",IF(J76="offline","Offline",IF(J76="","Unknown","No echo / error")))</f>
        <v>No echo / error</v>
      </c>
      <c r="N76" s="3" t="str">
        <f aca="false">IF(ISNUMBER(SEARCH(" m",K76)),"Range",IF(K76="offline","Offline",IF(K76="","Unknown","No echo / error")))</f>
        <v>Range</v>
      </c>
      <c r="O76" s="3" t="str">
        <f aca="false">TEXT(B76,"yyyy-mm-dd")</f>
        <v>2026-10-05</v>
      </c>
    </row>
    <row r="77" customFormat="false" ht="15" hidden="false" customHeight="false" outlineLevel="0" collapsed="false">
      <c r="A77" s="27" t="n">
        <v>2</v>
      </c>
      <c r="B77" s="28" t="n">
        <v>46300.1131439699</v>
      </c>
      <c r="C77" s="29" t="n">
        <f aca="false">IF(A78=A77,B78,INDEX(Rounds!$D:$D,MATCH(A77,Rounds!$A:$A,0)))</f>
        <v>46300.1131633449</v>
      </c>
      <c r="D77" s="30" t="n">
        <f aca="false">(B77-INDEX(Rounds!$C:$C,MATCH(A77,Rounds!$A:$A,0)))*86400</f>
        <v>26.32099986</v>
      </c>
      <c r="E77" s="30" t="n">
        <f aca="false">(C77-INDEX(Rounds!$C:$C,MATCH(A77,Rounds!$A:$A,0)))*86400</f>
        <v>27.994998777</v>
      </c>
      <c r="F77" s="31" t="n">
        <f aca="false">(C77-B77)*86400</f>
        <v>1.673998916</v>
      </c>
      <c r="G77" s="27" t="s">
        <v>150</v>
      </c>
      <c r="H77" s="27" t="s">
        <v>206</v>
      </c>
      <c r="I77" s="27" t="s">
        <v>200</v>
      </c>
      <c r="J77" s="27" t="s">
        <v>243</v>
      </c>
      <c r="K77" s="27" t="s">
        <v>245</v>
      </c>
      <c r="L77" s="3" t="str">
        <f aca="false">IF(ISNUMBER(SEARCH(" m",I77)),"Range",IF(I77="offline","Offline",IF(I77="","Unknown","No echo / error")))</f>
        <v>Offline</v>
      </c>
      <c r="M77" s="3" t="str">
        <f aca="false">IF(ISNUMBER(SEARCH(" m",J77)),"Range",IF(J77="offline","Offline",IF(J77="","Unknown","No echo / error")))</f>
        <v>Range</v>
      </c>
      <c r="N77" s="3" t="str">
        <f aca="false">IF(ISNUMBER(SEARCH(" m",K77)),"Range",IF(K77="offline","Offline",IF(K77="","Unknown","No echo / error")))</f>
        <v>Range</v>
      </c>
      <c r="O77" s="3" t="str">
        <f aca="false">TEXT(B77,"yyyy-mm-dd")</f>
        <v>2026-10-05</v>
      </c>
    </row>
    <row r="78" customFormat="false" ht="15" hidden="false" customHeight="false" outlineLevel="0" collapsed="false">
      <c r="A78" s="27" t="n">
        <v>2</v>
      </c>
      <c r="B78" s="28" t="n">
        <v>46300.1131633449</v>
      </c>
      <c r="C78" s="29" t="n">
        <f aca="false">IF(A79=A78,B79,INDEX(Rounds!$D:$D,MATCH(A78,Rounds!$A:$A,0)))</f>
        <v>46300.1131740857</v>
      </c>
      <c r="D78" s="30" t="n">
        <f aca="false">(B78-INDEX(Rounds!$C:$C,MATCH(A78,Rounds!$A:$A,0)))*86400</f>
        <v>27.994998777</v>
      </c>
      <c r="E78" s="30" t="n">
        <f aca="false">(C78-INDEX(Rounds!$C:$C,MATCH(A78,Rounds!$A:$A,0)))*86400</f>
        <v>28.922999929</v>
      </c>
      <c r="F78" s="31" t="n">
        <f aca="false">(C78-B78)*86400</f>
        <v>0.928001152</v>
      </c>
      <c r="G78" s="27" t="s">
        <v>152</v>
      </c>
      <c r="H78" s="27" t="s">
        <v>208</v>
      </c>
      <c r="I78" s="27" t="s">
        <v>200</v>
      </c>
      <c r="J78" s="27" t="s">
        <v>282</v>
      </c>
      <c r="K78" s="27" t="s">
        <v>282</v>
      </c>
      <c r="L78" s="3" t="str">
        <f aca="false">IF(ISNUMBER(SEARCH(" m",I78)),"Range",IF(I78="offline","Offline",IF(I78="","Unknown","No echo / error")))</f>
        <v>Offline</v>
      </c>
      <c r="M78" s="3" t="str">
        <f aca="false">IF(ISNUMBER(SEARCH(" m",J78)),"Range",IF(J78="offline","Offline",IF(J78="","Unknown","No echo / error")))</f>
        <v>Range</v>
      </c>
      <c r="N78" s="3" t="str">
        <f aca="false">IF(ISNUMBER(SEARCH(" m",K78)),"Range",IF(K78="offline","Offline",IF(K78="","Unknown","No echo / error")))</f>
        <v>Range</v>
      </c>
      <c r="O78" s="3" t="str">
        <f aca="false">TEXT(B78,"yyyy-mm-dd")</f>
        <v>2026-10-05</v>
      </c>
    </row>
    <row r="79" customFormat="false" ht="15" hidden="false" customHeight="false" outlineLevel="0" collapsed="false">
      <c r="A79" s="27" t="n">
        <v>2</v>
      </c>
      <c r="B79" s="28" t="n">
        <v>46300.1131740857</v>
      </c>
      <c r="C79" s="29" t="n">
        <f aca="false">IF(A80=A79,B80,INDEX(Rounds!$D:$D,MATCH(A79,Rounds!$A:$A,0)))</f>
        <v>46300.1131818981</v>
      </c>
      <c r="D79" s="30" t="n">
        <f aca="false">(B79-INDEX(Rounds!$C:$C,MATCH(A79,Rounds!$A:$A,0)))*86400</f>
        <v>28.922999929</v>
      </c>
      <c r="E79" s="30" t="n">
        <f aca="false">(C79-INDEX(Rounds!$C:$C,MATCH(A79,Rounds!$A:$A,0)))*86400</f>
        <v>29.597998782</v>
      </c>
      <c r="F79" s="31" t="n">
        <f aca="false">(C79-B79)*86400</f>
        <v>0.674998853</v>
      </c>
      <c r="G79" s="27" t="s">
        <v>151</v>
      </c>
      <c r="H79" s="27" t="s">
        <v>203</v>
      </c>
      <c r="I79" s="27" t="s">
        <v>200</v>
      </c>
      <c r="J79" s="27" t="s">
        <v>282</v>
      </c>
      <c r="K79" s="27" t="s">
        <v>283</v>
      </c>
      <c r="L79" s="3" t="str">
        <f aca="false">IF(ISNUMBER(SEARCH(" m",I79)),"Range",IF(I79="offline","Offline",IF(I79="","Unknown","No echo / error")))</f>
        <v>Offline</v>
      </c>
      <c r="M79" s="3" t="str">
        <f aca="false">IF(ISNUMBER(SEARCH(" m",J79)),"Range",IF(J79="offline","Offline",IF(J79="","Unknown","No echo / error")))</f>
        <v>Range</v>
      </c>
      <c r="N79" s="3" t="str">
        <f aca="false">IF(ISNUMBER(SEARCH(" m",K79)),"Range",IF(K79="offline","Offline",IF(K79="","Unknown","No echo / error")))</f>
        <v>Range</v>
      </c>
      <c r="O79" s="3" t="str">
        <f aca="false">TEXT(B79,"yyyy-mm-dd")</f>
        <v>2026-10-05</v>
      </c>
    </row>
    <row r="80" customFormat="false" ht="15" hidden="false" customHeight="false" outlineLevel="0" collapsed="false">
      <c r="A80" s="27" t="n">
        <v>2</v>
      </c>
      <c r="B80" s="28" t="n">
        <v>46300.1131818981</v>
      </c>
      <c r="C80" s="29" t="n">
        <f aca="false">IF(A81=A80,B81,INDEX(Rounds!$D:$D,MATCH(A80,Rounds!$A:$A,0)))</f>
        <v>46300.1131874537</v>
      </c>
      <c r="D80" s="30" t="n">
        <f aca="false">(B80-INDEX(Rounds!$C:$C,MATCH(A80,Rounds!$A:$A,0)))*86400</f>
        <v>29.597998782</v>
      </c>
      <c r="E80" s="30" t="n">
        <f aca="false">(C80-INDEX(Rounds!$C:$C,MATCH(A80,Rounds!$A:$A,0)))*86400</f>
        <v>30.077999574</v>
      </c>
      <c r="F80" s="31" t="n">
        <f aca="false">(C80-B80)*86400</f>
        <v>0.480000791</v>
      </c>
      <c r="G80" s="27" t="s">
        <v>150</v>
      </c>
      <c r="H80" s="27" t="s">
        <v>206</v>
      </c>
      <c r="I80" s="27" t="s">
        <v>200</v>
      </c>
      <c r="J80" s="27" t="s">
        <v>284</v>
      </c>
      <c r="K80" s="27" t="s">
        <v>204</v>
      </c>
      <c r="L80" s="3" t="str">
        <f aca="false">IF(ISNUMBER(SEARCH(" m",I80)),"Range",IF(I80="offline","Offline",IF(I80="","Unknown","No echo / error")))</f>
        <v>Offline</v>
      </c>
      <c r="M80" s="3" t="str">
        <f aca="false">IF(ISNUMBER(SEARCH(" m",J80)),"Range",IF(J80="offline","Offline",IF(J80="","Unknown","No echo / error")))</f>
        <v>Range</v>
      </c>
      <c r="N80" s="3" t="str">
        <f aca="false">IF(ISNUMBER(SEARCH(" m",K80)),"Range",IF(K80="offline","Offline",IF(K80="","Unknown","No echo / error")))</f>
        <v>No echo / error</v>
      </c>
      <c r="O80" s="3" t="str">
        <f aca="false">TEXT(B80,"yyyy-mm-dd")</f>
        <v>2026-10-05</v>
      </c>
    </row>
    <row r="81" customFormat="false" ht="15" hidden="false" customHeight="false" outlineLevel="0" collapsed="false">
      <c r="A81" s="27" t="n">
        <v>2</v>
      </c>
      <c r="B81" s="28" t="n">
        <v>46300.1131874537</v>
      </c>
      <c r="C81" s="29" t="n">
        <f aca="false">IF(A82=A81,B82,INDEX(Rounds!$D:$D,MATCH(A81,Rounds!$A:$A,0)))</f>
        <v>46300.1131878357</v>
      </c>
      <c r="D81" s="30" t="n">
        <f aca="false">(B81-INDEX(Rounds!$C:$C,MATCH(A81,Rounds!$A:$A,0)))*86400</f>
        <v>30.077999574</v>
      </c>
      <c r="E81" s="30" t="n">
        <f aca="false">(C81-INDEX(Rounds!$C:$C,MATCH(A81,Rounds!$A:$A,0)))*86400</f>
        <v>30.110999546</v>
      </c>
      <c r="F81" s="31" t="n">
        <f aca="false">(C81-B81)*86400</f>
        <v>0.032999971</v>
      </c>
      <c r="G81" s="27" t="s">
        <v>152</v>
      </c>
      <c r="H81" s="27" t="s">
        <v>208</v>
      </c>
      <c r="I81" s="27" t="s">
        <v>200</v>
      </c>
      <c r="J81" s="27" t="s">
        <v>244</v>
      </c>
      <c r="K81" s="27" t="s">
        <v>285</v>
      </c>
      <c r="L81" s="3" t="str">
        <f aca="false">IF(ISNUMBER(SEARCH(" m",I81)),"Range",IF(I81="offline","Offline",IF(I81="","Unknown","No echo / error")))</f>
        <v>Offline</v>
      </c>
      <c r="M81" s="3" t="str">
        <f aca="false">IF(ISNUMBER(SEARCH(" m",J81)),"Range",IF(J81="offline","Offline",IF(J81="","Unknown","No echo / error")))</f>
        <v>Range</v>
      </c>
      <c r="N81" s="3" t="str">
        <f aca="false">IF(ISNUMBER(SEARCH(" m",K81)),"Range",IF(K81="offline","Offline",IF(K81="","Unknown","No echo / error")))</f>
        <v>Range</v>
      </c>
      <c r="O81" s="3" t="str">
        <f aca="false">TEXT(B81,"yyyy-mm-dd")</f>
        <v>2026-10-05</v>
      </c>
    </row>
    <row r="82" customFormat="false" ht="15" hidden="false" customHeight="false" outlineLevel="0" collapsed="false">
      <c r="A82" s="27" t="n">
        <v>2</v>
      </c>
      <c r="B82" s="28" t="n">
        <v>46300.1131878357</v>
      </c>
      <c r="C82" s="29" t="n">
        <f aca="false">IF(A83=A82,B83,INDEX(Rounds!$D:$D,MATCH(A82,Rounds!$A:$A,0)))</f>
        <v>46300.113189132</v>
      </c>
      <c r="D82" s="30" t="n">
        <f aca="false">(B82-INDEX(Rounds!$C:$C,MATCH(A82,Rounds!$A:$A,0)))*86400</f>
        <v>30.110999546</v>
      </c>
      <c r="E82" s="30" t="n">
        <f aca="false">(C82-INDEX(Rounds!$C:$C,MATCH(A82,Rounds!$A:$A,0)))*86400</f>
        <v>30.223000422</v>
      </c>
      <c r="F82" s="31" t="n">
        <f aca="false">(C82-B82)*86400</f>
        <v>0.112000876</v>
      </c>
      <c r="G82" s="27" t="s">
        <v>151</v>
      </c>
      <c r="H82" s="27" t="s">
        <v>203</v>
      </c>
      <c r="I82" s="27" t="s">
        <v>200</v>
      </c>
      <c r="J82" s="27" t="s">
        <v>244</v>
      </c>
      <c r="K82" s="27" t="s">
        <v>286</v>
      </c>
      <c r="L82" s="3" t="str">
        <f aca="false">IF(ISNUMBER(SEARCH(" m",I82)),"Range",IF(I82="offline","Offline",IF(I82="","Unknown","No echo / error")))</f>
        <v>Offline</v>
      </c>
      <c r="M82" s="3" t="str">
        <f aca="false">IF(ISNUMBER(SEARCH(" m",J82)),"Range",IF(J82="offline","Offline",IF(J82="","Unknown","No echo / error")))</f>
        <v>Range</v>
      </c>
      <c r="N82" s="3" t="str">
        <f aca="false">IF(ISNUMBER(SEARCH(" m",K82)),"Range",IF(K82="offline","Offline",IF(K82="","Unknown","No echo / error")))</f>
        <v>Range</v>
      </c>
      <c r="O82" s="3" t="str">
        <f aca="false">TEXT(B82,"yyyy-mm-dd")</f>
        <v>2026-10-05</v>
      </c>
    </row>
    <row r="83" customFormat="false" ht="15" hidden="false" customHeight="false" outlineLevel="0" collapsed="false">
      <c r="A83" s="27" t="n">
        <v>2</v>
      </c>
      <c r="B83" s="28" t="n">
        <v>46300.113189132</v>
      </c>
      <c r="C83" s="29" t="n">
        <f aca="false">IF(A84=A83,B84,INDEX(Rounds!$D:$D,MATCH(A83,Rounds!$A:$A,0)))</f>
        <v>46300.1131946991</v>
      </c>
      <c r="D83" s="30" t="n">
        <f aca="false">(B83-INDEX(Rounds!$C:$C,MATCH(A83,Rounds!$A:$A,0)))*86400</f>
        <v>30.223000422</v>
      </c>
      <c r="E83" s="30" t="n">
        <f aca="false">(C83-INDEX(Rounds!$C:$C,MATCH(A83,Rounds!$A:$A,0)))*86400</f>
        <v>30.703999497</v>
      </c>
      <c r="F83" s="31" t="n">
        <f aca="false">(C83-B83)*86400</f>
        <v>0.480999075</v>
      </c>
      <c r="G83" s="27" t="s">
        <v>150</v>
      </c>
      <c r="H83" s="27" t="s">
        <v>206</v>
      </c>
      <c r="I83" s="27" t="s">
        <v>200</v>
      </c>
      <c r="J83" s="27" t="s">
        <v>242</v>
      </c>
      <c r="K83" s="27" t="s">
        <v>286</v>
      </c>
      <c r="L83" s="3" t="str">
        <f aca="false">IF(ISNUMBER(SEARCH(" m",I83)),"Range",IF(I83="offline","Offline",IF(I83="","Unknown","No echo / error")))</f>
        <v>Offline</v>
      </c>
      <c r="M83" s="3" t="str">
        <f aca="false">IF(ISNUMBER(SEARCH(" m",J83)),"Range",IF(J83="offline","Offline",IF(J83="","Unknown","No echo / error")))</f>
        <v>Range</v>
      </c>
      <c r="N83" s="3" t="str">
        <f aca="false">IF(ISNUMBER(SEARCH(" m",K83)),"Range",IF(K83="offline","Offline",IF(K83="","Unknown","No echo / error")))</f>
        <v>Range</v>
      </c>
      <c r="O83" s="3" t="str">
        <f aca="false">TEXT(B83,"yyyy-mm-dd")</f>
        <v>2026-10-05</v>
      </c>
    </row>
    <row r="84" customFormat="false" ht="15" hidden="false" customHeight="false" outlineLevel="0" collapsed="false">
      <c r="A84" s="27" t="n">
        <v>2</v>
      </c>
      <c r="B84" s="28" t="n">
        <v>46300.1131946991</v>
      </c>
      <c r="C84" s="29" t="n">
        <f aca="false">IF(A85=A84,B85,INDEX(Rounds!$D:$D,MATCH(A84,Rounds!$A:$A,0)))</f>
        <v>46300.1132060764</v>
      </c>
      <c r="D84" s="30" t="n">
        <f aca="false">(B84-INDEX(Rounds!$C:$C,MATCH(A84,Rounds!$A:$A,0)))*86400</f>
        <v>30.703999497</v>
      </c>
      <c r="E84" s="30" t="n">
        <f aca="false">(C84-INDEX(Rounds!$C:$C,MATCH(A84,Rounds!$A:$A,0)))*86400</f>
        <v>31.686999974</v>
      </c>
      <c r="F84" s="31" t="n">
        <f aca="false">(C84-B84)*86400</f>
        <v>0.983000476</v>
      </c>
      <c r="G84" s="27" t="s">
        <v>152</v>
      </c>
      <c r="H84" s="27" t="s">
        <v>208</v>
      </c>
      <c r="I84" s="27" t="s">
        <v>200</v>
      </c>
      <c r="J84" s="27" t="s">
        <v>242</v>
      </c>
      <c r="K84" s="27" t="s">
        <v>204</v>
      </c>
      <c r="L84" s="3" t="str">
        <f aca="false">IF(ISNUMBER(SEARCH(" m",I84)),"Range",IF(I84="offline","Offline",IF(I84="","Unknown","No echo / error")))</f>
        <v>Offline</v>
      </c>
      <c r="M84" s="3" t="str">
        <f aca="false">IF(ISNUMBER(SEARCH(" m",J84)),"Range",IF(J84="offline","Offline",IF(J84="","Unknown","No echo / error")))</f>
        <v>Range</v>
      </c>
      <c r="N84" s="3" t="str">
        <f aca="false">IF(ISNUMBER(SEARCH(" m",K84)),"Range",IF(K84="offline","Offline",IF(K84="","Unknown","No echo / error")))</f>
        <v>No echo / error</v>
      </c>
      <c r="O84" s="3" t="str">
        <f aca="false">TEXT(B84,"yyyy-mm-dd")</f>
        <v>2026-10-05</v>
      </c>
    </row>
    <row r="85" customFormat="false" ht="15" hidden="false" customHeight="false" outlineLevel="0" collapsed="false">
      <c r="A85" s="27" t="n">
        <v>2</v>
      </c>
      <c r="B85" s="28" t="n">
        <v>46300.1132060764</v>
      </c>
      <c r="C85" s="29" t="n">
        <f aca="false">IF(A86=A85,B86,INDEX(Rounds!$D:$D,MATCH(A85,Rounds!$A:$A,0)))</f>
        <v>46300.1132112847</v>
      </c>
      <c r="D85" s="30" t="n">
        <f aca="false">(B85-INDEX(Rounds!$C:$C,MATCH(A85,Rounds!$A:$A,0)))*86400</f>
        <v>31.686999974</v>
      </c>
      <c r="E85" s="30" t="n">
        <f aca="false">(C85-INDEX(Rounds!$C:$C,MATCH(A85,Rounds!$A:$A,0)))*86400</f>
        <v>32.136999419</v>
      </c>
      <c r="F85" s="31" t="n">
        <f aca="false">(C85-B85)*86400</f>
        <v>0.449999445</v>
      </c>
      <c r="G85" s="27" t="s">
        <v>151</v>
      </c>
      <c r="H85" s="27" t="s">
        <v>203</v>
      </c>
      <c r="I85" s="27" t="s">
        <v>200</v>
      </c>
      <c r="J85" s="27" t="s">
        <v>287</v>
      </c>
      <c r="K85" s="27" t="s">
        <v>288</v>
      </c>
      <c r="L85" s="3" t="str">
        <f aca="false">IF(ISNUMBER(SEARCH(" m",I85)),"Range",IF(I85="offline","Offline",IF(I85="","Unknown","No echo / error")))</f>
        <v>Offline</v>
      </c>
      <c r="M85" s="3" t="str">
        <f aca="false">IF(ISNUMBER(SEARCH(" m",J85)),"Range",IF(J85="offline","Offline",IF(J85="","Unknown","No echo / error")))</f>
        <v>Range</v>
      </c>
      <c r="N85" s="3" t="str">
        <f aca="false">IF(ISNUMBER(SEARCH(" m",K85)),"Range",IF(K85="offline","Offline",IF(K85="","Unknown","No echo / error")))</f>
        <v>Range</v>
      </c>
      <c r="O85" s="3" t="str">
        <f aca="false">TEXT(B85,"yyyy-mm-dd")</f>
        <v>2026-10-05</v>
      </c>
    </row>
    <row r="86" customFormat="false" ht="15" hidden="false" customHeight="false" outlineLevel="0" collapsed="false">
      <c r="A86" s="27" t="n">
        <v>2</v>
      </c>
      <c r="B86" s="28" t="n">
        <v>46300.1132112847</v>
      </c>
      <c r="C86" s="29" t="n">
        <f aca="false">IF(A87=A86,B87,INDEX(Rounds!$D:$D,MATCH(A86,Rounds!$A:$A,0)))</f>
        <v>46300.1132177894</v>
      </c>
      <c r="D86" s="30" t="n">
        <f aca="false">(B86-INDEX(Rounds!$C:$C,MATCH(A86,Rounds!$A:$A,0)))*86400</f>
        <v>32.136999419</v>
      </c>
      <c r="E86" s="30" t="n">
        <f aca="false">(C86-INDEX(Rounds!$C:$C,MATCH(A86,Rounds!$A:$A,0)))*86400</f>
        <v>32.698999741</v>
      </c>
      <c r="F86" s="31" t="n">
        <f aca="false">(C86-B86)*86400</f>
        <v>0.562000321</v>
      </c>
      <c r="G86" s="27" t="s">
        <v>152</v>
      </c>
      <c r="H86" s="27" t="s">
        <v>208</v>
      </c>
      <c r="I86" s="27" t="s">
        <v>200</v>
      </c>
      <c r="J86" s="27" t="s">
        <v>287</v>
      </c>
      <c r="K86" s="27" t="s">
        <v>220</v>
      </c>
      <c r="L86" s="3" t="str">
        <f aca="false">IF(ISNUMBER(SEARCH(" m",I86)),"Range",IF(I86="offline","Offline",IF(I86="","Unknown","No echo / error")))</f>
        <v>Offline</v>
      </c>
      <c r="M86" s="3" t="str">
        <f aca="false">IF(ISNUMBER(SEARCH(" m",J86)),"Range",IF(J86="offline","Offline",IF(J86="","Unknown","No echo / error")))</f>
        <v>Range</v>
      </c>
      <c r="N86" s="3" t="str">
        <f aca="false">IF(ISNUMBER(SEARCH(" m",K86)),"Range",IF(K86="offline","Offline",IF(K86="","Unknown","No echo / error")))</f>
        <v>No echo / error</v>
      </c>
      <c r="O86" s="3" t="str">
        <f aca="false">TEXT(B86,"yyyy-mm-dd")</f>
        <v>2026-10-05</v>
      </c>
    </row>
    <row r="87" customFormat="false" ht="15" hidden="false" customHeight="false" outlineLevel="0" collapsed="false">
      <c r="A87" s="27" t="n">
        <v>2</v>
      </c>
      <c r="B87" s="28" t="n">
        <v>46300.1132177894</v>
      </c>
      <c r="C87" s="29" t="n">
        <f aca="false">IF(A88=A87,B88,INDEX(Rounds!$D:$D,MATCH(A87,Rounds!$A:$A,0)))</f>
        <v>46300.1132200347</v>
      </c>
      <c r="D87" s="30" t="n">
        <f aca="false">(B87-INDEX(Rounds!$C:$C,MATCH(A87,Rounds!$A:$A,0)))*86400</f>
        <v>32.698999741</v>
      </c>
      <c r="E87" s="30" t="n">
        <f aca="false">(C87-INDEX(Rounds!$C:$C,MATCH(A87,Rounds!$A:$A,0)))*86400</f>
        <v>32.892999518</v>
      </c>
      <c r="F87" s="31" t="n">
        <f aca="false">(C87-B87)*86400</f>
        <v>0.193999777</v>
      </c>
      <c r="G87" s="27" t="s">
        <v>151</v>
      </c>
      <c r="H87" s="27" t="s">
        <v>203</v>
      </c>
      <c r="I87" s="27" t="s">
        <v>200</v>
      </c>
      <c r="J87" s="27" t="s">
        <v>289</v>
      </c>
      <c r="K87" s="27" t="s">
        <v>220</v>
      </c>
      <c r="L87" s="3" t="str">
        <f aca="false">IF(ISNUMBER(SEARCH(" m",I87)),"Range",IF(I87="offline","Offline",IF(I87="","Unknown","No echo / error")))</f>
        <v>Offline</v>
      </c>
      <c r="M87" s="3" t="str">
        <f aca="false">IF(ISNUMBER(SEARCH(" m",J87)),"Range",IF(J87="offline","Offline",IF(J87="","Unknown","No echo / error")))</f>
        <v>Range</v>
      </c>
      <c r="N87" s="3" t="str">
        <f aca="false">IF(ISNUMBER(SEARCH(" m",K87)),"Range",IF(K87="offline","Offline",IF(K87="","Unknown","No echo / error")))</f>
        <v>No echo / error</v>
      </c>
      <c r="O87" s="3" t="str">
        <f aca="false">TEXT(B87,"yyyy-mm-dd")</f>
        <v>2026-10-05</v>
      </c>
    </row>
    <row r="88" customFormat="false" ht="15" hidden="false" customHeight="false" outlineLevel="0" collapsed="false">
      <c r="A88" s="27" t="n">
        <v>2</v>
      </c>
      <c r="B88" s="28" t="n">
        <v>46300.1132200347</v>
      </c>
      <c r="C88" s="29" t="n">
        <f aca="false">IF(A89=A88,B89,INDEX(Rounds!$D:$D,MATCH(A88,Rounds!$A:$A,0)))</f>
        <v>46300.1132248843</v>
      </c>
      <c r="D88" s="30" t="n">
        <f aca="false">(B88-INDEX(Rounds!$C:$C,MATCH(A88,Rounds!$A:$A,0)))*86400</f>
        <v>32.892999518</v>
      </c>
      <c r="E88" s="30" t="n">
        <f aca="false">(C88-INDEX(Rounds!$C:$C,MATCH(A88,Rounds!$A:$A,0)))*86400</f>
        <v>33.311999961</v>
      </c>
      <c r="F88" s="31" t="n">
        <f aca="false">(C88-B88)*86400</f>
        <v>0.419000443</v>
      </c>
      <c r="G88" s="27" t="s">
        <v>150</v>
      </c>
      <c r="H88" s="27" t="s">
        <v>206</v>
      </c>
      <c r="I88" s="27" t="s">
        <v>200</v>
      </c>
      <c r="J88" s="27" t="s">
        <v>289</v>
      </c>
      <c r="K88" s="27" t="s">
        <v>201</v>
      </c>
      <c r="L88" s="3" t="str">
        <f aca="false">IF(ISNUMBER(SEARCH(" m",I88)),"Range",IF(I88="offline","Offline",IF(I88="","Unknown","No echo / error")))</f>
        <v>Offline</v>
      </c>
      <c r="M88" s="3" t="str">
        <f aca="false">IF(ISNUMBER(SEARCH(" m",J88)),"Range",IF(J88="offline","Offline",IF(J88="","Unknown","No echo / error")))</f>
        <v>Range</v>
      </c>
      <c r="N88" s="3" t="str">
        <f aca="false">IF(ISNUMBER(SEARCH(" m",K88)),"Range",IF(K88="offline","Offline",IF(K88="","Unknown","No echo / error")))</f>
        <v>Range</v>
      </c>
      <c r="O88" s="3" t="str">
        <f aca="false">TEXT(B88,"yyyy-mm-dd")</f>
        <v>2026-10-05</v>
      </c>
    </row>
    <row r="89" customFormat="false" ht="15" hidden="false" customHeight="false" outlineLevel="0" collapsed="false">
      <c r="A89" s="27" t="n">
        <v>2</v>
      </c>
      <c r="B89" s="28" t="n">
        <v>46300.1132248843</v>
      </c>
      <c r="C89" s="29" t="n">
        <f aca="false">IF(A90=A89,B90,INDEX(Rounds!$D:$D,MATCH(A89,Rounds!$A:$A,0)))</f>
        <v>46300.1132298843</v>
      </c>
      <c r="D89" s="30" t="n">
        <f aca="false">(B89-INDEX(Rounds!$C:$C,MATCH(A89,Rounds!$A:$A,0)))*86400</f>
        <v>33.311999961</v>
      </c>
      <c r="E89" s="30" t="n">
        <f aca="false">(C89-INDEX(Rounds!$C:$C,MATCH(A89,Rounds!$A:$A,0)))*86400</f>
        <v>33.743999479</v>
      </c>
      <c r="F89" s="31" t="n">
        <f aca="false">(C89-B89)*86400</f>
        <v>0.431999517</v>
      </c>
      <c r="G89" s="27" t="s">
        <v>151</v>
      </c>
      <c r="H89" s="27" t="s">
        <v>203</v>
      </c>
      <c r="I89" s="27" t="s">
        <v>200</v>
      </c>
      <c r="J89" s="27" t="s">
        <v>220</v>
      </c>
      <c r="K89" s="27" t="s">
        <v>290</v>
      </c>
      <c r="L89" s="3" t="str">
        <f aca="false">IF(ISNUMBER(SEARCH(" m",I89)),"Range",IF(I89="offline","Offline",IF(I89="","Unknown","No echo / error")))</f>
        <v>Offline</v>
      </c>
      <c r="M89" s="3" t="str">
        <f aca="false">IF(ISNUMBER(SEARCH(" m",J89)),"Range",IF(J89="offline","Offline",IF(J89="","Unknown","No echo / error")))</f>
        <v>No echo / error</v>
      </c>
      <c r="N89" s="3" t="str">
        <f aca="false">IF(ISNUMBER(SEARCH(" m",K89)),"Range",IF(K89="offline","Offline",IF(K89="","Unknown","No echo / error")))</f>
        <v>Range</v>
      </c>
      <c r="O89" s="3" t="str">
        <f aca="false">TEXT(B89,"yyyy-mm-dd")</f>
        <v>2026-10-05</v>
      </c>
    </row>
    <row r="90" customFormat="false" ht="15" hidden="false" customHeight="false" outlineLevel="0" collapsed="false">
      <c r="A90" s="27" t="n">
        <v>2</v>
      </c>
      <c r="B90" s="28" t="n">
        <v>46300.1132298843</v>
      </c>
      <c r="C90" s="29" t="n">
        <f aca="false">IF(A91=A90,B91,INDEX(Rounds!$D:$D,MATCH(A90,Rounds!$A:$A,0)))</f>
        <v>46300.1132453704</v>
      </c>
      <c r="D90" s="30" t="n">
        <f aca="false">(B90-INDEX(Rounds!$C:$C,MATCH(A90,Rounds!$A:$A,0)))*86400</f>
        <v>33.743999479</v>
      </c>
      <c r="E90" s="30" t="n">
        <f aca="false">(C90-INDEX(Rounds!$C:$C,MATCH(A90,Rounds!$A:$A,0)))*86400</f>
        <v>35.081999539</v>
      </c>
      <c r="F90" s="31" t="n">
        <f aca="false">(C90-B90)*86400</f>
        <v>1.33800006</v>
      </c>
      <c r="G90" s="27" t="s">
        <v>152</v>
      </c>
      <c r="H90" s="27" t="s">
        <v>208</v>
      </c>
      <c r="I90" s="27" t="s">
        <v>200</v>
      </c>
      <c r="J90" s="27" t="s">
        <v>220</v>
      </c>
      <c r="K90" s="27" t="s">
        <v>290</v>
      </c>
      <c r="L90" s="3" t="str">
        <f aca="false">IF(ISNUMBER(SEARCH(" m",I90)),"Range",IF(I90="offline","Offline",IF(I90="","Unknown","No echo / error")))</f>
        <v>Offline</v>
      </c>
      <c r="M90" s="3" t="str">
        <f aca="false">IF(ISNUMBER(SEARCH(" m",J90)),"Range",IF(J90="offline","Offline",IF(J90="","Unknown","No echo / error")))</f>
        <v>No echo / error</v>
      </c>
      <c r="N90" s="3" t="str">
        <f aca="false">IF(ISNUMBER(SEARCH(" m",K90)),"Range",IF(K90="offline","Offline",IF(K90="","Unknown","No echo / error")))</f>
        <v>Range</v>
      </c>
      <c r="O90" s="3" t="str">
        <f aca="false">TEXT(B90,"yyyy-mm-dd")</f>
        <v>2026-10-05</v>
      </c>
    </row>
    <row r="91" customFormat="false" ht="15" hidden="false" customHeight="false" outlineLevel="0" collapsed="false">
      <c r="A91" s="27" t="n">
        <v>2</v>
      </c>
      <c r="B91" s="28" t="n">
        <v>46300.1132453704</v>
      </c>
      <c r="C91" s="29" t="n">
        <f aca="false">IF(A92=A91,B92,INDEX(Rounds!$D:$D,MATCH(A91,Rounds!$A:$A,0)))</f>
        <v>46300.1132492593</v>
      </c>
      <c r="D91" s="30" t="n">
        <f aca="false">(B91-INDEX(Rounds!$C:$C,MATCH(A91,Rounds!$A:$A,0)))*86400</f>
        <v>35.081999539</v>
      </c>
      <c r="E91" s="30" t="n">
        <f aca="false">(C91-INDEX(Rounds!$C:$C,MATCH(A91,Rounds!$A:$A,0)))*86400</f>
        <v>35.417999653</v>
      </c>
      <c r="F91" s="31" t="n">
        <f aca="false">(C91-B91)*86400</f>
        <v>0.336000113</v>
      </c>
      <c r="G91" s="27" t="s">
        <v>151</v>
      </c>
      <c r="H91" s="27" t="s">
        <v>203</v>
      </c>
      <c r="I91" s="27" t="s">
        <v>200</v>
      </c>
      <c r="J91" s="27" t="s">
        <v>204</v>
      </c>
      <c r="K91" s="27" t="s">
        <v>221</v>
      </c>
      <c r="L91" s="3" t="str">
        <f aca="false">IF(ISNUMBER(SEARCH(" m",I91)),"Range",IF(I91="offline","Offline",IF(I91="","Unknown","No echo / error")))</f>
        <v>Offline</v>
      </c>
      <c r="M91" s="3" t="str">
        <f aca="false">IF(ISNUMBER(SEARCH(" m",J91)),"Range",IF(J91="offline","Offline",IF(J91="","Unknown","No echo / error")))</f>
        <v>No echo / error</v>
      </c>
      <c r="N91" s="3" t="str">
        <f aca="false">IF(ISNUMBER(SEARCH(" m",K91)),"Range",IF(K91="offline","Offline",IF(K91="","Unknown","No echo / error")))</f>
        <v>Range</v>
      </c>
      <c r="O91" s="3" t="str">
        <f aca="false">TEXT(B91,"yyyy-mm-dd")</f>
        <v>2026-10-05</v>
      </c>
    </row>
    <row r="92" customFormat="false" ht="15" hidden="false" customHeight="false" outlineLevel="0" collapsed="false">
      <c r="A92" s="27" t="n">
        <v>2</v>
      </c>
      <c r="B92" s="28" t="n">
        <v>46300.1132492593</v>
      </c>
      <c r="C92" s="29" t="n">
        <f aca="false">IF(A93=A92,B93,INDEX(Rounds!$D:$D,MATCH(A92,Rounds!$A:$A,0)))</f>
        <v>46300.1133731829</v>
      </c>
      <c r="D92" s="30" t="n">
        <f aca="false">(B92-INDEX(Rounds!$C:$C,MATCH(A92,Rounds!$A:$A,0)))*86400</f>
        <v>35.417999653</v>
      </c>
      <c r="E92" s="30" t="n">
        <f aca="false">(C92-INDEX(Rounds!$C:$C,MATCH(A92,Rounds!$A:$A,0)))*86400</f>
        <v>46.124999388</v>
      </c>
      <c r="F92" s="31" t="n">
        <f aca="false">(C92-B92)*86400</f>
        <v>10.706999734</v>
      </c>
      <c r="G92" s="27" t="s">
        <v>150</v>
      </c>
      <c r="H92" s="27" t="s">
        <v>206</v>
      </c>
      <c r="I92" s="27" t="s">
        <v>200</v>
      </c>
      <c r="J92" s="27" t="s">
        <v>241</v>
      </c>
      <c r="K92" s="27" t="s">
        <v>201</v>
      </c>
      <c r="L92" s="3" t="str">
        <f aca="false">IF(ISNUMBER(SEARCH(" m",I92)),"Range",IF(I92="offline","Offline",IF(I92="","Unknown","No echo / error")))</f>
        <v>Offline</v>
      </c>
      <c r="M92" s="3" t="str">
        <f aca="false">IF(ISNUMBER(SEARCH(" m",J92)),"Range",IF(J92="offline","Offline",IF(J92="","Unknown","No echo / error")))</f>
        <v>Range</v>
      </c>
      <c r="N92" s="3" t="str">
        <f aca="false">IF(ISNUMBER(SEARCH(" m",K92)),"Range",IF(K92="offline","Offline",IF(K92="","Unknown","No echo / error")))</f>
        <v>Range</v>
      </c>
      <c r="O92" s="3" t="str">
        <f aca="false">TEXT(B92,"yyyy-mm-dd")</f>
        <v>2026-10-05</v>
      </c>
    </row>
    <row r="93" customFormat="false" ht="15" hidden="false" customHeight="false" outlineLevel="0" collapsed="false">
      <c r="A93" s="27" t="n">
        <v>2</v>
      </c>
      <c r="B93" s="28" t="n">
        <v>46300.1133731829</v>
      </c>
      <c r="C93" s="29" t="n">
        <f aca="false">IF(A94=A93,B94,INDEX(Rounds!$D:$D,MATCH(A93,Rounds!$A:$A,0)))</f>
        <v>46300.1133819213</v>
      </c>
      <c r="D93" s="30" t="n">
        <f aca="false">(B93-INDEX(Rounds!$C:$C,MATCH(A93,Rounds!$A:$A,0)))*86400</f>
        <v>46.124999388</v>
      </c>
      <c r="E93" s="30" t="n">
        <f aca="false">(C93-INDEX(Rounds!$C:$C,MATCH(A93,Rounds!$A:$A,0)))*86400</f>
        <v>46.879999944</v>
      </c>
      <c r="F93" s="31" t="n">
        <f aca="false">(C93-B93)*86400</f>
        <v>0.755000556</v>
      </c>
      <c r="G93" s="27" t="s">
        <v>152</v>
      </c>
      <c r="H93" s="27" t="s">
        <v>208</v>
      </c>
      <c r="I93" s="27" t="s">
        <v>200</v>
      </c>
      <c r="J93" s="27" t="s">
        <v>211</v>
      </c>
      <c r="K93" s="27" t="s">
        <v>291</v>
      </c>
      <c r="L93" s="3" t="str">
        <f aca="false">IF(ISNUMBER(SEARCH(" m",I93)),"Range",IF(I93="offline","Offline",IF(I93="","Unknown","No echo / error")))</f>
        <v>Offline</v>
      </c>
      <c r="M93" s="3" t="str">
        <f aca="false">IF(ISNUMBER(SEARCH(" m",J93)),"Range",IF(J93="offline","Offline",IF(J93="","Unknown","No echo / error")))</f>
        <v>No echo / error</v>
      </c>
      <c r="N93" s="3" t="str">
        <f aca="false">IF(ISNUMBER(SEARCH(" m",K93)),"Range",IF(K93="offline","Offline",IF(K93="","Unknown","No echo / error")))</f>
        <v>Range</v>
      </c>
      <c r="O93" s="3" t="str">
        <f aca="false">TEXT(B93,"yyyy-mm-dd")</f>
        <v>2026-10-05</v>
      </c>
    </row>
    <row r="94" customFormat="false" ht="15" hidden="false" customHeight="false" outlineLevel="0" collapsed="false">
      <c r="A94" s="27" t="n">
        <v>2</v>
      </c>
      <c r="B94" s="28" t="n">
        <v>46300.1133819213</v>
      </c>
      <c r="C94" s="29" t="n">
        <f aca="false">IF(A95=A94,B95,INDEX(Rounds!$D:$D,MATCH(A94,Rounds!$A:$A,0)))</f>
        <v>46300.1133830208</v>
      </c>
      <c r="D94" s="30" t="n">
        <f aca="false">(B94-INDEX(Rounds!$C:$C,MATCH(A94,Rounds!$A:$A,0)))*86400</f>
        <v>46.879999944</v>
      </c>
      <c r="E94" s="30" t="n">
        <f aca="false">(C94-INDEX(Rounds!$C:$C,MATCH(A94,Rounds!$A:$A,0)))*86400</f>
        <v>46.974999178</v>
      </c>
      <c r="F94" s="31" t="n">
        <f aca="false">(C94-B94)*86400</f>
        <v>0.094999233</v>
      </c>
      <c r="G94" s="27" t="s">
        <v>151</v>
      </c>
      <c r="H94" s="27" t="s">
        <v>203</v>
      </c>
      <c r="I94" s="27" t="s">
        <v>200</v>
      </c>
      <c r="J94" s="27" t="s">
        <v>247</v>
      </c>
      <c r="K94" s="27" t="s">
        <v>237</v>
      </c>
      <c r="L94" s="3" t="str">
        <f aca="false">IF(ISNUMBER(SEARCH(" m",I94)),"Range",IF(I94="offline","Offline",IF(I94="","Unknown","No echo / error")))</f>
        <v>Offline</v>
      </c>
      <c r="M94" s="3" t="str">
        <f aca="false">IF(ISNUMBER(SEARCH(" m",J94)),"Range",IF(J94="offline","Offline",IF(J94="","Unknown","No echo / error")))</f>
        <v>Range</v>
      </c>
      <c r="N94" s="3" t="str">
        <f aca="false">IF(ISNUMBER(SEARCH(" m",K94)),"Range",IF(K94="offline","Offline",IF(K94="","Unknown","No echo / error")))</f>
        <v>Range</v>
      </c>
      <c r="O94" s="3" t="str">
        <f aca="false">TEXT(B94,"yyyy-mm-dd")</f>
        <v>2026-10-05</v>
      </c>
    </row>
    <row r="95" customFormat="false" ht="15" hidden="false" customHeight="false" outlineLevel="0" collapsed="false">
      <c r="A95" s="27" t="n">
        <v>2</v>
      </c>
      <c r="B95" s="28" t="n">
        <v>46300.1133830208</v>
      </c>
      <c r="C95" s="29" t="n">
        <f aca="false">IF(A96=A95,B96,INDEX(Rounds!$D:$D,MATCH(A95,Rounds!$A:$A,0)))</f>
        <v>46300.1134140972</v>
      </c>
      <c r="D95" s="30" t="n">
        <f aca="false">(B95-INDEX(Rounds!$C:$C,MATCH(A95,Rounds!$A:$A,0)))*86400</f>
        <v>46.974999178</v>
      </c>
      <c r="E95" s="30" t="n">
        <f aca="false">(C95-INDEX(Rounds!$C:$C,MATCH(A95,Rounds!$A:$A,0)))*86400</f>
        <v>49.659999576</v>
      </c>
      <c r="F95" s="31" t="n">
        <f aca="false">(C95-B95)*86400</f>
        <v>2.685000398</v>
      </c>
      <c r="G95" s="27" t="s">
        <v>150</v>
      </c>
      <c r="H95" s="27" t="s">
        <v>206</v>
      </c>
      <c r="I95" s="27" t="s">
        <v>200</v>
      </c>
      <c r="J95" s="27" t="s">
        <v>275</v>
      </c>
      <c r="K95" s="27" t="s">
        <v>237</v>
      </c>
      <c r="L95" s="3" t="str">
        <f aca="false">IF(ISNUMBER(SEARCH(" m",I95)),"Range",IF(I95="offline","Offline",IF(I95="","Unknown","No echo / error")))</f>
        <v>Offline</v>
      </c>
      <c r="M95" s="3" t="str">
        <f aca="false">IF(ISNUMBER(SEARCH(" m",J95)),"Range",IF(J95="offline","Offline",IF(J95="","Unknown","No echo / error")))</f>
        <v>Range</v>
      </c>
      <c r="N95" s="3" t="str">
        <f aca="false">IF(ISNUMBER(SEARCH(" m",K95)),"Range",IF(K95="offline","Offline",IF(K95="","Unknown","No echo / error")))</f>
        <v>Range</v>
      </c>
      <c r="O95" s="3" t="str">
        <f aca="false">TEXT(B95,"yyyy-mm-dd")</f>
        <v>2026-10-05</v>
      </c>
    </row>
    <row r="96" customFormat="false" ht="15" hidden="false" customHeight="false" outlineLevel="0" collapsed="false">
      <c r="A96" s="27" t="n">
        <v>2</v>
      </c>
      <c r="B96" s="28" t="n">
        <v>46300.1134140972</v>
      </c>
      <c r="C96" s="29" t="n">
        <f aca="false">IF(A97=A96,B97,INDEX(Rounds!$D:$D,MATCH(A96,Rounds!$A:$A,0)))</f>
        <v>46300.1134241782</v>
      </c>
      <c r="D96" s="30" t="n">
        <f aca="false">(B96-INDEX(Rounds!$C:$C,MATCH(A96,Rounds!$A:$A,0)))*86400</f>
        <v>49.659999576</v>
      </c>
      <c r="E96" s="30" t="n">
        <f aca="false">(C96-INDEX(Rounds!$C:$C,MATCH(A96,Rounds!$A:$A,0)))*86400</f>
        <v>50.530999805</v>
      </c>
      <c r="F96" s="31" t="n">
        <f aca="false">(C96-B96)*86400</f>
        <v>0.871000229</v>
      </c>
      <c r="G96" s="27" t="s">
        <v>152</v>
      </c>
      <c r="H96" s="27" t="s">
        <v>208</v>
      </c>
      <c r="I96" s="27" t="s">
        <v>200</v>
      </c>
      <c r="J96" s="27" t="s">
        <v>292</v>
      </c>
      <c r="K96" s="27" t="s">
        <v>293</v>
      </c>
      <c r="L96" s="3" t="str">
        <f aca="false">IF(ISNUMBER(SEARCH(" m",I96)),"Range",IF(I96="offline","Offline",IF(I96="","Unknown","No echo / error")))</f>
        <v>Offline</v>
      </c>
      <c r="M96" s="3" t="str">
        <f aca="false">IF(ISNUMBER(SEARCH(" m",J96)),"Range",IF(J96="offline","Offline",IF(J96="","Unknown","No echo / error")))</f>
        <v>Range</v>
      </c>
      <c r="N96" s="3" t="str">
        <f aca="false">IF(ISNUMBER(SEARCH(" m",K96)),"Range",IF(K96="offline","Offline",IF(K96="","Unknown","No echo / error")))</f>
        <v>Range</v>
      </c>
      <c r="O96" s="3" t="str">
        <f aca="false">TEXT(B96,"yyyy-mm-dd")</f>
        <v>2026-10-05</v>
      </c>
    </row>
    <row r="97" customFormat="false" ht="15" hidden="false" customHeight="false" outlineLevel="0" collapsed="false">
      <c r="A97" s="27" t="n">
        <v>2</v>
      </c>
      <c r="B97" s="28" t="n">
        <v>46300.1134241782</v>
      </c>
      <c r="C97" s="29" t="n">
        <f aca="false">IF(A98=A97,B98,INDEX(Rounds!$D:$D,MATCH(A97,Rounds!$A:$A,0)))</f>
        <v>46300.1134349421</v>
      </c>
      <c r="D97" s="30" t="n">
        <f aca="false">(B97-INDEX(Rounds!$C:$C,MATCH(A97,Rounds!$A:$A,0)))*86400</f>
        <v>50.530999805</v>
      </c>
      <c r="E97" s="30" t="n">
        <f aca="false">(C97-INDEX(Rounds!$C:$C,MATCH(A97,Rounds!$A:$A,0)))*86400</f>
        <v>51.461000042</v>
      </c>
      <c r="F97" s="31" t="n">
        <f aca="false">(C97-B97)*86400</f>
        <v>0.930000236</v>
      </c>
      <c r="G97" s="27" t="s">
        <v>151</v>
      </c>
      <c r="H97" s="27" t="s">
        <v>203</v>
      </c>
      <c r="I97" s="27" t="s">
        <v>200</v>
      </c>
      <c r="J97" s="27" t="s">
        <v>282</v>
      </c>
      <c r="K97" s="27" t="s">
        <v>293</v>
      </c>
      <c r="L97" s="3" t="str">
        <f aca="false">IF(ISNUMBER(SEARCH(" m",I97)),"Range",IF(I97="offline","Offline",IF(I97="","Unknown","No echo / error")))</f>
        <v>Offline</v>
      </c>
      <c r="M97" s="3" t="str">
        <f aca="false">IF(ISNUMBER(SEARCH(" m",J97)),"Range",IF(J97="offline","Offline",IF(J97="","Unknown","No echo / error")))</f>
        <v>Range</v>
      </c>
      <c r="N97" s="3" t="str">
        <f aca="false">IF(ISNUMBER(SEARCH(" m",K97)),"Range",IF(K97="offline","Offline",IF(K97="","Unknown","No echo / error")))</f>
        <v>Range</v>
      </c>
      <c r="O97" s="3" t="str">
        <f aca="false">TEXT(B97,"yyyy-mm-dd")</f>
        <v>2026-10-05</v>
      </c>
    </row>
    <row r="98" customFormat="false" ht="15" hidden="false" customHeight="false" outlineLevel="0" collapsed="false">
      <c r="A98" s="27" t="n">
        <v>2</v>
      </c>
      <c r="B98" s="28" t="n">
        <v>46300.1134349421</v>
      </c>
      <c r="C98" s="29" t="n">
        <f aca="false">IF(A99=A98,B99,INDEX(Rounds!$D:$D,MATCH(A98,Rounds!$A:$A,0)))</f>
        <v>46300.1134358681</v>
      </c>
      <c r="D98" s="30" t="n">
        <f aca="false">(B98-INDEX(Rounds!$C:$C,MATCH(A98,Rounds!$A:$A,0)))*86400</f>
        <v>51.461000042</v>
      </c>
      <c r="E98" s="30" t="n">
        <f aca="false">(C98-INDEX(Rounds!$C:$C,MATCH(A98,Rounds!$A:$A,0)))*86400</f>
        <v>51.540999859</v>
      </c>
      <c r="F98" s="31" t="n">
        <f aca="false">(C98-B98)*86400</f>
        <v>0.079999817</v>
      </c>
      <c r="G98" s="27" t="s">
        <v>152</v>
      </c>
      <c r="H98" s="27" t="s">
        <v>208</v>
      </c>
      <c r="I98" s="27" t="s">
        <v>200</v>
      </c>
      <c r="J98" s="27" t="s">
        <v>294</v>
      </c>
      <c r="K98" s="27" t="s">
        <v>204</v>
      </c>
      <c r="L98" s="3" t="str">
        <f aca="false">IF(ISNUMBER(SEARCH(" m",I98)),"Range",IF(I98="offline","Offline",IF(I98="","Unknown","No echo / error")))</f>
        <v>Offline</v>
      </c>
      <c r="M98" s="3" t="str">
        <f aca="false">IF(ISNUMBER(SEARCH(" m",J98)),"Range",IF(J98="offline","Offline",IF(J98="","Unknown","No echo / error")))</f>
        <v>Range</v>
      </c>
      <c r="N98" s="3" t="str">
        <f aca="false">IF(ISNUMBER(SEARCH(" m",K98)),"Range",IF(K98="offline","Offline",IF(K98="","Unknown","No echo / error")))</f>
        <v>No echo / error</v>
      </c>
      <c r="O98" s="3" t="str">
        <f aca="false">TEXT(B98,"yyyy-mm-dd")</f>
        <v>2026-10-05</v>
      </c>
    </row>
    <row r="99" customFormat="false" ht="15" hidden="false" customHeight="false" outlineLevel="0" collapsed="false">
      <c r="A99" s="27" t="n">
        <v>2</v>
      </c>
      <c r="B99" s="28" t="n">
        <v>46300.1134358681</v>
      </c>
      <c r="C99" s="29" t="n">
        <f aca="false">IF(A100=A99,B100,INDEX(Rounds!$D:$D,MATCH(A99,Rounds!$A:$A,0)))</f>
        <v>46300.1134383102</v>
      </c>
      <c r="D99" s="30" t="n">
        <f aca="false">(B99-INDEX(Rounds!$C:$C,MATCH(A99,Rounds!$A:$A,0)))*86400</f>
        <v>51.540999859</v>
      </c>
      <c r="E99" s="30" t="n">
        <f aca="false">(C99-INDEX(Rounds!$C:$C,MATCH(A99,Rounds!$A:$A,0)))*86400</f>
        <v>51.751999394</v>
      </c>
      <c r="F99" s="31" t="n">
        <f aca="false">(C99-B99)*86400</f>
        <v>0.210999534</v>
      </c>
      <c r="G99" s="27" t="s">
        <v>151</v>
      </c>
      <c r="H99" s="27" t="s">
        <v>203</v>
      </c>
      <c r="I99" s="27" t="s">
        <v>200</v>
      </c>
      <c r="J99" s="27" t="s">
        <v>243</v>
      </c>
      <c r="K99" s="27" t="s">
        <v>204</v>
      </c>
      <c r="L99" s="3" t="str">
        <f aca="false">IF(ISNUMBER(SEARCH(" m",I99)),"Range",IF(I99="offline","Offline",IF(I99="","Unknown","No echo / error")))</f>
        <v>Offline</v>
      </c>
      <c r="M99" s="3" t="str">
        <f aca="false">IF(ISNUMBER(SEARCH(" m",J99)),"Range",IF(J99="offline","Offline",IF(J99="","Unknown","No echo / error")))</f>
        <v>Range</v>
      </c>
      <c r="N99" s="3" t="str">
        <f aca="false">IF(ISNUMBER(SEARCH(" m",K99)),"Range",IF(K99="offline","Offline",IF(K99="","Unknown","No echo / error")))</f>
        <v>No echo / error</v>
      </c>
      <c r="O99" s="3" t="str">
        <f aca="false">TEXT(B99,"yyyy-mm-dd")</f>
        <v>2026-10-05</v>
      </c>
    </row>
    <row r="100" customFormat="false" ht="15" hidden="false" customHeight="false" outlineLevel="0" collapsed="false">
      <c r="A100" s="27" t="n">
        <v>2</v>
      </c>
      <c r="B100" s="28" t="n">
        <v>46300.1134383102</v>
      </c>
      <c r="C100" s="29" t="n">
        <f aca="false">IF(A101=A100,B101,INDEX(Rounds!$D:$D,MATCH(A100,Rounds!$A:$A,0)))</f>
        <v>46300.1134635995</v>
      </c>
      <c r="D100" s="30" t="n">
        <f aca="false">(B100-INDEX(Rounds!$C:$C,MATCH(A100,Rounds!$A:$A,0)))*86400</f>
        <v>51.751999394</v>
      </c>
      <c r="E100" s="30" t="n">
        <f aca="false">(C100-INDEX(Rounds!$C:$C,MATCH(A100,Rounds!$A:$A,0)))*86400</f>
        <v>53.936999989</v>
      </c>
      <c r="F100" s="31" t="n">
        <f aca="false">(C100-B100)*86400</f>
        <v>2.185000595</v>
      </c>
      <c r="G100" s="27" t="s">
        <v>150</v>
      </c>
      <c r="H100" s="27" t="s">
        <v>206</v>
      </c>
      <c r="I100" s="27" t="s">
        <v>200</v>
      </c>
      <c r="J100" s="27" t="s">
        <v>243</v>
      </c>
      <c r="K100" s="27" t="s">
        <v>295</v>
      </c>
      <c r="L100" s="3" t="str">
        <f aca="false">IF(ISNUMBER(SEARCH(" m",I100)),"Range",IF(I100="offline","Offline",IF(I100="","Unknown","No echo / error")))</f>
        <v>Offline</v>
      </c>
      <c r="M100" s="3" t="str">
        <f aca="false">IF(ISNUMBER(SEARCH(" m",J100)),"Range",IF(J100="offline","Offline",IF(J100="","Unknown","No echo / error")))</f>
        <v>Range</v>
      </c>
      <c r="N100" s="3" t="str">
        <f aca="false">IF(ISNUMBER(SEARCH(" m",K100)),"Range",IF(K100="offline","Offline",IF(K100="","Unknown","No echo / error")))</f>
        <v>Range</v>
      </c>
      <c r="O100" s="3" t="str">
        <f aca="false">TEXT(B100,"yyyy-mm-dd")</f>
        <v>2026-10-05</v>
      </c>
    </row>
    <row r="101" customFormat="false" ht="15" hidden="false" customHeight="false" outlineLevel="0" collapsed="false">
      <c r="A101" s="27" t="n">
        <v>2</v>
      </c>
      <c r="B101" s="28" t="n">
        <v>46300.1134635995</v>
      </c>
      <c r="C101" s="29" t="n">
        <f aca="false">IF(A102=A101,B102,INDEX(Rounds!$D:$D,MATCH(A101,Rounds!$A:$A,0)))</f>
        <v>46300.1134751389</v>
      </c>
      <c r="D101" s="30" t="n">
        <f aca="false">(B101-INDEX(Rounds!$C:$C,MATCH(A101,Rounds!$A:$A,0)))*86400</f>
        <v>53.936999989</v>
      </c>
      <c r="E101" s="30" t="n">
        <f aca="false">(C101-INDEX(Rounds!$C:$C,MATCH(A101,Rounds!$A:$A,0)))*86400</f>
        <v>54.933999711</v>
      </c>
      <c r="F101" s="31" t="n">
        <f aca="false">(C101-B101)*86400</f>
        <v>0.996999721</v>
      </c>
      <c r="G101" s="27" t="s">
        <v>151</v>
      </c>
      <c r="H101" s="27" t="s">
        <v>203</v>
      </c>
      <c r="I101" s="27" t="s">
        <v>200</v>
      </c>
      <c r="J101" s="27" t="s">
        <v>214</v>
      </c>
      <c r="K101" s="27" t="s">
        <v>296</v>
      </c>
      <c r="L101" s="3" t="str">
        <f aca="false">IF(ISNUMBER(SEARCH(" m",I101)),"Range",IF(I101="offline","Offline",IF(I101="","Unknown","No echo / error")))</f>
        <v>Offline</v>
      </c>
      <c r="M101" s="3" t="str">
        <f aca="false">IF(ISNUMBER(SEARCH(" m",J101)),"Range",IF(J101="offline","Offline",IF(J101="","Unknown","No echo / error")))</f>
        <v>Range</v>
      </c>
      <c r="N101" s="3" t="str">
        <f aca="false">IF(ISNUMBER(SEARCH(" m",K101)),"Range",IF(K101="offline","Offline",IF(K101="","Unknown","No echo / error")))</f>
        <v>Range</v>
      </c>
      <c r="O101" s="3" t="str">
        <f aca="false">TEXT(B101,"yyyy-mm-dd")</f>
        <v>2026-10-05</v>
      </c>
    </row>
    <row r="102" customFormat="false" ht="15" hidden="false" customHeight="false" outlineLevel="0" collapsed="false">
      <c r="A102" s="27" t="n">
        <v>2</v>
      </c>
      <c r="B102" s="28" t="n">
        <v>46300.1134751389</v>
      </c>
      <c r="C102" s="29" t="n">
        <f aca="false">IF(A103=A102,B103,INDEX(Rounds!$D:$D,MATCH(A102,Rounds!$A:$A,0)))</f>
        <v>46300.1134847917</v>
      </c>
      <c r="D102" s="30" t="n">
        <f aca="false">(B102-INDEX(Rounds!$C:$C,MATCH(A102,Rounds!$A:$A,0)))*86400</f>
        <v>54.933999711</v>
      </c>
      <c r="E102" s="30" t="n">
        <f aca="false">(C102-INDEX(Rounds!$C:$C,MATCH(A102,Rounds!$A:$A,0)))*86400</f>
        <v>55.767999915</v>
      </c>
      <c r="F102" s="31" t="n">
        <f aca="false">(C102-B102)*86400</f>
        <v>0.834000203</v>
      </c>
      <c r="G102" s="27" t="s">
        <v>150</v>
      </c>
      <c r="H102" s="27" t="s">
        <v>206</v>
      </c>
      <c r="I102" s="27" t="s">
        <v>200</v>
      </c>
      <c r="J102" s="27" t="s">
        <v>240</v>
      </c>
      <c r="K102" s="27" t="s">
        <v>275</v>
      </c>
      <c r="L102" s="3" t="str">
        <f aca="false">IF(ISNUMBER(SEARCH(" m",I102)),"Range",IF(I102="offline","Offline",IF(I102="","Unknown","No echo / error")))</f>
        <v>Offline</v>
      </c>
      <c r="M102" s="3" t="str">
        <f aca="false">IF(ISNUMBER(SEARCH(" m",J102)),"Range",IF(J102="offline","Offline",IF(J102="","Unknown","No echo / error")))</f>
        <v>Range</v>
      </c>
      <c r="N102" s="3" t="str">
        <f aca="false">IF(ISNUMBER(SEARCH(" m",K102)),"Range",IF(K102="offline","Offline",IF(K102="","Unknown","No echo / error")))</f>
        <v>Range</v>
      </c>
      <c r="O102" s="3" t="str">
        <f aca="false">TEXT(B102,"yyyy-mm-dd")</f>
        <v>2026-10-05</v>
      </c>
    </row>
    <row r="103" customFormat="false" ht="15" hidden="false" customHeight="false" outlineLevel="0" collapsed="false">
      <c r="A103" s="27" t="n">
        <v>2</v>
      </c>
      <c r="B103" s="28" t="n">
        <v>46300.1134847917</v>
      </c>
      <c r="C103" s="29" t="n">
        <f aca="false">IF(A104=A103,B104,INDEX(Rounds!$D:$D,MATCH(A103,Rounds!$A:$A,0)))</f>
        <v>46300.1135024884</v>
      </c>
      <c r="D103" s="30" t="n">
        <f aca="false">(B103-INDEX(Rounds!$C:$C,MATCH(A103,Rounds!$A:$A,0)))*86400</f>
        <v>55.767999915</v>
      </c>
      <c r="E103" s="30" t="n">
        <f aca="false">(C103-INDEX(Rounds!$C:$C,MATCH(A103,Rounds!$A:$A,0)))*86400</f>
        <v>57.296999869</v>
      </c>
      <c r="F103" s="31" t="n">
        <f aca="false">(C103-B103)*86400</f>
        <v>1.528999954</v>
      </c>
      <c r="G103" s="27" t="s">
        <v>152</v>
      </c>
      <c r="H103" s="27" t="s">
        <v>208</v>
      </c>
      <c r="I103" s="27" t="s">
        <v>200</v>
      </c>
      <c r="J103" s="27" t="s">
        <v>242</v>
      </c>
      <c r="K103" s="27" t="s">
        <v>297</v>
      </c>
      <c r="L103" s="3" t="str">
        <f aca="false">IF(ISNUMBER(SEARCH(" m",I103)),"Range",IF(I103="offline","Offline",IF(I103="","Unknown","No echo / error")))</f>
        <v>Offline</v>
      </c>
      <c r="M103" s="3" t="str">
        <f aca="false">IF(ISNUMBER(SEARCH(" m",J103)),"Range",IF(J103="offline","Offline",IF(J103="","Unknown","No echo / error")))</f>
        <v>Range</v>
      </c>
      <c r="N103" s="3" t="str">
        <f aca="false">IF(ISNUMBER(SEARCH(" m",K103)),"Range",IF(K103="offline","Offline",IF(K103="","Unknown","No echo / error")))</f>
        <v>Range</v>
      </c>
      <c r="O103" s="3" t="str">
        <f aca="false">TEXT(B103,"yyyy-mm-dd")</f>
        <v>2026-10-05</v>
      </c>
    </row>
    <row r="104" customFormat="false" ht="15" hidden="false" customHeight="false" outlineLevel="0" collapsed="false">
      <c r="A104" s="27" t="n">
        <v>2</v>
      </c>
      <c r="B104" s="28" t="n">
        <v>46300.1135024884</v>
      </c>
      <c r="C104" s="29" t="n">
        <f aca="false">IF(A105=A104,B105,INDEX(Rounds!$D:$D,MATCH(A104,Rounds!$A:$A,0)))</f>
        <v>46300.1135035995</v>
      </c>
      <c r="D104" s="30" t="n">
        <f aca="false">(B104-INDEX(Rounds!$C:$C,MATCH(A104,Rounds!$A:$A,0)))*86400</f>
        <v>57.296999869</v>
      </c>
      <c r="E104" s="30" t="n">
        <f aca="false">(C104-INDEX(Rounds!$C:$C,MATCH(A104,Rounds!$A:$A,0)))*86400</f>
        <v>57.392999902</v>
      </c>
      <c r="F104" s="31" t="n">
        <f aca="false">(C104-B104)*86400</f>
        <v>0.096000032</v>
      </c>
      <c r="G104" s="27" t="s">
        <v>151</v>
      </c>
      <c r="H104" s="27" t="s">
        <v>203</v>
      </c>
      <c r="I104" s="27" t="s">
        <v>200</v>
      </c>
      <c r="J104" s="27" t="s">
        <v>264</v>
      </c>
      <c r="K104" s="27" t="s">
        <v>298</v>
      </c>
      <c r="L104" s="3" t="str">
        <f aca="false">IF(ISNUMBER(SEARCH(" m",I104)),"Range",IF(I104="offline","Offline",IF(I104="","Unknown","No echo / error")))</f>
        <v>Offline</v>
      </c>
      <c r="M104" s="3" t="str">
        <f aca="false">IF(ISNUMBER(SEARCH(" m",J104)),"Range",IF(J104="offline","Offline",IF(J104="","Unknown","No echo / error")))</f>
        <v>Range</v>
      </c>
      <c r="N104" s="3" t="str">
        <f aca="false">IF(ISNUMBER(SEARCH(" m",K104)),"Range",IF(K104="offline","Offline",IF(K104="","Unknown","No echo / error")))</f>
        <v>Range</v>
      </c>
      <c r="O104" s="3" t="str">
        <f aca="false">TEXT(B104,"yyyy-mm-dd")</f>
        <v>2026-10-05</v>
      </c>
    </row>
    <row r="105" customFormat="false" ht="15" hidden="false" customHeight="false" outlineLevel="0" collapsed="false">
      <c r="A105" s="27" t="n">
        <v>2</v>
      </c>
      <c r="B105" s="28" t="n">
        <v>46300.1135035995</v>
      </c>
      <c r="C105" s="29" t="n">
        <f aca="false">IF(A106=A105,B106,INDEX(Rounds!$D:$D,MATCH(A105,Rounds!$A:$A,0)))</f>
        <v>46300.1135686111</v>
      </c>
      <c r="D105" s="30" t="n">
        <f aca="false">(B105-INDEX(Rounds!$C:$C,MATCH(A105,Rounds!$A:$A,0)))*86400</f>
        <v>57.392999902</v>
      </c>
      <c r="E105" s="30" t="n">
        <f aca="false">(C105-INDEX(Rounds!$C:$C,MATCH(A105,Rounds!$A:$A,0)))*86400</f>
        <v>63.009999459</v>
      </c>
      <c r="F105" s="31" t="n">
        <f aca="false">(C105-B105)*86400</f>
        <v>5.616999557</v>
      </c>
      <c r="G105" s="27" t="s">
        <v>150</v>
      </c>
      <c r="H105" s="27" t="s">
        <v>206</v>
      </c>
      <c r="I105" s="27" t="s">
        <v>200</v>
      </c>
      <c r="J105" s="27" t="s">
        <v>264</v>
      </c>
      <c r="K105" s="27" t="s">
        <v>210</v>
      </c>
      <c r="L105" s="3" t="str">
        <f aca="false">IF(ISNUMBER(SEARCH(" m",I105)),"Range",IF(I105="offline","Offline",IF(I105="","Unknown","No echo / error")))</f>
        <v>Offline</v>
      </c>
      <c r="M105" s="3" t="str">
        <f aca="false">IF(ISNUMBER(SEARCH(" m",J105)),"Range",IF(J105="offline","Offline",IF(J105="","Unknown","No echo / error")))</f>
        <v>Range</v>
      </c>
      <c r="N105" s="3" t="str">
        <f aca="false">IF(ISNUMBER(SEARCH(" m",K105)),"Range",IF(K105="offline","Offline",IF(K105="","Unknown","No echo / error")))</f>
        <v>Range</v>
      </c>
      <c r="O105" s="3" t="str">
        <f aca="false">TEXT(B105,"yyyy-mm-dd")</f>
        <v>2026-10-05</v>
      </c>
    </row>
    <row r="106" customFormat="false" ht="15" hidden="false" customHeight="false" outlineLevel="0" collapsed="false">
      <c r="A106" s="27" t="n">
        <v>2</v>
      </c>
      <c r="B106" s="28" t="n">
        <v>46300.1135686111</v>
      </c>
      <c r="C106" s="29" t="n">
        <f aca="false">IF(A107=A106,B107,INDEX(Rounds!$D:$D,MATCH(A106,Rounds!$A:$A,0)))</f>
        <v>46300.1135686111</v>
      </c>
      <c r="D106" s="30" t="n">
        <f aca="false">(B106-INDEX(Rounds!$C:$C,MATCH(A106,Rounds!$A:$A,0)))*86400</f>
        <v>63.009999459</v>
      </c>
      <c r="E106" s="30" t="n">
        <f aca="false">(C106-INDEX(Rounds!$C:$C,MATCH(A106,Rounds!$A:$A,0)))*86400</f>
        <v>63.009999459</v>
      </c>
      <c r="F106" s="31" t="n">
        <f aca="false">(C106-B106)*86400</f>
        <v>0</v>
      </c>
      <c r="G106" s="27" t="s">
        <v>154</v>
      </c>
      <c r="H106" s="27" t="s">
        <v>206</v>
      </c>
      <c r="I106" s="27" t="s">
        <v>200</v>
      </c>
      <c r="J106" s="27" t="s">
        <v>264</v>
      </c>
      <c r="K106" s="27" t="s">
        <v>210</v>
      </c>
      <c r="L106" s="3" t="str">
        <f aca="false">IF(ISNUMBER(SEARCH(" m",I106)),"Range",IF(I106="offline","Offline",IF(I106="","Unknown","No echo / error")))</f>
        <v>Offline</v>
      </c>
      <c r="M106" s="3" t="str">
        <f aca="false">IF(ISNUMBER(SEARCH(" m",J106)),"Range",IF(J106="offline","Offline",IF(J106="","Unknown","No echo / error")))</f>
        <v>Range</v>
      </c>
      <c r="N106" s="3" t="str">
        <f aca="false">IF(ISNUMBER(SEARCH(" m",K106)),"Range",IF(K106="offline","Offline",IF(K106="","Unknown","No echo / error")))</f>
        <v>Range</v>
      </c>
      <c r="O106" s="3" t="str">
        <f aca="false">TEXT(B106,"yyyy-mm-dd")</f>
        <v>2026-10-05</v>
      </c>
    </row>
    <row r="107" customFormat="false" ht="15" hidden="false" customHeight="false" outlineLevel="0" collapsed="false">
      <c r="A107" s="27" t="n">
        <v>3</v>
      </c>
      <c r="B107" s="28" t="n">
        <v>46300.1139619097</v>
      </c>
      <c r="C107" s="29" t="n">
        <f aca="false">IF(A108=A107,B108,INDEX(Rounds!$D:$D,MATCH(A107,Rounds!$A:$A,0)))</f>
        <v>46300.1139619097</v>
      </c>
      <c r="D107" s="30" t="n">
        <f aca="false">(B107-INDEX(Rounds!$C:$C,MATCH(A107,Rounds!$A:$A,0)))*86400</f>
        <v>0</v>
      </c>
      <c r="E107" s="30" t="n">
        <f aca="false">(C107-INDEX(Rounds!$C:$C,MATCH(A107,Rounds!$A:$A,0)))*86400</f>
        <v>0</v>
      </c>
      <c r="F107" s="31" t="n">
        <f aca="false">(C107-B107)*86400</f>
        <v>0</v>
      </c>
      <c r="G107" s="27" t="s">
        <v>150</v>
      </c>
      <c r="H107" s="27" t="s">
        <v>206</v>
      </c>
      <c r="I107" s="27" t="s">
        <v>200</v>
      </c>
      <c r="J107" s="27" t="s">
        <v>264</v>
      </c>
      <c r="K107" s="27" t="s">
        <v>210</v>
      </c>
      <c r="L107" s="3" t="str">
        <f aca="false">IF(ISNUMBER(SEARCH(" m",I107)),"Range",IF(I107="offline","Offline",IF(I107="","Unknown","No echo / error")))</f>
        <v>Offline</v>
      </c>
      <c r="M107" s="3" t="str">
        <f aca="false">IF(ISNUMBER(SEARCH(" m",J107)),"Range",IF(J107="offline","Offline",IF(J107="","Unknown","No echo / error")))</f>
        <v>Range</v>
      </c>
      <c r="N107" s="3" t="str">
        <f aca="false">IF(ISNUMBER(SEARCH(" m",K107)),"Range",IF(K107="offline","Offline",IF(K107="","Unknown","No echo / error")))</f>
        <v>Range</v>
      </c>
      <c r="O107" s="3" t="str">
        <f aca="false">TEXT(B107,"yyyy-mm-dd")</f>
        <v>2026-10-05</v>
      </c>
    </row>
    <row r="108" customFormat="false" ht="15" hidden="false" customHeight="false" outlineLevel="0" collapsed="false">
      <c r="A108" s="27" t="n">
        <v>3</v>
      </c>
      <c r="B108" s="28" t="n">
        <v>46300.1139619097</v>
      </c>
      <c r="C108" s="29" t="n">
        <f aca="false">IF(A109=A108,B109,INDEX(Rounds!$D:$D,MATCH(A108,Rounds!$A:$A,0)))</f>
        <v>46300.1139619213</v>
      </c>
      <c r="D108" s="30" t="n">
        <f aca="false">(B108-INDEX(Rounds!$C:$C,MATCH(A108,Rounds!$A:$A,0)))*86400</f>
        <v>0</v>
      </c>
      <c r="E108" s="30" t="n">
        <f aca="false">(C108-INDEX(Rounds!$C:$C,MATCH(A108,Rounds!$A:$A,0)))*86400</f>
        <v>0.00100017</v>
      </c>
      <c r="F108" s="31" t="n">
        <f aca="false">(C108-B108)*86400</f>
        <v>0.00100017</v>
      </c>
      <c r="G108" s="27" t="s">
        <v>150</v>
      </c>
      <c r="H108" s="27" t="s">
        <v>206</v>
      </c>
      <c r="I108" s="27" t="s">
        <v>200</v>
      </c>
      <c r="J108" s="27" t="s">
        <v>264</v>
      </c>
      <c r="K108" s="27" t="s">
        <v>210</v>
      </c>
      <c r="L108" s="3" t="str">
        <f aca="false">IF(ISNUMBER(SEARCH(" m",I108)),"Range",IF(I108="offline","Offline",IF(I108="","Unknown","No echo / error")))</f>
        <v>Offline</v>
      </c>
      <c r="M108" s="3" t="str">
        <f aca="false">IF(ISNUMBER(SEARCH(" m",J108)),"Range",IF(J108="offline","Offline",IF(J108="","Unknown","No echo / error")))</f>
        <v>Range</v>
      </c>
      <c r="N108" s="3" t="str">
        <f aca="false">IF(ISNUMBER(SEARCH(" m",K108)),"Range",IF(K108="offline","Offline",IF(K108="","Unknown","No echo / error")))</f>
        <v>Range</v>
      </c>
      <c r="O108" s="3" t="str">
        <f aca="false">TEXT(B108,"yyyy-mm-dd")</f>
        <v>2026-10-05</v>
      </c>
    </row>
    <row r="109" customFormat="false" ht="15" hidden="false" customHeight="false" outlineLevel="0" collapsed="false">
      <c r="A109" s="27" t="n">
        <v>3</v>
      </c>
      <c r="B109" s="28" t="n">
        <v>46300.1139619213</v>
      </c>
      <c r="C109" s="29" t="n">
        <f aca="false">IF(A110=A109,B110,INDEX(Rounds!$D:$D,MATCH(A109,Rounds!$A:$A,0)))</f>
        <v>46300.1139675</v>
      </c>
      <c r="D109" s="30" t="n">
        <f aca="false">(B109-INDEX(Rounds!$C:$C,MATCH(A109,Rounds!$A:$A,0)))*86400</f>
        <v>0.00100017</v>
      </c>
      <c r="E109" s="30" t="n">
        <f aca="false">(C109-INDEX(Rounds!$C:$C,MATCH(A109,Rounds!$A:$A,0)))*86400</f>
        <v>0.483000045</v>
      </c>
      <c r="F109" s="31" t="n">
        <f aca="false">(C109-B109)*86400</f>
        <v>0.481999875</v>
      </c>
      <c r="G109" s="27" t="s">
        <v>152</v>
      </c>
      <c r="H109" s="27" t="s">
        <v>199</v>
      </c>
      <c r="I109" s="27" t="s">
        <v>200</v>
      </c>
      <c r="J109" s="27" t="s">
        <v>289</v>
      </c>
      <c r="K109" s="27" t="s">
        <v>299</v>
      </c>
      <c r="L109" s="3" t="str">
        <f aca="false">IF(ISNUMBER(SEARCH(" m",I109)),"Range",IF(I109="offline","Offline",IF(I109="","Unknown","No echo / error")))</f>
        <v>Offline</v>
      </c>
      <c r="M109" s="3" t="str">
        <f aca="false">IF(ISNUMBER(SEARCH(" m",J109)),"Range",IF(J109="offline","Offline",IF(J109="","Unknown","No echo / error")))</f>
        <v>Range</v>
      </c>
      <c r="N109" s="3" t="str">
        <f aca="false">IF(ISNUMBER(SEARCH(" m",K109)),"Range",IF(K109="offline","Offline",IF(K109="","Unknown","No echo / error")))</f>
        <v>Range</v>
      </c>
      <c r="O109" s="3" t="str">
        <f aca="false">TEXT(B109,"yyyy-mm-dd")</f>
        <v>2026-10-05</v>
      </c>
    </row>
    <row r="110" customFormat="false" ht="15" hidden="false" customHeight="false" outlineLevel="0" collapsed="false">
      <c r="A110" s="27" t="n">
        <v>3</v>
      </c>
      <c r="B110" s="28" t="n">
        <v>46300.1139675</v>
      </c>
      <c r="C110" s="29" t="n">
        <f aca="false">IF(A111=A110,B111,INDEX(Rounds!$D:$D,MATCH(A110,Rounds!$A:$A,0)))</f>
        <v>46300.1139818634</v>
      </c>
      <c r="D110" s="30" t="n">
        <f aca="false">(B110-INDEX(Rounds!$C:$C,MATCH(A110,Rounds!$A:$A,0)))*86400</f>
        <v>0.483000045</v>
      </c>
      <c r="E110" s="30" t="n">
        <f aca="false">(C110-INDEX(Rounds!$C:$C,MATCH(A110,Rounds!$A:$A,0)))*86400</f>
        <v>1.724000531</v>
      </c>
      <c r="F110" s="31" t="n">
        <f aca="false">(C110-B110)*86400</f>
        <v>1.241000485</v>
      </c>
      <c r="G110" s="27" t="s">
        <v>151</v>
      </c>
      <c r="H110" s="27" t="s">
        <v>203</v>
      </c>
      <c r="I110" s="27" t="s">
        <v>200</v>
      </c>
      <c r="J110" s="27" t="s">
        <v>204</v>
      </c>
      <c r="K110" s="27" t="s">
        <v>300</v>
      </c>
      <c r="L110" s="3" t="str">
        <f aca="false">IF(ISNUMBER(SEARCH(" m",I110)),"Range",IF(I110="offline","Offline",IF(I110="","Unknown","No echo / error")))</f>
        <v>Offline</v>
      </c>
      <c r="M110" s="3" t="str">
        <f aca="false">IF(ISNUMBER(SEARCH(" m",J110)),"Range",IF(J110="offline","Offline",IF(J110="","Unknown","No echo / error")))</f>
        <v>No echo / error</v>
      </c>
      <c r="N110" s="3" t="str">
        <f aca="false">IF(ISNUMBER(SEARCH(" m",K110)),"Range",IF(K110="offline","Offline",IF(K110="","Unknown","No echo / error")))</f>
        <v>Range</v>
      </c>
      <c r="O110" s="3" t="str">
        <f aca="false">TEXT(B110,"yyyy-mm-dd")</f>
        <v>2026-10-05</v>
      </c>
    </row>
    <row r="111" customFormat="false" ht="15" hidden="false" customHeight="false" outlineLevel="0" collapsed="false">
      <c r="A111" s="27" t="n">
        <v>3</v>
      </c>
      <c r="B111" s="28" t="n">
        <v>46300.1139818634</v>
      </c>
      <c r="C111" s="29" t="n">
        <f aca="false">IF(A112=A111,B112,INDEX(Rounds!$D:$D,MATCH(A111,Rounds!$A:$A,0)))</f>
        <v>46300.1140284954</v>
      </c>
      <c r="D111" s="30" t="n">
        <f aca="false">(B111-INDEX(Rounds!$C:$C,MATCH(A111,Rounds!$A:$A,0)))*86400</f>
        <v>1.724000531</v>
      </c>
      <c r="E111" s="30" t="n">
        <f aca="false">(C111-INDEX(Rounds!$C:$C,MATCH(A111,Rounds!$A:$A,0)))*86400</f>
        <v>5.753000127</v>
      </c>
      <c r="F111" s="31" t="n">
        <f aca="false">(C111-B111)*86400</f>
        <v>4.028999595</v>
      </c>
      <c r="G111" s="27" t="s">
        <v>150</v>
      </c>
      <c r="H111" s="27" t="s">
        <v>206</v>
      </c>
      <c r="I111" s="27" t="s">
        <v>200</v>
      </c>
      <c r="J111" s="27" t="s">
        <v>301</v>
      </c>
      <c r="K111" s="27" t="s">
        <v>302</v>
      </c>
      <c r="L111" s="3" t="str">
        <f aca="false">IF(ISNUMBER(SEARCH(" m",I111)),"Range",IF(I111="offline","Offline",IF(I111="","Unknown","No echo / error")))</f>
        <v>Offline</v>
      </c>
      <c r="M111" s="3" t="str">
        <f aca="false">IF(ISNUMBER(SEARCH(" m",J111)),"Range",IF(J111="offline","Offline",IF(J111="","Unknown","No echo / error")))</f>
        <v>Range</v>
      </c>
      <c r="N111" s="3" t="str">
        <f aca="false">IF(ISNUMBER(SEARCH(" m",K111)),"Range",IF(K111="offline","Offline",IF(K111="","Unknown","No echo / error")))</f>
        <v>Range</v>
      </c>
      <c r="O111" s="3" t="str">
        <f aca="false">TEXT(B111,"yyyy-mm-dd")</f>
        <v>2026-10-05</v>
      </c>
    </row>
    <row r="112" customFormat="false" ht="15" hidden="false" customHeight="false" outlineLevel="0" collapsed="false">
      <c r="A112" s="27" t="n">
        <v>3</v>
      </c>
      <c r="B112" s="28" t="n">
        <v>46300.1140284954</v>
      </c>
      <c r="C112" s="29" t="n">
        <f aca="false">IF(A113=A112,B113,INDEX(Rounds!$D:$D,MATCH(A112,Rounds!$A:$A,0)))</f>
        <v>46300.1140294097</v>
      </c>
      <c r="D112" s="30" t="n">
        <f aca="false">(B112-INDEX(Rounds!$C:$C,MATCH(A112,Rounds!$A:$A,0)))*86400</f>
        <v>5.753000127</v>
      </c>
      <c r="E112" s="30" t="n">
        <f aca="false">(C112-INDEX(Rounds!$C:$C,MATCH(A112,Rounds!$A:$A,0)))*86400</f>
        <v>5.831999774</v>
      </c>
      <c r="F112" s="31" t="n">
        <f aca="false">(C112-B112)*86400</f>
        <v>0.078999646</v>
      </c>
      <c r="G112" s="27" t="s">
        <v>152</v>
      </c>
      <c r="H112" s="27" t="s">
        <v>208</v>
      </c>
      <c r="I112" s="27" t="s">
        <v>200</v>
      </c>
      <c r="J112" s="27" t="s">
        <v>220</v>
      </c>
      <c r="K112" s="27" t="s">
        <v>220</v>
      </c>
      <c r="L112" s="3" t="str">
        <f aca="false">IF(ISNUMBER(SEARCH(" m",I112)),"Range",IF(I112="offline","Offline",IF(I112="","Unknown","No echo / error")))</f>
        <v>Offline</v>
      </c>
      <c r="M112" s="3" t="str">
        <f aca="false">IF(ISNUMBER(SEARCH(" m",J112)),"Range",IF(J112="offline","Offline",IF(J112="","Unknown","No echo / error")))</f>
        <v>No echo / error</v>
      </c>
      <c r="N112" s="3" t="str">
        <f aca="false">IF(ISNUMBER(SEARCH(" m",K112)),"Range",IF(K112="offline","Offline",IF(K112="","Unknown","No echo / error")))</f>
        <v>No echo / error</v>
      </c>
      <c r="O112" s="3" t="str">
        <f aca="false">TEXT(B112,"yyyy-mm-dd")</f>
        <v>2026-10-05</v>
      </c>
    </row>
    <row r="113" customFormat="false" ht="15" hidden="false" customHeight="false" outlineLevel="0" collapsed="false">
      <c r="A113" s="27" t="n">
        <v>3</v>
      </c>
      <c r="B113" s="28" t="n">
        <v>46300.1140294097</v>
      </c>
      <c r="C113" s="29" t="n">
        <f aca="false">IF(A114=A113,B114,INDEX(Rounds!$D:$D,MATCH(A113,Rounds!$A:$A,0)))</f>
        <v>46300.114030706</v>
      </c>
      <c r="D113" s="30" t="n">
        <f aca="false">(B113-INDEX(Rounds!$C:$C,MATCH(A113,Rounds!$A:$A,0)))*86400</f>
        <v>5.831999774</v>
      </c>
      <c r="E113" s="30" t="n">
        <f aca="false">(C113-INDEX(Rounds!$C:$C,MATCH(A113,Rounds!$A:$A,0)))*86400</f>
        <v>5.944000021</v>
      </c>
      <c r="F113" s="31" t="n">
        <f aca="false">(C113-B113)*86400</f>
        <v>0.112000247</v>
      </c>
      <c r="G113" s="27" t="s">
        <v>151</v>
      </c>
      <c r="H113" s="27" t="s">
        <v>203</v>
      </c>
      <c r="I113" s="27" t="s">
        <v>200</v>
      </c>
      <c r="J113" s="27" t="s">
        <v>220</v>
      </c>
      <c r="K113" s="27" t="s">
        <v>272</v>
      </c>
      <c r="L113" s="3" t="str">
        <f aca="false">IF(ISNUMBER(SEARCH(" m",I113)),"Range",IF(I113="offline","Offline",IF(I113="","Unknown","No echo / error")))</f>
        <v>Offline</v>
      </c>
      <c r="M113" s="3" t="str">
        <f aca="false">IF(ISNUMBER(SEARCH(" m",J113)),"Range",IF(J113="offline","Offline",IF(J113="","Unknown","No echo / error")))</f>
        <v>No echo / error</v>
      </c>
      <c r="N113" s="3" t="str">
        <f aca="false">IF(ISNUMBER(SEARCH(" m",K113)),"Range",IF(K113="offline","Offline",IF(K113="","Unknown","No echo / error")))</f>
        <v>Range</v>
      </c>
      <c r="O113" s="3" t="str">
        <f aca="false">TEXT(B113,"yyyy-mm-dd")</f>
        <v>2026-10-05</v>
      </c>
    </row>
    <row r="114" customFormat="false" ht="15" hidden="false" customHeight="false" outlineLevel="0" collapsed="false">
      <c r="A114" s="27" t="n">
        <v>3</v>
      </c>
      <c r="B114" s="28" t="n">
        <v>46300.114030706</v>
      </c>
      <c r="C114" s="29" t="n">
        <f aca="false">IF(A115=A114,B115,INDEX(Rounds!$D:$D,MATCH(A114,Rounds!$A:$A,0)))</f>
        <v>46300.1140362963</v>
      </c>
      <c r="D114" s="30" t="n">
        <f aca="false">(B114-INDEX(Rounds!$C:$C,MATCH(A114,Rounds!$A:$A,0)))*86400</f>
        <v>5.944000021</v>
      </c>
      <c r="E114" s="30" t="n">
        <f aca="false">(C114-INDEX(Rounds!$C:$C,MATCH(A114,Rounds!$A:$A,0)))*86400</f>
        <v>6.427000067</v>
      </c>
      <c r="F114" s="31" t="n">
        <f aca="false">(C114-B114)*86400</f>
        <v>0.483000045</v>
      </c>
      <c r="G114" s="27" t="s">
        <v>150</v>
      </c>
      <c r="H114" s="27" t="s">
        <v>206</v>
      </c>
      <c r="I114" s="27" t="s">
        <v>200</v>
      </c>
      <c r="J114" s="27" t="s">
        <v>303</v>
      </c>
      <c r="K114" s="27" t="s">
        <v>272</v>
      </c>
      <c r="L114" s="3" t="str">
        <f aca="false">IF(ISNUMBER(SEARCH(" m",I114)),"Range",IF(I114="offline","Offline",IF(I114="","Unknown","No echo / error")))</f>
        <v>Offline</v>
      </c>
      <c r="M114" s="3" t="str">
        <f aca="false">IF(ISNUMBER(SEARCH(" m",J114)),"Range",IF(J114="offline","Offline",IF(J114="","Unknown","No echo / error")))</f>
        <v>Range</v>
      </c>
      <c r="N114" s="3" t="str">
        <f aca="false">IF(ISNUMBER(SEARCH(" m",K114)),"Range",IF(K114="offline","Offline",IF(K114="","Unknown","No echo / error")))</f>
        <v>Range</v>
      </c>
      <c r="O114" s="3" t="str">
        <f aca="false">TEXT(B114,"yyyy-mm-dd")</f>
        <v>2026-10-05</v>
      </c>
    </row>
    <row r="115" customFormat="false" ht="15" hidden="false" customHeight="false" outlineLevel="0" collapsed="false">
      <c r="A115" s="27" t="n">
        <v>3</v>
      </c>
      <c r="B115" s="28" t="n">
        <v>46300.1140362963</v>
      </c>
      <c r="C115" s="29" t="n">
        <f aca="false">IF(A116=A115,B116,INDEX(Rounds!$D:$D,MATCH(A115,Rounds!$A:$A,0)))</f>
        <v>46300.1140392824</v>
      </c>
      <c r="D115" s="30" t="n">
        <f aca="false">(B115-INDEX(Rounds!$C:$C,MATCH(A115,Rounds!$A:$A,0)))*86400</f>
        <v>6.427000067</v>
      </c>
      <c r="E115" s="30" t="n">
        <f aca="false">(C115-INDEX(Rounds!$C:$C,MATCH(A115,Rounds!$A:$A,0)))*86400</f>
        <v>6.685000075</v>
      </c>
      <c r="F115" s="31" t="n">
        <f aca="false">(C115-B115)*86400</f>
        <v>0.258000008</v>
      </c>
      <c r="G115" s="27" t="s">
        <v>152</v>
      </c>
      <c r="H115" s="27" t="s">
        <v>208</v>
      </c>
      <c r="I115" s="27" t="s">
        <v>200</v>
      </c>
      <c r="J115" s="27" t="s">
        <v>303</v>
      </c>
      <c r="K115" s="27" t="s">
        <v>217</v>
      </c>
      <c r="L115" s="3" t="str">
        <f aca="false">IF(ISNUMBER(SEARCH(" m",I115)),"Range",IF(I115="offline","Offline",IF(I115="","Unknown","No echo / error")))</f>
        <v>Offline</v>
      </c>
      <c r="M115" s="3" t="str">
        <f aca="false">IF(ISNUMBER(SEARCH(" m",J115)),"Range",IF(J115="offline","Offline",IF(J115="","Unknown","No echo / error")))</f>
        <v>Range</v>
      </c>
      <c r="N115" s="3" t="str">
        <f aca="false">IF(ISNUMBER(SEARCH(" m",K115)),"Range",IF(K115="offline","Offline",IF(K115="","Unknown","No echo / error")))</f>
        <v>Range</v>
      </c>
      <c r="O115" s="3" t="str">
        <f aca="false">TEXT(B115,"yyyy-mm-dd")</f>
        <v>2026-10-05</v>
      </c>
    </row>
    <row r="116" customFormat="false" ht="15" hidden="false" customHeight="false" outlineLevel="0" collapsed="false">
      <c r="A116" s="27" t="n">
        <v>3</v>
      </c>
      <c r="B116" s="28" t="n">
        <v>46300.1140392824</v>
      </c>
      <c r="C116" s="29" t="n">
        <f aca="false">IF(A117=A116,B117,INDEX(Rounds!$D:$D,MATCH(A116,Rounds!$A:$A,0)))</f>
        <v>46300.1140452315</v>
      </c>
      <c r="D116" s="30" t="n">
        <f aca="false">(B116-INDEX(Rounds!$C:$C,MATCH(A116,Rounds!$A:$A,0)))*86400</f>
        <v>6.685000075</v>
      </c>
      <c r="E116" s="30" t="n">
        <f aca="false">(C116-INDEX(Rounds!$C:$C,MATCH(A116,Rounds!$A:$A,0)))*86400</f>
        <v>7.198999752</v>
      </c>
      <c r="F116" s="31" t="n">
        <f aca="false">(C116-B116)*86400</f>
        <v>0.513999676</v>
      </c>
      <c r="G116" s="27" t="s">
        <v>151</v>
      </c>
      <c r="H116" s="27" t="s">
        <v>203</v>
      </c>
      <c r="I116" s="27" t="s">
        <v>200</v>
      </c>
      <c r="J116" s="27" t="s">
        <v>204</v>
      </c>
      <c r="K116" s="27" t="s">
        <v>272</v>
      </c>
      <c r="L116" s="3" t="str">
        <f aca="false">IF(ISNUMBER(SEARCH(" m",I116)),"Range",IF(I116="offline","Offline",IF(I116="","Unknown","No echo / error")))</f>
        <v>Offline</v>
      </c>
      <c r="M116" s="3" t="str">
        <f aca="false">IF(ISNUMBER(SEARCH(" m",J116)),"Range",IF(J116="offline","Offline",IF(J116="","Unknown","No echo / error")))</f>
        <v>No echo / error</v>
      </c>
      <c r="N116" s="3" t="str">
        <f aca="false">IF(ISNUMBER(SEARCH(" m",K116)),"Range",IF(K116="offline","Offline",IF(K116="","Unknown","No echo / error")))</f>
        <v>Range</v>
      </c>
      <c r="O116" s="3" t="str">
        <f aca="false">TEXT(B116,"yyyy-mm-dd")</f>
        <v>2026-10-05</v>
      </c>
    </row>
    <row r="117" customFormat="false" ht="15" hidden="false" customHeight="false" outlineLevel="0" collapsed="false">
      <c r="A117" s="27" t="n">
        <v>3</v>
      </c>
      <c r="B117" s="28" t="n">
        <v>46300.1140452315</v>
      </c>
      <c r="C117" s="29" t="n">
        <f aca="false">IF(A118=A117,B118,INDEX(Rounds!$D:$D,MATCH(A117,Rounds!$A:$A,0)))</f>
        <v>46300.1140873958</v>
      </c>
      <c r="D117" s="30" t="n">
        <f aca="false">(B117-INDEX(Rounds!$C:$C,MATCH(A117,Rounds!$A:$A,0)))*86400</f>
        <v>7.198999752</v>
      </c>
      <c r="E117" s="30" t="n">
        <f aca="false">(C117-INDEX(Rounds!$C:$C,MATCH(A117,Rounds!$A:$A,0)))*86400</f>
        <v>10.842000762</v>
      </c>
      <c r="F117" s="31" t="n">
        <f aca="false">(C117-B117)*86400</f>
        <v>3.64300101</v>
      </c>
      <c r="G117" s="27" t="s">
        <v>150</v>
      </c>
      <c r="H117" s="27" t="s">
        <v>206</v>
      </c>
      <c r="I117" s="27" t="s">
        <v>200</v>
      </c>
      <c r="J117" s="27" t="s">
        <v>303</v>
      </c>
      <c r="K117" s="27" t="s">
        <v>272</v>
      </c>
      <c r="L117" s="3" t="str">
        <f aca="false">IF(ISNUMBER(SEARCH(" m",I117)),"Range",IF(I117="offline","Offline",IF(I117="","Unknown","No echo / error")))</f>
        <v>Offline</v>
      </c>
      <c r="M117" s="3" t="str">
        <f aca="false">IF(ISNUMBER(SEARCH(" m",J117)),"Range",IF(J117="offline","Offline",IF(J117="","Unknown","No echo / error")))</f>
        <v>Range</v>
      </c>
      <c r="N117" s="3" t="str">
        <f aca="false">IF(ISNUMBER(SEARCH(" m",K117)),"Range",IF(K117="offline","Offline",IF(K117="","Unknown","No echo / error")))</f>
        <v>Range</v>
      </c>
      <c r="O117" s="3" t="str">
        <f aca="false">TEXT(B117,"yyyy-mm-dd")</f>
        <v>2026-10-05</v>
      </c>
    </row>
    <row r="118" customFormat="false" ht="15" hidden="false" customHeight="false" outlineLevel="0" collapsed="false">
      <c r="A118" s="27" t="n">
        <v>3</v>
      </c>
      <c r="B118" s="28" t="n">
        <v>46300.1140873958</v>
      </c>
      <c r="C118" s="29" t="n">
        <f aca="false">IF(A119=A118,B119,INDEX(Rounds!$D:$D,MATCH(A118,Rounds!$A:$A,0)))</f>
        <v>46300.1140972917</v>
      </c>
      <c r="D118" s="30" t="n">
        <f aca="false">(B118-INDEX(Rounds!$C:$C,MATCH(A118,Rounds!$A:$A,0)))*86400</f>
        <v>10.842000762</v>
      </c>
      <c r="E118" s="30" t="n">
        <f aca="false">(C118-INDEX(Rounds!$C:$C,MATCH(A118,Rounds!$A:$A,0)))*86400</f>
        <v>11.697000148</v>
      </c>
      <c r="F118" s="31" t="n">
        <f aca="false">(C118-B118)*86400</f>
        <v>0.854999385</v>
      </c>
      <c r="G118" s="27" t="s">
        <v>152</v>
      </c>
      <c r="H118" s="27" t="s">
        <v>208</v>
      </c>
      <c r="I118" s="27" t="s">
        <v>200</v>
      </c>
      <c r="J118" s="27" t="s">
        <v>303</v>
      </c>
      <c r="K118" s="27" t="s">
        <v>272</v>
      </c>
      <c r="L118" s="3" t="str">
        <f aca="false">IF(ISNUMBER(SEARCH(" m",I118)),"Range",IF(I118="offline","Offline",IF(I118="","Unknown","No echo / error")))</f>
        <v>Offline</v>
      </c>
      <c r="M118" s="3" t="str">
        <f aca="false">IF(ISNUMBER(SEARCH(" m",J118)),"Range",IF(J118="offline","Offline",IF(J118="","Unknown","No echo / error")))</f>
        <v>Range</v>
      </c>
      <c r="N118" s="3" t="str">
        <f aca="false">IF(ISNUMBER(SEARCH(" m",K118)),"Range",IF(K118="offline","Offline",IF(K118="","Unknown","No echo / error")))</f>
        <v>Range</v>
      </c>
      <c r="O118" s="3" t="str">
        <f aca="false">TEXT(B118,"yyyy-mm-dd")</f>
        <v>2026-10-05</v>
      </c>
    </row>
    <row r="119" customFormat="false" ht="15" hidden="false" customHeight="false" outlineLevel="0" collapsed="false">
      <c r="A119" s="27" t="n">
        <v>3</v>
      </c>
      <c r="B119" s="28" t="n">
        <v>46300.1140972917</v>
      </c>
      <c r="C119" s="29" t="n">
        <f aca="false">IF(A120=A119,B120,INDEX(Rounds!$D:$D,MATCH(A119,Rounds!$A:$A,0)))</f>
        <v>46300.1141062616</v>
      </c>
      <c r="D119" s="30" t="n">
        <f aca="false">(B119-INDEX(Rounds!$C:$C,MATCH(A119,Rounds!$A:$A,0)))*86400</f>
        <v>11.697000148</v>
      </c>
      <c r="E119" s="30" t="n">
        <f aca="false">(C119-INDEX(Rounds!$C:$C,MATCH(A119,Rounds!$A:$A,0)))*86400</f>
        <v>12.471999716</v>
      </c>
      <c r="F119" s="31" t="n">
        <f aca="false">(C119-B119)*86400</f>
        <v>0.774999568</v>
      </c>
      <c r="G119" s="27" t="s">
        <v>151</v>
      </c>
      <c r="H119" s="27" t="s">
        <v>203</v>
      </c>
      <c r="I119" s="27" t="s">
        <v>200</v>
      </c>
      <c r="J119" s="27" t="s">
        <v>304</v>
      </c>
      <c r="K119" s="27" t="s">
        <v>248</v>
      </c>
      <c r="L119" s="3" t="str">
        <f aca="false">IF(ISNUMBER(SEARCH(" m",I119)),"Range",IF(I119="offline","Offline",IF(I119="","Unknown","No echo / error")))</f>
        <v>Offline</v>
      </c>
      <c r="M119" s="3" t="str">
        <f aca="false">IF(ISNUMBER(SEARCH(" m",J119)),"Range",IF(J119="offline","Offline",IF(J119="","Unknown","No echo / error")))</f>
        <v>Range</v>
      </c>
      <c r="N119" s="3" t="str">
        <f aca="false">IF(ISNUMBER(SEARCH(" m",K119)),"Range",IF(K119="offline","Offline",IF(K119="","Unknown","No echo / error")))</f>
        <v>Range</v>
      </c>
      <c r="O119" s="3" t="str">
        <f aca="false">TEXT(B119,"yyyy-mm-dd")</f>
        <v>2026-10-05</v>
      </c>
    </row>
    <row r="120" customFormat="false" ht="15" hidden="false" customHeight="false" outlineLevel="0" collapsed="false">
      <c r="A120" s="27" t="n">
        <v>3</v>
      </c>
      <c r="B120" s="28" t="n">
        <v>46300.1141062616</v>
      </c>
      <c r="C120" s="29" t="n">
        <f aca="false">IF(A121=A120,B121,INDEX(Rounds!$D:$D,MATCH(A120,Rounds!$A:$A,0)))</f>
        <v>46300.1143210417</v>
      </c>
      <c r="D120" s="30" t="n">
        <f aca="false">(B120-INDEX(Rounds!$C:$C,MATCH(A120,Rounds!$A:$A,0)))*86400</f>
        <v>12.471999716</v>
      </c>
      <c r="E120" s="30" t="n">
        <f aca="false">(C120-INDEX(Rounds!$C:$C,MATCH(A120,Rounds!$A:$A,0)))*86400</f>
        <v>31.028999621</v>
      </c>
      <c r="F120" s="31" t="n">
        <f aca="false">(C120-B120)*86400</f>
        <v>18.556999904</v>
      </c>
      <c r="G120" s="27" t="s">
        <v>150</v>
      </c>
      <c r="H120" s="27" t="s">
        <v>206</v>
      </c>
      <c r="I120" s="27" t="s">
        <v>200</v>
      </c>
      <c r="J120" s="27" t="s">
        <v>272</v>
      </c>
      <c r="K120" s="27" t="s">
        <v>217</v>
      </c>
      <c r="L120" s="3" t="str">
        <f aca="false">IF(ISNUMBER(SEARCH(" m",I120)),"Range",IF(I120="offline","Offline",IF(I120="","Unknown","No echo / error")))</f>
        <v>Offline</v>
      </c>
      <c r="M120" s="3" t="str">
        <f aca="false">IF(ISNUMBER(SEARCH(" m",J120)),"Range",IF(J120="offline","Offline",IF(J120="","Unknown","No echo / error")))</f>
        <v>Range</v>
      </c>
      <c r="N120" s="3" t="str">
        <f aca="false">IF(ISNUMBER(SEARCH(" m",K120)),"Range",IF(K120="offline","Offline",IF(K120="","Unknown","No echo / error")))</f>
        <v>Range</v>
      </c>
      <c r="O120" s="3" t="str">
        <f aca="false">TEXT(B120,"yyyy-mm-dd")</f>
        <v>2026-10-05</v>
      </c>
    </row>
    <row r="121" customFormat="false" ht="15" hidden="false" customHeight="false" outlineLevel="0" collapsed="false">
      <c r="A121" s="27" t="n">
        <v>3</v>
      </c>
      <c r="B121" s="28" t="n">
        <v>46300.1143210417</v>
      </c>
      <c r="C121" s="29" t="n">
        <f aca="false">IF(A122=A121,B122,INDEX(Rounds!$D:$D,MATCH(A121,Rounds!$A:$A,0)))</f>
        <v>46300.1143219792</v>
      </c>
      <c r="D121" s="30" t="n">
        <f aca="false">(B121-INDEX(Rounds!$C:$C,MATCH(A121,Rounds!$A:$A,0)))*86400</f>
        <v>31.028999621</v>
      </c>
      <c r="E121" s="30" t="n">
        <f aca="false">(C121-INDEX(Rounds!$C:$C,MATCH(A121,Rounds!$A:$A,0)))*86400</f>
        <v>31.110000237</v>
      </c>
      <c r="F121" s="31" t="n">
        <f aca="false">(C121-B121)*86400</f>
        <v>0.081000616</v>
      </c>
      <c r="G121" s="27" t="s">
        <v>151</v>
      </c>
      <c r="H121" s="27" t="s">
        <v>203</v>
      </c>
      <c r="I121" s="27" t="s">
        <v>200</v>
      </c>
      <c r="J121" s="27" t="s">
        <v>305</v>
      </c>
      <c r="K121" s="27" t="s">
        <v>201</v>
      </c>
      <c r="L121" s="3" t="str">
        <f aca="false">IF(ISNUMBER(SEARCH(" m",I121)),"Range",IF(I121="offline","Offline",IF(I121="","Unknown","No echo / error")))</f>
        <v>Offline</v>
      </c>
      <c r="M121" s="3" t="str">
        <f aca="false">IF(ISNUMBER(SEARCH(" m",J121)),"Range",IF(J121="offline","Offline",IF(J121="","Unknown","No echo / error")))</f>
        <v>Range</v>
      </c>
      <c r="N121" s="3" t="str">
        <f aca="false">IF(ISNUMBER(SEARCH(" m",K121)),"Range",IF(K121="offline","Offline",IF(K121="","Unknown","No echo / error")))</f>
        <v>Range</v>
      </c>
      <c r="O121" s="3" t="str">
        <f aca="false">TEXT(B121,"yyyy-mm-dd")</f>
        <v>2026-10-05</v>
      </c>
    </row>
    <row r="122" customFormat="false" ht="15" hidden="false" customHeight="false" outlineLevel="0" collapsed="false">
      <c r="A122" s="27" t="n">
        <v>3</v>
      </c>
      <c r="B122" s="28" t="n">
        <v>46300.1143219792</v>
      </c>
      <c r="C122" s="29" t="n">
        <f aca="false">IF(A123=A122,B123,INDEX(Rounds!$D:$D,MATCH(A122,Rounds!$A:$A,0)))</f>
        <v>46300.114328831</v>
      </c>
      <c r="D122" s="30" t="n">
        <f aca="false">(B122-INDEX(Rounds!$C:$C,MATCH(A122,Rounds!$A:$A,0)))*86400</f>
        <v>31.110000237</v>
      </c>
      <c r="E122" s="30" t="n">
        <f aca="false">(C122-INDEX(Rounds!$C:$C,MATCH(A122,Rounds!$A:$A,0)))*86400</f>
        <v>31.702000019</v>
      </c>
      <c r="F122" s="31" t="n">
        <f aca="false">(C122-B122)*86400</f>
        <v>0.591999781</v>
      </c>
      <c r="G122" s="27" t="s">
        <v>150</v>
      </c>
      <c r="H122" s="27" t="s">
        <v>206</v>
      </c>
      <c r="I122" s="27" t="s">
        <v>200</v>
      </c>
      <c r="J122" s="27" t="s">
        <v>291</v>
      </c>
      <c r="K122" s="27" t="s">
        <v>201</v>
      </c>
      <c r="L122" s="3" t="str">
        <f aca="false">IF(ISNUMBER(SEARCH(" m",I122)),"Range",IF(I122="offline","Offline",IF(I122="","Unknown","No echo / error")))</f>
        <v>Offline</v>
      </c>
      <c r="M122" s="3" t="str">
        <f aca="false">IF(ISNUMBER(SEARCH(" m",J122)),"Range",IF(J122="offline","Offline",IF(J122="","Unknown","No echo / error")))</f>
        <v>Range</v>
      </c>
      <c r="N122" s="3" t="str">
        <f aca="false">IF(ISNUMBER(SEARCH(" m",K122)),"Range",IF(K122="offline","Offline",IF(K122="","Unknown","No echo / error")))</f>
        <v>Range</v>
      </c>
      <c r="O122" s="3" t="str">
        <f aca="false">TEXT(B122,"yyyy-mm-dd")</f>
        <v>2026-10-05</v>
      </c>
    </row>
    <row r="123" customFormat="false" ht="15" hidden="false" customHeight="false" outlineLevel="0" collapsed="false">
      <c r="A123" s="27" t="n">
        <v>3</v>
      </c>
      <c r="B123" s="28" t="n">
        <v>46300.114328831</v>
      </c>
      <c r="C123" s="29" t="n">
        <f aca="false">IF(A124=A123,B124,INDEX(Rounds!$D:$D,MATCH(A123,Rounds!$A:$A,0)))</f>
        <v>46300.1143293982</v>
      </c>
      <c r="D123" s="30" t="n">
        <f aca="false">(B123-INDEX(Rounds!$C:$C,MATCH(A123,Rounds!$A:$A,0)))*86400</f>
        <v>31.702000019</v>
      </c>
      <c r="E123" s="30" t="n">
        <f aca="false">(C123-INDEX(Rounds!$C:$C,MATCH(A123,Rounds!$A:$A,0)))*86400</f>
        <v>31.751000205</v>
      </c>
      <c r="F123" s="31" t="n">
        <f aca="false">(C123-B123)*86400</f>
        <v>0.049000186</v>
      </c>
      <c r="G123" s="27" t="s">
        <v>152</v>
      </c>
      <c r="H123" s="27" t="s">
        <v>208</v>
      </c>
      <c r="I123" s="27" t="s">
        <v>200</v>
      </c>
      <c r="J123" s="27" t="s">
        <v>306</v>
      </c>
      <c r="K123" s="27" t="s">
        <v>236</v>
      </c>
      <c r="L123" s="3" t="str">
        <f aca="false">IF(ISNUMBER(SEARCH(" m",I123)),"Range",IF(I123="offline","Offline",IF(I123="","Unknown","No echo / error")))</f>
        <v>Offline</v>
      </c>
      <c r="M123" s="3" t="str">
        <f aca="false">IF(ISNUMBER(SEARCH(" m",J123)),"Range",IF(J123="offline","Offline",IF(J123="","Unknown","No echo / error")))</f>
        <v>Range</v>
      </c>
      <c r="N123" s="3" t="str">
        <f aca="false">IF(ISNUMBER(SEARCH(" m",K123)),"Range",IF(K123="offline","Offline",IF(K123="","Unknown","No echo / error")))</f>
        <v>Range</v>
      </c>
      <c r="O123" s="3" t="str">
        <f aca="false">TEXT(B123,"yyyy-mm-dd")</f>
        <v>2026-10-05</v>
      </c>
    </row>
    <row r="124" customFormat="false" ht="15" hidden="false" customHeight="false" outlineLevel="0" collapsed="false">
      <c r="A124" s="27" t="n">
        <v>3</v>
      </c>
      <c r="B124" s="28" t="n">
        <v>46300.1143293982</v>
      </c>
      <c r="C124" s="29" t="n">
        <f aca="false">IF(A125=A124,B125,INDEX(Rounds!$D:$D,MATCH(A124,Rounds!$A:$A,0)))</f>
        <v>46300.1143323843</v>
      </c>
      <c r="D124" s="30" t="n">
        <f aca="false">(B124-INDEX(Rounds!$C:$C,MATCH(A124,Rounds!$A:$A,0)))*86400</f>
        <v>31.751000205</v>
      </c>
      <c r="E124" s="30" t="n">
        <f aca="false">(C124-INDEX(Rounds!$C:$C,MATCH(A124,Rounds!$A:$A,0)))*86400</f>
        <v>32.009000214</v>
      </c>
      <c r="F124" s="31" t="n">
        <f aca="false">(C124-B124)*86400</f>
        <v>0.258000008</v>
      </c>
      <c r="G124" s="27" t="s">
        <v>151</v>
      </c>
      <c r="H124" s="27" t="s">
        <v>203</v>
      </c>
      <c r="I124" s="27" t="s">
        <v>200</v>
      </c>
      <c r="J124" s="27" t="s">
        <v>306</v>
      </c>
      <c r="K124" s="27" t="s">
        <v>255</v>
      </c>
      <c r="L124" s="3" t="str">
        <f aca="false">IF(ISNUMBER(SEARCH(" m",I124)),"Range",IF(I124="offline","Offline",IF(I124="","Unknown","No echo / error")))</f>
        <v>Offline</v>
      </c>
      <c r="M124" s="3" t="str">
        <f aca="false">IF(ISNUMBER(SEARCH(" m",J124)),"Range",IF(J124="offline","Offline",IF(J124="","Unknown","No echo / error")))</f>
        <v>Range</v>
      </c>
      <c r="N124" s="3" t="str">
        <f aca="false">IF(ISNUMBER(SEARCH(" m",K124)),"Range",IF(K124="offline","Offline",IF(K124="","Unknown","No echo / error")))</f>
        <v>Range</v>
      </c>
      <c r="O124" s="3" t="str">
        <f aca="false">TEXT(B124,"yyyy-mm-dd")</f>
        <v>2026-10-05</v>
      </c>
    </row>
    <row r="125" customFormat="false" ht="15" hidden="false" customHeight="false" outlineLevel="0" collapsed="false">
      <c r="A125" s="27" t="n">
        <v>3</v>
      </c>
      <c r="B125" s="28" t="n">
        <v>46300.1143323843</v>
      </c>
      <c r="C125" s="29" t="n">
        <f aca="false">IF(A126=A125,B126,INDEX(Rounds!$D:$D,MATCH(A125,Rounds!$A:$A,0)))</f>
        <v>46300.1143470255</v>
      </c>
      <c r="D125" s="30" t="n">
        <f aca="false">(B125-INDEX(Rounds!$C:$C,MATCH(A125,Rounds!$A:$A,0)))*86400</f>
        <v>32.009000214</v>
      </c>
      <c r="E125" s="30" t="n">
        <f aca="false">(C125-INDEX(Rounds!$C:$C,MATCH(A125,Rounds!$A:$A,0)))*86400</f>
        <v>33.273999765</v>
      </c>
      <c r="F125" s="31" t="n">
        <f aca="false">(C125-B125)*86400</f>
        <v>1.26499955</v>
      </c>
      <c r="G125" s="27" t="s">
        <v>150</v>
      </c>
      <c r="H125" s="27" t="s">
        <v>206</v>
      </c>
      <c r="I125" s="27" t="s">
        <v>200</v>
      </c>
      <c r="J125" s="27" t="s">
        <v>307</v>
      </c>
      <c r="K125" s="27" t="s">
        <v>255</v>
      </c>
      <c r="L125" s="3" t="str">
        <f aca="false">IF(ISNUMBER(SEARCH(" m",I125)),"Range",IF(I125="offline","Offline",IF(I125="","Unknown","No echo / error")))</f>
        <v>Offline</v>
      </c>
      <c r="M125" s="3" t="str">
        <f aca="false">IF(ISNUMBER(SEARCH(" m",J125)),"Range",IF(J125="offline","Offline",IF(J125="","Unknown","No echo / error")))</f>
        <v>Range</v>
      </c>
      <c r="N125" s="3" t="str">
        <f aca="false">IF(ISNUMBER(SEARCH(" m",K125)),"Range",IF(K125="offline","Offline",IF(K125="","Unknown","No echo / error")))</f>
        <v>Range</v>
      </c>
      <c r="O125" s="3" t="str">
        <f aca="false">TEXT(B125,"yyyy-mm-dd")</f>
        <v>2026-10-05</v>
      </c>
    </row>
    <row r="126" customFormat="false" ht="15" hidden="false" customHeight="false" outlineLevel="0" collapsed="false">
      <c r="A126" s="27" t="n">
        <v>3</v>
      </c>
      <c r="B126" s="28" t="n">
        <v>46300.1143470255</v>
      </c>
      <c r="C126" s="29" t="n">
        <f aca="false">IF(A127=A126,B127,INDEX(Rounds!$D:$D,MATCH(A126,Rounds!$A:$A,0)))</f>
        <v>46300.1143535301</v>
      </c>
      <c r="D126" s="30" t="n">
        <f aca="false">(B126-INDEX(Rounds!$C:$C,MATCH(A126,Rounds!$A:$A,0)))*86400</f>
        <v>33.273999765</v>
      </c>
      <c r="E126" s="30" t="n">
        <f aca="false">(C126-INDEX(Rounds!$C:$C,MATCH(A126,Rounds!$A:$A,0)))*86400</f>
        <v>33.835999458</v>
      </c>
      <c r="F126" s="31" t="n">
        <f aca="false">(C126-B126)*86400</f>
        <v>0.561999692</v>
      </c>
      <c r="G126" s="27" t="s">
        <v>151</v>
      </c>
      <c r="H126" s="27" t="s">
        <v>203</v>
      </c>
      <c r="I126" s="27" t="s">
        <v>200</v>
      </c>
      <c r="J126" s="27" t="s">
        <v>260</v>
      </c>
      <c r="K126" s="27" t="s">
        <v>308</v>
      </c>
      <c r="L126" s="3" t="str">
        <f aca="false">IF(ISNUMBER(SEARCH(" m",I126)),"Range",IF(I126="offline","Offline",IF(I126="","Unknown","No echo / error")))</f>
        <v>Offline</v>
      </c>
      <c r="M126" s="3" t="str">
        <f aca="false">IF(ISNUMBER(SEARCH(" m",J126)),"Range",IF(J126="offline","Offline",IF(J126="","Unknown","No echo / error")))</f>
        <v>Range</v>
      </c>
      <c r="N126" s="3" t="str">
        <f aca="false">IF(ISNUMBER(SEARCH(" m",K126)),"Range",IF(K126="offline","Offline",IF(K126="","Unknown","No echo / error")))</f>
        <v>Range</v>
      </c>
      <c r="O126" s="3" t="str">
        <f aca="false">TEXT(B126,"yyyy-mm-dd")</f>
        <v>2026-10-05</v>
      </c>
    </row>
    <row r="127" customFormat="false" ht="15" hidden="false" customHeight="false" outlineLevel="0" collapsed="false">
      <c r="A127" s="27" t="n">
        <v>3</v>
      </c>
      <c r="B127" s="28" t="n">
        <v>46300.1143535301</v>
      </c>
      <c r="C127" s="29" t="n">
        <f aca="false">IF(A128=A127,B128,INDEX(Rounds!$D:$D,MATCH(A127,Rounds!$A:$A,0)))</f>
        <v>46300.1143657639</v>
      </c>
      <c r="D127" s="30" t="n">
        <f aca="false">(B127-INDEX(Rounds!$C:$C,MATCH(A127,Rounds!$A:$A,0)))*86400</f>
        <v>33.835999458</v>
      </c>
      <c r="E127" s="30" t="n">
        <f aca="false">(C127-INDEX(Rounds!$C:$C,MATCH(A127,Rounds!$A:$A,0)))*86400</f>
        <v>34.892999986</v>
      </c>
      <c r="F127" s="31" t="n">
        <f aca="false">(C127-B127)*86400</f>
        <v>1.057000528</v>
      </c>
      <c r="G127" s="27" t="s">
        <v>150</v>
      </c>
      <c r="H127" s="27" t="s">
        <v>206</v>
      </c>
      <c r="I127" s="27" t="s">
        <v>200</v>
      </c>
      <c r="J127" s="27" t="s">
        <v>232</v>
      </c>
      <c r="K127" s="27" t="s">
        <v>309</v>
      </c>
      <c r="L127" s="3" t="str">
        <f aca="false">IF(ISNUMBER(SEARCH(" m",I127)),"Range",IF(I127="offline","Offline",IF(I127="","Unknown","No echo / error")))</f>
        <v>Offline</v>
      </c>
      <c r="M127" s="3" t="str">
        <f aca="false">IF(ISNUMBER(SEARCH(" m",J127)),"Range",IF(J127="offline","Offline",IF(J127="","Unknown","No echo / error")))</f>
        <v>Range</v>
      </c>
      <c r="N127" s="3" t="str">
        <f aca="false">IF(ISNUMBER(SEARCH(" m",K127)),"Range",IF(K127="offline","Offline",IF(K127="","Unknown","No echo / error")))</f>
        <v>Range</v>
      </c>
      <c r="O127" s="3" t="str">
        <f aca="false">TEXT(B127,"yyyy-mm-dd")</f>
        <v>2026-10-05</v>
      </c>
    </row>
    <row r="128" customFormat="false" ht="15" hidden="false" customHeight="false" outlineLevel="0" collapsed="false">
      <c r="A128" s="27" t="n">
        <v>3</v>
      </c>
      <c r="B128" s="28" t="n">
        <v>46300.1143657639</v>
      </c>
      <c r="C128" s="29" t="n">
        <f aca="false">IF(A129=A128,B129,INDEX(Rounds!$D:$D,MATCH(A128,Rounds!$A:$A,0)))</f>
        <v>46300.1143754745</v>
      </c>
      <c r="D128" s="30" t="n">
        <f aca="false">(B128-INDEX(Rounds!$C:$C,MATCH(A128,Rounds!$A:$A,0)))*86400</f>
        <v>34.892999986</v>
      </c>
      <c r="E128" s="30" t="n">
        <f aca="false">(C128-INDEX(Rounds!$C:$C,MATCH(A128,Rounds!$A:$A,0)))*86400</f>
        <v>35.732000414</v>
      </c>
      <c r="F128" s="31" t="n">
        <f aca="false">(C128-B128)*86400</f>
        <v>0.839000428</v>
      </c>
      <c r="G128" s="27" t="s">
        <v>152</v>
      </c>
      <c r="H128" s="27" t="s">
        <v>208</v>
      </c>
      <c r="I128" s="27" t="s">
        <v>200</v>
      </c>
      <c r="J128" s="27" t="s">
        <v>280</v>
      </c>
      <c r="K128" s="27" t="s">
        <v>211</v>
      </c>
      <c r="L128" s="3" t="str">
        <f aca="false">IF(ISNUMBER(SEARCH(" m",I128)),"Range",IF(I128="offline","Offline",IF(I128="","Unknown","No echo / error")))</f>
        <v>Offline</v>
      </c>
      <c r="M128" s="3" t="str">
        <f aca="false">IF(ISNUMBER(SEARCH(" m",J128)),"Range",IF(J128="offline","Offline",IF(J128="","Unknown","No echo / error")))</f>
        <v>Range</v>
      </c>
      <c r="N128" s="3" t="str">
        <f aca="false">IF(ISNUMBER(SEARCH(" m",K128)),"Range",IF(K128="offline","Offline",IF(K128="","Unknown","No echo / error")))</f>
        <v>No echo / error</v>
      </c>
      <c r="O128" s="3" t="str">
        <f aca="false">TEXT(B128,"yyyy-mm-dd")</f>
        <v>2026-10-05</v>
      </c>
    </row>
    <row r="129" customFormat="false" ht="15" hidden="false" customHeight="false" outlineLevel="0" collapsed="false">
      <c r="A129" s="27" t="n">
        <v>3</v>
      </c>
      <c r="B129" s="28" t="n">
        <v>46300.1143754745</v>
      </c>
      <c r="C129" s="29" t="n">
        <f aca="false">IF(A130=A129,B130,INDEX(Rounds!$D:$D,MATCH(A129,Rounds!$A:$A,0)))</f>
        <v>46300.1143808565</v>
      </c>
      <c r="D129" s="30" t="n">
        <f aca="false">(B129-INDEX(Rounds!$C:$C,MATCH(A129,Rounds!$A:$A,0)))*86400</f>
        <v>35.732000414</v>
      </c>
      <c r="E129" s="30" t="n">
        <f aca="false">(C129-INDEX(Rounds!$C:$C,MATCH(A129,Rounds!$A:$A,0)))*86400</f>
        <v>36.196999903</v>
      </c>
      <c r="F129" s="31" t="n">
        <f aca="false">(C129-B129)*86400</f>
        <v>0.464999489</v>
      </c>
      <c r="G129" s="27" t="s">
        <v>151</v>
      </c>
      <c r="H129" s="27" t="s">
        <v>203</v>
      </c>
      <c r="I129" s="27" t="s">
        <v>200</v>
      </c>
      <c r="J129" s="27" t="s">
        <v>242</v>
      </c>
      <c r="K129" s="27" t="s">
        <v>204</v>
      </c>
      <c r="L129" s="3" t="str">
        <f aca="false">IF(ISNUMBER(SEARCH(" m",I129)),"Range",IF(I129="offline","Offline",IF(I129="","Unknown","No echo / error")))</f>
        <v>Offline</v>
      </c>
      <c r="M129" s="3" t="str">
        <f aca="false">IF(ISNUMBER(SEARCH(" m",J129)),"Range",IF(J129="offline","Offline",IF(J129="","Unknown","No echo / error")))</f>
        <v>Range</v>
      </c>
      <c r="N129" s="3" t="str">
        <f aca="false">IF(ISNUMBER(SEARCH(" m",K129)),"Range",IF(K129="offline","Offline",IF(K129="","Unknown","No echo / error")))</f>
        <v>No echo / error</v>
      </c>
      <c r="O129" s="3" t="str">
        <f aca="false">TEXT(B129,"yyyy-mm-dd")</f>
        <v>2026-10-05</v>
      </c>
    </row>
    <row r="130" customFormat="false" ht="15" hidden="false" customHeight="false" outlineLevel="0" collapsed="false">
      <c r="A130" s="27" t="n">
        <v>3</v>
      </c>
      <c r="B130" s="28" t="n">
        <v>46300.1143808565</v>
      </c>
      <c r="C130" s="29" t="n">
        <f aca="false">IF(A131=A130,B131,INDEX(Rounds!$D:$D,MATCH(A130,Rounds!$A:$A,0)))</f>
        <v>46300.1143877662</v>
      </c>
      <c r="D130" s="30" t="n">
        <f aca="false">(B130-INDEX(Rounds!$C:$C,MATCH(A130,Rounds!$A:$A,0)))*86400</f>
        <v>36.196999903</v>
      </c>
      <c r="E130" s="30" t="n">
        <f aca="false">(C130-INDEX(Rounds!$C:$C,MATCH(A130,Rounds!$A:$A,0)))*86400</f>
        <v>36.793999909</v>
      </c>
      <c r="F130" s="31" t="n">
        <f aca="false">(C130-B130)*86400</f>
        <v>0.597000005</v>
      </c>
      <c r="G130" s="27" t="s">
        <v>150</v>
      </c>
      <c r="H130" s="27" t="s">
        <v>206</v>
      </c>
      <c r="I130" s="27" t="s">
        <v>200</v>
      </c>
      <c r="J130" s="27" t="s">
        <v>242</v>
      </c>
      <c r="K130" s="27" t="s">
        <v>310</v>
      </c>
      <c r="L130" s="3" t="str">
        <f aca="false">IF(ISNUMBER(SEARCH(" m",I130)),"Range",IF(I130="offline","Offline",IF(I130="","Unknown","No echo / error")))</f>
        <v>Offline</v>
      </c>
      <c r="M130" s="3" t="str">
        <f aca="false">IF(ISNUMBER(SEARCH(" m",J130)),"Range",IF(J130="offline","Offline",IF(J130="","Unknown","No echo / error")))</f>
        <v>Range</v>
      </c>
      <c r="N130" s="3" t="str">
        <f aca="false">IF(ISNUMBER(SEARCH(" m",K130)),"Range",IF(K130="offline","Offline",IF(K130="","Unknown","No echo / error")))</f>
        <v>Range</v>
      </c>
      <c r="O130" s="3" t="str">
        <f aca="false">TEXT(B130,"yyyy-mm-dd")</f>
        <v>2026-10-05</v>
      </c>
    </row>
    <row r="131" customFormat="false" ht="15" hidden="false" customHeight="false" outlineLevel="0" collapsed="false">
      <c r="A131" s="27" t="n">
        <v>3</v>
      </c>
      <c r="B131" s="28" t="n">
        <v>46300.1143877662</v>
      </c>
      <c r="C131" s="29" t="n">
        <f aca="false">IF(A132=A131,B132,INDEX(Rounds!$D:$D,MATCH(A131,Rounds!$A:$A,0)))</f>
        <v>46300.1143970602</v>
      </c>
      <c r="D131" s="30" t="n">
        <f aca="false">(B131-INDEX(Rounds!$C:$C,MATCH(A131,Rounds!$A:$A,0)))*86400</f>
        <v>36.793999909</v>
      </c>
      <c r="E131" s="30" t="n">
        <f aca="false">(C131-INDEX(Rounds!$C:$C,MATCH(A131,Rounds!$A:$A,0)))*86400</f>
        <v>37.596999225</v>
      </c>
      <c r="F131" s="31" t="n">
        <f aca="false">(C131-B131)*86400</f>
        <v>0.802999315</v>
      </c>
      <c r="G131" s="27" t="s">
        <v>151</v>
      </c>
      <c r="H131" s="27" t="s">
        <v>203</v>
      </c>
      <c r="I131" s="27" t="s">
        <v>200</v>
      </c>
      <c r="J131" s="27" t="s">
        <v>240</v>
      </c>
      <c r="K131" s="27" t="s">
        <v>204</v>
      </c>
      <c r="L131" s="3" t="str">
        <f aca="false">IF(ISNUMBER(SEARCH(" m",I131)),"Range",IF(I131="offline","Offline",IF(I131="","Unknown","No echo / error")))</f>
        <v>Offline</v>
      </c>
      <c r="M131" s="3" t="str">
        <f aca="false">IF(ISNUMBER(SEARCH(" m",J131)),"Range",IF(J131="offline","Offline",IF(J131="","Unknown","No echo / error")))</f>
        <v>Range</v>
      </c>
      <c r="N131" s="3" t="str">
        <f aca="false">IF(ISNUMBER(SEARCH(" m",K131)),"Range",IF(K131="offline","Offline",IF(K131="","Unknown","No echo / error")))</f>
        <v>No echo / error</v>
      </c>
      <c r="O131" s="3" t="str">
        <f aca="false">TEXT(B131,"yyyy-mm-dd")</f>
        <v>2026-10-05</v>
      </c>
    </row>
    <row r="132" customFormat="false" ht="15" hidden="false" customHeight="false" outlineLevel="0" collapsed="false">
      <c r="A132" s="27" t="n">
        <v>3</v>
      </c>
      <c r="B132" s="28" t="n">
        <v>46300.1143970602</v>
      </c>
      <c r="C132" s="29" t="n">
        <f aca="false">IF(A133=A132,B133,INDEX(Rounds!$D:$D,MATCH(A132,Rounds!$A:$A,0)))</f>
        <v>46300.1144060301</v>
      </c>
      <c r="D132" s="30" t="n">
        <f aca="false">(B132-INDEX(Rounds!$C:$C,MATCH(A132,Rounds!$A:$A,0)))*86400</f>
        <v>37.596999225</v>
      </c>
      <c r="E132" s="30" t="n">
        <f aca="false">(C132-INDEX(Rounds!$C:$C,MATCH(A132,Rounds!$A:$A,0)))*86400</f>
        <v>38.371999422</v>
      </c>
      <c r="F132" s="31" t="n">
        <f aca="false">(C132-B132)*86400</f>
        <v>0.775000196</v>
      </c>
      <c r="G132" s="27" t="s">
        <v>152</v>
      </c>
      <c r="H132" s="27" t="s">
        <v>208</v>
      </c>
      <c r="I132" s="27" t="s">
        <v>200</v>
      </c>
      <c r="J132" s="27" t="s">
        <v>281</v>
      </c>
      <c r="K132" s="27" t="s">
        <v>311</v>
      </c>
      <c r="L132" s="3" t="str">
        <f aca="false">IF(ISNUMBER(SEARCH(" m",I132)),"Range",IF(I132="offline","Offline",IF(I132="","Unknown","No echo / error")))</f>
        <v>Offline</v>
      </c>
      <c r="M132" s="3" t="str">
        <f aca="false">IF(ISNUMBER(SEARCH(" m",J132)),"Range",IF(J132="offline","Offline",IF(J132="","Unknown","No echo / error")))</f>
        <v>Range</v>
      </c>
      <c r="N132" s="3" t="str">
        <f aca="false">IF(ISNUMBER(SEARCH(" m",K132)),"Range",IF(K132="offline","Offline",IF(K132="","Unknown","No echo / error")))</f>
        <v>Range</v>
      </c>
      <c r="O132" s="3" t="str">
        <f aca="false">TEXT(B132,"yyyy-mm-dd")</f>
        <v>2026-10-05</v>
      </c>
    </row>
    <row r="133" customFormat="false" ht="15" hidden="false" customHeight="false" outlineLevel="0" collapsed="false">
      <c r="A133" s="27" t="n">
        <v>3</v>
      </c>
      <c r="B133" s="28" t="n">
        <v>46300.1144060301</v>
      </c>
      <c r="C133" s="29" t="n">
        <f aca="false">IF(A134=A133,B134,INDEX(Rounds!$D:$D,MATCH(A133,Rounds!$A:$A,0)))</f>
        <v>46300.1144106829</v>
      </c>
      <c r="D133" s="30" t="n">
        <f aca="false">(B133-INDEX(Rounds!$C:$C,MATCH(A133,Rounds!$A:$A,0)))*86400</f>
        <v>38.371999422</v>
      </c>
      <c r="E133" s="30" t="n">
        <f aca="false">(C133-INDEX(Rounds!$C:$C,MATCH(A133,Rounds!$A:$A,0)))*86400</f>
        <v>38.774000108</v>
      </c>
      <c r="F133" s="31" t="n">
        <f aca="false">(C133-B133)*86400</f>
        <v>0.402000686</v>
      </c>
      <c r="G133" s="27" t="s">
        <v>151</v>
      </c>
      <c r="H133" s="27" t="s">
        <v>203</v>
      </c>
      <c r="I133" s="27" t="s">
        <v>200</v>
      </c>
      <c r="J133" s="27" t="s">
        <v>234</v>
      </c>
      <c r="K133" s="27" t="s">
        <v>311</v>
      </c>
      <c r="L133" s="3" t="str">
        <f aca="false">IF(ISNUMBER(SEARCH(" m",I133)),"Range",IF(I133="offline","Offline",IF(I133="","Unknown","No echo / error")))</f>
        <v>Offline</v>
      </c>
      <c r="M133" s="3" t="str">
        <f aca="false">IF(ISNUMBER(SEARCH(" m",J133)),"Range",IF(J133="offline","Offline",IF(J133="","Unknown","No echo / error")))</f>
        <v>Range</v>
      </c>
      <c r="N133" s="3" t="str">
        <f aca="false">IF(ISNUMBER(SEARCH(" m",K133)),"Range",IF(K133="offline","Offline",IF(K133="","Unknown","No echo / error")))</f>
        <v>Range</v>
      </c>
      <c r="O133" s="3" t="str">
        <f aca="false">TEXT(B133,"yyyy-mm-dd")</f>
        <v>2026-10-05</v>
      </c>
    </row>
    <row r="134" customFormat="false" ht="15" hidden="false" customHeight="false" outlineLevel="0" collapsed="false">
      <c r="A134" s="27" t="n">
        <v>3</v>
      </c>
      <c r="B134" s="28" t="n">
        <v>46300.1144106829</v>
      </c>
      <c r="C134" s="29" t="n">
        <f aca="false">IF(A135=A134,B135,INDEX(Rounds!$D:$D,MATCH(A134,Rounds!$A:$A,0)))</f>
        <v>46300.1144378009</v>
      </c>
      <c r="D134" s="30" t="n">
        <f aca="false">(B134-INDEX(Rounds!$C:$C,MATCH(A134,Rounds!$A:$A,0)))*86400</f>
        <v>38.774000108</v>
      </c>
      <c r="E134" s="30" t="n">
        <f aca="false">(C134-INDEX(Rounds!$C:$C,MATCH(A134,Rounds!$A:$A,0)))*86400</f>
        <v>41.116999997</v>
      </c>
      <c r="F134" s="31" t="n">
        <f aca="false">(C134-B134)*86400</f>
        <v>2.342999889</v>
      </c>
      <c r="G134" s="27" t="s">
        <v>150</v>
      </c>
      <c r="H134" s="27" t="s">
        <v>206</v>
      </c>
      <c r="I134" s="27" t="s">
        <v>200</v>
      </c>
      <c r="J134" s="27" t="s">
        <v>234</v>
      </c>
      <c r="K134" s="27" t="s">
        <v>245</v>
      </c>
      <c r="L134" s="3" t="str">
        <f aca="false">IF(ISNUMBER(SEARCH(" m",I134)),"Range",IF(I134="offline","Offline",IF(I134="","Unknown","No echo / error")))</f>
        <v>Offline</v>
      </c>
      <c r="M134" s="3" t="str">
        <f aca="false">IF(ISNUMBER(SEARCH(" m",J134)),"Range",IF(J134="offline","Offline",IF(J134="","Unknown","No echo / error")))</f>
        <v>Range</v>
      </c>
      <c r="N134" s="3" t="str">
        <f aca="false">IF(ISNUMBER(SEARCH(" m",K134)),"Range",IF(K134="offline","Offline",IF(K134="","Unknown","No echo / error")))</f>
        <v>Range</v>
      </c>
      <c r="O134" s="3" t="str">
        <f aca="false">TEXT(B134,"yyyy-mm-dd")</f>
        <v>2026-10-05</v>
      </c>
    </row>
    <row r="135" customFormat="false" ht="15" hidden="false" customHeight="false" outlineLevel="0" collapsed="false">
      <c r="A135" s="27" t="n">
        <v>3</v>
      </c>
      <c r="B135" s="28" t="n">
        <v>46300.1144378009</v>
      </c>
      <c r="C135" s="29" t="n">
        <f aca="false">IF(A136=A135,B136,INDEX(Rounds!$D:$D,MATCH(A135,Rounds!$A:$A,0)))</f>
        <v>46300.1144426273</v>
      </c>
      <c r="D135" s="30" t="n">
        <f aca="false">(B135-INDEX(Rounds!$C:$C,MATCH(A135,Rounds!$A:$A,0)))*86400</f>
        <v>41.116999997</v>
      </c>
      <c r="E135" s="30" t="n">
        <f aca="false">(C135-INDEX(Rounds!$C:$C,MATCH(A135,Rounds!$A:$A,0)))*86400</f>
        <v>41.534000099</v>
      </c>
      <c r="F135" s="31" t="n">
        <f aca="false">(C135-B135)*86400</f>
        <v>0.417000101</v>
      </c>
      <c r="G135" s="27" t="s">
        <v>151</v>
      </c>
      <c r="H135" s="27" t="s">
        <v>203</v>
      </c>
      <c r="I135" s="27" t="s">
        <v>200</v>
      </c>
      <c r="J135" s="27" t="s">
        <v>303</v>
      </c>
      <c r="K135" s="27" t="s">
        <v>204</v>
      </c>
      <c r="L135" s="3" t="str">
        <f aca="false">IF(ISNUMBER(SEARCH(" m",I135)),"Range",IF(I135="offline","Offline",IF(I135="","Unknown","No echo / error")))</f>
        <v>Offline</v>
      </c>
      <c r="M135" s="3" t="str">
        <f aca="false">IF(ISNUMBER(SEARCH(" m",J135)),"Range",IF(J135="offline","Offline",IF(J135="","Unknown","No echo / error")))</f>
        <v>Range</v>
      </c>
      <c r="N135" s="3" t="str">
        <f aca="false">IF(ISNUMBER(SEARCH(" m",K135)),"Range",IF(K135="offline","Offline",IF(K135="","Unknown","No echo / error")))</f>
        <v>No echo / error</v>
      </c>
      <c r="O135" s="3" t="str">
        <f aca="false">TEXT(B135,"yyyy-mm-dd")</f>
        <v>2026-10-05</v>
      </c>
    </row>
    <row r="136" customFormat="false" ht="15" hidden="false" customHeight="false" outlineLevel="0" collapsed="false">
      <c r="A136" s="27" t="n">
        <v>3</v>
      </c>
      <c r="B136" s="28" t="n">
        <v>46300.1144426273</v>
      </c>
      <c r="C136" s="29" t="n">
        <f aca="false">IF(A137=A136,B137,INDEX(Rounds!$D:$D,MATCH(A136,Rounds!$A:$A,0)))</f>
        <v>46300.1144513889</v>
      </c>
      <c r="D136" s="30" t="n">
        <f aca="false">(B136-INDEX(Rounds!$C:$C,MATCH(A136,Rounds!$A:$A,0)))*86400</f>
        <v>41.534000099</v>
      </c>
      <c r="E136" s="30" t="n">
        <f aca="false">(C136-INDEX(Rounds!$C:$C,MATCH(A136,Rounds!$A:$A,0)))*86400</f>
        <v>42.29099974</v>
      </c>
      <c r="F136" s="31" t="n">
        <f aca="false">(C136-B136)*86400</f>
        <v>0.75699964</v>
      </c>
      <c r="G136" s="27" t="s">
        <v>150</v>
      </c>
      <c r="H136" s="27" t="s">
        <v>206</v>
      </c>
      <c r="I136" s="27" t="s">
        <v>200</v>
      </c>
      <c r="J136" s="27" t="s">
        <v>312</v>
      </c>
      <c r="K136" s="27" t="s">
        <v>313</v>
      </c>
      <c r="L136" s="3" t="str">
        <f aca="false">IF(ISNUMBER(SEARCH(" m",I136)),"Range",IF(I136="offline","Offline",IF(I136="","Unknown","No echo / error")))</f>
        <v>Offline</v>
      </c>
      <c r="M136" s="3" t="str">
        <f aca="false">IF(ISNUMBER(SEARCH(" m",J136)),"Range",IF(J136="offline","Offline",IF(J136="","Unknown","No echo / error")))</f>
        <v>Range</v>
      </c>
      <c r="N136" s="3" t="str">
        <f aca="false">IF(ISNUMBER(SEARCH(" m",K136)),"Range",IF(K136="offline","Offline",IF(K136="","Unknown","No echo / error")))</f>
        <v>Range</v>
      </c>
      <c r="O136" s="3" t="str">
        <f aca="false">TEXT(B136,"yyyy-mm-dd")</f>
        <v>2026-10-05</v>
      </c>
    </row>
    <row r="137" customFormat="false" ht="15" hidden="false" customHeight="false" outlineLevel="0" collapsed="false">
      <c r="A137" s="27" t="n">
        <v>3</v>
      </c>
      <c r="B137" s="28" t="n">
        <v>46300.1144513889</v>
      </c>
      <c r="C137" s="29" t="n">
        <f aca="false">IF(A138=A137,B138,INDEX(Rounds!$D:$D,MATCH(A137,Rounds!$A:$A,0)))</f>
        <v>46300.1144653241</v>
      </c>
      <c r="D137" s="30" t="n">
        <f aca="false">(B137-INDEX(Rounds!$C:$C,MATCH(A137,Rounds!$A:$A,0)))*86400</f>
        <v>42.29099974</v>
      </c>
      <c r="E137" s="30" t="n">
        <f aca="false">(C137-INDEX(Rounds!$C:$C,MATCH(A137,Rounds!$A:$A,0)))*86400</f>
        <v>43.4950002</v>
      </c>
      <c r="F137" s="31" t="n">
        <f aca="false">(C137-B137)*86400</f>
        <v>1.204000459</v>
      </c>
      <c r="G137" s="27" t="s">
        <v>151</v>
      </c>
      <c r="H137" s="27" t="s">
        <v>203</v>
      </c>
      <c r="I137" s="27" t="s">
        <v>200</v>
      </c>
      <c r="J137" s="27" t="s">
        <v>266</v>
      </c>
      <c r="K137" s="27" t="s">
        <v>314</v>
      </c>
      <c r="L137" s="3" t="str">
        <f aca="false">IF(ISNUMBER(SEARCH(" m",I137)),"Range",IF(I137="offline","Offline",IF(I137="","Unknown","No echo / error")))</f>
        <v>Offline</v>
      </c>
      <c r="M137" s="3" t="str">
        <f aca="false">IF(ISNUMBER(SEARCH(" m",J137)),"Range",IF(J137="offline","Offline",IF(J137="","Unknown","No echo / error")))</f>
        <v>Range</v>
      </c>
      <c r="N137" s="3" t="str">
        <f aca="false">IF(ISNUMBER(SEARCH(" m",K137)),"Range",IF(K137="offline","Offline",IF(K137="","Unknown","No echo / error")))</f>
        <v>Range</v>
      </c>
      <c r="O137" s="3" t="str">
        <f aca="false">TEXT(B137,"yyyy-mm-dd")</f>
        <v>2026-10-05</v>
      </c>
    </row>
    <row r="138" customFormat="false" ht="15" hidden="false" customHeight="false" outlineLevel="0" collapsed="false">
      <c r="A138" s="27" t="n">
        <v>3</v>
      </c>
      <c r="B138" s="28" t="n">
        <v>46300.1144653241</v>
      </c>
      <c r="C138" s="29" t="n">
        <f aca="false">IF(A139=A138,B139,INDEX(Rounds!$D:$D,MATCH(A138,Rounds!$A:$A,0)))</f>
        <v>46300.1144822454</v>
      </c>
      <c r="D138" s="30" t="n">
        <f aca="false">(B138-INDEX(Rounds!$C:$C,MATCH(A138,Rounds!$A:$A,0)))*86400</f>
        <v>43.4950002</v>
      </c>
      <c r="E138" s="30" t="n">
        <f aca="false">(C138-INDEX(Rounds!$C:$C,MATCH(A138,Rounds!$A:$A,0)))*86400</f>
        <v>44.95700004</v>
      </c>
      <c r="F138" s="31" t="n">
        <f aca="false">(C138-B138)*86400</f>
        <v>1.46199984</v>
      </c>
      <c r="G138" s="27" t="s">
        <v>150</v>
      </c>
      <c r="H138" s="27" t="s">
        <v>206</v>
      </c>
      <c r="I138" s="27" t="s">
        <v>200</v>
      </c>
      <c r="J138" s="27" t="s">
        <v>205</v>
      </c>
      <c r="K138" s="27" t="s">
        <v>252</v>
      </c>
      <c r="L138" s="3" t="str">
        <f aca="false">IF(ISNUMBER(SEARCH(" m",I138)),"Range",IF(I138="offline","Offline",IF(I138="","Unknown","No echo / error")))</f>
        <v>Offline</v>
      </c>
      <c r="M138" s="3" t="str">
        <f aca="false">IF(ISNUMBER(SEARCH(" m",J138)),"Range",IF(J138="offline","Offline",IF(J138="","Unknown","No echo / error")))</f>
        <v>Range</v>
      </c>
      <c r="N138" s="3" t="str">
        <f aca="false">IF(ISNUMBER(SEARCH(" m",K138)),"Range",IF(K138="offline","Offline",IF(K138="","Unknown","No echo / error")))</f>
        <v>Range</v>
      </c>
      <c r="O138" s="3" t="str">
        <f aca="false">TEXT(B138,"yyyy-mm-dd")</f>
        <v>2026-10-05</v>
      </c>
    </row>
    <row r="139" customFormat="false" ht="15" hidden="false" customHeight="false" outlineLevel="0" collapsed="false">
      <c r="A139" s="27" t="n">
        <v>3</v>
      </c>
      <c r="B139" s="28" t="n">
        <v>46300.1144822454</v>
      </c>
      <c r="C139" s="29" t="n">
        <f aca="false">IF(A140=A139,B140,INDEX(Rounds!$D:$D,MATCH(A139,Rounds!$A:$A,0)))</f>
        <v>46300.1144850232</v>
      </c>
      <c r="D139" s="30" t="n">
        <f aca="false">(B139-INDEX(Rounds!$C:$C,MATCH(A139,Rounds!$A:$A,0)))*86400</f>
        <v>44.95700004</v>
      </c>
      <c r="E139" s="30" t="n">
        <f aca="false">(C139-INDEX(Rounds!$C:$C,MATCH(A139,Rounds!$A:$A,0)))*86400</f>
        <v>45.197000121</v>
      </c>
      <c r="F139" s="31" t="n">
        <f aca="false">(C139-B139)*86400</f>
        <v>0.240000081</v>
      </c>
      <c r="G139" s="27" t="s">
        <v>152</v>
      </c>
      <c r="H139" s="27" t="s">
        <v>208</v>
      </c>
      <c r="I139" s="27" t="s">
        <v>200</v>
      </c>
      <c r="J139" s="27" t="s">
        <v>248</v>
      </c>
      <c r="K139" s="27" t="s">
        <v>204</v>
      </c>
      <c r="L139" s="3" t="str">
        <f aca="false">IF(ISNUMBER(SEARCH(" m",I139)),"Range",IF(I139="offline","Offline",IF(I139="","Unknown","No echo / error")))</f>
        <v>Offline</v>
      </c>
      <c r="M139" s="3" t="str">
        <f aca="false">IF(ISNUMBER(SEARCH(" m",J139)),"Range",IF(J139="offline","Offline",IF(J139="","Unknown","No echo / error")))</f>
        <v>Range</v>
      </c>
      <c r="N139" s="3" t="str">
        <f aca="false">IF(ISNUMBER(SEARCH(" m",K139)),"Range",IF(K139="offline","Offline",IF(K139="","Unknown","No echo / error")))</f>
        <v>No echo / error</v>
      </c>
      <c r="O139" s="3" t="str">
        <f aca="false">TEXT(B139,"yyyy-mm-dd")</f>
        <v>2026-10-05</v>
      </c>
    </row>
    <row r="140" customFormat="false" ht="15" hidden="false" customHeight="false" outlineLevel="0" collapsed="false">
      <c r="A140" s="27" t="n">
        <v>3</v>
      </c>
      <c r="B140" s="28" t="n">
        <v>46300.1144850232</v>
      </c>
      <c r="C140" s="29" t="n">
        <f aca="false">IF(A141=A140,B141,INDEX(Rounds!$D:$D,MATCH(A140,Rounds!$A:$A,0)))</f>
        <v>46300.1144885532</v>
      </c>
      <c r="D140" s="30" t="n">
        <f aca="false">(B140-INDEX(Rounds!$C:$C,MATCH(A140,Rounds!$A:$A,0)))*86400</f>
        <v>45.197000121</v>
      </c>
      <c r="E140" s="30" t="n">
        <f aca="false">(C140-INDEX(Rounds!$C:$C,MATCH(A140,Rounds!$A:$A,0)))*86400</f>
        <v>45.501999976</v>
      </c>
      <c r="F140" s="31" t="n">
        <f aca="false">(C140-B140)*86400</f>
        <v>0.304999854</v>
      </c>
      <c r="G140" s="27" t="s">
        <v>151</v>
      </c>
      <c r="H140" s="27" t="s">
        <v>203</v>
      </c>
      <c r="I140" s="27" t="s">
        <v>200</v>
      </c>
      <c r="J140" s="27" t="s">
        <v>204</v>
      </c>
      <c r="K140" s="27" t="s">
        <v>315</v>
      </c>
      <c r="L140" s="3" t="str">
        <f aca="false">IF(ISNUMBER(SEARCH(" m",I140)),"Range",IF(I140="offline","Offline",IF(I140="","Unknown","No echo / error")))</f>
        <v>Offline</v>
      </c>
      <c r="M140" s="3" t="str">
        <f aca="false">IF(ISNUMBER(SEARCH(" m",J140)),"Range",IF(J140="offline","Offline",IF(J140="","Unknown","No echo / error")))</f>
        <v>No echo / error</v>
      </c>
      <c r="N140" s="3" t="str">
        <f aca="false">IF(ISNUMBER(SEARCH(" m",K140)),"Range",IF(K140="offline","Offline",IF(K140="","Unknown","No echo / error")))</f>
        <v>Range</v>
      </c>
      <c r="O140" s="3" t="str">
        <f aca="false">TEXT(B140,"yyyy-mm-dd")</f>
        <v>2026-10-05</v>
      </c>
    </row>
    <row r="141" customFormat="false" ht="15" hidden="false" customHeight="false" outlineLevel="0" collapsed="false">
      <c r="A141" s="27" t="n">
        <v>3</v>
      </c>
      <c r="B141" s="28" t="n">
        <v>46300.1144885532</v>
      </c>
      <c r="C141" s="29" t="n">
        <f aca="false">IF(A142=A141,B142,INDEX(Rounds!$D:$D,MATCH(A141,Rounds!$A:$A,0)))</f>
        <v>46300.1144941204</v>
      </c>
      <c r="D141" s="30" t="n">
        <f aca="false">(B141-INDEX(Rounds!$C:$C,MATCH(A141,Rounds!$A:$A,0)))*86400</f>
        <v>45.501999976</v>
      </c>
      <c r="E141" s="30" t="n">
        <f aca="false">(C141-INDEX(Rounds!$C:$C,MATCH(A141,Rounds!$A:$A,0)))*86400</f>
        <v>45.98299968</v>
      </c>
      <c r="F141" s="31" t="n">
        <f aca="false">(C141-B141)*86400</f>
        <v>0.480999704</v>
      </c>
      <c r="G141" s="27" t="s">
        <v>150</v>
      </c>
      <c r="H141" s="27" t="s">
        <v>206</v>
      </c>
      <c r="I141" s="27" t="s">
        <v>200</v>
      </c>
      <c r="J141" s="27" t="s">
        <v>205</v>
      </c>
      <c r="K141" s="27" t="s">
        <v>316</v>
      </c>
      <c r="L141" s="3" t="str">
        <f aca="false">IF(ISNUMBER(SEARCH(" m",I141)),"Range",IF(I141="offline","Offline",IF(I141="","Unknown","No echo / error")))</f>
        <v>Offline</v>
      </c>
      <c r="M141" s="3" t="str">
        <f aca="false">IF(ISNUMBER(SEARCH(" m",J141)),"Range",IF(J141="offline","Offline",IF(J141="","Unknown","No echo / error")))</f>
        <v>Range</v>
      </c>
      <c r="N141" s="3" t="str">
        <f aca="false">IF(ISNUMBER(SEARCH(" m",K141)),"Range",IF(K141="offline","Offline",IF(K141="","Unknown","No echo / error")))</f>
        <v>Range</v>
      </c>
      <c r="O141" s="3" t="str">
        <f aca="false">TEXT(B141,"yyyy-mm-dd")</f>
        <v>2026-10-05</v>
      </c>
    </row>
    <row r="142" customFormat="false" ht="15" hidden="false" customHeight="false" outlineLevel="0" collapsed="false">
      <c r="A142" s="27" t="n">
        <v>3</v>
      </c>
      <c r="B142" s="28" t="n">
        <v>46300.1144941204</v>
      </c>
      <c r="C142" s="29" t="n">
        <f aca="false">IF(A143=A142,B143,INDEX(Rounds!$D:$D,MATCH(A142,Rounds!$A:$A,0)))</f>
        <v>46300.1144952546</v>
      </c>
      <c r="D142" s="30" t="n">
        <f aca="false">(B142-INDEX(Rounds!$C:$C,MATCH(A142,Rounds!$A:$A,0)))*86400</f>
        <v>45.98299968</v>
      </c>
      <c r="E142" s="30" t="n">
        <f aca="false">(C142-INDEX(Rounds!$C:$C,MATCH(A142,Rounds!$A:$A,0)))*86400</f>
        <v>46.081000054</v>
      </c>
      <c r="F142" s="31" t="n">
        <f aca="false">(C142-B142)*86400</f>
        <v>0.098000373</v>
      </c>
      <c r="G142" s="27" t="s">
        <v>152</v>
      </c>
      <c r="H142" s="27" t="s">
        <v>208</v>
      </c>
      <c r="I142" s="27" t="s">
        <v>200</v>
      </c>
      <c r="J142" s="27" t="s">
        <v>317</v>
      </c>
      <c r="K142" s="27" t="s">
        <v>213</v>
      </c>
      <c r="L142" s="3" t="str">
        <f aca="false">IF(ISNUMBER(SEARCH(" m",I142)),"Range",IF(I142="offline","Offline",IF(I142="","Unknown","No echo / error")))</f>
        <v>Offline</v>
      </c>
      <c r="M142" s="3" t="str">
        <f aca="false">IF(ISNUMBER(SEARCH(" m",J142)),"Range",IF(J142="offline","Offline",IF(J142="","Unknown","No echo / error")))</f>
        <v>Range</v>
      </c>
      <c r="N142" s="3" t="str">
        <f aca="false">IF(ISNUMBER(SEARCH(" m",K142)),"Range",IF(K142="offline","Offline",IF(K142="","Unknown","No echo / error")))</f>
        <v>Range</v>
      </c>
      <c r="O142" s="3" t="str">
        <f aca="false">TEXT(B142,"yyyy-mm-dd")</f>
        <v>2026-10-05</v>
      </c>
    </row>
    <row r="143" customFormat="false" ht="15" hidden="false" customHeight="false" outlineLevel="0" collapsed="false">
      <c r="A143" s="27" t="n">
        <v>3</v>
      </c>
      <c r="B143" s="28" t="n">
        <v>46300.1144952546</v>
      </c>
      <c r="C143" s="29" t="n">
        <f aca="false">IF(A144=A143,B144,INDEX(Rounds!$D:$D,MATCH(A143,Rounds!$A:$A,0)))</f>
        <v>46300.1144978588</v>
      </c>
      <c r="D143" s="30" t="n">
        <f aca="false">(B143-INDEX(Rounds!$C:$C,MATCH(A143,Rounds!$A:$A,0)))*86400</f>
        <v>46.081000054</v>
      </c>
      <c r="E143" s="30" t="n">
        <f aca="false">(C143-INDEX(Rounds!$C:$C,MATCH(A143,Rounds!$A:$A,0)))*86400</f>
        <v>46.306000091</v>
      </c>
      <c r="F143" s="31" t="n">
        <f aca="false">(C143-B143)*86400</f>
        <v>0.225000036</v>
      </c>
      <c r="G143" s="27" t="s">
        <v>151</v>
      </c>
      <c r="H143" s="27" t="s">
        <v>203</v>
      </c>
      <c r="I143" s="27" t="s">
        <v>200</v>
      </c>
      <c r="J143" s="27" t="s">
        <v>266</v>
      </c>
      <c r="K143" s="27" t="s">
        <v>213</v>
      </c>
      <c r="L143" s="3" t="str">
        <f aca="false">IF(ISNUMBER(SEARCH(" m",I143)),"Range",IF(I143="offline","Offline",IF(I143="","Unknown","No echo / error")))</f>
        <v>Offline</v>
      </c>
      <c r="M143" s="3" t="str">
        <f aca="false">IF(ISNUMBER(SEARCH(" m",J143)),"Range",IF(J143="offline","Offline",IF(J143="","Unknown","No echo / error")))</f>
        <v>Range</v>
      </c>
      <c r="N143" s="3" t="str">
        <f aca="false">IF(ISNUMBER(SEARCH(" m",K143)),"Range",IF(K143="offline","Offline",IF(K143="","Unknown","No echo / error")))</f>
        <v>Range</v>
      </c>
      <c r="O143" s="3" t="str">
        <f aca="false">TEXT(B143,"yyyy-mm-dd")</f>
        <v>2026-10-05</v>
      </c>
    </row>
    <row r="144" customFormat="false" ht="15" hidden="false" customHeight="false" outlineLevel="0" collapsed="false">
      <c r="A144" s="27" t="n">
        <v>3</v>
      </c>
      <c r="B144" s="28" t="n">
        <v>46300.1144978588</v>
      </c>
      <c r="C144" s="29" t="n">
        <f aca="false">IF(A145=A144,B145,INDEX(Rounds!$D:$D,MATCH(A144,Rounds!$A:$A,0)))</f>
        <v>46300.1145064005</v>
      </c>
      <c r="D144" s="30" t="n">
        <f aca="false">(B144-INDEX(Rounds!$C:$C,MATCH(A144,Rounds!$A:$A,0)))*86400</f>
        <v>46.306000091</v>
      </c>
      <c r="E144" s="30" t="n">
        <f aca="false">(C144-INDEX(Rounds!$C:$C,MATCH(A144,Rounds!$A:$A,0)))*86400</f>
        <v>47.043999633</v>
      </c>
      <c r="F144" s="31" t="n">
        <f aca="false">(C144-B144)*86400</f>
        <v>0.737999542</v>
      </c>
      <c r="G144" s="27" t="s">
        <v>150</v>
      </c>
      <c r="H144" s="27" t="s">
        <v>206</v>
      </c>
      <c r="I144" s="27" t="s">
        <v>200</v>
      </c>
      <c r="J144" s="27" t="s">
        <v>266</v>
      </c>
      <c r="K144" s="27" t="s">
        <v>309</v>
      </c>
      <c r="L144" s="3" t="str">
        <f aca="false">IF(ISNUMBER(SEARCH(" m",I144)),"Range",IF(I144="offline","Offline",IF(I144="","Unknown","No echo / error")))</f>
        <v>Offline</v>
      </c>
      <c r="M144" s="3" t="str">
        <f aca="false">IF(ISNUMBER(SEARCH(" m",J144)),"Range",IF(J144="offline","Offline",IF(J144="","Unknown","No echo / error")))</f>
        <v>Range</v>
      </c>
      <c r="N144" s="3" t="str">
        <f aca="false">IF(ISNUMBER(SEARCH(" m",K144)),"Range",IF(K144="offline","Offline",IF(K144="","Unknown","No echo / error")))</f>
        <v>Range</v>
      </c>
      <c r="O144" s="3" t="str">
        <f aca="false">TEXT(B144,"yyyy-mm-dd")</f>
        <v>2026-10-05</v>
      </c>
    </row>
    <row r="145" customFormat="false" ht="15" hidden="false" customHeight="false" outlineLevel="0" collapsed="false">
      <c r="A145" s="27" t="n">
        <v>3</v>
      </c>
      <c r="B145" s="28" t="n">
        <v>46300.1145064005</v>
      </c>
      <c r="C145" s="29" t="n">
        <f aca="false">IF(A146=A145,B146,INDEX(Rounds!$D:$D,MATCH(A145,Rounds!$A:$A,0)))</f>
        <v>46300.1145071412</v>
      </c>
      <c r="D145" s="30" t="n">
        <f aca="false">(B145-INDEX(Rounds!$C:$C,MATCH(A145,Rounds!$A:$A,0)))*86400</f>
        <v>47.043999633</v>
      </c>
      <c r="E145" s="30" t="n">
        <f aca="false">(C145-INDEX(Rounds!$C:$C,MATCH(A145,Rounds!$A:$A,0)))*86400</f>
        <v>47.107999864</v>
      </c>
      <c r="F145" s="31" t="n">
        <f aca="false">(C145-B145)*86400</f>
        <v>0.064000231</v>
      </c>
      <c r="G145" s="27" t="s">
        <v>152</v>
      </c>
      <c r="H145" s="27" t="s">
        <v>208</v>
      </c>
      <c r="I145" s="27" t="s">
        <v>200</v>
      </c>
      <c r="J145" s="27" t="s">
        <v>318</v>
      </c>
      <c r="K145" s="27" t="s">
        <v>319</v>
      </c>
      <c r="L145" s="3" t="str">
        <f aca="false">IF(ISNUMBER(SEARCH(" m",I145)),"Range",IF(I145="offline","Offline",IF(I145="","Unknown","No echo / error")))</f>
        <v>Offline</v>
      </c>
      <c r="M145" s="3" t="str">
        <f aca="false">IF(ISNUMBER(SEARCH(" m",J145)),"Range",IF(J145="offline","Offline",IF(J145="","Unknown","No echo / error")))</f>
        <v>Range</v>
      </c>
      <c r="N145" s="3" t="str">
        <f aca="false">IF(ISNUMBER(SEARCH(" m",K145)),"Range",IF(K145="offline","Offline",IF(K145="","Unknown","No echo / error")))</f>
        <v>Range</v>
      </c>
      <c r="O145" s="3" t="str">
        <f aca="false">TEXT(B145,"yyyy-mm-dd")</f>
        <v>2026-10-05</v>
      </c>
    </row>
    <row r="146" customFormat="false" ht="15" hidden="false" customHeight="false" outlineLevel="0" collapsed="false">
      <c r="A146" s="27" t="n">
        <v>3</v>
      </c>
      <c r="B146" s="28" t="n">
        <v>46300.1145071412</v>
      </c>
      <c r="C146" s="29" t="n">
        <f aca="false">IF(A147=A146,B147,INDEX(Rounds!$D:$D,MATCH(A146,Rounds!$A:$A,0)))</f>
        <v>46300.1145140278</v>
      </c>
      <c r="D146" s="30" t="n">
        <f aca="false">(B146-INDEX(Rounds!$C:$C,MATCH(A146,Rounds!$A:$A,0)))*86400</f>
        <v>47.107999864</v>
      </c>
      <c r="E146" s="30" t="n">
        <f aca="false">(C146-INDEX(Rounds!$C:$C,MATCH(A146,Rounds!$A:$A,0)))*86400</f>
        <v>47.703000158</v>
      </c>
      <c r="F146" s="31" t="n">
        <f aca="false">(C146-B146)*86400</f>
        <v>0.595000293</v>
      </c>
      <c r="G146" s="27" t="s">
        <v>151</v>
      </c>
      <c r="H146" s="27" t="s">
        <v>203</v>
      </c>
      <c r="I146" s="27" t="s">
        <v>200</v>
      </c>
      <c r="J146" s="27" t="s">
        <v>318</v>
      </c>
      <c r="K146" s="27" t="s">
        <v>320</v>
      </c>
      <c r="L146" s="3" t="str">
        <f aca="false">IF(ISNUMBER(SEARCH(" m",I146)),"Range",IF(I146="offline","Offline",IF(I146="","Unknown","No echo / error")))</f>
        <v>Offline</v>
      </c>
      <c r="M146" s="3" t="str">
        <f aca="false">IF(ISNUMBER(SEARCH(" m",J146)),"Range",IF(J146="offline","Offline",IF(J146="","Unknown","No echo / error")))</f>
        <v>Range</v>
      </c>
      <c r="N146" s="3" t="str">
        <f aca="false">IF(ISNUMBER(SEARCH(" m",K146)),"Range",IF(K146="offline","Offline",IF(K146="","Unknown","No echo / error")))</f>
        <v>Range</v>
      </c>
      <c r="O146" s="3" t="str">
        <f aca="false">TEXT(B146,"yyyy-mm-dd")</f>
        <v>2026-10-05</v>
      </c>
    </row>
    <row r="147" customFormat="false" ht="15" hidden="false" customHeight="false" outlineLevel="0" collapsed="false">
      <c r="A147" s="27" t="n">
        <v>3</v>
      </c>
      <c r="B147" s="28" t="n">
        <v>46300.1145140278</v>
      </c>
      <c r="C147" s="29" t="n">
        <f aca="false">IF(A148=A147,B148,INDEX(Rounds!$D:$D,MATCH(A147,Rounds!$A:$A,0)))</f>
        <v>46300.1145207176</v>
      </c>
      <c r="D147" s="30" t="n">
        <f aca="false">(B147-INDEX(Rounds!$C:$C,MATCH(A147,Rounds!$A:$A,0)))*86400</f>
        <v>47.703000158</v>
      </c>
      <c r="E147" s="30" t="n">
        <f aca="false">(C147-INDEX(Rounds!$C:$C,MATCH(A147,Rounds!$A:$A,0)))*86400</f>
        <v>48.280999436</v>
      </c>
      <c r="F147" s="31" t="n">
        <f aca="false">(C147-B147)*86400</f>
        <v>0.577999278</v>
      </c>
      <c r="G147" s="27" t="s">
        <v>152</v>
      </c>
      <c r="H147" s="27" t="s">
        <v>208</v>
      </c>
      <c r="I147" s="27" t="s">
        <v>200</v>
      </c>
      <c r="J147" s="27" t="s">
        <v>321</v>
      </c>
      <c r="K147" s="27" t="s">
        <v>204</v>
      </c>
      <c r="L147" s="3" t="str">
        <f aca="false">IF(ISNUMBER(SEARCH(" m",I147)),"Range",IF(I147="offline","Offline",IF(I147="","Unknown","No echo / error")))</f>
        <v>Offline</v>
      </c>
      <c r="M147" s="3" t="str">
        <f aca="false">IF(ISNUMBER(SEARCH(" m",J147)),"Range",IF(J147="offline","Offline",IF(J147="","Unknown","No echo / error")))</f>
        <v>Range</v>
      </c>
      <c r="N147" s="3" t="str">
        <f aca="false">IF(ISNUMBER(SEARCH(" m",K147)),"Range",IF(K147="offline","Offline",IF(K147="","Unknown","No echo / error")))</f>
        <v>No echo / error</v>
      </c>
      <c r="O147" s="3" t="str">
        <f aca="false">TEXT(B147,"yyyy-mm-dd")</f>
        <v>2026-10-05</v>
      </c>
    </row>
    <row r="148" customFormat="false" ht="15" hidden="false" customHeight="false" outlineLevel="0" collapsed="false">
      <c r="A148" s="27" t="n">
        <v>3</v>
      </c>
      <c r="B148" s="28" t="n">
        <v>46300.1145207176</v>
      </c>
      <c r="C148" s="29" t="n">
        <f aca="false">IF(A149=A148,B149,INDEX(Rounds!$D:$D,MATCH(A148,Rounds!$A:$A,0)))</f>
        <v>46300.1145244329</v>
      </c>
      <c r="D148" s="30" t="n">
        <f aca="false">(B148-INDEX(Rounds!$C:$C,MATCH(A148,Rounds!$A:$A,0)))*86400</f>
        <v>48.280999436</v>
      </c>
      <c r="E148" s="30" t="n">
        <f aca="false">(C148-INDEX(Rounds!$C:$C,MATCH(A148,Rounds!$A:$A,0)))*86400</f>
        <v>48.602000134</v>
      </c>
      <c r="F148" s="31" t="n">
        <f aca="false">(C148-B148)*86400</f>
        <v>0.321000698</v>
      </c>
      <c r="G148" s="27" t="s">
        <v>151</v>
      </c>
      <c r="H148" s="27" t="s">
        <v>203</v>
      </c>
      <c r="I148" s="27" t="s">
        <v>200</v>
      </c>
      <c r="J148" s="27" t="s">
        <v>322</v>
      </c>
      <c r="K148" s="27" t="s">
        <v>323</v>
      </c>
      <c r="L148" s="3" t="str">
        <f aca="false">IF(ISNUMBER(SEARCH(" m",I148)),"Range",IF(I148="offline","Offline",IF(I148="","Unknown","No echo / error")))</f>
        <v>Offline</v>
      </c>
      <c r="M148" s="3" t="str">
        <f aca="false">IF(ISNUMBER(SEARCH(" m",J148)),"Range",IF(J148="offline","Offline",IF(J148="","Unknown","No echo / error")))</f>
        <v>Range</v>
      </c>
      <c r="N148" s="3" t="str">
        <f aca="false">IF(ISNUMBER(SEARCH(" m",K148)),"Range",IF(K148="offline","Offline",IF(K148="","Unknown","No echo / error")))</f>
        <v>Range</v>
      </c>
      <c r="O148" s="3" t="str">
        <f aca="false">TEXT(B148,"yyyy-mm-dd")</f>
        <v>2026-10-05</v>
      </c>
    </row>
    <row r="149" customFormat="false" ht="15" hidden="false" customHeight="false" outlineLevel="0" collapsed="false">
      <c r="A149" s="27" t="n">
        <v>3</v>
      </c>
      <c r="B149" s="28" t="n">
        <v>46300.1145244329</v>
      </c>
      <c r="C149" s="29" t="n">
        <f aca="false">IF(A150=A149,B150,INDEX(Rounds!$D:$D,MATCH(A149,Rounds!$A:$A,0)))</f>
        <v>46300.1145661111</v>
      </c>
      <c r="D149" s="30" t="n">
        <f aca="false">(B149-INDEX(Rounds!$C:$C,MATCH(A149,Rounds!$A:$A,0)))*86400</f>
        <v>48.602000134</v>
      </c>
      <c r="E149" s="30" t="n">
        <f aca="false">(C149-INDEX(Rounds!$C:$C,MATCH(A149,Rounds!$A:$A,0)))*86400</f>
        <v>52.202999638</v>
      </c>
      <c r="F149" s="31" t="n">
        <f aca="false">(C149-B149)*86400</f>
        <v>3.600999503</v>
      </c>
      <c r="G149" s="27" t="s">
        <v>153</v>
      </c>
      <c r="H149" s="27" t="s">
        <v>324</v>
      </c>
      <c r="I149" s="27" t="s">
        <v>325</v>
      </c>
      <c r="J149" s="27" t="s">
        <v>326</v>
      </c>
      <c r="K149" s="27" t="s">
        <v>315</v>
      </c>
      <c r="L149" s="3" t="str">
        <f aca="false">IF(ISNUMBER(SEARCH(" m",I149)),"Range",IF(I149="offline","Offline",IF(I149="","Unknown","No echo / error")))</f>
        <v>Range</v>
      </c>
      <c r="M149" s="3" t="str">
        <f aca="false">IF(ISNUMBER(SEARCH(" m",J149)),"Range",IF(J149="offline","Offline",IF(J149="","Unknown","No echo / error")))</f>
        <v>Range</v>
      </c>
      <c r="N149" s="3" t="str">
        <f aca="false">IF(ISNUMBER(SEARCH(" m",K149)),"Range",IF(K149="offline","Offline",IF(K149="","Unknown","No echo / error")))</f>
        <v>Range</v>
      </c>
      <c r="O149" s="3" t="str">
        <f aca="false">TEXT(B149,"yyyy-mm-dd")</f>
        <v>2026-10-05</v>
      </c>
    </row>
    <row r="150" customFormat="false" ht="15" hidden="false" customHeight="false" outlineLevel="0" collapsed="false">
      <c r="A150" s="27" t="n">
        <v>3</v>
      </c>
      <c r="B150" s="28" t="n">
        <v>46300.1145661111</v>
      </c>
      <c r="C150" s="29" t="n">
        <f aca="false">IF(A151=A150,B151,INDEX(Rounds!$D:$D,MATCH(A150,Rounds!$A:$A,0)))</f>
        <v>46300.1145692824</v>
      </c>
      <c r="D150" s="30" t="n">
        <f aca="false">(B150-INDEX(Rounds!$C:$C,MATCH(A150,Rounds!$A:$A,0)))*86400</f>
        <v>52.202999638</v>
      </c>
      <c r="E150" s="30" t="n">
        <f aca="false">(C150-INDEX(Rounds!$C:$C,MATCH(A150,Rounds!$A:$A,0)))*86400</f>
        <v>52.476999862</v>
      </c>
      <c r="F150" s="31" t="n">
        <f aca="false">(C150-B150)*86400</f>
        <v>0.274000223</v>
      </c>
      <c r="G150" s="27" t="s">
        <v>151</v>
      </c>
      <c r="H150" s="27" t="s">
        <v>203</v>
      </c>
      <c r="I150" s="27" t="s">
        <v>313</v>
      </c>
      <c r="J150" s="27" t="s">
        <v>204</v>
      </c>
      <c r="K150" s="27" t="s">
        <v>213</v>
      </c>
      <c r="L150" s="3" t="str">
        <f aca="false">IF(ISNUMBER(SEARCH(" m",I150)),"Range",IF(I150="offline","Offline",IF(I150="","Unknown","No echo / error")))</f>
        <v>Range</v>
      </c>
      <c r="M150" s="3" t="str">
        <f aca="false">IF(ISNUMBER(SEARCH(" m",J150)),"Range",IF(J150="offline","Offline",IF(J150="","Unknown","No echo / error")))</f>
        <v>No echo / error</v>
      </c>
      <c r="N150" s="3" t="str">
        <f aca="false">IF(ISNUMBER(SEARCH(" m",K150)),"Range",IF(K150="offline","Offline",IF(K150="","Unknown","No echo / error")))</f>
        <v>Range</v>
      </c>
      <c r="O150" s="3" t="str">
        <f aca="false">TEXT(B150,"yyyy-mm-dd")</f>
        <v>2026-10-05</v>
      </c>
    </row>
    <row r="151" customFormat="false" ht="15" hidden="false" customHeight="false" outlineLevel="0" collapsed="false">
      <c r="A151" s="27" t="n">
        <v>3</v>
      </c>
      <c r="B151" s="28" t="n">
        <v>46300.1145692824</v>
      </c>
      <c r="C151" s="29" t="n">
        <f aca="false">IF(A152=A151,B152,INDEX(Rounds!$D:$D,MATCH(A151,Rounds!$A:$A,0)))</f>
        <v>46300.1146180903</v>
      </c>
      <c r="D151" s="30" t="n">
        <f aca="false">(B151-INDEX(Rounds!$C:$C,MATCH(A151,Rounds!$A:$A,0)))*86400</f>
        <v>52.476999862</v>
      </c>
      <c r="E151" s="30" t="n">
        <f aca="false">(C151-INDEX(Rounds!$C:$C,MATCH(A151,Rounds!$A:$A,0)))*86400</f>
        <v>56.694000097</v>
      </c>
      <c r="F151" s="31" t="n">
        <f aca="false">(C151-B151)*86400</f>
        <v>4.217000235</v>
      </c>
      <c r="G151" s="27" t="s">
        <v>150</v>
      </c>
      <c r="H151" s="27" t="s">
        <v>206</v>
      </c>
      <c r="I151" s="27" t="s">
        <v>327</v>
      </c>
      <c r="J151" s="27" t="s">
        <v>204</v>
      </c>
      <c r="K151" s="27" t="s">
        <v>287</v>
      </c>
      <c r="L151" s="3" t="str">
        <f aca="false">IF(ISNUMBER(SEARCH(" m",I151)),"Range",IF(I151="offline","Offline",IF(I151="","Unknown","No echo / error")))</f>
        <v>Range</v>
      </c>
      <c r="M151" s="3" t="str">
        <f aca="false">IF(ISNUMBER(SEARCH(" m",J151)),"Range",IF(J151="offline","Offline",IF(J151="","Unknown","No echo / error")))</f>
        <v>No echo / error</v>
      </c>
      <c r="N151" s="3" t="str">
        <f aca="false">IF(ISNUMBER(SEARCH(" m",K151)),"Range",IF(K151="offline","Offline",IF(K151="","Unknown","No echo / error")))</f>
        <v>Range</v>
      </c>
      <c r="O151" s="3" t="str">
        <f aca="false">TEXT(B151,"yyyy-mm-dd")</f>
        <v>2026-10-05</v>
      </c>
    </row>
    <row r="152" customFormat="false" ht="15" hidden="false" customHeight="false" outlineLevel="0" collapsed="false">
      <c r="A152" s="27" t="n">
        <v>3</v>
      </c>
      <c r="B152" s="28" t="n">
        <v>46300.1146180903</v>
      </c>
      <c r="C152" s="29" t="n">
        <f aca="false">IF(A153=A152,B153,INDEX(Rounds!$D:$D,MATCH(A152,Rounds!$A:$A,0)))</f>
        <v>46300.1146372107</v>
      </c>
      <c r="D152" s="30" t="n">
        <f aca="false">(B152-INDEX(Rounds!$C:$C,MATCH(A152,Rounds!$A:$A,0)))*86400</f>
        <v>56.694000097</v>
      </c>
      <c r="E152" s="30" t="n">
        <f aca="false">(C152-INDEX(Rounds!$C:$C,MATCH(A152,Rounds!$A:$A,0)))*86400</f>
        <v>58.34600029</v>
      </c>
      <c r="F152" s="31" t="n">
        <f aca="false">(C152-B152)*86400</f>
        <v>1.652000192</v>
      </c>
      <c r="G152" s="27" t="s">
        <v>152</v>
      </c>
      <c r="H152" s="27" t="s">
        <v>208</v>
      </c>
      <c r="I152" s="27" t="s">
        <v>297</v>
      </c>
      <c r="J152" s="27" t="s">
        <v>328</v>
      </c>
      <c r="K152" s="27" t="s">
        <v>250</v>
      </c>
      <c r="L152" s="3" t="str">
        <f aca="false">IF(ISNUMBER(SEARCH(" m",I152)),"Range",IF(I152="offline","Offline",IF(I152="","Unknown","No echo / error")))</f>
        <v>Range</v>
      </c>
      <c r="M152" s="3" t="str">
        <f aca="false">IF(ISNUMBER(SEARCH(" m",J152)),"Range",IF(J152="offline","Offline",IF(J152="","Unknown","No echo / error")))</f>
        <v>Range</v>
      </c>
      <c r="N152" s="3" t="str">
        <f aca="false">IF(ISNUMBER(SEARCH(" m",K152)),"Range",IF(K152="offline","Offline",IF(K152="","Unknown","No echo / error")))</f>
        <v>Range</v>
      </c>
      <c r="O152" s="3" t="str">
        <f aca="false">TEXT(B152,"yyyy-mm-dd")</f>
        <v>2026-10-05</v>
      </c>
    </row>
    <row r="153" customFormat="false" ht="15" hidden="false" customHeight="false" outlineLevel="0" collapsed="false">
      <c r="A153" s="27" t="n">
        <v>3</v>
      </c>
      <c r="B153" s="28" t="n">
        <v>46300.1146372107</v>
      </c>
      <c r="C153" s="29" t="n">
        <f aca="false">IF(A154=A153,B154,INDEX(Rounds!$D:$D,MATCH(A153,Rounds!$A:$A,0)))</f>
        <v>46300.11464</v>
      </c>
      <c r="D153" s="30" t="n">
        <f aca="false">(B153-INDEX(Rounds!$C:$C,MATCH(A153,Rounds!$A:$A,0)))*86400</f>
        <v>58.34600029</v>
      </c>
      <c r="E153" s="30" t="n">
        <f aca="false">(C153-INDEX(Rounds!$C:$C,MATCH(A153,Rounds!$A:$A,0)))*86400</f>
        <v>58.586999913</v>
      </c>
      <c r="F153" s="31" t="n">
        <f aca="false">(C153-B153)*86400</f>
        <v>0.240999623</v>
      </c>
      <c r="G153" s="27" t="s">
        <v>151</v>
      </c>
      <c r="H153" s="27" t="s">
        <v>203</v>
      </c>
      <c r="I153" s="27" t="s">
        <v>204</v>
      </c>
      <c r="J153" s="27" t="s">
        <v>329</v>
      </c>
      <c r="K153" s="27" t="s">
        <v>330</v>
      </c>
      <c r="L153" s="3" t="str">
        <f aca="false">IF(ISNUMBER(SEARCH(" m",I153)),"Range",IF(I153="offline","Offline",IF(I153="","Unknown","No echo / error")))</f>
        <v>No echo / error</v>
      </c>
      <c r="M153" s="3" t="str">
        <f aca="false">IF(ISNUMBER(SEARCH(" m",J153)),"Range",IF(J153="offline","Offline",IF(J153="","Unknown","No echo / error")))</f>
        <v>Range</v>
      </c>
      <c r="N153" s="3" t="str">
        <f aca="false">IF(ISNUMBER(SEARCH(" m",K153)),"Range",IF(K153="offline","Offline",IF(K153="","Unknown","No echo / error")))</f>
        <v>Range</v>
      </c>
      <c r="O153" s="3" t="str">
        <f aca="false">TEXT(B153,"yyyy-mm-dd")</f>
        <v>2026-10-05</v>
      </c>
    </row>
    <row r="154" customFormat="false" ht="15" hidden="false" customHeight="false" outlineLevel="0" collapsed="false">
      <c r="A154" s="27" t="n">
        <v>3</v>
      </c>
      <c r="B154" s="28" t="n">
        <v>46300.11464</v>
      </c>
      <c r="C154" s="29" t="n">
        <f aca="false">IF(A155=A154,B155,INDEX(Rounds!$D:$D,MATCH(A154,Rounds!$A:$A,0)))</f>
        <v>46300.1146483565</v>
      </c>
      <c r="D154" s="30" t="n">
        <f aca="false">(B154-INDEX(Rounds!$C:$C,MATCH(A154,Rounds!$A:$A,0)))*86400</f>
        <v>58.586999913</v>
      </c>
      <c r="E154" s="30" t="n">
        <f aca="false">(C154-INDEX(Rounds!$C:$C,MATCH(A154,Rounds!$A:$A,0)))*86400</f>
        <v>59.308999869</v>
      </c>
      <c r="F154" s="31" t="n">
        <f aca="false">(C154-B154)*86400</f>
        <v>0.721999956</v>
      </c>
      <c r="G154" s="27" t="s">
        <v>150</v>
      </c>
      <c r="H154" s="27" t="s">
        <v>206</v>
      </c>
      <c r="I154" s="27" t="s">
        <v>331</v>
      </c>
      <c r="J154" s="27" t="s">
        <v>332</v>
      </c>
      <c r="K154" s="27" t="s">
        <v>330</v>
      </c>
      <c r="L154" s="3" t="str">
        <f aca="false">IF(ISNUMBER(SEARCH(" m",I154)),"Range",IF(I154="offline","Offline",IF(I154="","Unknown","No echo / error")))</f>
        <v>Range</v>
      </c>
      <c r="M154" s="3" t="str">
        <f aca="false">IF(ISNUMBER(SEARCH(" m",J154)),"Range",IF(J154="offline","Offline",IF(J154="","Unknown","No echo / error")))</f>
        <v>Range</v>
      </c>
      <c r="N154" s="3" t="str">
        <f aca="false">IF(ISNUMBER(SEARCH(" m",K154)),"Range",IF(K154="offline","Offline",IF(K154="","Unknown","No echo / error")))</f>
        <v>Range</v>
      </c>
      <c r="O154" s="3" t="str">
        <f aca="false">TEXT(B154,"yyyy-mm-dd")</f>
        <v>2026-10-05</v>
      </c>
    </row>
    <row r="155" customFormat="false" ht="15" hidden="false" customHeight="false" outlineLevel="0" collapsed="false">
      <c r="A155" s="27" t="n">
        <v>3</v>
      </c>
      <c r="B155" s="28" t="n">
        <v>46300.1146483565</v>
      </c>
      <c r="C155" s="29" t="n">
        <f aca="false">IF(A156=A155,B156,INDEX(Rounds!$D:$D,MATCH(A155,Rounds!$A:$A,0)))</f>
        <v>46300.1146496528</v>
      </c>
      <c r="D155" s="30" t="n">
        <f aca="false">(B155-INDEX(Rounds!$C:$C,MATCH(A155,Rounds!$A:$A,0)))*86400</f>
        <v>59.308999869</v>
      </c>
      <c r="E155" s="30" t="n">
        <f aca="false">(C155-INDEX(Rounds!$C:$C,MATCH(A155,Rounds!$A:$A,0)))*86400</f>
        <v>59.421000117</v>
      </c>
      <c r="F155" s="31" t="n">
        <f aca="false">(C155-B155)*86400</f>
        <v>0.112000247</v>
      </c>
      <c r="G155" s="27" t="s">
        <v>151</v>
      </c>
      <c r="H155" s="27" t="s">
        <v>203</v>
      </c>
      <c r="I155" s="27" t="s">
        <v>333</v>
      </c>
      <c r="J155" s="27" t="s">
        <v>315</v>
      </c>
      <c r="K155" s="27" t="s">
        <v>285</v>
      </c>
      <c r="L155" s="3" t="str">
        <f aca="false">IF(ISNUMBER(SEARCH(" m",I155)),"Range",IF(I155="offline","Offline",IF(I155="","Unknown","No echo / error")))</f>
        <v>Range</v>
      </c>
      <c r="M155" s="3" t="str">
        <f aca="false">IF(ISNUMBER(SEARCH(" m",J155)),"Range",IF(J155="offline","Offline",IF(J155="","Unknown","No echo / error")))</f>
        <v>Range</v>
      </c>
      <c r="N155" s="3" t="str">
        <f aca="false">IF(ISNUMBER(SEARCH(" m",K155)),"Range",IF(K155="offline","Offline",IF(K155="","Unknown","No echo / error")))</f>
        <v>Range</v>
      </c>
      <c r="O155" s="3" t="str">
        <f aca="false">TEXT(B155,"yyyy-mm-dd")</f>
        <v>2026-10-05</v>
      </c>
    </row>
    <row r="156" customFormat="false" ht="15" hidden="false" customHeight="false" outlineLevel="0" collapsed="false">
      <c r="A156" s="27" t="n">
        <v>3</v>
      </c>
      <c r="B156" s="28" t="n">
        <v>46300.1146496528</v>
      </c>
      <c r="C156" s="29" t="n">
        <f aca="false">IF(A157=A156,B157,INDEX(Rounds!$D:$D,MATCH(A156,Rounds!$A:$A,0)))</f>
        <v>46300.1146637616</v>
      </c>
      <c r="D156" s="30" t="n">
        <f aca="false">(B156-INDEX(Rounds!$C:$C,MATCH(A156,Rounds!$A:$A,0)))*86400</f>
        <v>59.421000117</v>
      </c>
      <c r="E156" s="30" t="n">
        <f aca="false">(C156-INDEX(Rounds!$C:$C,MATCH(A156,Rounds!$A:$A,0)))*86400</f>
        <v>60.639999364</v>
      </c>
      <c r="F156" s="31" t="n">
        <f aca="false">(C156-B156)*86400</f>
        <v>1.218999247</v>
      </c>
      <c r="G156" s="27" t="s">
        <v>150</v>
      </c>
      <c r="H156" s="27" t="s">
        <v>206</v>
      </c>
      <c r="I156" s="27" t="s">
        <v>333</v>
      </c>
      <c r="J156" s="27" t="s">
        <v>315</v>
      </c>
      <c r="K156" s="27" t="s">
        <v>330</v>
      </c>
      <c r="L156" s="3" t="str">
        <f aca="false">IF(ISNUMBER(SEARCH(" m",I156)),"Range",IF(I156="offline","Offline",IF(I156="","Unknown","No echo / error")))</f>
        <v>Range</v>
      </c>
      <c r="M156" s="3" t="str">
        <f aca="false">IF(ISNUMBER(SEARCH(" m",J156)),"Range",IF(J156="offline","Offline",IF(J156="","Unknown","No echo / error")))</f>
        <v>Range</v>
      </c>
      <c r="N156" s="3" t="str">
        <f aca="false">IF(ISNUMBER(SEARCH(" m",K156)),"Range",IF(K156="offline","Offline",IF(K156="","Unknown","No echo / error")))</f>
        <v>Range</v>
      </c>
      <c r="O156" s="3" t="str">
        <f aca="false">TEXT(B156,"yyyy-mm-dd")</f>
        <v>2026-10-05</v>
      </c>
    </row>
    <row r="157" customFormat="false" ht="15" hidden="false" customHeight="false" outlineLevel="0" collapsed="false">
      <c r="A157" s="27" t="n">
        <v>3</v>
      </c>
      <c r="B157" s="28" t="n">
        <v>46300.1146637616</v>
      </c>
      <c r="C157" s="29" t="n">
        <f aca="false">IF(A158=A157,B158,INDEX(Rounds!$D:$D,MATCH(A157,Rounds!$A:$A,0)))</f>
        <v>46300.1146795718</v>
      </c>
      <c r="D157" s="30" t="n">
        <f aca="false">(B157-INDEX(Rounds!$C:$C,MATCH(A157,Rounds!$A:$A,0)))*86400</f>
        <v>60.639999364</v>
      </c>
      <c r="E157" s="30" t="n">
        <f aca="false">(C157-INDEX(Rounds!$C:$C,MATCH(A157,Rounds!$A:$A,0)))*86400</f>
        <v>62.0059998</v>
      </c>
      <c r="F157" s="31" t="n">
        <f aca="false">(C157-B157)*86400</f>
        <v>1.366000436</v>
      </c>
      <c r="G157" s="27" t="s">
        <v>152</v>
      </c>
      <c r="H157" s="27" t="s">
        <v>208</v>
      </c>
      <c r="I157" s="27" t="s">
        <v>204</v>
      </c>
      <c r="J157" s="27" t="s">
        <v>334</v>
      </c>
      <c r="K157" s="27" t="s">
        <v>335</v>
      </c>
      <c r="L157" s="3" t="str">
        <f aca="false">IF(ISNUMBER(SEARCH(" m",I157)),"Range",IF(I157="offline","Offline",IF(I157="","Unknown","No echo / error")))</f>
        <v>No echo / error</v>
      </c>
      <c r="M157" s="3" t="str">
        <f aca="false">IF(ISNUMBER(SEARCH(" m",J157)),"Range",IF(J157="offline","Offline",IF(J157="","Unknown","No echo / error")))</f>
        <v>Range</v>
      </c>
      <c r="N157" s="3" t="str">
        <f aca="false">IF(ISNUMBER(SEARCH(" m",K157)),"Range",IF(K157="offline","Offline",IF(K157="","Unknown","No echo / error")))</f>
        <v>Range</v>
      </c>
      <c r="O157" s="3" t="str">
        <f aca="false">TEXT(B157,"yyyy-mm-dd")</f>
        <v>2026-10-05</v>
      </c>
    </row>
    <row r="158" customFormat="false" ht="15" hidden="false" customHeight="false" outlineLevel="0" collapsed="false">
      <c r="A158" s="27" t="n">
        <v>3</v>
      </c>
      <c r="B158" s="28" t="n">
        <v>46300.1146795718</v>
      </c>
      <c r="C158" s="29" t="n">
        <f aca="false">IF(A159=A158,B159,INDEX(Rounds!$D:$D,MATCH(A158,Rounds!$A:$A,0)))</f>
        <v>46300.1146819907</v>
      </c>
      <c r="D158" s="30" t="n">
        <f aca="false">(B158-INDEX(Rounds!$C:$C,MATCH(A158,Rounds!$A:$A,0)))*86400</f>
        <v>62.0059998</v>
      </c>
      <c r="E158" s="30" t="n">
        <f aca="false">(C158-INDEX(Rounds!$C:$C,MATCH(A158,Rounds!$A:$A,0)))*86400</f>
        <v>62.214999622</v>
      </c>
      <c r="F158" s="31" t="n">
        <f aca="false">(C158-B158)*86400</f>
        <v>0.208999821</v>
      </c>
      <c r="G158" s="27" t="s">
        <v>151</v>
      </c>
      <c r="H158" s="27" t="s">
        <v>203</v>
      </c>
      <c r="I158" s="27" t="s">
        <v>204</v>
      </c>
      <c r="J158" s="27" t="s">
        <v>336</v>
      </c>
      <c r="K158" s="27" t="s">
        <v>337</v>
      </c>
      <c r="L158" s="3" t="str">
        <f aca="false">IF(ISNUMBER(SEARCH(" m",I158)),"Range",IF(I158="offline","Offline",IF(I158="","Unknown","No echo / error")))</f>
        <v>No echo / error</v>
      </c>
      <c r="M158" s="3" t="str">
        <f aca="false">IF(ISNUMBER(SEARCH(" m",J158)),"Range",IF(J158="offline","Offline",IF(J158="","Unknown","No echo / error")))</f>
        <v>Range</v>
      </c>
      <c r="N158" s="3" t="str">
        <f aca="false">IF(ISNUMBER(SEARCH(" m",K158)),"Range",IF(K158="offline","Offline",IF(K158="","Unknown","No echo / error")))</f>
        <v>Range</v>
      </c>
      <c r="O158" s="3" t="str">
        <f aca="false">TEXT(B158,"yyyy-mm-dd")</f>
        <v>2026-10-05</v>
      </c>
    </row>
    <row r="159" customFormat="false" ht="15" hidden="false" customHeight="false" outlineLevel="0" collapsed="false">
      <c r="A159" s="27" t="n">
        <v>3</v>
      </c>
      <c r="B159" s="28" t="n">
        <v>46300.1146819907</v>
      </c>
      <c r="C159" s="29" t="n">
        <f aca="false">IF(A160=A159,B160,INDEX(Rounds!$D:$D,MATCH(A159,Rounds!$A:$A,0)))</f>
        <v>46300.1146888657</v>
      </c>
      <c r="D159" s="30" t="n">
        <f aca="false">(B159-INDEX(Rounds!$C:$C,MATCH(A159,Rounds!$A:$A,0)))*86400</f>
        <v>62.214999622</v>
      </c>
      <c r="E159" s="30" t="n">
        <f aca="false">(C159-INDEX(Rounds!$C:$C,MATCH(A159,Rounds!$A:$A,0)))*86400</f>
        <v>62.808999745</v>
      </c>
      <c r="F159" s="31" t="n">
        <f aca="false">(C159-B159)*86400</f>
        <v>0.594000122</v>
      </c>
      <c r="G159" s="27" t="s">
        <v>150</v>
      </c>
      <c r="H159" s="27" t="s">
        <v>206</v>
      </c>
      <c r="I159" s="27" t="s">
        <v>317</v>
      </c>
      <c r="J159" s="27" t="s">
        <v>336</v>
      </c>
      <c r="K159" s="27" t="s">
        <v>338</v>
      </c>
      <c r="L159" s="3" t="str">
        <f aca="false">IF(ISNUMBER(SEARCH(" m",I159)),"Range",IF(I159="offline","Offline",IF(I159="","Unknown","No echo / error")))</f>
        <v>Range</v>
      </c>
      <c r="M159" s="3" t="str">
        <f aca="false">IF(ISNUMBER(SEARCH(" m",J159)),"Range",IF(J159="offline","Offline",IF(J159="","Unknown","No echo / error")))</f>
        <v>Range</v>
      </c>
      <c r="N159" s="3" t="str">
        <f aca="false">IF(ISNUMBER(SEARCH(" m",K159)),"Range",IF(K159="offline","Offline",IF(K159="","Unknown","No echo / error")))</f>
        <v>Range</v>
      </c>
      <c r="O159" s="3" t="str">
        <f aca="false">TEXT(B159,"yyyy-mm-dd")</f>
        <v>2026-10-05</v>
      </c>
    </row>
    <row r="160" customFormat="false" ht="15" hidden="false" customHeight="false" outlineLevel="0" collapsed="false">
      <c r="A160" s="27" t="n">
        <v>3</v>
      </c>
      <c r="B160" s="28" t="n">
        <v>46300.1146888657</v>
      </c>
      <c r="C160" s="29" t="n">
        <f aca="false">IF(A161=A160,B161,INDEX(Rounds!$D:$D,MATCH(A160,Rounds!$A:$A,0)))</f>
        <v>46300.1146913079</v>
      </c>
      <c r="D160" s="30" t="n">
        <f aca="false">(B160-INDEX(Rounds!$C:$C,MATCH(A160,Rounds!$A:$A,0)))*86400</f>
        <v>62.808999745</v>
      </c>
      <c r="E160" s="30" t="n">
        <f aca="false">(C160-INDEX(Rounds!$C:$C,MATCH(A160,Rounds!$A:$A,0)))*86400</f>
        <v>63.019999908</v>
      </c>
      <c r="F160" s="31" t="n">
        <f aca="false">(C160-B160)*86400</f>
        <v>0.211000163</v>
      </c>
      <c r="G160" s="27" t="s">
        <v>152</v>
      </c>
      <c r="H160" s="27" t="s">
        <v>208</v>
      </c>
      <c r="I160" s="27" t="s">
        <v>204</v>
      </c>
      <c r="J160" s="27" t="s">
        <v>339</v>
      </c>
      <c r="K160" s="27" t="s">
        <v>329</v>
      </c>
      <c r="L160" s="3" t="str">
        <f aca="false">IF(ISNUMBER(SEARCH(" m",I160)),"Range",IF(I160="offline","Offline",IF(I160="","Unknown","No echo / error")))</f>
        <v>No echo / error</v>
      </c>
      <c r="M160" s="3" t="str">
        <f aca="false">IF(ISNUMBER(SEARCH(" m",J160)),"Range",IF(J160="offline","Offline",IF(J160="","Unknown","No echo / error")))</f>
        <v>Range</v>
      </c>
      <c r="N160" s="3" t="str">
        <f aca="false">IF(ISNUMBER(SEARCH(" m",K160)),"Range",IF(K160="offline","Offline",IF(K160="","Unknown","No echo / error")))</f>
        <v>Range</v>
      </c>
      <c r="O160" s="3" t="str">
        <f aca="false">TEXT(B160,"yyyy-mm-dd")</f>
        <v>2026-10-05</v>
      </c>
    </row>
    <row r="161" customFormat="false" ht="15" hidden="false" customHeight="false" outlineLevel="0" collapsed="false">
      <c r="A161" s="27" t="n">
        <v>3</v>
      </c>
      <c r="B161" s="28" t="n">
        <v>46300.1146913079</v>
      </c>
      <c r="C161" s="29" t="n">
        <f aca="false">IF(A162=A161,B162,INDEX(Rounds!$D:$D,MATCH(A161,Rounds!$A:$A,0)))</f>
        <v>46300.1146913079</v>
      </c>
      <c r="D161" s="30" t="n">
        <f aca="false">(B161-INDEX(Rounds!$C:$C,MATCH(A161,Rounds!$A:$A,0)))*86400</f>
        <v>63.019999908</v>
      </c>
      <c r="E161" s="30" t="n">
        <f aca="false">(C161-INDEX(Rounds!$C:$C,MATCH(A161,Rounds!$A:$A,0)))*86400</f>
        <v>63.019999908</v>
      </c>
      <c r="F161" s="31" t="n">
        <f aca="false">(C161-B161)*86400</f>
        <v>0</v>
      </c>
      <c r="G161" s="27" t="s">
        <v>154</v>
      </c>
      <c r="H161" s="27" t="s">
        <v>208</v>
      </c>
      <c r="I161" s="27" t="s">
        <v>204</v>
      </c>
      <c r="J161" s="27" t="s">
        <v>339</v>
      </c>
      <c r="K161" s="27" t="s">
        <v>329</v>
      </c>
      <c r="L161" s="3" t="str">
        <f aca="false">IF(ISNUMBER(SEARCH(" m",I161)),"Range",IF(I161="offline","Offline",IF(I161="","Unknown","No echo / error")))</f>
        <v>No echo / error</v>
      </c>
      <c r="M161" s="3" t="str">
        <f aca="false">IF(ISNUMBER(SEARCH(" m",J161)),"Range",IF(J161="offline","Offline",IF(J161="","Unknown","No echo / error")))</f>
        <v>Range</v>
      </c>
      <c r="N161" s="3" t="str">
        <f aca="false">IF(ISNUMBER(SEARCH(" m",K161)),"Range",IF(K161="offline","Offline",IF(K161="","Unknown","No echo / error")))</f>
        <v>Range</v>
      </c>
      <c r="O161" s="3" t="str">
        <f aca="false">TEXT(B161,"yyyy-mm-dd")</f>
        <v>2026-10-05</v>
      </c>
    </row>
    <row r="162" customFormat="false" ht="15" hidden="false" customHeight="false" outlineLevel="0" collapsed="false">
      <c r="A162" s="27" t="n">
        <v>4</v>
      </c>
      <c r="B162" s="28" t="n">
        <v>46300.1148979861</v>
      </c>
      <c r="C162" s="29" t="n">
        <f aca="false">IF(A163=A162,B163,INDEX(Rounds!$D:$D,MATCH(A162,Rounds!$A:$A,0)))</f>
        <v>46300.1148979861</v>
      </c>
      <c r="D162" s="30" t="n">
        <f aca="false">(B162-INDEX(Rounds!$C:$C,MATCH(A162,Rounds!$A:$A,0)))*86400</f>
        <v>0</v>
      </c>
      <c r="E162" s="30" t="n">
        <f aca="false">(C162-INDEX(Rounds!$C:$C,MATCH(A162,Rounds!$A:$A,0)))*86400</f>
        <v>0</v>
      </c>
      <c r="F162" s="31" t="n">
        <f aca="false">(C162-B162)*86400</f>
        <v>0</v>
      </c>
      <c r="G162" s="27" t="s">
        <v>152</v>
      </c>
      <c r="H162" s="27" t="s">
        <v>208</v>
      </c>
      <c r="I162" s="27" t="s">
        <v>204</v>
      </c>
      <c r="J162" s="27" t="s">
        <v>339</v>
      </c>
      <c r="K162" s="27" t="s">
        <v>329</v>
      </c>
      <c r="L162" s="3" t="str">
        <f aca="false">IF(ISNUMBER(SEARCH(" m",I162)),"Range",IF(I162="offline","Offline",IF(I162="","Unknown","No echo / error")))</f>
        <v>No echo / error</v>
      </c>
      <c r="M162" s="3" t="str">
        <f aca="false">IF(ISNUMBER(SEARCH(" m",J162)),"Range",IF(J162="offline","Offline",IF(J162="","Unknown","No echo / error")))</f>
        <v>Range</v>
      </c>
      <c r="N162" s="3" t="str">
        <f aca="false">IF(ISNUMBER(SEARCH(" m",K162)),"Range",IF(K162="offline","Offline",IF(K162="","Unknown","No echo / error")))</f>
        <v>Range</v>
      </c>
      <c r="O162" s="3" t="str">
        <f aca="false">TEXT(B162,"yyyy-mm-dd")</f>
        <v>2026-10-05</v>
      </c>
    </row>
    <row r="163" customFormat="false" ht="15" hidden="false" customHeight="false" outlineLevel="0" collapsed="false">
      <c r="A163" s="27" t="n">
        <v>4</v>
      </c>
      <c r="B163" s="28" t="n">
        <v>46300.1148979861</v>
      </c>
      <c r="C163" s="29" t="n">
        <f aca="false">IF(A164=A163,B164,INDEX(Rounds!$D:$D,MATCH(A163,Rounds!$A:$A,0)))</f>
        <v>46300.1148979861</v>
      </c>
      <c r="D163" s="30" t="n">
        <f aca="false">(B163-INDEX(Rounds!$C:$C,MATCH(A163,Rounds!$A:$A,0)))*86400</f>
        <v>0</v>
      </c>
      <c r="E163" s="30" t="n">
        <f aca="false">(C163-INDEX(Rounds!$C:$C,MATCH(A163,Rounds!$A:$A,0)))*86400</f>
        <v>0</v>
      </c>
      <c r="F163" s="31" t="n">
        <f aca="false">(C163-B163)*86400</f>
        <v>0</v>
      </c>
      <c r="G163" s="27" t="s">
        <v>152</v>
      </c>
      <c r="H163" s="27" t="s">
        <v>208</v>
      </c>
      <c r="I163" s="27" t="s">
        <v>204</v>
      </c>
      <c r="J163" s="27" t="s">
        <v>339</v>
      </c>
      <c r="K163" s="27" t="s">
        <v>329</v>
      </c>
      <c r="L163" s="3" t="str">
        <f aca="false">IF(ISNUMBER(SEARCH(" m",I163)),"Range",IF(I163="offline","Offline",IF(I163="","Unknown","No echo / error")))</f>
        <v>No echo / error</v>
      </c>
      <c r="M163" s="3" t="str">
        <f aca="false">IF(ISNUMBER(SEARCH(" m",J163)),"Range",IF(J163="offline","Offline",IF(J163="","Unknown","No echo / error")))</f>
        <v>Range</v>
      </c>
      <c r="N163" s="3" t="str">
        <f aca="false">IF(ISNUMBER(SEARCH(" m",K163)),"Range",IF(K163="offline","Offline",IF(K163="","Unknown","No echo / error")))</f>
        <v>Range</v>
      </c>
      <c r="O163" s="3" t="str">
        <f aca="false">TEXT(B163,"yyyy-mm-dd")</f>
        <v>2026-10-05</v>
      </c>
    </row>
    <row r="164" customFormat="false" ht="15" hidden="false" customHeight="false" outlineLevel="0" collapsed="false">
      <c r="A164" s="27" t="n">
        <v>4</v>
      </c>
      <c r="B164" s="28" t="n">
        <v>46300.1148979861</v>
      </c>
      <c r="C164" s="29" t="n">
        <f aca="false">IF(A165=A164,B165,INDEX(Rounds!$D:$D,MATCH(A164,Rounds!$A:$A,0)))</f>
        <v>46300.1149221759</v>
      </c>
      <c r="D164" s="30" t="n">
        <f aca="false">(B164-INDEX(Rounds!$C:$C,MATCH(A164,Rounds!$A:$A,0)))*86400</f>
        <v>0</v>
      </c>
      <c r="E164" s="30" t="n">
        <f aca="false">(C164-INDEX(Rounds!$C:$C,MATCH(A164,Rounds!$A:$A,0)))*86400</f>
        <v>2.090000733</v>
      </c>
      <c r="F164" s="31" t="n">
        <f aca="false">(C164-B164)*86400</f>
        <v>2.090000733</v>
      </c>
      <c r="G164" s="27" t="s">
        <v>152</v>
      </c>
      <c r="H164" s="27" t="s">
        <v>199</v>
      </c>
      <c r="I164" s="27" t="s">
        <v>204</v>
      </c>
      <c r="J164" s="27" t="s">
        <v>339</v>
      </c>
      <c r="K164" s="27" t="s">
        <v>340</v>
      </c>
      <c r="L164" s="3" t="str">
        <f aca="false">IF(ISNUMBER(SEARCH(" m",I164)),"Range",IF(I164="offline","Offline",IF(I164="","Unknown","No echo / error")))</f>
        <v>No echo / error</v>
      </c>
      <c r="M164" s="3" t="str">
        <f aca="false">IF(ISNUMBER(SEARCH(" m",J164)),"Range",IF(J164="offline","Offline",IF(J164="","Unknown","No echo / error")))</f>
        <v>Range</v>
      </c>
      <c r="N164" s="3" t="str">
        <f aca="false">IF(ISNUMBER(SEARCH(" m",K164)),"Range",IF(K164="offline","Offline",IF(K164="","Unknown","No echo / error")))</f>
        <v>Range</v>
      </c>
      <c r="O164" s="3" t="str">
        <f aca="false">TEXT(B164,"yyyy-mm-dd")</f>
        <v>2026-10-05</v>
      </c>
    </row>
    <row r="165" customFormat="false" ht="15" hidden="false" customHeight="false" outlineLevel="0" collapsed="false">
      <c r="A165" s="27" t="n">
        <v>4</v>
      </c>
      <c r="B165" s="28" t="n">
        <v>46300.1149221759</v>
      </c>
      <c r="C165" s="29" t="n">
        <f aca="false">IF(A166=A165,B166,INDEX(Rounds!$D:$D,MATCH(A165,Rounds!$A:$A,0)))</f>
        <v>46300.1149232986</v>
      </c>
      <c r="D165" s="30" t="n">
        <f aca="false">(B165-INDEX(Rounds!$C:$C,MATCH(A165,Rounds!$A:$A,0)))*86400</f>
        <v>2.090000733</v>
      </c>
      <c r="E165" s="30" t="n">
        <f aca="false">(C165-INDEX(Rounds!$C:$C,MATCH(A165,Rounds!$A:$A,0)))*86400</f>
        <v>2.187000308</v>
      </c>
      <c r="F165" s="31" t="n">
        <f aca="false">(C165-B165)*86400</f>
        <v>0.096999574</v>
      </c>
      <c r="G165" s="27" t="s">
        <v>151</v>
      </c>
      <c r="H165" s="27" t="s">
        <v>203</v>
      </c>
      <c r="I165" s="27" t="s">
        <v>341</v>
      </c>
      <c r="J165" s="27" t="s">
        <v>204</v>
      </c>
      <c r="K165" s="27" t="s">
        <v>260</v>
      </c>
      <c r="L165" s="3" t="str">
        <f aca="false">IF(ISNUMBER(SEARCH(" m",I165)),"Range",IF(I165="offline","Offline",IF(I165="","Unknown","No echo / error")))</f>
        <v>Range</v>
      </c>
      <c r="M165" s="3" t="str">
        <f aca="false">IF(ISNUMBER(SEARCH(" m",J165)),"Range",IF(J165="offline","Offline",IF(J165="","Unknown","No echo / error")))</f>
        <v>No echo / error</v>
      </c>
      <c r="N165" s="3" t="str">
        <f aca="false">IF(ISNUMBER(SEARCH(" m",K165)),"Range",IF(K165="offline","Offline",IF(K165="","Unknown","No echo / error")))</f>
        <v>Range</v>
      </c>
      <c r="O165" s="3" t="str">
        <f aca="false">TEXT(B165,"yyyy-mm-dd")</f>
        <v>2026-10-05</v>
      </c>
    </row>
    <row r="166" customFormat="false" ht="15" hidden="false" customHeight="false" outlineLevel="0" collapsed="false">
      <c r="A166" s="27" t="n">
        <v>4</v>
      </c>
      <c r="B166" s="28" t="n">
        <v>46300.1149232986</v>
      </c>
      <c r="C166" s="29" t="n">
        <f aca="false">IF(A167=A166,B167,INDEX(Rounds!$D:$D,MATCH(A166,Rounds!$A:$A,0)))</f>
        <v>46300.1149338889</v>
      </c>
      <c r="D166" s="30" t="n">
        <f aca="false">(B166-INDEX(Rounds!$C:$C,MATCH(A166,Rounds!$A:$A,0)))*86400</f>
        <v>2.187000308</v>
      </c>
      <c r="E166" s="30" t="n">
        <f aca="false">(C166-INDEX(Rounds!$C:$C,MATCH(A166,Rounds!$A:$A,0)))*86400</f>
        <v>3.1020005</v>
      </c>
      <c r="F166" s="31" t="n">
        <f aca="false">(C166-B166)*86400</f>
        <v>0.915000191</v>
      </c>
      <c r="G166" s="27" t="s">
        <v>150</v>
      </c>
      <c r="H166" s="27" t="s">
        <v>206</v>
      </c>
      <c r="I166" s="27" t="s">
        <v>342</v>
      </c>
      <c r="J166" s="27" t="s">
        <v>204</v>
      </c>
      <c r="K166" s="27" t="s">
        <v>260</v>
      </c>
      <c r="L166" s="3" t="str">
        <f aca="false">IF(ISNUMBER(SEARCH(" m",I166)),"Range",IF(I166="offline","Offline",IF(I166="","Unknown","No echo / error")))</f>
        <v>Range</v>
      </c>
      <c r="M166" s="3" t="str">
        <f aca="false">IF(ISNUMBER(SEARCH(" m",J166)),"Range",IF(J166="offline","Offline",IF(J166="","Unknown","No echo / error")))</f>
        <v>No echo / error</v>
      </c>
      <c r="N166" s="3" t="str">
        <f aca="false">IF(ISNUMBER(SEARCH(" m",K166)),"Range",IF(K166="offline","Offline",IF(K166="","Unknown","No echo / error")))</f>
        <v>Range</v>
      </c>
      <c r="O166" s="3" t="str">
        <f aca="false">TEXT(B166,"yyyy-mm-dd")</f>
        <v>2026-10-05</v>
      </c>
    </row>
    <row r="167" customFormat="false" ht="15" hidden="false" customHeight="false" outlineLevel="0" collapsed="false">
      <c r="A167" s="27" t="n">
        <v>4</v>
      </c>
      <c r="B167" s="28" t="n">
        <v>46300.1149338889</v>
      </c>
      <c r="C167" s="29" t="n">
        <f aca="false">IF(A168=A167,B168,INDEX(Rounds!$D:$D,MATCH(A167,Rounds!$A:$A,0)))</f>
        <v>46300.1149351968</v>
      </c>
      <c r="D167" s="30" t="n">
        <f aca="false">(B167-INDEX(Rounds!$C:$C,MATCH(A167,Rounds!$A:$A,0)))*86400</f>
        <v>3.1020005</v>
      </c>
      <c r="E167" s="30" t="n">
        <f aca="false">(C167-INDEX(Rounds!$C:$C,MATCH(A167,Rounds!$A:$A,0)))*86400</f>
        <v>3.215000289</v>
      </c>
      <c r="F167" s="31" t="n">
        <f aca="false">(C167-B167)*86400</f>
        <v>0.112999789</v>
      </c>
      <c r="G167" s="27" t="s">
        <v>151</v>
      </c>
      <c r="H167" s="27" t="s">
        <v>203</v>
      </c>
      <c r="I167" s="27" t="s">
        <v>343</v>
      </c>
      <c r="J167" s="27" t="s">
        <v>344</v>
      </c>
      <c r="K167" s="27" t="s">
        <v>276</v>
      </c>
      <c r="L167" s="3" t="str">
        <f aca="false">IF(ISNUMBER(SEARCH(" m",I167)),"Range",IF(I167="offline","Offline",IF(I167="","Unknown","No echo / error")))</f>
        <v>Range</v>
      </c>
      <c r="M167" s="3" t="str">
        <f aca="false">IF(ISNUMBER(SEARCH(" m",J167)),"Range",IF(J167="offline","Offline",IF(J167="","Unknown","No echo / error")))</f>
        <v>Range</v>
      </c>
      <c r="N167" s="3" t="str">
        <f aca="false">IF(ISNUMBER(SEARCH(" m",K167)),"Range",IF(K167="offline","Offline",IF(K167="","Unknown","No echo / error")))</f>
        <v>Range</v>
      </c>
      <c r="O167" s="3" t="str">
        <f aca="false">TEXT(B167,"yyyy-mm-dd")</f>
        <v>2026-10-05</v>
      </c>
    </row>
    <row r="168" customFormat="false" ht="15" hidden="false" customHeight="false" outlineLevel="0" collapsed="false">
      <c r="A168" s="27" t="n">
        <v>4</v>
      </c>
      <c r="B168" s="28" t="n">
        <v>46300.1149351968</v>
      </c>
      <c r="C168" s="29" t="n">
        <f aca="false">IF(A169=A168,B169,INDEX(Rounds!$D:$D,MATCH(A168,Rounds!$A:$A,0)))</f>
        <v>46300.1149755093</v>
      </c>
      <c r="D168" s="30" t="n">
        <f aca="false">(B168-INDEX(Rounds!$C:$C,MATCH(A168,Rounds!$A:$A,0)))*86400</f>
        <v>3.215000289</v>
      </c>
      <c r="E168" s="30" t="n">
        <f aca="false">(C168-INDEX(Rounds!$C:$C,MATCH(A168,Rounds!$A:$A,0)))*86400</f>
        <v>6.698000407</v>
      </c>
      <c r="F168" s="31" t="n">
        <f aca="false">(C168-B168)*86400</f>
        <v>3.483000118</v>
      </c>
      <c r="G168" s="27" t="s">
        <v>150</v>
      </c>
      <c r="H168" s="27" t="s">
        <v>206</v>
      </c>
      <c r="I168" s="27" t="s">
        <v>286</v>
      </c>
      <c r="J168" s="27" t="s">
        <v>344</v>
      </c>
      <c r="K168" s="27" t="s">
        <v>276</v>
      </c>
      <c r="L168" s="3" t="str">
        <f aca="false">IF(ISNUMBER(SEARCH(" m",I168)),"Range",IF(I168="offline","Offline",IF(I168="","Unknown","No echo / error")))</f>
        <v>Range</v>
      </c>
      <c r="M168" s="3" t="str">
        <f aca="false">IF(ISNUMBER(SEARCH(" m",J168)),"Range",IF(J168="offline","Offline",IF(J168="","Unknown","No echo / error")))</f>
        <v>Range</v>
      </c>
      <c r="N168" s="3" t="str">
        <f aca="false">IF(ISNUMBER(SEARCH(" m",K168)),"Range",IF(K168="offline","Offline",IF(K168="","Unknown","No echo / error")))</f>
        <v>Range</v>
      </c>
      <c r="O168" s="3" t="str">
        <f aca="false">TEXT(B168,"yyyy-mm-dd")</f>
        <v>2026-10-05</v>
      </c>
    </row>
    <row r="169" customFormat="false" ht="15" hidden="false" customHeight="false" outlineLevel="0" collapsed="false">
      <c r="A169" s="27" t="n">
        <v>4</v>
      </c>
      <c r="B169" s="28" t="n">
        <v>46300.1149755093</v>
      </c>
      <c r="C169" s="29" t="n">
        <f aca="false">IF(A170=A169,B170,INDEX(Rounds!$D:$D,MATCH(A169,Rounds!$A:$A,0)))</f>
        <v>46300.1149766204</v>
      </c>
      <c r="D169" s="30" t="n">
        <f aca="false">(B169-INDEX(Rounds!$C:$C,MATCH(A169,Rounds!$A:$A,0)))*86400</f>
        <v>6.698000407</v>
      </c>
      <c r="E169" s="30" t="n">
        <f aca="false">(C169-INDEX(Rounds!$C:$C,MATCH(A169,Rounds!$A:$A,0)))*86400</f>
        <v>6.793999811</v>
      </c>
      <c r="F169" s="31" t="n">
        <f aca="false">(C169-B169)*86400</f>
        <v>0.095999403</v>
      </c>
      <c r="G169" s="27" t="s">
        <v>151</v>
      </c>
      <c r="H169" s="27" t="s">
        <v>203</v>
      </c>
      <c r="I169" s="27" t="s">
        <v>329</v>
      </c>
      <c r="J169" s="27" t="s">
        <v>257</v>
      </c>
      <c r="K169" s="27" t="s">
        <v>276</v>
      </c>
      <c r="L169" s="3" t="str">
        <f aca="false">IF(ISNUMBER(SEARCH(" m",I169)),"Range",IF(I169="offline","Offline",IF(I169="","Unknown","No echo / error")))</f>
        <v>Range</v>
      </c>
      <c r="M169" s="3" t="str">
        <f aca="false">IF(ISNUMBER(SEARCH(" m",J169)),"Range",IF(J169="offline","Offline",IF(J169="","Unknown","No echo / error")))</f>
        <v>Range</v>
      </c>
      <c r="N169" s="3" t="str">
        <f aca="false">IF(ISNUMBER(SEARCH(" m",K169)),"Range",IF(K169="offline","Offline",IF(K169="","Unknown","No echo / error")))</f>
        <v>Range</v>
      </c>
      <c r="O169" s="3" t="str">
        <f aca="false">TEXT(B169,"yyyy-mm-dd")</f>
        <v>2026-10-05</v>
      </c>
    </row>
    <row r="170" customFormat="false" ht="15" hidden="false" customHeight="false" outlineLevel="0" collapsed="false">
      <c r="A170" s="27" t="n">
        <v>4</v>
      </c>
      <c r="B170" s="28" t="n">
        <v>46300.1149766204</v>
      </c>
      <c r="C170" s="29" t="n">
        <f aca="false">IF(A171=A170,B171,INDEX(Rounds!$D:$D,MATCH(A170,Rounds!$A:$A,0)))</f>
        <v>46300.1150112037</v>
      </c>
      <c r="D170" s="30" t="n">
        <f aca="false">(B170-INDEX(Rounds!$C:$C,MATCH(A170,Rounds!$A:$A,0)))*86400</f>
        <v>6.793999811</v>
      </c>
      <c r="E170" s="30" t="n">
        <f aca="false">(C170-INDEX(Rounds!$C:$C,MATCH(A170,Rounds!$A:$A,0)))*86400</f>
        <v>9.782000351</v>
      </c>
      <c r="F170" s="31" t="n">
        <f aca="false">(C170-B170)*86400</f>
        <v>2.98800054</v>
      </c>
      <c r="G170" s="27" t="s">
        <v>150</v>
      </c>
      <c r="H170" s="27" t="s">
        <v>206</v>
      </c>
      <c r="I170" s="27" t="s">
        <v>329</v>
      </c>
      <c r="J170" s="27" t="s">
        <v>264</v>
      </c>
      <c r="K170" s="27" t="s">
        <v>276</v>
      </c>
      <c r="L170" s="3" t="str">
        <f aca="false">IF(ISNUMBER(SEARCH(" m",I170)),"Range",IF(I170="offline","Offline",IF(I170="","Unknown","No echo / error")))</f>
        <v>Range</v>
      </c>
      <c r="M170" s="3" t="str">
        <f aca="false">IF(ISNUMBER(SEARCH(" m",J170)),"Range",IF(J170="offline","Offline",IF(J170="","Unknown","No echo / error")))</f>
        <v>Range</v>
      </c>
      <c r="N170" s="3" t="str">
        <f aca="false">IF(ISNUMBER(SEARCH(" m",K170)),"Range",IF(K170="offline","Offline",IF(K170="","Unknown","No echo / error")))</f>
        <v>Range</v>
      </c>
      <c r="O170" s="3" t="str">
        <f aca="false">TEXT(B170,"yyyy-mm-dd")</f>
        <v>2026-10-05</v>
      </c>
    </row>
    <row r="171" customFormat="false" ht="15" hidden="false" customHeight="false" outlineLevel="0" collapsed="false">
      <c r="A171" s="27" t="n">
        <v>4</v>
      </c>
      <c r="B171" s="28" t="n">
        <v>46300.1150112037</v>
      </c>
      <c r="C171" s="29" t="n">
        <f aca="false">IF(A172=A171,B172,INDEX(Rounds!$D:$D,MATCH(A171,Rounds!$A:$A,0)))</f>
        <v>46300.1150125232</v>
      </c>
      <c r="D171" s="30" t="n">
        <f aca="false">(B171-INDEX(Rounds!$C:$C,MATCH(A171,Rounds!$A:$A,0)))*86400</f>
        <v>9.782000351</v>
      </c>
      <c r="E171" s="30" t="n">
        <f aca="false">(C171-INDEX(Rounds!$C:$C,MATCH(A171,Rounds!$A:$A,0)))*86400</f>
        <v>9.896000311</v>
      </c>
      <c r="F171" s="31" t="n">
        <f aca="false">(C171-B171)*86400</f>
        <v>0.11399996</v>
      </c>
      <c r="G171" s="27" t="s">
        <v>151</v>
      </c>
      <c r="H171" s="27" t="s">
        <v>203</v>
      </c>
      <c r="I171" s="27" t="s">
        <v>329</v>
      </c>
      <c r="J171" s="27" t="s">
        <v>345</v>
      </c>
      <c r="K171" s="27" t="s">
        <v>213</v>
      </c>
      <c r="L171" s="3" t="str">
        <f aca="false">IF(ISNUMBER(SEARCH(" m",I171)),"Range",IF(I171="offline","Offline",IF(I171="","Unknown","No echo / error")))</f>
        <v>Range</v>
      </c>
      <c r="M171" s="3" t="str">
        <f aca="false">IF(ISNUMBER(SEARCH(" m",J171)),"Range",IF(J171="offline","Offline",IF(J171="","Unknown","No echo / error")))</f>
        <v>Range</v>
      </c>
      <c r="N171" s="3" t="str">
        <f aca="false">IF(ISNUMBER(SEARCH(" m",K171)),"Range",IF(K171="offline","Offline",IF(K171="","Unknown","No echo / error")))</f>
        <v>Range</v>
      </c>
      <c r="O171" s="3" t="str">
        <f aca="false">TEXT(B171,"yyyy-mm-dd")</f>
        <v>2026-10-05</v>
      </c>
    </row>
    <row r="172" customFormat="false" ht="15" hidden="false" customHeight="false" outlineLevel="0" collapsed="false">
      <c r="A172" s="27" t="n">
        <v>4</v>
      </c>
      <c r="B172" s="28" t="n">
        <v>46300.1150125232</v>
      </c>
      <c r="C172" s="29" t="n">
        <f aca="false">IF(A173=A172,B173,INDEX(Rounds!$D:$D,MATCH(A172,Rounds!$A:$A,0)))</f>
        <v>46300.115085544</v>
      </c>
      <c r="D172" s="30" t="n">
        <f aca="false">(B172-INDEX(Rounds!$C:$C,MATCH(A172,Rounds!$A:$A,0)))*86400</f>
        <v>9.896000311</v>
      </c>
      <c r="E172" s="30" t="n">
        <f aca="false">(C172-INDEX(Rounds!$C:$C,MATCH(A172,Rounds!$A:$A,0)))*86400</f>
        <v>16.204999736</v>
      </c>
      <c r="F172" s="31" t="n">
        <f aca="false">(C172-B172)*86400</f>
        <v>6.308999424</v>
      </c>
      <c r="G172" s="27" t="s">
        <v>150</v>
      </c>
      <c r="H172" s="27" t="s">
        <v>206</v>
      </c>
      <c r="I172" s="27" t="s">
        <v>329</v>
      </c>
      <c r="J172" s="27" t="s">
        <v>265</v>
      </c>
      <c r="K172" s="27" t="s">
        <v>213</v>
      </c>
      <c r="L172" s="3" t="str">
        <f aca="false">IF(ISNUMBER(SEARCH(" m",I172)),"Range",IF(I172="offline","Offline",IF(I172="","Unknown","No echo / error")))</f>
        <v>Range</v>
      </c>
      <c r="M172" s="3" t="str">
        <f aca="false">IF(ISNUMBER(SEARCH(" m",J172)),"Range",IF(J172="offline","Offline",IF(J172="","Unknown","No echo / error")))</f>
        <v>Range</v>
      </c>
      <c r="N172" s="3" t="str">
        <f aca="false">IF(ISNUMBER(SEARCH(" m",K172)),"Range",IF(K172="offline","Offline",IF(K172="","Unknown","No echo / error")))</f>
        <v>Range</v>
      </c>
      <c r="O172" s="3" t="str">
        <f aca="false">TEXT(B172,"yyyy-mm-dd")</f>
        <v>2026-10-05</v>
      </c>
    </row>
    <row r="173" customFormat="false" ht="15" hidden="false" customHeight="false" outlineLevel="0" collapsed="false">
      <c r="A173" s="27" t="n">
        <v>4</v>
      </c>
      <c r="B173" s="28" t="n">
        <v>46300.115085544</v>
      </c>
      <c r="C173" s="29" t="n">
        <f aca="false">IF(A174=A173,B174,INDEX(Rounds!$D:$D,MATCH(A173,Rounds!$A:$A,0)))</f>
        <v>46300.1150907292</v>
      </c>
      <c r="D173" s="30" t="n">
        <f aca="false">(B173-INDEX(Rounds!$C:$C,MATCH(A173,Rounds!$A:$A,0)))*86400</f>
        <v>16.204999736</v>
      </c>
      <c r="E173" s="30" t="n">
        <f aca="false">(C173-INDEX(Rounds!$C:$C,MATCH(A173,Rounds!$A:$A,0)))*86400</f>
        <v>16.653000097</v>
      </c>
      <c r="F173" s="31" t="n">
        <f aca="false">(C173-B173)*86400</f>
        <v>0.448000361</v>
      </c>
      <c r="G173" s="27" t="s">
        <v>152</v>
      </c>
      <c r="H173" s="27" t="s">
        <v>208</v>
      </c>
      <c r="I173" s="27" t="s">
        <v>211</v>
      </c>
      <c r="J173" s="27" t="s">
        <v>265</v>
      </c>
      <c r="K173" s="27" t="s">
        <v>346</v>
      </c>
      <c r="L173" s="3" t="str">
        <f aca="false">IF(ISNUMBER(SEARCH(" m",I173)),"Range",IF(I173="offline","Offline",IF(I173="","Unknown","No echo / error")))</f>
        <v>No echo / error</v>
      </c>
      <c r="M173" s="3" t="str">
        <f aca="false">IF(ISNUMBER(SEARCH(" m",J173)),"Range",IF(J173="offline","Offline",IF(J173="","Unknown","No echo / error")))</f>
        <v>Range</v>
      </c>
      <c r="N173" s="3" t="str">
        <f aca="false">IF(ISNUMBER(SEARCH(" m",K173)),"Range",IF(K173="offline","Offline",IF(K173="","Unknown","No echo / error")))</f>
        <v>Range</v>
      </c>
      <c r="O173" s="3" t="str">
        <f aca="false">TEXT(B173,"yyyy-mm-dd")</f>
        <v>2026-10-05</v>
      </c>
    </row>
    <row r="174" customFormat="false" ht="15" hidden="false" customHeight="false" outlineLevel="0" collapsed="false">
      <c r="A174" s="27" t="n">
        <v>4</v>
      </c>
      <c r="B174" s="28" t="n">
        <v>46300.1150907292</v>
      </c>
      <c r="C174" s="29" t="n">
        <f aca="false">IF(A175=A174,B175,INDEX(Rounds!$D:$D,MATCH(A174,Rounds!$A:$A,0)))</f>
        <v>46300.1150923958</v>
      </c>
      <c r="D174" s="30" t="n">
        <f aca="false">(B174-INDEX(Rounds!$C:$C,MATCH(A174,Rounds!$A:$A,0)))*86400</f>
        <v>16.653000097</v>
      </c>
      <c r="E174" s="30" t="n">
        <f aca="false">(C174-INDEX(Rounds!$C:$C,MATCH(A174,Rounds!$A:$A,0)))*86400</f>
        <v>16.796999517</v>
      </c>
      <c r="F174" s="31" t="n">
        <f aca="false">(C174-B174)*86400</f>
        <v>0.14399942</v>
      </c>
      <c r="G174" s="27" t="s">
        <v>151</v>
      </c>
      <c r="H174" s="27" t="s">
        <v>203</v>
      </c>
      <c r="I174" s="27" t="s">
        <v>211</v>
      </c>
      <c r="J174" s="27" t="s">
        <v>265</v>
      </c>
      <c r="K174" s="27" t="s">
        <v>346</v>
      </c>
      <c r="L174" s="3" t="str">
        <f aca="false">IF(ISNUMBER(SEARCH(" m",I174)),"Range",IF(I174="offline","Offline",IF(I174="","Unknown","No echo / error")))</f>
        <v>No echo / error</v>
      </c>
      <c r="M174" s="3" t="str">
        <f aca="false">IF(ISNUMBER(SEARCH(" m",J174)),"Range",IF(J174="offline","Offline",IF(J174="","Unknown","No echo / error")))</f>
        <v>Range</v>
      </c>
      <c r="N174" s="3" t="str">
        <f aca="false">IF(ISNUMBER(SEARCH(" m",K174)),"Range",IF(K174="offline","Offline",IF(K174="","Unknown","No echo / error")))</f>
        <v>Range</v>
      </c>
      <c r="O174" s="3" t="str">
        <f aca="false">TEXT(B174,"yyyy-mm-dd")</f>
        <v>2026-10-05</v>
      </c>
    </row>
    <row r="175" customFormat="false" ht="15" hidden="false" customHeight="false" outlineLevel="0" collapsed="false">
      <c r="A175" s="27" t="n">
        <v>4</v>
      </c>
      <c r="B175" s="28" t="n">
        <v>46300.1150923958</v>
      </c>
      <c r="C175" s="29" t="n">
        <f aca="false">IF(A176=A175,B176,INDEX(Rounds!$D:$D,MATCH(A175,Rounds!$A:$A,0)))</f>
        <v>46300.1151257639</v>
      </c>
      <c r="D175" s="30" t="n">
        <f aca="false">(B175-INDEX(Rounds!$C:$C,MATCH(A175,Rounds!$A:$A,0)))*86400</f>
        <v>16.796999517</v>
      </c>
      <c r="E175" s="30" t="n">
        <f aca="false">(C175-INDEX(Rounds!$C:$C,MATCH(A175,Rounds!$A:$A,0)))*86400</f>
        <v>19.680000375</v>
      </c>
      <c r="F175" s="31" t="n">
        <f aca="false">(C175-B175)*86400</f>
        <v>2.883000858</v>
      </c>
      <c r="G175" s="27" t="s">
        <v>150</v>
      </c>
      <c r="H175" s="27" t="s">
        <v>206</v>
      </c>
      <c r="I175" s="27" t="s">
        <v>211</v>
      </c>
      <c r="J175" s="27" t="s">
        <v>264</v>
      </c>
      <c r="K175" s="27" t="s">
        <v>346</v>
      </c>
      <c r="L175" s="3" t="str">
        <f aca="false">IF(ISNUMBER(SEARCH(" m",I175)),"Range",IF(I175="offline","Offline",IF(I175="","Unknown","No echo / error")))</f>
        <v>No echo / error</v>
      </c>
      <c r="M175" s="3" t="str">
        <f aca="false">IF(ISNUMBER(SEARCH(" m",J175)),"Range",IF(J175="offline","Offline",IF(J175="","Unknown","No echo / error")))</f>
        <v>Range</v>
      </c>
      <c r="N175" s="3" t="str">
        <f aca="false">IF(ISNUMBER(SEARCH(" m",K175)),"Range",IF(K175="offline","Offline",IF(K175="","Unknown","No echo / error")))</f>
        <v>Range</v>
      </c>
      <c r="O175" s="3" t="str">
        <f aca="false">TEXT(B175,"yyyy-mm-dd")</f>
        <v>2026-10-05</v>
      </c>
    </row>
    <row r="176" customFormat="false" ht="15" hidden="false" customHeight="false" outlineLevel="0" collapsed="false">
      <c r="A176" s="27" t="n">
        <v>4</v>
      </c>
      <c r="B176" s="28" t="n">
        <v>46300.1151257639</v>
      </c>
      <c r="C176" s="29" t="n">
        <f aca="false">IF(A177=A176,B177,INDEX(Rounds!$D:$D,MATCH(A176,Rounds!$A:$A,0)))</f>
        <v>46300.1151321065</v>
      </c>
      <c r="D176" s="30" t="n">
        <f aca="false">(B176-INDEX(Rounds!$C:$C,MATCH(A176,Rounds!$A:$A,0)))*86400</f>
        <v>19.680000375</v>
      </c>
      <c r="E176" s="30" t="n">
        <f aca="false">(C176-INDEX(Rounds!$C:$C,MATCH(A176,Rounds!$A:$A,0)))*86400</f>
        <v>20.228000194</v>
      </c>
      <c r="F176" s="31" t="n">
        <f aca="false">(C176-B176)*86400</f>
        <v>0.547999818</v>
      </c>
      <c r="G176" s="27" t="s">
        <v>152</v>
      </c>
      <c r="H176" s="27" t="s">
        <v>208</v>
      </c>
      <c r="I176" s="27" t="s">
        <v>266</v>
      </c>
      <c r="J176" s="27" t="s">
        <v>264</v>
      </c>
      <c r="K176" s="27" t="s">
        <v>207</v>
      </c>
      <c r="L176" s="3" t="str">
        <f aca="false">IF(ISNUMBER(SEARCH(" m",I176)),"Range",IF(I176="offline","Offline",IF(I176="","Unknown","No echo / error")))</f>
        <v>Range</v>
      </c>
      <c r="M176" s="3" t="str">
        <f aca="false">IF(ISNUMBER(SEARCH(" m",J176)),"Range",IF(J176="offline","Offline",IF(J176="","Unknown","No echo / error")))</f>
        <v>Range</v>
      </c>
      <c r="N176" s="3" t="str">
        <f aca="false">IF(ISNUMBER(SEARCH(" m",K176)),"Range",IF(K176="offline","Offline",IF(K176="","Unknown","No echo / error")))</f>
        <v>Range</v>
      </c>
      <c r="O176" s="3" t="str">
        <f aca="false">TEXT(B176,"yyyy-mm-dd")</f>
        <v>2026-10-05</v>
      </c>
    </row>
    <row r="177" customFormat="false" ht="15" hidden="false" customHeight="false" outlineLevel="0" collapsed="false">
      <c r="A177" s="27" t="n">
        <v>4</v>
      </c>
      <c r="B177" s="28" t="n">
        <v>46300.1151321065</v>
      </c>
      <c r="C177" s="29" t="n">
        <f aca="false">IF(A178=A177,B178,INDEX(Rounds!$D:$D,MATCH(A177,Rounds!$A:$A,0)))</f>
        <v>46300.1151347107</v>
      </c>
      <c r="D177" s="30" t="n">
        <f aca="false">(B177-INDEX(Rounds!$C:$C,MATCH(A177,Rounds!$A:$A,0)))*86400</f>
        <v>20.228000194</v>
      </c>
      <c r="E177" s="30" t="n">
        <f aca="false">(C177-INDEX(Rounds!$C:$C,MATCH(A177,Rounds!$A:$A,0)))*86400</f>
        <v>20.453000231</v>
      </c>
      <c r="F177" s="31" t="n">
        <f aca="false">(C177-B177)*86400</f>
        <v>0.225000036</v>
      </c>
      <c r="G177" s="27" t="s">
        <v>151</v>
      </c>
      <c r="H177" s="27" t="s">
        <v>203</v>
      </c>
      <c r="I177" s="27" t="s">
        <v>211</v>
      </c>
      <c r="J177" s="27" t="s">
        <v>250</v>
      </c>
      <c r="K177" s="27" t="s">
        <v>207</v>
      </c>
      <c r="L177" s="3" t="str">
        <f aca="false">IF(ISNUMBER(SEARCH(" m",I177)),"Range",IF(I177="offline","Offline",IF(I177="","Unknown","No echo / error")))</f>
        <v>No echo / error</v>
      </c>
      <c r="M177" s="3" t="str">
        <f aca="false">IF(ISNUMBER(SEARCH(" m",J177)),"Range",IF(J177="offline","Offline",IF(J177="","Unknown","No echo / error")))</f>
        <v>Range</v>
      </c>
      <c r="N177" s="3" t="str">
        <f aca="false">IF(ISNUMBER(SEARCH(" m",K177)),"Range",IF(K177="offline","Offline",IF(K177="","Unknown","No echo / error")))</f>
        <v>Range</v>
      </c>
      <c r="O177" s="3" t="str">
        <f aca="false">TEXT(B177,"yyyy-mm-dd")</f>
        <v>2026-10-05</v>
      </c>
    </row>
    <row r="178" customFormat="false" ht="15" hidden="false" customHeight="false" outlineLevel="0" collapsed="false">
      <c r="A178" s="27" t="n">
        <v>4</v>
      </c>
      <c r="B178" s="28" t="n">
        <v>46300.1151347107</v>
      </c>
      <c r="C178" s="29" t="n">
        <f aca="false">IF(A179=A178,B179,INDEX(Rounds!$D:$D,MATCH(A178,Rounds!$A:$A,0)))</f>
        <v>46300.1151400926</v>
      </c>
      <c r="D178" s="30" t="n">
        <f aca="false">(B178-INDEX(Rounds!$C:$C,MATCH(A178,Rounds!$A:$A,0)))*86400</f>
        <v>20.453000231</v>
      </c>
      <c r="E178" s="30" t="n">
        <f aca="false">(C178-INDEX(Rounds!$C:$C,MATCH(A178,Rounds!$A:$A,0)))*86400</f>
        <v>20.918000978</v>
      </c>
      <c r="F178" s="31" t="n">
        <f aca="false">(C178-B178)*86400</f>
        <v>0.465000746</v>
      </c>
      <c r="G178" s="27" t="s">
        <v>150</v>
      </c>
      <c r="H178" s="27" t="s">
        <v>206</v>
      </c>
      <c r="I178" s="27" t="s">
        <v>338</v>
      </c>
      <c r="J178" s="27" t="s">
        <v>250</v>
      </c>
      <c r="K178" s="27" t="s">
        <v>207</v>
      </c>
      <c r="L178" s="3" t="str">
        <f aca="false">IF(ISNUMBER(SEARCH(" m",I178)),"Range",IF(I178="offline","Offline",IF(I178="","Unknown","No echo / error")))</f>
        <v>Range</v>
      </c>
      <c r="M178" s="3" t="str">
        <f aca="false">IF(ISNUMBER(SEARCH(" m",J178)),"Range",IF(J178="offline","Offline",IF(J178="","Unknown","No echo / error")))</f>
        <v>Range</v>
      </c>
      <c r="N178" s="3" t="str">
        <f aca="false">IF(ISNUMBER(SEARCH(" m",K178)),"Range",IF(K178="offline","Offline",IF(K178="","Unknown","No echo / error")))</f>
        <v>Range</v>
      </c>
      <c r="O178" s="3" t="str">
        <f aca="false">TEXT(B178,"yyyy-mm-dd")</f>
        <v>2026-10-05</v>
      </c>
    </row>
    <row r="179" customFormat="false" ht="15" hidden="false" customHeight="false" outlineLevel="0" collapsed="false">
      <c r="A179" s="27" t="n">
        <v>4</v>
      </c>
      <c r="B179" s="28" t="n">
        <v>46300.1151400926</v>
      </c>
      <c r="C179" s="29" t="n">
        <f aca="false">IF(A180=A179,B180,INDEX(Rounds!$D:$D,MATCH(A179,Rounds!$A:$A,0)))</f>
        <v>46300.1151481134</v>
      </c>
      <c r="D179" s="30" t="n">
        <f aca="false">(B179-INDEX(Rounds!$C:$C,MATCH(A179,Rounds!$A:$A,0)))*86400</f>
        <v>20.918000978</v>
      </c>
      <c r="E179" s="30" t="n">
        <f aca="false">(C179-INDEX(Rounds!$C:$C,MATCH(A179,Rounds!$A:$A,0)))*86400</f>
        <v>21.611000387</v>
      </c>
      <c r="F179" s="31" t="n">
        <f aca="false">(C179-B179)*86400</f>
        <v>0.692999409</v>
      </c>
      <c r="G179" s="27" t="s">
        <v>151</v>
      </c>
      <c r="H179" s="27" t="s">
        <v>203</v>
      </c>
      <c r="I179" s="27" t="s">
        <v>347</v>
      </c>
      <c r="J179" s="27" t="s">
        <v>204</v>
      </c>
      <c r="K179" s="27" t="s">
        <v>275</v>
      </c>
      <c r="L179" s="3" t="str">
        <f aca="false">IF(ISNUMBER(SEARCH(" m",I179)),"Range",IF(I179="offline","Offline",IF(I179="","Unknown","No echo / error")))</f>
        <v>Range</v>
      </c>
      <c r="M179" s="3" t="str">
        <f aca="false">IF(ISNUMBER(SEARCH(" m",J179)),"Range",IF(J179="offline","Offline",IF(J179="","Unknown","No echo / error")))</f>
        <v>No echo / error</v>
      </c>
      <c r="N179" s="3" t="str">
        <f aca="false">IF(ISNUMBER(SEARCH(" m",K179)),"Range",IF(K179="offline","Offline",IF(K179="","Unknown","No echo / error")))</f>
        <v>Range</v>
      </c>
      <c r="O179" s="3" t="str">
        <f aca="false">TEXT(B179,"yyyy-mm-dd")</f>
        <v>2026-10-05</v>
      </c>
    </row>
    <row r="180" customFormat="false" ht="15" hidden="false" customHeight="false" outlineLevel="0" collapsed="false">
      <c r="A180" s="27" t="n">
        <v>4</v>
      </c>
      <c r="B180" s="28" t="n">
        <v>46300.1151481134</v>
      </c>
      <c r="C180" s="29" t="n">
        <f aca="false">IF(A181=A180,B181,INDEX(Rounds!$D:$D,MATCH(A180,Rounds!$A:$A,0)))</f>
        <v>46300.1151559375</v>
      </c>
      <c r="D180" s="30" t="n">
        <f aca="false">(B180-INDEX(Rounds!$C:$C,MATCH(A180,Rounds!$A:$A,0)))*86400</f>
        <v>21.611000387</v>
      </c>
      <c r="E180" s="30" t="n">
        <f aca="false">(C180-INDEX(Rounds!$C:$C,MATCH(A180,Rounds!$A:$A,0)))*86400</f>
        <v>22.28700004</v>
      </c>
      <c r="F180" s="31" t="n">
        <f aca="false">(C180-B180)*86400</f>
        <v>0.675999652</v>
      </c>
      <c r="G180" s="27" t="s">
        <v>152</v>
      </c>
      <c r="H180" s="27" t="s">
        <v>208</v>
      </c>
      <c r="I180" s="27" t="s">
        <v>202</v>
      </c>
      <c r="J180" s="27" t="s">
        <v>204</v>
      </c>
      <c r="K180" s="27" t="s">
        <v>211</v>
      </c>
      <c r="L180" s="3" t="str">
        <f aca="false">IF(ISNUMBER(SEARCH(" m",I180)),"Range",IF(I180="offline","Offline",IF(I180="","Unknown","No echo / error")))</f>
        <v>Range</v>
      </c>
      <c r="M180" s="3" t="str">
        <f aca="false">IF(ISNUMBER(SEARCH(" m",J180)),"Range",IF(J180="offline","Offline",IF(J180="","Unknown","No echo / error")))</f>
        <v>No echo / error</v>
      </c>
      <c r="N180" s="3" t="str">
        <f aca="false">IF(ISNUMBER(SEARCH(" m",K180)),"Range",IF(K180="offline","Offline",IF(K180="","Unknown","No echo / error")))</f>
        <v>No echo / error</v>
      </c>
      <c r="O180" s="3" t="str">
        <f aca="false">TEXT(B180,"yyyy-mm-dd")</f>
        <v>2026-10-05</v>
      </c>
    </row>
    <row r="181" customFormat="false" ht="15" hidden="false" customHeight="false" outlineLevel="0" collapsed="false">
      <c r="A181" s="27" t="n">
        <v>4</v>
      </c>
      <c r="B181" s="28" t="n">
        <v>46300.1151559375</v>
      </c>
      <c r="C181" s="29" t="n">
        <f aca="false">IF(A182=A181,B182,INDEX(Rounds!$D:$D,MATCH(A181,Rounds!$A:$A,0)))</f>
        <v>46300.1151620602</v>
      </c>
      <c r="D181" s="30" t="n">
        <f aca="false">(B181-INDEX(Rounds!$C:$C,MATCH(A181,Rounds!$A:$A,0)))*86400</f>
        <v>22.28700004</v>
      </c>
      <c r="E181" s="30" t="n">
        <f aca="false">(C181-INDEX(Rounds!$C:$C,MATCH(A181,Rounds!$A:$A,0)))*86400</f>
        <v>22.816000389</v>
      </c>
      <c r="F181" s="31" t="n">
        <f aca="false">(C181-B181)*86400</f>
        <v>0.529000349</v>
      </c>
      <c r="G181" s="27" t="s">
        <v>151</v>
      </c>
      <c r="H181" s="27" t="s">
        <v>203</v>
      </c>
      <c r="I181" s="27" t="s">
        <v>202</v>
      </c>
      <c r="J181" s="27" t="s">
        <v>204</v>
      </c>
      <c r="K181" s="27" t="s">
        <v>245</v>
      </c>
      <c r="L181" s="3" t="str">
        <f aca="false">IF(ISNUMBER(SEARCH(" m",I181)),"Range",IF(I181="offline","Offline",IF(I181="","Unknown","No echo / error")))</f>
        <v>Range</v>
      </c>
      <c r="M181" s="3" t="str">
        <f aca="false">IF(ISNUMBER(SEARCH(" m",J181)),"Range",IF(J181="offline","Offline",IF(J181="","Unknown","No echo / error")))</f>
        <v>No echo / error</v>
      </c>
      <c r="N181" s="3" t="str">
        <f aca="false">IF(ISNUMBER(SEARCH(" m",K181)),"Range",IF(K181="offline","Offline",IF(K181="","Unknown","No echo / error")))</f>
        <v>Range</v>
      </c>
      <c r="O181" s="3" t="str">
        <f aca="false">TEXT(B181,"yyyy-mm-dd")</f>
        <v>2026-10-05</v>
      </c>
    </row>
    <row r="182" customFormat="false" ht="15" hidden="false" customHeight="false" outlineLevel="0" collapsed="false">
      <c r="A182" s="27" t="n">
        <v>4</v>
      </c>
      <c r="B182" s="28" t="n">
        <v>46300.1151620602</v>
      </c>
      <c r="C182" s="29" t="n">
        <f aca="false">IF(A183=A182,B183,INDEX(Rounds!$D:$D,MATCH(A182,Rounds!$A:$A,0)))</f>
        <v>46300.1151888079</v>
      </c>
      <c r="D182" s="30" t="n">
        <f aca="false">(B182-INDEX(Rounds!$C:$C,MATCH(A182,Rounds!$A:$A,0)))*86400</f>
        <v>22.816000389</v>
      </c>
      <c r="E182" s="30" t="n">
        <f aca="false">(C182-INDEX(Rounds!$C:$C,MATCH(A182,Rounds!$A:$A,0)))*86400</f>
        <v>25.126999849</v>
      </c>
      <c r="F182" s="31" t="n">
        <f aca="false">(C182-B182)*86400</f>
        <v>2.310999459</v>
      </c>
      <c r="G182" s="27" t="s">
        <v>150</v>
      </c>
      <c r="H182" s="27" t="s">
        <v>206</v>
      </c>
      <c r="I182" s="27" t="s">
        <v>294</v>
      </c>
      <c r="J182" s="27" t="s">
        <v>281</v>
      </c>
      <c r="K182" s="27" t="s">
        <v>284</v>
      </c>
      <c r="L182" s="3" t="str">
        <f aca="false">IF(ISNUMBER(SEARCH(" m",I182)),"Range",IF(I182="offline","Offline",IF(I182="","Unknown","No echo / error")))</f>
        <v>Range</v>
      </c>
      <c r="M182" s="3" t="str">
        <f aca="false">IF(ISNUMBER(SEARCH(" m",J182)),"Range",IF(J182="offline","Offline",IF(J182="","Unknown","No echo / error")))</f>
        <v>Range</v>
      </c>
      <c r="N182" s="3" t="str">
        <f aca="false">IF(ISNUMBER(SEARCH(" m",K182)),"Range",IF(K182="offline","Offline",IF(K182="","Unknown","No echo / error")))</f>
        <v>Range</v>
      </c>
      <c r="O182" s="3" t="str">
        <f aca="false">TEXT(B182,"yyyy-mm-dd")</f>
        <v>2026-10-05</v>
      </c>
    </row>
    <row r="183" customFormat="false" ht="15" hidden="false" customHeight="false" outlineLevel="0" collapsed="false">
      <c r="A183" s="27" t="n">
        <v>4</v>
      </c>
      <c r="B183" s="28" t="n">
        <v>46300.1151888079</v>
      </c>
      <c r="C183" s="29" t="n">
        <f aca="false">IF(A184=A183,B184,INDEX(Rounds!$D:$D,MATCH(A183,Rounds!$A:$A,0)))</f>
        <v>46300.1151930787</v>
      </c>
      <c r="D183" s="30" t="n">
        <f aca="false">(B183-INDEX(Rounds!$C:$C,MATCH(A183,Rounds!$A:$A,0)))*86400</f>
        <v>25.126999849</v>
      </c>
      <c r="E183" s="30" t="n">
        <f aca="false">(C183-INDEX(Rounds!$C:$C,MATCH(A183,Rounds!$A:$A,0)))*86400</f>
        <v>25.495999935</v>
      </c>
      <c r="F183" s="31" t="n">
        <f aca="false">(C183-B183)*86400</f>
        <v>0.369000085</v>
      </c>
      <c r="G183" s="27" t="s">
        <v>152</v>
      </c>
      <c r="H183" s="27" t="s">
        <v>208</v>
      </c>
      <c r="I183" s="27" t="s">
        <v>204</v>
      </c>
      <c r="J183" s="27" t="s">
        <v>294</v>
      </c>
      <c r="K183" s="27" t="s">
        <v>348</v>
      </c>
      <c r="L183" s="3" t="str">
        <f aca="false">IF(ISNUMBER(SEARCH(" m",I183)),"Range",IF(I183="offline","Offline",IF(I183="","Unknown","No echo / error")))</f>
        <v>No echo / error</v>
      </c>
      <c r="M183" s="3" t="str">
        <f aca="false">IF(ISNUMBER(SEARCH(" m",J183)),"Range",IF(J183="offline","Offline",IF(J183="","Unknown","No echo / error")))</f>
        <v>Range</v>
      </c>
      <c r="N183" s="3" t="str">
        <f aca="false">IF(ISNUMBER(SEARCH(" m",K183)),"Range",IF(K183="offline","Offline",IF(K183="","Unknown","No echo / error")))</f>
        <v>Range</v>
      </c>
      <c r="O183" s="3" t="str">
        <f aca="false">TEXT(B183,"yyyy-mm-dd")</f>
        <v>2026-10-05</v>
      </c>
    </row>
    <row r="184" customFormat="false" ht="15" hidden="false" customHeight="false" outlineLevel="0" collapsed="false">
      <c r="A184" s="27" t="n">
        <v>4</v>
      </c>
      <c r="B184" s="28" t="n">
        <v>46300.1151930787</v>
      </c>
      <c r="C184" s="29" t="n">
        <f aca="false">IF(A185=A184,B185,INDEX(Rounds!$D:$D,MATCH(A184,Rounds!$A:$A,0)))</f>
        <v>46300.1152101505</v>
      </c>
      <c r="D184" s="30" t="n">
        <f aca="false">(B184-INDEX(Rounds!$C:$C,MATCH(A184,Rounds!$A:$A,0)))*86400</f>
        <v>25.495999935</v>
      </c>
      <c r="E184" s="30" t="n">
        <f aca="false">(C184-INDEX(Rounds!$C:$C,MATCH(A184,Rounds!$A:$A,0)))*86400</f>
        <v>26.971000107</v>
      </c>
      <c r="F184" s="31" t="n">
        <f aca="false">(C184-B184)*86400</f>
        <v>1.475000171</v>
      </c>
      <c r="G184" s="27" t="s">
        <v>151</v>
      </c>
      <c r="H184" s="27" t="s">
        <v>203</v>
      </c>
      <c r="I184" s="27" t="s">
        <v>204</v>
      </c>
      <c r="J184" s="27" t="s">
        <v>349</v>
      </c>
      <c r="K184" s="27" t="s">
        <v>348</v>
      </c>
      <c r="L184" s="3" t="str">
        <f aca="false">IF(ISNUMBER(SEARCH(" m",I184)),"Range",IF(I184="offline","Offline",IF(I184="","Unknown","No echo / error")))</f>
        <v>No echo / error</v>
      </c>
      <c r="M184" s="3" t="str">
        <f aca="false">IF(ISNUMBER(SEARCH(" m",J184)),"Range",IF(J184="offline","Offline",IF(J184="","Unknown","No echo / error")))</f>
        <v>Range</v>
      </c>
      <c r="N184" s="3" t="str">
        <f aca="false">IF(ISNUMBER(SEARCH(" m",K184)),"Range",IF(K184="offline","Offline",IF(K184="","Unknown","No echo / error")))</f>
        <v>Range</v>
      </c>
      <c r="O184" s="3" t="str">
        <f aca="false">TEXT(B184,"yyyy-mm-dd")</f>
        <v>2026-10-05</v>
      </c>
    </row>
    <row r="185" customFormat="false" ht="15" hidden="false" customHeight="false" outlineLevel="0" collapsed="false">
      <c r="A185" s="27" t="n">
        <v>4</v>
      </c>
      <c r="B185" s="28" t="n">
        <v>46300.1152101505</v>
      </c>
      <c r="C185" s="29" t="n">
        <f aca="false">IF(A186=A185,B186,INDEX(Rounds!$D:$D,MATCH(A185,Rounds!$A:$A,0)))</f>
        <v>46300.115233588</v>
      </c>
      <c r="D185" s="30" t="n">
        <f aca="false">(B185-INDEX(Rounds!$C:$C,MATCH(A185,Rounds!$A:$A,0)))*86400</f>
        <v>26.971000107</v>
      </c>
      <c r="E185" s="30" t="n">
        <f aca="false">(C185-INDEX(Rounds!$C:$C,MATCH(A185,Rounds!$A:$A,0)))*86400</f>
        <v>28.99599981</v>
      </c>
      <c r="F185" s="31" t="n">
        <f aca="false">(C185-B185)*86400</f>
        <v>2.024999703</v>
      </c>
      <c r="G185" s="27" t="s">
        <v>152</v>
      </c>
      <c r="H185" s="27" t="s">
        <v>208</v>
      </c>
      <c r="I185" s="27" t="s">
        <v>311</v>
      </c>
      <c r="J185" s="27" t="s">
        <v>350</v>
      </c>
      <c r="K185" s="27" t="s">
        <v>204</v>
      </c>
      <c r="L185" s="3" t="str">
        <f aca="false">IF(ISNUMBER(SEARCH(" m",I185)),"Range",IF(I185="offline","Offline",IF(I185="","Unknown","No echo / error")))</f>
        <v>Range</v>
      </c>
      <c r="M185" s="3" t="str">
        <f aca="false">IF(ISNUMBER(SEARCH(" m",J185)),"Range",IF(J185="offline","Offline",IF(J185="","Unknown","No echo / error")))</f>
        <v>Range</v>
      </c>
      <c r="N185" s="3" t="str">
        <f aca="false">IF(ISNUMBER(SEARCH(" m",K185)),"Range",IF(K185="offline","Offline",IF(K185="","Unknown","No echo / error")))</f>
        <v>No echo / error</v>
      </c>
      <c r="O185" s="3" t="str">
        <f aca="false">TEXT(B185,"yyyy-mm-dd")</f>
        <v>2026-10-05</v>
      </c>
    </row>
    <row r="186" customFormat="false" ht="15" hidden="false" customHeight="false" outlineLevel="0" collapsed="false">
      <c r="A186" s="27" t="n">
        <v>4</v>
      </c>
      <c r="B186" s="28" t="n">
        <v>46300.115233588</v>
      </c>
      <c r="C186" s="29" t="n">
        <f aca="false">IF(A187=A186,B187,INDEX(Rounds!$D:$D,MATCH(A186,Rounds!$A:$A,0)))</f>
        <v>46300.1152442477</v>
      </c>
      <c r="D186" s="30" t="n">
        <f aca="false">(B186-INDEX(Rounds!$C:$C,MATCH(A186,Rounds!$A:$A,0)))*86400</f>
        <v>28.99599981</v>
      </c>
      <c r="E186" s="30" t="n">
        <f aca="false">(C186-INDEX(Rounds!$C:$C,MATCH(A186,Rounds!$A:$A,0)))*86400</f>
        <v>29.917000397</v>
      </c>
      <c r="F186" s="31" t="n">
        <f aca="false">(C186-B186)*86400</f>
        <v>0.921000586</v>
      </c>
      <c r="G186" s="27" t="s">
        <v>151</v>
      </c>
      <c r="H186" s="27" t="s">
        <v>203</v>
      </c>
      <c r="I186" s="27" t="s">
        <v>311</v>
      </c>
      <c r="J186" s="27" t="s">
        <v>351</v>
      </c>
      <c r="K186" s="27" t="s">
        <v>204</v>
      </c>
      <c r="L186" s="3" t="str">
        <f aca="false">IF(ISNUMBER(SEARCH(" m",I186)),"Range",IF(I186="offline","Offline",IF(I186="","Unknown","No echo / error")))</f>
        <v>Range</v>
      </c>
      <c r="M186" s="3" t="str">
        <f aca="false">IF(ISNUMBER(SEARCH(" m",J186)),"Range",IF(J186="offline","Offline",IF(J186="","Unknown","No echo / error")))</f>
        <v>Range</v>
      </c>
      <c r="N186" s="3" t="str">
        <f aca="false">IF(ISNUMBER(SEARCH(" m",K186)),"Range",IF(K186="offline","Offline",IF(K186="","Unknown","No echo / error")))</f>
        <v>No echo / error</v>
      </c>
      <c r="O186" s="3" t="str">
        <f aca="false">TEXT(B186,"yyyy-mm-dd")</f>
        <v>2026-10-05</v>
      </c>
    </row>
    <row r="187" customFormat="false" ht="15" hidden="false" customHeight="false" outlineLevel="0" collapsed="false">
      <c r="A187" s="27" t="n">
        <v>4</v>
      </c>
      <c r="B187" s="28" t="n">
        <v>46300.1152442477</v>
      </c>
      <c r="C187" s="29" t="n">
        <f aca="false">IF(A188=A187,B188,INDEX(Rounds!$D:$D,MATCH(A187,Rounds!$A:$A,0)))</f>
        <v>46300.1152492593</v>
      </c>
      <c r="D187" s="30" t="n">
        <f aca="false">(B187-INDEX(Rounds!$C:$C,MATCH(A187,Rounds!$A:$A,0)))*86400</f>
        <v>29.917000397</v>
      </c>
      <c r="E187" s="30" t="n">
        <f aca="false">(C187-INDEX(Rounds!$C:$C,MATCH(A187,Rounds!$A:$A,0)))*86400</f>
        <v>30.350000085</v>
      </c>
      <c r="F187" s="31" t="n">
        <f aca="false">(C187-B187)*86400</f>
        <v>0.432999688</v>
      </c>
      <c r="G187" s="27" t="s">
        <v>152</v>
      </c>
      <c r="H187" s="27" t="s">
        <v>208</v>
      </c>
      <c r="I187" s="27" t="s">
        <v>211</v>
      </c>
      <c r="J187" s="27" t="s">
        <v>351</v>
      </c>
      <c r="K187" s="27" t="s">
        <v>341</v>
      </c>
      <c r="L187" s="3" t="str">
        <f aca="false">IF(ISNUMBER(SEARCH(" m",I187)),"Range",IF(I187="offline","Offline",IF(I187="","Unknown","No echo / error")))</f>
        <v>No echo / error</v>
      </c>
      <c r="M187" s="3" t="str">
        <f aca="false">IF(ISNUMBER(SEARCH(" m",J187)),"Range",IF(J187="offline","Offline",IF(J187="","Unknown","No echo / error")))</f>
        <v>Range</v>
      </c>
      <c r="N187" s="3" t="str">
        <f aca="false">IF(ISNUMBER(SEARCH(" m",K187)),"Range",IF(K187="offline","Offline",IF(K187="","Unknown","No echo / error")))</f>
        <v>Range</v>
      </c>
      <c r="O187" s="3" t="str">
        <f aca="false">TEXT(B187,"yyyy-mm-dd")</f>
        <v>2026-10-05</v>
      </c>
    </row>
    <row r="188" customFormat="false" ht="15" hidden="false" customHeight="false" outlineLevel="0" collapsed="false">
      <c r="A188" s="27" t="n">
        <v>4</v>
      </c>
      <c r="B188" s="28" t="n">
        <v>46300.1152492593</v>
      </c>
      <c r="C188" s="29" t="n">
        <f aca="false">IF(A189=A188,B189,INDEX(Rounds!$D:$D,MATCH(A188,Rounds!$A:$A,0)))</f>
        <v>46300.115254838</v>
      </c>
      <c r="D188" s="30" t="n">
        <f aca="false">(B188-INDEX(Rounds!$C:$C,MATCH(A188,Rounds!$A:$A,0)))*86400</f>
        <v>30.350000085</v>
      </c>
      <c r="E188" s="30" t="n">
        <f aca="false">(C188-INDEX(Rounds!$C:$C,MATCH(A188,Rounds!$A:$A,0)))*86400</f>
        <v>30.83199996</v>
      </c>
      <c r="F188" s="31" t="n">
        <f aca="false">(C188-B188)*86400</f>
        <v>0.481999875</v>
      </c>
      <c r="G188" s="27" t="s">
        <v>151</v>
      </c>
      <c r="H188" s="27" t="s">
        <v>203</v>
      </c>
      <c r="I188" s="27" t="s">
        <v>211</v>
      </c>
      <c r="J188" s="27" t="s">
        <v>351</v>
      </c>
      <c r="K188" s="27" t="s">
        <v>341</v>
      </c>
      <c r="L188" s="3" t="str">
        <f aca="false">IF(ISNUMBER(SEARCH(" m",I188)),"Range",IF(I188="offline","Offline",IF(I188="","Unknown","No echo / error")))</f>
        <v>No echo / error</v>
      </c>
      <c r="M188" s="3" t="str">
        <f aca="false">IF(ISNUMBER(SEARCH(" m",J188)),"Range",IF(J188="offline","Offline",IF(J188="","Unknown","No echo / error")))</f>
        <v>Range</v>
      </c>
      <c r="N188" s="3" t="str">
        <f aca="false">IF(ISNUMBER(SEARCH(" m",K188)),"Range",IF(K188="offline","Offline",IF(K188="","Unknown","No echo / error")))</f>
        <v>Range</v>
      </c>
      <c r="O188" s="3" t="str">
        <f aca="false">TEXT(B188,"yyyy-mm-dd")</f>
        <v>2026-10-05</v>
      </c>
    </row>
    <row r="189" customFormat="false" ht="15" hidden="false" customHeight="false" outlineLevel="0" collapsed="false">
      <c r="A189" s="27" t="n">
        <v>4</v>
      </c>
      <c r="B189" s="28" t="n">
        <v>46300.115254838</v>
      </c>
      <c r="C189" s="29" t="n">
        <f aca="false">IF(A190=A189,B190,INDEX(Rounds!$D:$D,MATCH(A189,Rounds!$A:$A,0)))</f>
        <v>46300.1152645139</v>
      </c>
      <c r="D189" s="30" t="n">
        <f aca="false">(B189-INDEX(Rounds!$C:$C,MATCH(A189,Rounds!$A:$A,0)))*86400</f>
        <v>30.83199996</v>
      </c>
      <c r="E189" s="30" t="n">
        <f aca="false">(C189-INDEX(Rounds!$C:$C,MATCH(A189,Rounds!$A:$A,0)))*86400</f>
        <v>31.668000505</v>
      </c>
      <c r="F189" s="31" t="n">
        <f aca="false">(C189-B189)*86400</f>
        <v>0.836000544</v>
      </c>
      <c r="G189" s="27" t="s">
        <v>150</v>
      </c>
      <c r="H189" s="27" t="s">
        <v>206</v>
      </c>
      <c r="I189" s="27" t="s">
        <v>204</v>
      </c>
      <c r="J189" s="27" t="s">
        <v>233</v>
      </c>
      <c r="K189" s="27" t="s">
        <v>352</v>
      </c>
      <c r="L189" s="3" t="str">
        <f aca="false">IF(ISNUMBER(SEARCH(" m",I189)),"Range",IF(I189="offline","Offline",IF(I189="","Unknown","No echo / error")))</f>
        <v>No echo / error</v>
      </c>
      <c r="M189" s="3" t="str">
        <f aca="false">IF(ISNUMBER(SEARCH(" m",J189)),"Range",IF(J189="offline","Offline",IF(J189="","Unknown","No echo / error")))</f>
        <v>Range</v>
      </c>
      <c r="N189" s="3" t="str">
        <f aca="false">IF(ISNUMBER(SEARCH(" m",K189)),"Range",IF(K189="offline","Offline",IF(K189="","Unknown","No echo / error")))</f>
        <v>Range</v>
      </c>
      <c r="O189" s="3" t="str">
        <f aca="false">TEXT(B189,"yyyy-mm-dd")</f>
        <v>2026-10-05</v>
      </c>
    </row>
    <row r="190" customFormat="false" ht="15" hidden="false" customHeight="false" outlineLevel="0" collapsed="false">
      <c r="A190" s="27" t="n">
        <v>4</v>
      </c>
      <c r="B190" s="28" t="n">
        <v>46300.1152645139</v>
      </c>
      <c r="C190" s="29" t="n">
        <f aca="false">IF(A191=A190,B191,INDEX(Rounds!$D:$D,MATCH(A190,Rounds!$A:$A,0)))</f>
        <v>46300.1152672917</v>
      </c>
      <c r="D190" s="30" t="n">
        <f aca="false">(B190-INDEX(Rounds!$C:$C,MATCH(A190,Rounds!$A:$A,0)))*86400</f>
        <v>31.668000505</v>
      </c>
      <c r="E190" s="30" t="n">
        <f aca="false">(C190-INDEX(Rounds!$C:$C,MATCH(A190,Rounds!$A:$A,0)))*86400</f>
        <v>31.908000586</v>
      </c>
      <c r="F190" s="31" t="n">
        <f aca="false">(C190-B190)*86400</f>
        <v>0.240000081</v>
      </c>
      <c r="G190" s="27" t="s">
        <v>152</v>
      </c>
      <c r="H190" s="27" t="s">
        <v>208</v>
      </c>
      <c r="I190" s="27" t="s">
        <v>325</v>
      </c>
      <c r="J190" s="27" t="s">
        <v>233</v>
      </c>
      <c r="K190" s="27" t="s">
        <v>204</v>
      </c>
      <c r="L190" s="3" t="str">
        <f aca="false">IF(ISNUMBER(SEARCH(" m",I190)),"Range",IF(I190="offline","Offline",IF(I190="","Unknown","No echo / error")))</f>
        <v>Range</v>
      </c>
      <c r="M190" s="3" t="str">
        <f aca="false">IF(ISNUMBER(SEARCH(" m",J190)),"Range",IF(J190="offline","Offline",IF(J190="","Unknown","No echo / error")))</f>
        <v>Range</v>
      </c>
      <c r="N190" s="3" t="str">
        <f aca="false">IF(ISNUMBER(SEARCH(" m",K190)),"Range",IF(K190="offline","Offline",IF(K190="","Unknown","No echo / error")))</f>
        <v>No echo / error</v>
      </c>
      <c r="O190" s="3" t="str">
        <f aca="false">TEXT(B190,"yyyy-mm-dd")</f>
        <v>2026-10-05</v>
      </c>
    </row>
    <row r="191" customFormat="false" ht="15" hidden="false" customHeight="false" outlineLevel="0" collapsed="false">
      <c r="A191" s="27" t="n">
        <v>4</v>
      </c>
      <c r="B191" s="28" t="n">
        <v>46300.1152672917</v>
      </c>
      <c r="C191" s="29" t="n">
        <f aca="false">IF(A192=A191,B192,INDEX(Rounds!$D:$D,MATCH(A191,Rounds!$A:$A,0)))</f>
        <v>46300.1152721296</v>
      </c>
      <c r="D191" s="30" t="n">
        <f aca="false">(B191-INDEX(Rounds!$C:$C,MATCH(A191,Rounds!$A:$A,0)))*86400</f>
        <v>31.908000586</v>
      </c>
      <c r="E191" s="30" t="n">
        <f aca="false">(C191-INDEX(Rounds!$C:$C,MATCH(A191,Rounds!$A:$A,0)))*86400</f>
        <v>32.32600023</v>
      </c>
      <c r="F191" s="31" t="n">
        <f aca="false">(C191-B191)*86400</f>
        <v>0.417999643</v>
      </c>
      <c r="G191" s="27" t="s">
        <v>151</v>
      </c>
      <c r="H191" s="27" t="s">
        <v>203</v>
      </c>
      <c r="I191" s="27" t="s">
        <v>232</v>
      </c>
      <c r="J191" s="27" t="s">
        <v>353</v>
      </c>
      <c r="K191" s="27" t="s">
        <v>352</v>
      </c>
      <c r="L191" s="3" t="str">
        <f aca="false">IF(ISNUMBER(SEARCH(" m",I191)),"Range",IF(I191="offline","Offline",IF(I191="","Unknown","No echo / error")))</f>
        <v>Range</v>
      </c>
      <c r="M191" s="3" t="str">
        <f aca="false">IF(ISNUMBER(SEARCH(" m",J191)),"Range",IF(J191="offline","Offline",IF(J191="","Unknown","No echo / error")))</f>
        <v>Range</v>
      </c>
      <c r="N191" s="3" t="str">
        <f aca="false">IF(ISNUMBER(SEARCH(" m",K191)),"Range",IF(K191="offline","Offline",IF(K191="","Unknown","No echo / error")))</f>
        <v>Range</v>
      </c>
      <c r="O191" s="3" t="str">
        <f aca="false">TEXT(B191,"yyyy-mm-dd")</f>
        <v>2026-10-05</v>
      </c>
    </row>
    <row r="192" customFormat="false" ht="15" hidden="false" customHeight="false" outlineLevel="0" collapsed="false">
      <c r="A192" s="27" t="n">
        <v>4</v>
      </c>
      <c r="B192" s="28" t="n">
        <v>46300.1152721296</v>
      </c>
      <c r="C192" s="29" t="n">
        <f aca="false">IF(A193=A192,B193,INDEX(Rounds!$D:$D,MATCH(A192,Rounds!$A:$A,0)))</f>
        <v>46300.1153705671</v>
      </c>
      <c r="D192" s="30" t="n">
        <f aca="false">(B192-INDEX(Rounds!$C:$C,MATCH(A192,Rounds!$A:$A,0)))*86400</f>
        <v>32.32600023</v>
      </c>
      <c r="E192" s="30" t="n">
        <f aca="false">(C192-INDEX(Rounds!$C:$C,MATCH(A192,Rounds!$A:$A,0)))*86400</f>
        <v>40.831000241</v>
      </c>
      <c r="F192" s="31" t="n">
        <f aca="false">(C192-B192)*86400</f>
        <v>8.505000011</v>
      </c>
      <c r="G192" s="27" t="s">
        <v>150</v>
      </c>
      <c r="H192" s="27" t="s">
        <v>206</v>
      </c>
      <c r="I192" s="27" t="s">
        <v>274</v>
      </c>
      <c r="J192" s="27" t="s">
        <v>240</v>
      </c>
      <c r="K192" s="27" t="s">
        <v>341</v>
      </c>
      <c r="L192" s="3" t="str">
        <f aca="false">IF(ISNUMBER(SEARCH(" m",I192)),"Range",IF(I192="offline","Offline",IF(I192="","Unknown","No echo / error")))</f>
        <v>Range</v>
      </c>
      <c r="M192" s="3" t="str">
        <f aca="false">IF(ISNUMBER(SEARCH(" m",J192)),"Range",IF(J192="offline","Offline",IF(J192="","Unknown","No echo / error")))</f>
        <v>Range</v>
      </c>
      <c r="N192" s="3" t="str">
        <f aca="false">IF(ISNUMBER(SEARCH(" m",K192)),"Range",IF(K192="offline","Offline",IF(K192="","Unknown","No echo / error")))</f>
        <v>Range</v>
      </c>
      <c r="O192" s="3" t="str">
        <f aca="false">TEXT(B192,"yyyy-mm-dd")</f>
        <v>2026-10-05</v>
      </c>
    </row>
    <row r="193" customFormat="false" ht="15" hidden="false" customHeight="false" outlineLevel="0" collapsed="false">
      <c r="A193" s="27" t="n">
        <v>4</v>
      </c>
      <c r="B193" s="28" t="n">
        <v>46300.1153705671</v>
      </c>
      <c r="C193" s="29" t="n">
        <f aca="false">IF(A194=A193,B194,INDEX(Rounds!$D:$D,MATCH(A193,Rounds!$A:$A,0)))</f>
        <v>46300.115371875</v>
      </c>
      <c r="D193" s="30" t="n">
        <f aca="false">(B193-INDEX(Rounds!$C:$C,MATCH(A193,Rounds!$A:$A,0)))*86400</f>
        <v>40.831000241</v>
      </c>
      <c r="E193" s="30" t="n">
        <f aca="false">(C193-INDEX(Rounds!$C:$C,MATCH(A193,Rounds!$A:$A,0)))*86400</f>
        <v>40.94400003</v>
      </c>
      <c r="F193" s="31" t="n">
        <f aca="false">(C193-B193)*86400</f>
        <v>0.112999789</v>
      </c>
      <c r="G193" s="27" t="s">
        <v>151</v>
      </c>
      <c r="H193" s="27" t="s">
        <v>203</v>
      </c>
      <c r="I193" s="27" t="s">
        <v>266</v>
      </c>
      <c r="J193" s="27" t="s">
        <v>284</v>
      </c>
      <c r="K193" s="27" t="s">
        <v>354</v>
      </c>
      <c r="L193" s="3" t="str">
        <f aca="false">IF(ISNUMBER(SEARCH(" m",I193)),"Range",IF(I193="offline","Offline",IF(I193="","Unknown","No echo / error")))</f>
        <v>Range</v>
      </c>
      <c r="M193" s="3" t="str">
        <f aca="false">IF(ISNUMBER(SEARCH(" m",J193)),"Range",IF(J193="offline","Offline",IF(J193="","Unknown","No echo / error")))</f>
        <v>Range</v>
      </c>
      <c r="N193" s="3" t="str">
        <f aca="false">IF(ISNUMBER(SEARCH(" m",K193)),"Range",IF(K193="offline","Offline",IF(K193="","Unknown","No echo / error")))</f>
        <v>Range</v>
      </c>
      <c r="O193" s="3" t="str">
        <f aca="false">TEXT(B193,"yyyy-mm-dd")</f>
        <v>2026-10-05</v>
      </c>
    </row>
    <row r="194" customFormat="false" ht="15" hidden="false" customHeight="false" outlineLevel="0" collapsed="false">
      <c r="A194" s="27" t="n">
        <v>4</v>
      </c>
      <c r="B194" s="28" t="n">
        <v>46300.115371875</v>
      </c>
      <c r="C194" s="29" t="n">
        <f aca="false">IF(A195=A194,B195,INDEX(Rounds!$D:$D,MATCH(A194,Rounds!$A:$A,0)))</f>
        <v>46300.1153812037</v>
      </c>
      <c r="D194" s="30" t="n">
        <f aca="false">(B194-INDEX(Rounds!$C:$C,MATCH(A194,Rounds!$A:$A,0)))*86400</f>
        <v>40.94400003</v>
      </c>
      <c r="E194" s="30" t="n">
        <f aca="false">(C194-INDEX(Rounds!$C:$C,MATCH(A194,Rounds!$A:$A,0)))*86400</f>
        <v>41.749999858</v>
      </c>
      <c r="F194" s="31" t="n">
        <f aca="false">(C194-B194)*86400</f>
        <v>0.805999827</v>
      </c>
      <c r="G194" s="27" t="s">
        <v>150</v>
      </c>
      <c r="H194" s="27" t="s">
        <v>206</v>
      </c>
      <c r="I194" s="27" t="s">
        <v>266</v>
      </c>
      <c r="J194" s="27" t="s">
        <v>284</v>
      </c>
      <c r="K194" s="27" t="s">
        <v>264</v>
      </c>
      <c r="L194" s="3" t="str">
        <f aca="false">IF(ISNUMBER(SEARCH(" m",I194)),"Range",IF(I194="offline","Offline",IF(I194="","Unknown","No echo / error")))</f>
        <v>Range</v>
      </c>
      <c r="M194" s="3" t="str">
        <f aca="false">IF(ISNUMBER(SEARCH(" m",J194)),"Range",IF(J194="offline","Offline",IF(J194="","Unknown","No echo / error")))</f>
        <v>Range</v>
      </c>
      <c r="N194" s="3" t="str">
        <f aca="false">IF(ISNUMBER(SEARCH(" m",K194)),"Range",IF(K194="offline","Offline",IF(K194="","Unknown","No echo / error")))</f>
        <v>Range</v>
      </c>
      <c r="O194" s="3" t="str">
        <f aca="false">TEXT(B194,"yyyy-mm-dd")</f>
        <v>2026-10-05</v>
      </c>
    </row>
    <row r="195" customFormat="false" ht="15" hidden="false" customHeight="false" outlineLevel="0" collapsed="false">
      <c r="A195" s="27" t="n">
        <v>4</v>
      </c>
      <c r="B195" s="28" t="n">
        <v>46300.1153812037</v>
      </c>
      <c r="C195" s="29" t="n">
        <f aca="false">IF(A196=A195,B196,INDEX(Rounds!$D:$D,MATCH(A195,Rounds!$A:$A,0)))</f>
        <v>46300.1153828704</v>
      </c>
      <c r="D195" s="30" t="n">
        <f aca="false">(B195-INDEX(Rounds!$C:$C,MATCH(A195,Rounds!$A:$A,0)))*86400</f>
        <v>41.749999858</v>
      </c>
      <c r="E195" s="30" t="n">
        <f aca="false">(C195-INDEX(Rounds!$C:$C,MATCH(A195,Rounds!$A:$A,0)))*86400</f>
        <v>41.893999907</v>
      </c>
      <c r="F195" s="31" t="n">
        <f aca="false">(C195-B195)*86400</f>
        <v>0.144000048</v>
      </c>
      <c r="G195" s="27" t="s">
        <v>152</v>
      </c>
      <c r="H195" s="27" t="s">
        <v>208</v>
      </c>
      <c r="I195" s="27" t="s">
        <v>355</v>
      </c>
      <c r="J195" s="27" t="s">
        <v>292</v>
      </c>
      <c r="K195" s="27" t="s">
        <v>209</v>
      </c>
      <c r="L195" s="3" t="str">
        <f aca="false">IF(ISNUMBER(SEARCH(" m",I195)),"Range",IF(I195="offline","Offline",IF(I195="","Unknown","No echo / error")))</f>
        <v>Range</v>
      </c>
      <c r="M195" s="3" t="str">
        <f aca="false">IF(ISNUMBER(SEARCH(" m",J195)),"Range",IF(J195="offline","Offline",IF(J195="","Unknown","No echo / error")))</f>
        <v>Range</v>
      </c>
      <c r="N195" s="3" t="str">
        <f aca="false">IF(ISNUMBER(SEARCH(" m",K195)),"Range",IF(K195="offline","Offline",IF(K195="","Unknown","No echo / error")))</f>
        <v>Range</v>
      </c>
      <c r="O195" s="3" t="str">
        <f aca="false">TEXT(B195,"yyyy-mm-dd")</f>
        <v>2026-10-05</v>
      </c>
    </row>
    <row r="196" customFormat="false" ht="15" hidden="false" customHeight="false" outlineLevel="0" collapsed="false">
      <c r="A196" s="27" t="n">
        <v>4</v>
      </c>
      <c r="B196" s="28" t="n">
        <v>46300.1153828704</v>
      </c>
      <c r="C196" s="29" t="n">
        <f aca="false">IF(A197=A196,B197,INDEX(Rounds!$D:$D,MATCH(A196,Rounds!$A:$A,0)))</f>
        <v>46300.1153843634</v>
      </c>
      <c r="D196" s="30" t="n">
        <f aca="false">(B196-INDEX(Rounds!$C:$C,MATCH(A196,Rounds!$A:$A,0)))*86400</f>
        <v>41.893999907</v>
      </c>
      <c r="E196" s="30" t="n">
        <f aca="false">(C196-INDEX(Rounds!$C:$C,MATCH(A196,Rounds!$A:$A,0)))*86400</f>
        <v>42.022999282</v>
      </c>
      <c r="F196" s="31" t="n">
        <f aca="false">(C196-B196)*86400</f>
        <v>0.128999375</v>
      </c>
      <c r="G196" s="27" t="s">
        <v>151</v>
      </c>
      <c r="H196" s="27" t="s">
        <v>203</v>
      </c>
      <c r="I196" s="27" t="s">
        <v>355</v>
      </c>
      <c r="J196" s="27" t="s">
        <v>344</v>
      </c>
      <c r="K196" s="27" t="s">
        <v>217</v>
      </c>
      <c r="L196" s="3" t="str">
        <f aca="false">IF(ISNUMBER(SEARCH(" m",I196)),"Range",IF(I196="offline","Offline",IF(I196="","Unknown","No echo / error")))</f>
        <v>Range</v>
      </c>
      <c r="M196" s="3" t="str">
        <f aca="false">IF(ISNUMBER(SEARCH(" m",J196)),"Range",IF(J196="offline","Offline",IF(J196="","Unknown","No echo / error")))</f>
        <v>Range</v>
      </c>
      <c r="N196" s="3" t="str">
        <f aca="false">IF(ISNUMBER(SEARCH(" m",K196)),"Range",IF(K196="offline","Offline",IF(K196="","Unknown","No echo / error")))</f>
        <v>Range</v>
      </c>
      <c r="O196" s="3" t="str">
        <f aca="false">TEXT(B196,"yyyy-mm-dd")</f>
        <v>2026-10-05</v>
      </c>
    </row>
    <row r="197" customFormat="false" ht="15" hidden="false" customHeight="false" outlineLevel="0" collapsed="false">
      <c r="A197" s="27" t="n">
        <v>4</v>
      </c>
      <c r="B197" s="28" t="n">
        <v>46300.1153843634</v>
      </c>
      <c r="C197" s="29" t="n">
        <f aca="false">IF(A198=A197,B198,INDEX(Rounds!$D:$D,MATCH(A197,Rounds!$A:$A,0)))</f>
        <v>46300.1153936806</v>
      </c>
      <c r="D197" s="30" t="n">
        <f aca="false">(B197-INDEX(Rounds!$C:$C,MATCH(A197,Rounds!$A:$A,0)))*86400</f>
        <v>42.022999282</v>
      </c>
      <c r="E197" s="30" t="n">
        <f aca="false">(C197-INDEX(Rounds!$C:$C,MATCH(A197,Rounds!$A:$A,0)))*86400</f>
        <v>42.828000197</v>
      </c>
      <c r="F197" s="31" t="n">
        <f aca="false">(C197-B197)*86400</f>
        <v>0.805000914</v>
      </c>
      <c r="G197" s="27" t="s">
        <v>150</v>
      </c>
      <c r="H197" s="27" t="s">
        <v>206</v>
      </c>
      <c r="I197" s="27" t="s">
        <v>266</v>
      </c>
      <c r="J197" s="27" t="s">
        <v>344</v>
      </c>
      <c r="K197" s="27" t="s">
        <v>217</v>
      </c>
      <c r="L197" s="3" t="str">
        <f aca="false">IF(ISNUMBER(SEARCH(" m",I197)),"Range",IF(I197="offline","Offline",IF(I197="","Unknown","No echo / error")))</f>
        <v>Range</v>
      </c>
      <c r="M197" s="3" t="str">
        <f aca="false">IF(ISNUMBER(SEARCH(" m",J197)),"Range",IF(J197="offline","Offline",IF(J197="","Unknown","No echo / error")))</f>
        <v>Range</v>
      </c>
      <c r="N197" s="3" t="str">
        <f aca="false">IF(ISNUMBER(SEARCH(" m",K197)),"Range",IF(K197="offline","Offline",IF(K197="","Unknown","No echo / error")))</f>
        <v>Range</v>
      </c>
      <c r="O197" s="3" t="str">
        <f aca="false">TEXT(B197,"yyyy-mm-dd")</f>
        <v>2026-10-05</v>
      </c>
    </row>
    <row r="198" customFormat="false" ht="15" hidden="false" customHeight="false" outlineLevel="0" collapsed="false">
      <c r="A198" s="27" t="n">
        <v>4</v>
      </c>
      <c r="B198" s="28" t="n">
        <v>46300.1153936806</v>
      </c>
      <c r="C198" s="29" t="n">
        <f aca="false">IF(A199=A198,B199,INDEX(Rounds!$D:$D,MATCH(A198,Rounds!$A:$A,0)))</f>
        <v>46300.1153944213</v>
      </c>
      <c r="D198" s="30" t="n">
        <f aca="false">(B198-INDEX(Rounds!$C:$C,MATCH(A198,Rounds!$A:$A,0)))*86400</f>
        <v>42.828000197</v>
      </c>
      <c r="E198" s="30" t="n">
        <f aca="false">(C198-INDEX(Rounds!$C:$C,MATCH(A198,Rounds!$A:$A,0)))*86400</f>
        <v>42.891999799</v>
      </c>
      <c r="F198" s="31" t="n">
        <f aca="false">(C198-B198)*86400</f>
        <v>0.063999602</v>
      </c>
      <c r="G198" s="27" t="s">
        <v>152</v>
      </c>
      <c r="H198" s="27" t="s">
        <v>208</v>
      </c>
      <c r="I198" s="27" t="s">
        <v>266</v>
      </c>
      <c r="J198" s="27" t="s">
        <v>213</v>
      </c>
      <c r="K198" s="27" t="s">
        <v>302</v>
      </c>
      <c r="L198" s="3" t="str">
        <f aca="false">IF(ISNUMBER(SEARCH(" m",I198)),"Range",IF(I198="offline","Offline",IF(I198="","Unknown","No echo / error")))</f>
        <v>Range</v>
      </c>
      <c r="M198" s="3" t="str">
        <f aca="false">IF(ISNUMBER(SEARCH(" m",J198)),"Range",IF(J198="offline","Offline",IF(J198="","Unknown","No echo / error")))</f>
        <v>Range</v>
      </c>
      <c r="N198" s="3" t="str">
        <f aca="false">IF(ISNUMBER(SEARCH(" m",K198)),"Range",IF(K198="offline","Offline",IF(K198="","Unknown","No echo / error")))</f>
        <v>Range</v>
      </c>
      <c r="O198" s="3" t="str">
        <f aca="false">TEXT(B198,"yyyy-mm-dd")</f>
        <v>2026-10-05</v>
      </c>
    </row>
    <row r="199" customFormat="false" ht="15" hidden="false" customHeight="false" outlineLevel="0" collapsed="false">
      <c r="A199" s="27" t="n">
        <v>4</v>
      </c>
      <c r="B199" s="28" t="n">
        <v>46300.1153944213</v>
      </c>
      <c r="C199" s="29" t="n">
        <f aca="false">IF(A200=A199,B200,INDEX(Rounds!$D:$D,MATCH(A199,Rounds!$A:$A,0)))</f>
        <v>46300.1153944213</v>
      </c>
      <c r="D199" s="30" t="n">
        <f aca="false">(B199-INDEX(Rounds!$C:$C,MATCH(A199,Rounds!$A:$A,0)))*86400</f>
        <v>42.891999799</v>
      </c>
      <c r="E199" s="30" t="n">
        <f aca="false">(C199-INDEX(Rounds!$C:$C,MATCH(A199,Rounds!$A:$A,0)))*86400</f>
        <v>42.891999799</v>
      </c>
      <c r="F199" s="31" t="n">
        <f aca="false">(C199-B199)*86400</f>
        <v>0</v>
      </c>
      <c r="G199" s="27" t="s">
        <v>154</v>
      </c>
      <c r="H199" s="27" t="s">
        <v>208</v>
      </c>
      <c r="I199" s="27" t="s">
        <v>266</v>
      </c>
      <c r="J199" s="27" t="s">
        <v>213</v>
      </c>
      <c r="K199" s="27" t="s">
        <v>302</v>
      </c>
      <c r="L199" s="3" t="str">
        <f aca="false">IF(ISNUMBER(SEARCH(" m",I199)),"Range",IF(I199="offline","Offline",IF(I199="","Unknown","No echo / error")))</f>
        <v>Range</v>
      </c>
      <c r="M199" s="3" t="str">
        <f aca="false">IF(ISNUMBER(SEARCH(" m",J199)),"Range",IF(J199="offline","Offline",IF(J199="","Unknown","No echo / error")))</f>
        <v>Range</v>
      </c>
      <c r="N199" s="3" t="str">
        <f aca="false">IF(ISNUMBER(SEARCH(" m",K199)),"Range",IF(K199="offline","Offline",IF(K199="","Unknown","No echo / error")))</f>
        <v>Range</v>
      </c>
      <c r="O199" s="3" t="str">
        <f aca="false">TEXT(B199,"yyyy-mm-dd")</f>
        <v>2026-10-05</v>
      </c>
    </row>
    <row r="200" customFormat="false" ht="15" hidden="false" customHeight="false" outlineLevel="0" collapsed="false">
      <c r="A200" s="27" t="n">
        <v>4</v>
      </c>
      <c r="B200" s="28" t="n">
        <v>46300.1153944213</v>
      </c>
      <c r="C200" s="29" t="n">
        <f aca="false">IF(A201=A200,B201,INDEX(Rounds!$D:$D,MATCH(A200,Rounds!$A:$A,0)))</f>
        <v>46300.1154612616</v>
      </c>
      <c r="D200" s="30" t="n">
        <f aca="false">(B200-INDEX(Rounds!$C:$C,MATCH(A200,Rounds!$A:$A,0)))*86400</f>
        <v>42.891999799</v>
      </c>
      <c r="E200" s="30" t="n">
        <f aca="false">(C200-INDEX(Rounds!$C:$C,MATCH(A200,Rounds!$A:$A,0)))*86400</f>
        <v>48.666999908</v>
      </c>
      <c r="F200" s="31" t="n">
        <f aca="false">(C200-B200)*86400</f>
        <v>5.775000108</v>
      </c>
      <c r="G200" s="27" t="s">
        <v>154</v>
      </c>
      <c r="H200" s="27" t="s">
        <v>356</v>
      </c>
      <c r="I200" s="27" t="s">
        <v>266</v>
      </c>
      <c r="J200" s="27" t="s">
        <v>213</v>
      </c>
      <c r="K200" s="27" t="s">
        <v>302</v>
      </c>
      <c r="L200" s="3" t="str">
        <f aca="false">IF(ISNUMBER(SEARCH(" m",I200)),"Range",IF(I200="offline","Offline",IF(I200="","Unknown","No echo / error")))</f>
        <v>Range</v>
      </c>
      <c r="M200" s="3" t="str">
        <f aca="false">IF(ISNUMBER(SEARCH(" m",J200)),"Range",IF(J200="offline","Offline",IF(J200="","Unknown","No echo / error")))</f>
        <v>Range</v>
      </c>
      <c r="N200" s="3" t="str">
        <f aca="false">IF(ISNUMBER(SEARCH(" m",K200)),"Range",IF(K200="offline","Offline",IF(K200="","Unknown","No echo / error")))</f>
        <v>Range</v>
      </c>
      <c r="O200" s="3" t="str">
        <f aca="false">TEXT(B200,"yyyy-mm-dd")</f>
        <v>2026-10-05</v>
      </c>
    </row>
    <row r="201" customFormat="false" ht="15" hidden="false" customHeight="false" outlineLevel="0" collapsed="false">
      <c r="A201" s="27" t="n">
        <v>4</v>
      </c>
      <c r="B201" s="28" t="n">
        <v>46300.1154612616</v>
      </c>
      <c r="C201" s="29" t="n">
        <f aca="false">IF(A202=A201,B202,INDEX(Rounds!$D:$D,MATCH(A201,Rounds!$A:$A,0)))</f>
        <v>46300.1154612732</v>
      </c>
      <c r="D201" s="30" t="n">
        <f aca="false">(B201-INDEX(Rounds!$C:$C,MATCH(A201,Rounds!$A:$A,0)))*86400</f>
        <v>48.666999908</v>
      </c>
      <c r="E201" s="30" t="n">
        <f aca="false">(C201-INDEX(Rounds!$C:$C,MATCH(A201,Rounds!$A:$A,0)))*86400</f>
        <v>48.668000078</v>
      </c>
      <c r="F201" s="31" t="n">
        <f aca="false">(C201-B201)*86400</f>
        <v>0.00100017</v>
      </c>
      <c r="G201" s="27" t="s">
        <v>154</v>
      </c>
      <c r="H201" s="27" t="s">
        <v>356</v>
      </c>
      <c r="I201" s="27" t="s">
        <v>266</v>
      </c>
      <c r="J201" s="27" t="s">
        <v>213</v>
      </c>
      <c r="K201" s="27" t="s">
        <v>302</v>
      </c>
      <c r="L201" s="3" t="str">
        <f aca="false">IF(ISNUMBER(SEARCH(" m",I201)),"Range",IF(I201="offline","Offline",IF(I201="","Unknown","No echo / error")))</f>
        <v>Range</v>
      </c>
      <c r="M201" s="3" t="str">
        <f aca="false">IF(ISNUMBER(SEARCH(" m",J201)),"Range",IF(J201="offline","Offline",IF(J201="","Unknown","No echo / error")))</f>
        <v>Range</v>
      </c>
      <c r="N201" s="3" t="str">
        <f aca="false">IF(ISNUMBER(SEARCH(" m",K201)),"Range",IF(K201="offline","Offline",IF(K201="","Unknown","No echo / error")))</f>
        <v>Range</v>
      </c>
      <c r="O201" s="3" t="str">
        <f aca="false">TEXT(B201,"yyyy-mm-dd")</f>
        <v>2026-10-05</v>
      </c>
    </row>
    <row r="202" customFormat="false" ht="15" hidden="false" customHeight="false" outlineLevel="0" collapsed="false">
      <c r="A202" s="27" t="n">
        <v>4</v>
      </c>
      <c r="B202" s="28" t="n">
        <v>46300.1154612732</v>
      </c>
      <c r="C202" s="29" t="n">
        <f aca="false">IF(A203=A202,B203,INDEX(Rounds!$D:$D,MATCH(A202,Rounds!$A:$A,0)))</f>
        <v>46300.1154666551</v>
      </c>
      <c r="D202" s="30" t="n">
        <f aca="false">(B202-INDEX(Rounds!$C:$C,MATCH(A202,Rounds!$A:$A,0)))*86400</f>
        <v>48.668000078</v>
      </c>
      <c r="E202" s="30" t="n">
        <f aca="false">(C202-INDEX(Rounds!$C:$C,MATCH(A202,Rounds!$A:$A,0)))*86400</f>
        <v>49.132999568</v>
      </c>
      <c r="F202" s="31" t="n">
        <f aca="false">(C202-B202)*86400</f>
        <v>0.464999489</v>
      </c>
      <c r="G202" s="27" t="s">
        <v>152</v>
      </c>
      <c r="H202" s="27" t="s">
        <v>199</v>
      </c>
      <c r="I202" s="27" t="s">
        <v>266</v>
      </c>
      <c r="J202" s="27" t="s">
        <v>213</v>
      </c>
      <c r="K202" s="27" t="s">
        <v>302</v>
      </c>
      <c r="L202" s="3" t="str">
        <f aca="false">IF(ISNUMBER(SEARCH(" m",I202)),"Range",IF(I202="offline","Offline",IF(I202="","Unknown","No echo / error")))</f>
        <v>Range</v>
      </c>
      <c r="M202" s="3" t="str">
        <f aca="false">IF(ISNUMBER(SEARCH(" m",J202)),"Range",IF(J202="offline","Offline",IF(J202="","Unknown","No echo / error")))</f>
        <v>Range</v>
      </c>
      <c r="N202" s="3" t="str">
        <f aca="false">IF(ISNUMBER(SEARCH(" m",K202)),"Range",IF(K202="offline","Offline",IF(K202="","Unknown","No echo / error")))</f>
        <v>Range</v>
      </c>
      <c r="O202" s="3" t="str">
        <f aca="false">TEXT(B202,"yyyy-mm-dd")</f>
        <v>2026-10-05</v>
      </c>
    </row>
    <row r="203" customFormat="false" ht="15" hidden="false" customHeight="false" outlineLevel="0" collapsed="false">
      <c r="A203" s="27" t="n">
        <v>4</v>
      </c>
      <c r="B203" s="28" t="n">
        <v>46300.1154666551</v>
      </c>
      <c r="C203" s="29" t="n">
        <f aca="false">IF(A204=A203,B204,INDEX(Rounds!$D:$D,MATCH(A203,Rounds!$A:$A,0)))</f>
        <v>46300.1154723958</v>
      </c>
      <c r="D203" s="30" t="n">
        <f aca="false">(B203-INDEX(Rounds!$C:$C,MATCH(A203,Rounds!$A:$A,0)))*86400</f>
        <v>49.132999568</v>
      </c>
      <c r="E203" s="30" t="n">
        <f aca="false">(C203-INDEX(Rounds!$C:$C,MATCH(A203,Rounds!$A:$A,0)))*86400</f>
        <v>49.628999945</v>
      </c>
      <c r="F203" s="31" t="n">
        <f aca="false">(C203-B203)*86400</f>
        <v>0.496000377</v>
      </c>
      <c r="G203" s="27" t="s">
        <v>151</v>
      </c>
      <c r="H203" s="27" t="s">
        <v>203</v>
      </c>
      <c r="I203" s="27" t="s">
        <v>266</v>
      </c>
      <c r="J203" s="27" t="s">
        <v>204</v>
      </c>
      <c r="K203" s="27" t="s">
        <v>301</v>
      </c>
      <c r="L203" s="3" t="str">
        <f aca="false">IF(ISNUMBER(SEARCH(" m",I203)),"Range",IF(I203="offline","Offline",IF(I203="","Unknown","No echo / error")))</f>
        <v>Range</v>
      </c>
      <c r="M203" s="3" t="str">
        <f aca="false">IF(ISNUMBER(SEARCH(" m",J203)),"Range",IF(J203="offline","Offline",IF(J203="","Unknown","No echo / error")))</f>
        <v>No echo / error</v>
      </c>
      <c r="N203" s="3" t="str">
        <f aca="false">IF(ISNUMBER(SEARCH(" m",K203)),"Range",IF(K203="offline","Offline",IF(K203="","Unknown","No echo / error")))</f>
        <v>Range</v>
      </c>
      <c r="O203" s="3" t="str">
        <f aca="false">TEXT(B203,"yyyy-mm-dd")</f>
        <v>2026-10-05</v>
      </c>
    </row>
    <row r="204" customFormat="false" ht="15" hidden="false" customHeight="false" outlineLevel="0" collapsed="false">
      <c r="A204" s="27" t="n">
        <v>4</v>
      </c>
      <c r="B204" s="28" t="n">
        <v>46300.1154723958</v>
      </c>
      <c r="C204" s="29" t="n">
        <f aca="false">IF(A205=A204,B205,INDEX(Rounds!$D:$D,MATCH(A204,Rounds!$A:$A,0)))</f>
        <v>46300.1154815278</v>
      </c>
      <c r="D204" s="30" t="n">
        <f aca="false">(B204-INDEX(Rounds!$C:$C,MATCH(A204,Rounds!$A:$A,0)))*86400</f>
        <v>49.628999945</v>
      </c>
      <c r="E204" s="30" t="n">
        <f aca="false">(C204-INDEX(Rounds!$C:$C,MATCH(A204,Rounds!$A:$A,0)))*86400</f>
        <v>50.418000016</v>
      </c>
      <c r="F204" s="31" t="n">
        <f aca="false">(C204-B204)*86400</f>
        <v>0.78900007</v>
      </c>
      <c r="G204" s="27" t="s">
        <v>152</v>
      </c>
      <c r="H204" s="27" t="s">
        <v>208</v>
      </c>
      <c r="I204" s="27" t="s">
        <v>266</v>
      </c>
      <c r="J204" s="27" t="s">
        <v>204</v>
      </c>
      <c r="K204" s="27" t="s">
        <v>301</v>
      </c>
      <c r="L204" s="3" t="str">
        <f aca="false">IF(ISNUMBER(SEARCH(" m",I204)),"Range",IF(I204="offline","Offline",IF(I204="","Unknown","No echo / error")))</f>
        <v>Range</v>
      </c>
      <c r="M204" s="3" t="str">
        <f aca="false">IF(ISNUMBER(SEARCH(" m",J204)),"Range",IF(J204="offline","Offline",IF(J204="","Unknown","No echo / error")))</f>
        <v>No echo / error</v>
      </c>
      <c r="N204" s="3" t="str">
        <f aca="false">IF(ISNUMBER(SEARCH(" m",K204)),"Range",IF(K204="offline","Offline",IF(K204="","Unknown","No echo / error")))</f>
        <v>Range</v>
      </c>
      <c r="O204" s="3" t="str">
        <f aca="false">TEXT(B204,"yyyy-mm-dd")</f>
        <v>2026-10-05</v>
      </c>
    </row>
    <row r="205" customFormat="false" ht="15" hidden="false" customHeight="false" outlineLevel="0" collapsed="false">
      <c r="A205" s="27" t="n">
        <v>4</v>
      </c>
      <c r="B205" s="28" t="n">
        <v>46300.1154815278</v>
      </c>
      <c r="C205" s="29" t="n">
        <f aca="false">IF(A206=A205,B206,INDEX(Rounds!$D:$D,MATCH(A205,Rounds!$A:$A,0)))</f>
        <v>46300.1154883796</v>
      </c>
      <c r="D205" s="30" t="n">
        <f aca="false">(B205-INDEX(Rounds!$C:$C,MATCH(A205,Rounds!$A:$A,0)))*86400</f>
        <v>50.418000016</v>
      </c>
      <c r="E205" s="30" t="n">
        <f aca="false">(C205-INDEX(Rounds!$C:$C,MATCH(A205,Rounds!$A:$A,0)))*86400</f>
        <v>51.010000426</v>
      </c>
      <c r="F205" s="31" t="n">
        <f aca="false">(C205-B205)*86400</f>
        <v>0.592000409</v>
      </c>
      <c r="G205" s="27" t="s">
        <v>151</v>
      </c>
      <c r="H205" s="27" t="s">
        <v>203</v>
      </c>
      <c r="I205" s="27" t="s">
        <v>279</v>
      </c>
      <c r="J205" s="27" t="s">
        <v>204</v>
      </c>
      <c r="K205" s="27" t="s">
        <v>301</v>
      </c>
      <c r="L205" s="3" t="str">
        <f aca="false">IF(ISNUMBER(SEARCH(" m",I205)),"Range",IF(I205="offline","Offline",IF(I205="","Unknown","No echo / error")))</f>
        <v>Range</v>
      </c>
      <c r="M205" s="3" t="str">
        <f aca="false">IF(ISNUMBER(SEARCH(" m",J205)),"Range",IF(J205="offline","Offline",IF(J205="","Unknown","No echo / error")))</f>
        <v>No echo / error</v>
      </c>
      <c r="N205" s="3" t="str">
        <f aca="false">IF(ISNUMBER(SEARCH(" m",K205)),"Range",IF(K205="offline","Offline",IF(K205="","Unknown","No echo / error")))</f>
        <v>Range</v>
      </c>
      <c r="O205" s="3" t="str">
        <f aca="false">TEXT(B205,"yyyy-mm-dd")</f>
        <v>2026-10-05</v>
      </c>
    </row>
    <row r="206" customFormat="false" ht="15" hidden="false" customHeight="false" outlineLevel="0" collapsed="false">
      <c r="A206" s="27" t="n">
        <v>4</v>
      </c>
      <c r="B206" s="28" t="n">
        <v>46300.1154883796</v>
      </c>
      <c r="C206" s="29" t="n">
        <f aca="false">IF(A207=A206,B207,INDEX(Rounds!$D:$D,MATCH(A206,Rounds!$A:$A,0)))</f>
        <v>46300.1155014352</v>
      </c>
      <c r="D206" s="30" t="n">
        <f aca="false">(B206-INDEX(Rounds!$C:$C,MATCH(A206,Rounds!$A:$A,0)))*86400</f>
        <v>51.010000426</v>
      </c>
      <c r="E206" s="30" t="n">
        <f aca="false">(C206-INDEX(Rounds!$C:$C,MATCH(A206,Rounds!$A:$A,0)))*86400</f>
        <v>52.137999865</v>
      </c>
      <c r="F206" s="31" t="n">
        <f aca="false">(C206-B206)*86400</f>
        <v>1.127999438</v>
      </c>
      <c r="G206" s="27" t="s">
        <v>152</v>
      </c>
      <c r="H206" s="27" t="s">
        <v>208</v>
      </c>
      <c r="I206" s="27" t="s">
        <v>254</v>
      </c>
      <c r="J206" s="27" t="s">
        <v>204</v>
      </c>
      <c r="K206" s="27" t="s">
        <v>301</v>
      </c>
      <c r="L206" s="3" t="str">
        <f aca="false">IF(ISNUMBER(SEARCH(" m",I206)),"Range",IF(I206="offline","Offline",IF(I206="","Unknown","No echo / error")))</f>
        <v>Range</v>
      </c>
      <c r="M206" s="3" t="str">
        <f aca="false">IF(ISNUMBER(SEARCH(" m",J206)),"Range",IF(J206="offline","Offline",IF(J206="","Unknown","No echo / error")))</f>
        <v>No echo / error</v>
      </c>
      <c r="N206" s="3" t="str">
        <f aca="false">IF(ISNUMBER(SEARCH(" m",K206)),"Range",IF(K206="offline","Offline",IF(K206="","Unknown","No echo / error")))</f>
        <v>Range</v>
      </c>
      <c r="O206" s="3" t="str">
        <f aca="false">TEXT(B206,"yyyy-mm-dd")</f>
        <v>2026-10-05</v>
      </c>
    </row>
    <row r="207" customFormat="false" ht="15" hidden="false" customHeight="false" outlineLevel="0" collapsed="false">
      <c r="A207" s="27" t="n">
        <v>4</v>
      </c>
      <c r="B207" s="28" t="n">
        <v>46300.1155014352</v>
      </c>
      <c r="C207" s="29" t="n">
        <f aca="false">IF(A208=A207,B208,INDEX(Rounds!$D:$D,MATCH(A207,Rounds!$A:$A,0)))</f>
        <v>46300.1155124074</v>
      </c>
      <c r="D207" s="30" t="n">
        <f aca="false">(B207-INDEX(Rounds!$C:$C,MATCH(A207,Rounds!$A:$A,0)))*86400</f>
        <v>52.137999865</v>
      </c>
      <c r="E207" s="30" t="n">
        <f aca="false">(C207-INDEX(Rounds!$C:$C,MATCH(A207,Rounds!$A:$A,0)))*86400</f>
        <v>53.086000028</v>
      </c>
      <c r="F207" s="31" t="n">
        <f aca="false">(C207-B207)*86400</f>
        <v>0.948000163</v>
      </c>
      <c r="G207" s="27" t="s">
        <v>151</v>
      </c>
      <c r="H207" s="27" t="s">
        <v>203</v>
      </c>
      <c r="I207" s="27" t="s">
        <v>352</v>
      </c>
      <c r="J207" s="27" t="s">
        <v>204</v>
      </c>
      <c r="K207" s="27" t="s">
        <v>204</v>
      </c>
      <c r="L207" s="3" t="str">
        <f aca="false">IF(ISNUMBER(SEARCH(" m",I207)),"Range",IF(I207="offline","Offline",IF(I207="","Unknown","No echo / error")))</f>
        <v>Range</v>
      </c>
      <c r="M207" s="3" t="str">
        <f aca="false">IF(ISNUMBER(SEARCH(" m",J207)),"Range",IF(J207="offline","Offline",IF(J207="","Unknown","No echo / error")))</f>
        <v>No echo / error</v>
      </c>
      <c r="N207" s="3" t="str">
        <f aca="false">IF(ISNUMBER(SEARCH(" m",K207)),"Range",IF(K207="offline","Offline",IF(K207="","Unknown","No echo / error")))</f>
        <v>No echo / error</v>
      </c>
      <c r="O207" s="3" t="str">
        <f aca="false">TEXT(B207,"yyyy-mm-dd")</f>
        <v>2026-10-05</v>
      </c>
    </row>
    <row r="208" customFormat="false" ht="15" hidden="false" customHeight="false" outlineLevel="0" collapsed="false">
      <c r="A208" s="27" t="n">
        <v>4</v>
      </c>
      <c r="B208" s="28" t="n">
        <v>46300.1155124074</v>
      </c>
      <c r="C208" s="29" t="n">
        <f aca="false">IF(A209=A208,B209,INDEX(Rounds!$D:$D,MATCH(A208,Rounds!$A:$A,0)))</f>
        <v>46300.1155233912</v>
      </c>
      <c r="D208" s="30" t="n">
        <f aca="false">(B208-INDEX(Rounds!$C:$C,MATCH(A208,Rounds!$A:$A,0)))*86400</f>
        <v>53.086000028</v>
      </c>
      <c r="E208" s="30" t="n">
        <f aca="false">(C208-INDEX(Rounds!$C:$C,MATCH(A208,Rounds!$A:$A,0)))*86400</f>
        <v>54.035000363</v>
      </c>
      <c r="F208" s="31" t="n">
        <f aca="false">(C208-B208)*86400</f>
        <v>0.949000334</v>
      </c>
      <c r="G208" s="27" t="s">
        <v>150</v>
      </c>
      <c r="H208" s="27" t="s">
        <v>206</v>
      </c>
      <c r="I208" s="27" t="s">
        <v>342</v>
      </c>
      <c r="J208" s="27" t="s">
        <v>357</v>
      </c>
      <c r="K208" s="27" t="s">
        <v>298</v>
      </c>
      <c r="L208" s="3" t="str">
        <f aca="false">IF(ISNUMBER(SEARCH(" m",I208)),"Range",IF(I208="offline","Offline",IF(I208="","Unknown","No echo / error")))</f>
        <v>Range</v>
      </c>
      <c r="M208" s="3" t="str">
        <f aca="false">IF(ISNUMBER(SEARCH(" m",J208)),"Range",IF(J208="offline","Offline",IF(J208="","Unknown","No echo / error")))</f>
        <v>Range</v>
      </c>
      <c r="N208" s="3" t="str">
        <f aca="false">IF(ISNUMBER(SEARCH(" m",K208)),"Range",IF(K208="offline","Offline",IF(K208="","Unknown","No echo / error")))</f>
        <v>Range</v>
      </c>
      <c r="O208" s="3" t="str">
        <f aca="false">TEXT(B208,"yyyy-mm-dd")</f>
        <v>2026-10-05</v>
      </c>
    </row>
    <row r="209" customFormat="false" ht="15" hidden="false" customHeight="false" outlineLevel="0" collapsed="false">
      <c r="A209" s="27" t="n">
        <v>4</v>
      </c>
      <c r="B209" s="28" t="n">
        <v>46300.1155233912</v>
      </c>
      <c r="C209" s="29" t="n">
        <f aca="false">IF(A210=A209,B210,INDEX(Rounds!$D:$D,MATCH(A209,Rounds!$A:$A,0)))</f>
        <v>46300.1155246991</v>
      </c>
      <c r="D209" s="30" t="n">
        <f aca="false">(B209-INDEX(Rounds!$C:$C,MATCH(A209,Rounds!$A:$A,0)))*86400</f>
        <v>54.035000363</v>
      </c>
      <c r="E209" s="30" t="n">
        <f aca="false">(C209-INDEX(Rounds!$C:$C,MATCH(A209,Rounds!$A:$A,0)))*86400</f>
        <v>54.147999524</v>
      </c>
      <c r="F209" s="31" t="n">
        <f aca="false">(C209-B209)*86400</f>
        <v>0.11299916</v>
      </c>
      <c r="G209" s="27" t="s">
        <v>151</v>
      </c>
      <c r="H209" s="27" t="s">
        <v>203</v>
      </c>
      <c r="I209" s="27" t="s">
        <v>358</v>
      </c>
      <c r="J209" s="27" t="s">
        <v>239</v>
      </c>
      <c r="K209" s="27" t="s">
        <v>262</v>
      </c>
      <c r="L209" s="3" t="str">
        <f aca="false">IF(ISNUMBER(SEARCH(" m",I209)),"Range",IF(I209="offline","Offline",IF(I209="","Unknown","No echo / error")))</f>
        <v>Range</v>
      </c>
      <c r="M209" s="3" t="str">
        <f aca="false">IF(ISNUMBER(SEARCH(" m",J209)),"Range",IF(J209="offline","Offline",IF(J209="","Unknown","No echo / error")))</f>
        <v>Range</v>
      </c>
      <c r="N209" s="3" t="str">
        <f aca="false">IF(ISNUMBER(SEARCH(" m",K209)),"Range",IF(K209="offline","Offline",IF(K209="","Unknown","No echo / error")))</f>
        <v>Range</v>
      </c>
      <c r="O209" s="3" t="str">
        <f aca="false">TEXT(B209,"yyyy-mm-dd")</f>
        <v>2026-10-05</v>
      </c>
    </row>
    <row r="210" customFormat="false" ht="15" hidden="false" customHeight="false" outlineLevel="0" collapsed="false">
      <c r="A210" s="27" t="n">
        <v>4</v>
      </c>
      <c r="B210" s="28" t="n">
        <v>46300.1155246991</v>
      </c>
      <c r="C210" s="29" t="n">
        <f aca="false">IF(A211=A210,B211,INDEX(Rounds!$D:$D,MATCH(A210,Rounds!$A:$A,0)))</f>
        <v>46300.1155330556</v>
      </c>
      <c r="D210" s="30" t="n">
        <f aca="false">(B210-INDEX(Rounds!$C:$C,MATCH(A210,Rounds!$A:$A,0)))*86400</f>
        <v>54.147999524</v>
      </c>
      <c r="E210" s="30" t="n">
        <f aca="false">(C210-INDEX(Rounds!$C:$C,MATCH(A210,Rounds!$A:$A,0)))*86400</f>
        <v>54.870000737</v>
      </c>
      <c r="F210" s="31" t="n">
        <f aca="false">(C210-B210)*86400</f>
        <v>0.722001213</v>
      </c>
      <c r="G210" s="27" t="s">
        <v>150</v>
      </c>
      <c r="H210" s="27" t="s">
        <v>206</v>
      </c>
      <c r="I210" s="27" t="s">
        <v>359</v>
      </c>
      <c r="J210" s="27" t="s">
        <v>239</v>
      </c>
      <c r="K210" s="27" t="s">
        <v>262</v>
      </c>
      <c r="L210" s="3" t="str">
        <f aca="false">IF(ISNUMBER(SEARCH(" m",I210)),"Range",IF(I210="offline","Offline",IF(I210="","Unknown","No echo / error")))</f>
        <v>Range</v>
      </c>
      <c r="M210" s="3" t="str">
        <f aca="false">IF(ISNUMBER(SEARCH(" m",J210)),"Range",IF(J210="offline","Offline",IF(J210="","Unknown","No echo / error")))</f>
        <v>Range</v>
      </c>
      <c r="N210" s="3" t="str">
        <f aca="false">IF(ISNUMBER(SEARCH(" m",K210)),"Range",IF(K210="offline","Offline",IF(K210="","Unknown","No echo / error")))</f>
        <v>Range</v>
      </c>
      <c r="O210" s="3" t="str">
        <f aca="false">TEXT(B210,"yyyy-mm-dd")</f>
        <v>2026-10-05</v>
      </c>
    </row>
    <row r="211" customFormat="false" ht="15" hidden="false" customHeight="false" outlineLevel="0" collapsed="false">
      <c r="A211" s="27" t="n">
        <v>4</v>
      </c>
      <c r="B211" s="28" t="n">
        <v>46300.1155330556</v>
      </c>
      <c r="C211" s="29" t="n">
        <f aca="false">IF(A212=A211,B212,INDEX(Rounds!$D:$D,MATCH(A211,Rounds!$A:$A,0)))</f>
        <v>46300.1155338079</v>
      </c>
      <c r="D211" s="30" t="n">
        <f aca="false">(B211-INDEX(Rounds!$C:$C,MATCH(A211,Rounds!$A:$A,0)))*86400</f>
        <v>54.870000737</v>
      </c>
      <c r="E211" s="30" t="n">
        <f aca="false">(C211-INDEX(Rounds!$C:$C,MATCH(A211,Rounds!$A:$A,0)))*86400</f>
        <v>54.934999882</v>
      </c>
      <c r="F211" s="31" t="n">
        <f aca="false">(C211-B211)*86400</f>
        <v>0.064999144</v>
      </c>
      <c r="G211" s="27" t="s">
        <v>152</v>
      </c>
      <c r="H211" s="27" t="s">
        <v>208</v>
      </c>
      <c r="I211" s="27" t="s">
        <v>319</v>
      </c>
      <c r="J211" s="27" t="s">
        <v>239</v>
      </c>
      <c r="K211" s="27" t="s">
        <v>360</v>
      </c>
      <c r="L211" s="3" t="str">
        <f aca="false">IF(ISNUMBER(SEARCH(" m",I211)),"Range",IF(I211="offline","Offline",IF(I211="","Unknown","No echo / error")))</f>
        <v>Range</v>
      </c>
      <c r="M211" s="3" t="str">
        <f aca="false">IF(ISNUMBER(SEARCH(" m",J211)),"Range",IF(J211="offline","Offline",IF(J211="","Unknown","No echo / error")))</f>
        <v>Range</v>
      </c>
      <c r="N211" s="3" t="str">
        <f aca="false">IF(ISNUMBER(SEARCH(" m",K211)),"Range",IF(K211="offline","Offline",IF(K211="","Unknown","No echo / error")))</f>
        <v>Range</v>
      </c>
      <c r="O211" s="3" t="str">
        <f aca="false">TEXT(B211,"yyyy-mm-dd")</f>
        <v>2026-10-05</v>
      </c>
    </row>
    <row r="212" customFormat="false" ht="15" hidden="false" customHeight="false" outlineLevel="0" collapsed="false">
      <c r="A212" s="27" t="n">
        <v>4</v>
      </c>
      <c r="B212" s="28" t="n">
        <v>46300.1155338079</v>
      </c>
      <c r="C212" s="29" t="n">
        <f aca="false">IF(A213=A212,B213,INDEX(Rounds!$D:$D,MATCH(A212,Rounds!$A:$A,0)))</f>
        <v>46300.115534919</v>
      </c>
      <c r="D212" s="30" t="n">
        <f aca="false">(B212-INDEX(Rounds!$C:$C,MATCH(A212,Rounds!$A:$A,0)))*86400</f>
        <v>54.934999882</v>
      </c>
      <c r="E212" s="30" t="n">
        <f aca="false">(C212-INDEX(Rounds!$C:$C,MATCH(A212,Rounds!$A:$A,0)))*86400</f>
        <v>55.030999914</v>
      </c>
      <c r="F212" s="31" t="n">
        <f aca="false">(C212-B212)*86400</f>
        <v>0.096000032</v>
      </c>
      <c r="G212" s="27" t="s">
        <v>151</v>
      </c>
      <c r="H212" s="27" t="s">
        <v>203</v>
      </c>
      <c r="I212" s="27" t="s">
        <v>319</v>
      </c>
      <c r="J212" s="27" t="s">
        <v>239</v>
      </c>
      <c r="K212" s="27" t="s">
        <v>259</v>
      </c>
      <c r="L212" s="3" t="str">
        <f aca="false">IF(ISNUMBER(SEARCH(" m",I212)),"Range",IF(I212="offline","Offline",IF(I212="","Unknown","No echo / error")))</f>
        <v>Range</v>
      </c>
      <c r="M212" s="3" t="str">
        <f aca="false">IF(ISNUMBER(SEARCH(" m",J212)),"Range",IF(J212="offline","Offline",IF(J212="","Unknown","No echo / error")))</f>
        <v>Range</v>
      </c>
      <c r="N212" s="3" t="str">
        <f aca="false">IF(ISNUMBER(SEARCH(" m",K212)),"Range",IF(K212="offline","Offline",IF(K212="","Unknown","No echo / error")))</f>
        <v>Range</v>
      </c>
      <c r="O212" s="3" t="str">
        <f aca="false">TEXT(B212,"yyyy-mm-dd")</f>
        <v>2026-10-05</v>
      </c>
    </row>
    <row r="213" customFormat="false" ht="15" hidden="false" customHeight="false" outlineLevel="0" collapsed="false">
      <c r="A213" s="27" t="n">
        <v>4</v>
      </c>
      <c r="B213" s="28" t="n">
        <v>46300.115534919</v>
      </c>
      <c r="C213" s="29" t="n">
        <f aca="false">IF(A214=A213,B214,INDEX(Rounds!$D:$D,MATCH(A213,Rounds!$A:$A,0)))</f>
        <v>46300.1155416204</v>
      </c>
      <c r="D213" s="30" t="n">
        <f aca="false">(B213-INDEX(Rounds!$C:$C,MATCH(A213,Rounds!$A:$A,0)))*86400</f>
        <v>55.030999914</v>
      </c>
      <c r="E213" s="30" t="n">
        <f aca="false">(C213-INDEX(Rounds!$C:$C,MATCH(A213,Rounds!$A:$A,0)))*86400</f>
        <v>55.609999992</v>
      </c>
      <c r="F213" s="31" t="n">
        <f aca="false">(C213-B213)*86400</f>
        <v>0.579000078</v>
      </c>
      <c r="G213" s="27" t="s">
        <v>150</v>
      </c>
      <c r="H213" s="27" t="s">
        <v>206</v>
      </c>
      <c r="I213" s="27" t="s">
        <v>319</v>
      </c>
      <c r="J213" s="27" t="s">
        <v>282</v>
      </c>
      <c r="K213" s="27" t="s">
        <v>259</v>
      </c>
      <c r="L213" s="3" t="str">
        <f aca="false">IF(ISNUMBER(SEARCH(" m",I213)),"Range",IF(I213="offline","Offline",IF(I213="","Unknown","No echo / error")))</f>
        <v>Range</v>
      </c>
      <c r="M213" s="3" t="str">
        <f aca="false">IF(ISNUMBER(SEARCH(" m",J213)),"Range",IF(J213="offline","Offline",IF(J213="","Unknown","No echo / error")))</f>
        <v>Range</v>
      </c>
      <c r="N213" s="3" t="str">
        <f aca="false">IF(ISNUMBER(SEARCH(" m",K213)),"Range",IF(K213="offline","Offline",IF(K213="","Unknown","No echo / error")))</f>
        <v>Range</v>
      </c>
      <c r="O213" s="3" t="str">
        <f aca="false">TEXT(B213,"yyyy-mm-dd")</f>
        <v>2026-10-05</v>
      </c>
    </row>
    <row r="214" customFormat="false" ht="15" hidden="false" customHeight="false" outlineLevel="0" collapsed="false">
      <c r="A214" s="27" t="n">
        <v>4</v>
      </c>
      <c r="B214" s="28" t="n">
        <v>46300.1155416204</v>
      </c>
      <c r="C214" s="29" t="n">
        <f aca="false">IF(A215=A214,B215,INDEX(Rounds!$D:$D,MATCH(A214,Rounds!$A:$A,0)))</f>
        <v>46300.1155451736</v>
      </c>
      <c r="D214" s="30" t="n">
        <f aca="false">(B214-INDEX(Rounds!$C:$C,MATCH(A214,Rounds!$A:$A,0)))*86400</f>
        <v>55.609999992</v>
      </c>
      <c r="E214" s="30" t="n">
        <f aca="false">(C214-INDEX(Rounds!$C:$C,MATCH(A214,Rounds!$A:$A,0)))*86400</f>
        <v>55.917000188</v>
      </c>
      <c r="F214" s="31" t="n">
        <f aca="false">(C214-B214)*86400</f>
        <v>0.307000195</v>
      </c>
      <c r="G214" s="27" t="s">
        <v>152</v>
      </c>
      <c r="H214" s="27" t="s">
        <v>208</v>
      </c>
      <c r="I214" s="27" t="s">
        <v>204</v>
      </c>
      <c r="J214" s="27" t="s">
        <v>204</v>
      </c>
      <c r="K214" s="27" t="s">
        <v>204</v>
      </c>
      <c r="L214" s="3" t="str">
        <f aca="false">IF(ISNUMBER(SEARCH(" m",I214)),"Range",IF(I214="offline","Offline",IF(I214="","Unknown","No echo / error")))</f>
        <v>No echo / error</v>
      </c>
      <c r="M214" s="3" t="str">
        <f aca="false">IF(ISNUMBER(SEARCH(" m",J214)),"Range",IF(J214="offline","Offline",IF(J214="","Unknown","No echo / error")))</f>
        <v>No echo / error</v>
      </c>
      <c r="N214" s="3" t="str">
        <f aca="false">IF(ISNUMBER(SEARCH(" m",K214)),"Range",IF(K214="offline","Offline",IF(K214="","Unknown","No echo / error")))</f>
        <v>No echo / error</v>
      </c>
      <c r="O214" s="3" t="str">
        <f aca="false">TEXT(B214,"yyyy-mm-dd")</f>
        <v>2026-10-05</v>
      </c>
    </row>
    <row r="215" customFormat="false" ht="15" hidden="false" customHeight="false" outlineLevel="0" collapsed="false">
      <c r="A215" s="27" t="n">
        <v>4</v>
      </c>
      <c r="B215" s="28" t="n">
        <v>46300.1155451736</v>
      </c>
      <c r="C215" s="29" t="n">
        <f aca="false">IF(A216=A215,B216,INDEX(Rounds!$D:$D,MATCH(A215,Rounds!$A:$A,0)))</f>
        <v>46300.1155507523</v>
      </c>
      <c r="D215" s="30" t="n">
        <f aca="false">(B215-INDEX(Rounds!$C:$C,MATCH(A215,Rounds!$A:$A,0)))*86400</f>
        <v>55.917000188</v>
      </c>
      <c r="E215" s="30" t="n">
        <f aca="false">(C215-INDEX(Rounds!$C:$C,MATCH(A215,Rounds!$A:$A,0)))*86400</f>
        <v>56.398999434</v>
      </c>
      <c r="F215" s="31" t="n">
        <f aca="false">(C215-B215)*86400</f>
        <v>0.481999246</v>
      </c>
      <c r="G215" s="27" t="s">
        <v>151</v>
      </c>
      <c r="H215" s="27" t="s">
        <v>203</v>
      </c>
      <c r="I215" s="27" t="s">
        <v>204</v>
      </c>
      <c r="J215" s="27" t="s">
        <v>204</v>
      </c>
      <c r="K215" s="27" t="s">
        <v>274</v>
      </c>
      <c r="L215" s="3" t="str">
        <f aca="false">IF(ISNUMBER(SEARCH(" m",I215)),"Range",IF(I215="offline","Offline",IF(I215="","Unknown","No echo / error")))</f>
        <v>No echo / error</v>
      </c>
      <c r="M215" s="3" t="str">
        <f aca="false">IF(ISNUMBER(SEARCH(" m",J215)),"Range",IF(J215="offline","Offline",IF(J215="","Unknown","No echo / error")))</f>
        <v>No echo / error</v>
      </c>
      <c r="N215" s="3" t="str">
        <f aca="false">IF(ISNUMBER(SEARCH(" m",K215)),"Range",IF(K215="offline","Offline",IF(K215="","Unknown","No echo / error")))</f>
        <v>Range</v>
      </c>
      <c r="O215" s="3" t="str">
        <f aca="false">TEXT(B215,"yyyy-mm-dd")</f>
        <v>2026-10-05</v>
      </c>
    </row>
    <row r="216" customFormat="false" ht="15" hidden="false" customHeight="false" outlineLevel="0" collapsed="false">
      <c r="A216" s="27" t="n">
        <v>4</v>
      </c>
      <c r="B216" s="28" t="n">
        <v>46300.1155507523</v>
      </c>
      <c r="C216" s="29" t="n">
        <f aca="false">IF(A217=A216,B217,INDEX(Rounds!$D:$D,MATCH(A216,Rounds!$A:$A,0)))</f>
        <v>46300.1155868634</v>
      </c>
      <c r="D216" s="30" t="n">
        <f aca="false">(B216-INDEX(Rounds!$C:$C,MATCH(A216,Rounds!$A:$A,0)))*86400</f>
        <v>56.398999434</v>
      </c>
      <c r="E216" s="30" t="n">
        <f aca="false">(C216-INDEX(Rounds!$C:$C,MATCH(A216,Rounds!$A:$A,0)))*86400</f>
        <v>59.518999862</v>
      </c>
      <c r="F216" s="31" t="n">
        <f aca="false">(C216-B216)*86400</f>
        <v>3.120000427</v>
      </c>
      <c r="G216" s="27" t="s">
        <v>150</v>
      </c>
      <c r="H216" s="27" t="s">
        <v>206</v>
      </c>
      <c r="I216" s="27" t="s">
        <v>361</v>
      </c>
      <c r="J216" s="27" t="s">
        <v>204</v>
      </c>
      <c r="K216" s="27" t="s">
        <v>265</v>
      </c>
      <c r="L216" s="3" t="str">
        <f aca="false">IF(ISNUMBER(SEARCH(" m",I216)),"Range",IF(I216="offline","Offline",IF(I216="","Unknown","No echo / error")))</f>
        <v>Range</v>
      </c>
      <c r="M216" s="3" t="str">
        <f aca="false">IF(ISNUMBER(SEARCH(" m",J216)),"Range",IF(J216="offline","Offline",IF(J216="","Unknown","No echo / error")))</f>
        <v>No echo / error</v>
      </c>
      <c r="N216" s="3" t="str">
        <f aca="false">IF(ISNUMBER(SEARCH(" m",K216)),"Range",IF(K216="offline","Offline",IF(K216="","Unknown","No echo / error")))</f>
        <v>Range</v>
      </c>
      <c r="O216" s="3" t="str">
        <f aca="false">TEXT(B216,"yyyy-mm-dd")</f>
        <v>2026-10-05</v>
      </c>
    </row>
    <row r="217" customFormat="false" ht="15" hidden="false" customHeight="false" outlineLevel="0" collapsed="false">
      <c r="A217" s="27" t="n">
        <v>4</v>
      </c>
      <c r="B217" s="28" t="n">
        <v>46300.1155868634</v>
      </c>
      <c r="C217" s="29" t="n">
        <f aca="false">IF(A218=A217,B218,INDEX(Rounds!$D:$D,MATCH(A217,Rounds!$A:$A,0)))</f>
        <v>46300.115589294</v>
      </c>
      <c r="D217" s="30" t="n">
        <f aca="false">(B217-INDEX(Rounds!$C:$C,MATCH(A217,Rounds!$A:$A,0)))*86400</f>
        <v>59.518999862</v>
      </c>
      <c r="E217" s="30" t="n">
        <f aca="false">(C217-INDEX(Rounds!$C:$C,MATCH(A217,Rounds!$A:$A,0)))*86400</f>
        <v>59.728999854</v>
      </c>
      <c r="F217" s="31" t="n">
        <f aca="false">(C217-B217)*86400</f>
        <v>0.209999992</v>
      </c>
      <c r="G217" s="27" t="s">
        <v>152</v>
      </c>
      <c r="H217" s="27" t="s">
        <v>208</v>
      </c>
      <c r="I217" s="27" t="s">
        <v>361</v>
      </c>
      <c r="J217" s="27" t="s">
        <v>204</v>
      </c>
      <c r="K217" s="27" t="s">
        <v>220</v>
      </c>
      <c r="L217" s="3" t="str">
        <f aca="false">IF(ISNUMBER(SEARCH(" m",I217)),"Range",IF(I217="offline","Offline",IF(I217="","Unknown","No echo / error")))</f>
        <v>Range</v>
      </c>
      <c r="M217" s="3" t="str">
        <f aca="false">IF(ISNUMBER(SEARCH(" m",J217)),"Range",IF(J217="offline","Offline",IF(J217="","Unknown","No echo / error")))</f>
        <v>No echo / error</v>
      </c>
      <c r="N217" s="3" t="str">
        <f aca="false">IF(ISNUMBER(SEARCH(" m",K217)),"Range",IF(K217="offline","Offline",IF(K217="","Unknown","No echo / error")))</f>
        <v>No echo / error</v>
      </c>
      <c r="O217" s="3" t="str">
        <f aca="false">TEXT(B217,"yyyy-mm-dd")</f>
        <v>2026-10-05</v>
      </c>
    </row>
    <row r="218" customFormat="false" ht="15" hidden="false" customHeight="false" outlineLevel="0" collapsed="false">
      <c r="A218" s="27" t="n">
        <v>4</v>
      </c>
      <c r="B218" s="28" t="n">
        <v>46300.115589294</v>
      </c>
      <c r="C218" s="29" t="n">
        <f aca="false">IF(A219=A218,B219,INDEX(Rounds!$D:$D,MATCH(A218,Rounds!$A:$A,0)))</f>
        <v>46300.1155922685</v>
      </c>
      <c r="D218" s="30" t="n">
        <f aca="false">(B218-INDEX(Rounds!$C:$C,MATCH(A218,Rounds!$A:$A,0)))*86400</f>
        <v>59.728999854</v>
      </c>
      <c r="E218" s="30" t="n">
        <f aca="false">(C218-INDEX(Rounds!$C:$C,MATCH(A218,Rounds!$A:$A,0)))*86400</f>
        <v>59.986000321</v>
      </c>
      <c r="F218" s="31" t="n">
        <f aca="false">(C218-B218)*86400</f>
        <v>0.257000466</v>
      </c>
      <c r="G218" s="27" t="s">
        <v>151</v>
      </c>
      <c r="H218" s="27" t="s">
        <v>203</v>
      </c>
      <c r="I218" s="27" t="s">
        <v>342</v>
      </c>
      <c r="J218" s="27" t="s">
        <v>204</v>
      </c>
      <c r="K218" s="27" t="s">
        <v>344</v>
      </c>
      <c r="L218" s="3" t="str">
        <f aca="false">IF(ISNUMBER(SEARCH(" m",I218)),"Range",IF(I218="offline","Offline",IF(I218="","Unknown","No echo / error")))</f>
        <v>Range</v>
      </c>
      <c r="M218" s="3" t="str">
        <f aca="false">IF(ISNUMBER(SEARCH(" m",J218)),"Range",IF(J218="offline","Offline",IF(J218="","Unknown","No echo / error")))</f>
        <v>No echo / error</v>
      </c>
      <c r="N218" s="3" t="str">
        <f aca="false">IF(ISNUMBER(SEARCH(" m",K218)),"Range",IF(K218="offline","Offline",IF(K218="","Unknown","No echo / error")))</f>
        <v>Range</v>
      </c>
      <c r="O218" s="3" t="str">
        <f aca="false">TEXT(B218,"yyyy-mm-dd")</f>
        <v>2026-10-05</v>
      </c>
    </row>
    <row r="219" customFormat="false" ht="15" hidden="false" customHeight="false" outlineLevel="0" collapsed="false">
      <c r="A219" s="27" t="n">
        <v>4</v>
      </c>
      <c r="B219" s="28" t="n">
        <v>46300.1155922685</v>
      </c>
      <c r="C219" s="29" t="n">
        <f aca="false">IF(A220=A219,B220,INDEX(Rounds!$D:$D,MATCH(A219,Rounds!$A:$A,0)))</f>
        <v>46300.1156531366</v>
      </c>
      <c r="D219" s="30" t="n">
        <f aca="false">(B219-INDEX(Rounds!$C:$C,MATCH(A219,Rounds!$A:$A,0)))*86400</f>
        <v>59.986000321</v>
      </c>
      <c r="E219" s="30" t="n">
        <f aca="false">(C219-INDEX(Rounds!$C:$C,MATCH(A219,Rounds!$A:$A,0)))*86400</f>
        <v>65.244999784</v>
      </c>
      <c r="F219" s="31" t="n">
        <f aca="false">(C219-B219)*86400</f>
        <v>5.258999462</v>
      </c>
      <c r="G219" s="27" t="s">
        <v>150</v>
      </c>
      <c r="H219" s="27" t="s">
        <v>206</v>
      </c>
      <c r="I219" s="27" t="s">
        <v>342</v>
      </c>
      <c r="J219" s="27" t="s">
        <v>362</v>
      </c>
      <c r="K219" s="27" t="s">
        <v>235</v>
      </c>
      <c r="L219" s="3" t="str">
        <f aca="false">IF(ISNUMBER(SEARCH(" m",I219)),"Range",IF(I219="offline","Offline",IF(I219="","Unknown","No echo / error")))</f>
        <v>Range</v>
      </c>
      <c r="M219" s="3" t="str">
        <f aca="false">IF(ISNUMBER(SEARCH(" m",J219)),"Range",IF(J219="offline","Offline",IF(J219="","Unknown","No echo / error")))</f>
        <v>Range</v>
      </c>
      <c r="N219" s="3" t="str">
        <f aca="false">IF(ISNUMBER(SEARCH(" m",K219)),"Range",IF(K219="offline","Offline",IF(K219="","Unknown","No echo / error")))</f>
        <v>Range</v>
      </c>
      <c r="O219" s="3" t="str">
        <f aca="false">TEXT(B219,"yyyy-mm-dd")</f>
        <v>2026-10-05</v>
      </c>
    </row>
    <row r="220" customFormat="false" ht="15" hidden="false" customHeight="false" outlineLevel="0" collapsed="false">
      <c r="A220" s="27" t="n">
        <v>4</v>
      </c>
      <c r="B220" s="28" t="n">
        <v>46300.1156531366</v>
      </c>
      <c r="C220" s="29" t="n">
        <f aca="false">IF(A221=A220,B221,INDEX(Rounds!$D:$D,MATCH(A220,Rounds!$A:$A,0)))</f>
        <v>46300.1156548148</v>
      </c>
      <c r="D220" s="30" t="n">
        <f aca="false">(B220-INDEX(Rounds!$C:$C,MATCH(A220,Rounds!$A:$A,0)))*86400</f>
        <v>65.244999784</v>
      </c>
      <c r="E220" s="30" t="n">
        <f aca="false">(C220-INDEX(Rounds!$C:$C,MATCH(A220,Rounds!$A:$A,0)))*86400</f>
        <v>65.389999374</v>
      </c>
      <c r="F220" s="31" t="n">
        <f aca="false">(C220-B220)*86400</f>
        <v>0.14499959</v>
      </c>
      <c r="G220" s="27" t="s">
        <v>152</v>
      </c>
      <c r="H220" s="27" t="s">
        <v>208</v>
      </c>
      <c r="I220" s="27" t="s">
        <v>358</v>
      </c>
      <c r="J220" s="27" t="s">
        <v>363</v>
      </c>
      <c r="K220" s="27" t="s">
        <v>267</v>
      </c>
      <c r="L220" s="3" t="str">
        <f aca="false">IF(ISNUMBER(SEARCH(" m",I220)),"Range",IF(I220="offline","Offline",IF(I220="","Unknown","No echo / error")))</f>
        <v>Range</v>
      </c>
      <c r="M220" s="3" t="str">
        <f aca="false">IF(ISNUMBER(SEARCH(" m",J220)),"Range",IF(J220="offline","Offline",IF(J220="","Unknown","No echo / error")))</f>
        <v>Range</v>
      </c>
      <c r="N220" s="3" t="str">
        <f aca="false">IF(ISNUMBER(SEARCH(" m",K220)),"Range",IF(K220="offline","Offline",IF(K220="","Unknown","No echo / error")))</f>
        <v>Range</v>
      </c>
      <c r="O220" s="3" t="str">
        <f aca="false">TEXT(B220,"yyyy-mm-dd")</f>
        <v>2026-10-05</v>
      </c>
    </row>
    <row r="221" customFormat="false" ht="15" hidden="false" customHeight="false" outlineLevel="0" collapsed="false">
      <c r="A221" s="27" t="n">
        <v>4</v>
      </c>
      <c r="B221" s="28" t="n">
        <v>46300.1156548148</v>
      </c>
      <c r="C221" s="29" t="n">
        <f aca="false">IF(A222=A221,B222,INDEX(Rounds!$D:$D,MATCH(A221,Rounds!$A:$A,0)))</f>
        <v>46300.1156587153</v>
      </c>
      <c r="D221" s="30" t="n">
        <f aca="false">(B221-INDEX(Rounds!$C:$C,MATCH(A221,Rounds!$A:$A,0)))*86400</f>
        <v>65.389999374</v>
      </c>
      <c r="E221" s="30" t="n">
        <f aca="false">(C221-INDEX(Rounds!$C:$C,MATCH(A221,Rounds!$A:$A,0)))*86400</f>
        <v>65.727000287</v>
      </c>
      <c r="F221" s="31" t="n">
        <f aca="false">(C221-B221)*86400</f>
        <v>0.337000912</v>
      </c>
      <c r="G221" s="27" t="s">
        <v>151</v>
      </c>
      <c r="H221" s="27" t="s">
        <v>203</v>
      </c>
      <c r="I221" s="27" t="s">
        <v>352</v>
      </c>
      <c r="J221" s="27" t="s">
        <v>363</v>
      </c>
      <c r="K221" s="27" t="s">
        <v>204</v>
      </c>
      <c r="L221" s="3" t="str">
        <f aca="false">IF(ISNUMBER(SEARCH(" m",I221)),"Range",IF(I221="offline","Offline",IF(I221="","Unknown","No echo / error")))</f>
        <v>Range</v>
      </c>
      <c r="M221" s="3" t="str">
        <f aca="false">IF(ISNUMBER(SEARCH(" m",J221)),"Range",IF(J221="offline","Offline",IF(J221="","Unknown","No echo / error")))</f>
        <v>Range</v>
      </c>
      <c r="N221" s="3" t="str">
        <f aca="false">IF(ISNUMBER(SEARCH(" m",K221)),"Range",IF(K221="offline","Offline",IF(K221="","Unknown","No echo / error")))</f>
        <v>No echo / error</v>
      </c>
      <c r="O221" s="3" t="str">
        <f aca="false">TEXT(B221,"yyyy-mm-dd")</f>
        <v>2026-10-05</v>
      </c>
    </row>
    <row r="222" customFormat="false" ht="15" hidden="false" customHeight="false" outlineLevel="0" collapsed="false">
      <c r="A222" s="27" t="n">
        <v>4</v>
      </c>
      <c r="B222" s="28" t="n">
        <v>46300.1156587153</v>
      </c>
      <c r="C222" s="29" t="n">
        <f aca="false">IF(A223=A222,B223,INDEX(Rounds!$D:$D,MATCH(A222,Rounds!$A:$A,0)))</f>
        <v>46300.115674757</v>
      </c>
      <c r="D222" s="30" t="n">
        <f aca="false">(B222-INDEX(Rounds!$C:$C,MATCH(A222,Rounds!$A:$A,0)))*86400</f>
        <v>65.727000287</v>
      </c>
      <c r="E222" s="30" t="n">
        <f aca="false">(C222-INDEX(Rounds!$C:$C,MATCH(A222,Rounds!$A:$A,0)))*86400</f>
        <v>67.113000364</v>
      </c>
      <c r="F222" s="31" t="n">
        <f aca="false">(C222-B222)*86400</f>
        <v>1.386000076</v>
      </c>
      <c r="G222" s="27" t="s">
        <v>150</v>
      </c>
      <c r="H222" s="27" t="s">
        <v>206</v>
      </c>
      <c r="I222" s="27" t="s">
        <v>364</v>
      </c>
      <c r="J222" s="27" t="s">
        <v>282</v>
      </c>
      <c r="K222" s="27" t="s">
        <v>204</v>
      </c>
      <c r="L222" s="3" t="str">
        <f aca="false">IF(ISNUMBER(SEARCH(" m",I222)),"Range",IF(I222="offline","Offline",IF(I222="","Unknown","No echo / error")))</f>
        <v>Range</v>
      </c>
      <c r="M222" s="3" t="str">
        <f aca="false">IF(ISNUMBER(SEARCH(" m",J222)),"Range",IF(J222="offline","Offline",IF(J222="","Unknown","No echo / error")))</f>
        <v>Range</v>
      </c>
      <c r="N222" s="3" t="str">
        <f aca="false">IF(ISNUMBER(SEARCH(" m",K222)),"Range",IF(K222="offline","Offline",IF(K222="","Unknown","No echo / error")))</f>
        <v>No echo / error</v>
      </c>
      <c r="O222" s="3" t="str">
        <f aca="false">TEXT(B222,"yyyy-mm-dd")</f>
        <v>2026-10-05</v>
      </c>
    </row>
    <row r="223" customFormat="false" ht="15" hidden="false" customHeight="false" outlineLevel="0" collapsed="false">
      <c r="A223" s="27" t="n">
        <v>4</v>
      </c>
      <c r="B223" s="28" t="n">
        <v>46300.115674757</v>
      </c>
      <c r="C223" s="29" t="n">
        <f aca="false">IF(A224=A223,B224,INDEX(Rounds!$D:$D,MATCH(A223,Rounds!$A:$A,0)))</f>
        <v>46300.1156773495</v>
      </c>
      <c r="D223" s="30" t="n">
        <f aca="false">(B223-INDEX(Rounds!$C:$C,MATCH(A223,Rounds!$A:$A,0)))*86400</f>
        <v>67.113000364</v>
      </c>
      <c r="E223" s="30" t="n">
        <f aca="false">(C223-INDEX(Rounds!$C:$C,MATCH(A223,Rounds!$A:$A,0)))*86400</f>
        <v>67.33700023</v>
      </c>
      <c r="F223" s="31" t="n">
        <f aca="false">(C223-B223)*86400</f>
        <v>0.223999866</v>
      </c>
      <c r="G223" s="27" t="s">
        <v>152</v>
      </c>
      <c r="H223" s="27" t="s">
        <v>208</v>
      </c>
      <c r="I223" s="27" t="s">
        <v>361</v>
      </c>
      <c r="J223" s="27" t="s">
        <v>220</v>
      </c>
      <c r="K223" s="27" t="s">
        <v>365</v>
      </c>
      <c r="L223" s="3" t="str">
        <f aca="false">IF(ISNUMBER(SEARCH(" m",I223)),"Range",IF(I223="offline","Offline",IF(I223="","Unknown","No echo / error")))</f>
        <v>Range</v>
      </c>
      <c r="M223" s="3" t="str">
        <f aca="false">IF(ISNUMBER(SEARCH(" m",J223)),"Range",IF(J223="offline","Offline",IF(J223="","Unknown","No echo / error")))</f>
        <v>No echo / error</v>
      </c>
      <c r="N223" s="3" t="str">
        <f aca="false">IF(ISNUMBER(SEARCH(" m",K223)),"Range",IF(K223="offline","Offline",IF(K223="","Unknown","No echo / error")))</f>
        <v>Range</v>
      </c>
      <c r="O223" s="3" t="str">
        <f aca="false">TEXT(B223,"yyyy-mm-dd")</f>
        <v>2026-10-05</v>
      </c>
    </row>
    <row r="224" customFormat="false" ht="15" hidden="false" customHeight="false" outlineLevel="0" collapsed="false">
      <c r="A224" s="27" t="n">
        <v>4</v>
      </c>
      <c r="B224" s="28" t="n">
        <v>46300.1156773495</v>
      </c>
      <c r="C224" s="29" t="n">
        <f aca="false">IF(A225=A224,B225,INDEX(Rounds!$D:$D,MATCH(A224,Rounds!$A:$A,0)))</f>
        <v>46300.1156825694</v>
      </c>
      <c r="D224" s="30" t="n">
        <f aca="false">(B224-INDEX(Rounds!$C:$C,MATCH(A224,Rounds!$A:$A,0)))*86400</f>
        <v>67.33700023</v>
      </c>
      <c r="E224" s="30" t="n">
        <f aca="false">(C224-INDEX(Rounds!$C:$C,MATCH(A224,Rounds!$A:$A,0)))*86400</f>
        <v>67.787999846</v>
      </c>
      <c r="F224" s="31" t="n">
        <f aca="false">(C224-B224)*86400</f>
        <v>0.450999615</v>
      </c>
      <c r="G224" s="27" t="s">
        <v>151</v>
      </c>
      <c r="H224" s="27" t="s">
        <v>203</v>
      </c>
      <c r="I224" s="27" t="s">
        <v>361</v>
      </c>
      <c r="J224" s="27" t="s">
        <v>220</v>
      </c>
      <c r="K224" s="27" t="s">
        <v>220</v>
      </c>
      <c r="L224" s="3" t="str">
        <f aca="false">IF(ISNUMBER(SEARCH(" m",I224)),"Range",IF(I224="offline","Offline",IF(I224="","Unknown","No echo / error")))</f>
        <v>Range</v>
      </c>
      <c r="M224" s="3" t="str">
        <f aca="false">IF(ISNUMBER(SEARCH(" m",J224)),"Range",IF(J224="offline","Offline",IF(J224="","Unknown","No echo / error")))</f>
        <v>No echo / error</v>
      </c>
      <c r="N224" s="3" t="str">
        <f aca="false">IF(ISNUMBER(SEARCH(" m",K224)),"Range",IF(K224="offline","Offline",IF(K224="","Unknown","No echo / error")))</f>
        <v>No echo / error</v>
      </c>
      <c r="O224" s="3" t="str">
        <f aca="false">TEXT(B224,"yyyy-mm-dd")</f>
        <v>2026-10-05</v>
      </c>
    </row>
    <row r="225" customFormat="false" ht="15" hidden="false" customHeight="false" outlineLevel="0" collapsed="false">
      <c r="A225" s="27" t="n">
        <v>4</v>
      </c>
      <c r="B225" s="28" t="n">
        <v>46300.1156825694</v>
      </c>
      <c r="C225" s="29" t="n">
        <f aca="false">IF(A226=A225,B226,INDEX(Rounds!$D:$D,MATCH(A225,Rounds!$A:$A,0)))</f>
        <v>46300.1156920139</v>
      </c>
      <c r="D225" s="30" t="n">
        <f aca="false">(B225-INDEX(Rounds!$C:$C,MATCH(A225,Rounds!$A:$A,0)))*86400</f>
        <v>67.787999846</v>
      </c>
      <c r="E225" s="30" t="n">
        <f aca="false">(C225-INDEX(Rounds!$C:$C,MATCH(A225,Rounds!$A:$A,0)))*86400</f>
        <v>68.604000122</v>
      </c>
      <c r="F225" s="31" t="n">
        <f aca="false">(C225-B225)*86400</f>
        <v>0.816000276</v>
      </c>
      <c r="G225" s="27" t="s">
        <v>150</v>
      </c>
      <c r="H225" s="27" t="s">
        <v>206</v>
      </c>
      <c r="I225" s="27" t="s">
        <v>266</v>
      </c>
      <c r="J225" s="27" t="s">
        <v>204</v>
      </c>
      <c r="K225" s="27" t="s">
        <v>214</v>
      </c>
      <c r="L225" s="3" t="str">
        <f aca="false">IF(ISNUMBER(SEARCH(" m",I225)),"Range",IF(I225="offline","Offline",IF(I225="","Unknown","No echo / error")))</f>
        <v>Range</v>
      </c>
      <c r="M225" s="3" t="str">
        <f aca="false">IF(ISNUMBER(SEARCH(" m",J225)),"Range",IF(J225="offline","Offline",IF(J225="","Unknown","No echo / error")))</f>
        <v>No echo / error</v>
      </c>
      <c r="N225" s="3" t="str">
        <f aca="false">IF(ISNUMBER(SEARCH(" m",K225)),"Range",IF(K225="offline","Offline",IF(K225="","Unknown","No echo / error")))</f>
        <v>Range</v>
      </c>
      <c r="O225" s="3" t="str">
        <f aca="false">TEXT(B225,"yyyy-mm-dd")</f>
        <v>2026-10-05</v>
      </c>
    </row>
    <row r="226" customFormat="false" ht="15" hidden="false" customHeight="false" outlineLevel="0" collapsed="false">
      <c r="A226" s="27" t="n">
        <v>4</v>
      </c>
      <c r="B226" s="28" t="n">
        <v>46300.1156920139</v>
      </c>
      <c r="C226" s="29" t="n">
        <f aca="false">IF(A227=A226,B227,INDEX(Rounds!$D:$D,MATCH(A226,Rounds!$A:$A,0)))</f>
        <v>46300.1156985185</v>
      </c>
      <c r="D226" s="30" t="n">
        <f aca="false">(B226-INDEX(Rounds!$C:$C,MATCH(A226,Rounds!$A:$A,0)))*86400</f>
        <v>68.604000122</v>
      </c>
      <c r="E226" s="30" t="n">
        <f aca="false">(C226-INDEX(Rounds!$C:$C,MATCH(A226,Rounds!$A:$A,0)))*86400</f>
        <v>69.166000443</v>
      </c>
      <c r="F226" s="31" t="n">
        <f aca="false">(C226-B226)*86400</f>
        <v>0.562000321</v>
      </c>
      <c r="G226" s="27" t="s">
        <v>152</v>
      </c>
      <c r="H226" s="27" t="s">
        <v>208</v>
      </c>
      <c r="I226" s="27" t="s">
        <v>211</v>
      </c>
      <c r="J226" s="27" t="s">
        <v>242</v>
      </c>
      <c r="K226" s="27" t="s">
        <v>214</v>
      </c>
      <c r="L226" s="3" t="str">
        <f aca="false">IF(ISNUMBER(SEARCH(" m",I226)),"Range",IF(I226="offline","Offline",IF(I226="","Unknown","No echo / error")))</f>
        <v>No echo / error</v>
      </c>
      <c r="M226" s="3" t="str">
        <f aca="false">IF(ISNUMBER(SEARCH(" m",J226)),"Range",IF(J226="offline","Offline",IF(J226="","Unknown","No echo / error")))</f>
        <v>Range</v>
      </c>
      <c r="N226" s="3" t="str">
        <f aca="false">IF(ISNUMBER(SEARCH(" m",K226)),"Range",IF(K226="offline","Offline",IF(K226="","Unknown","No echo / error")))</f>
        <v>Range</v>
      </c>
      <c r="O226" s="3" t="str">
        <f aca="false">TEXT(B226,"yyyy-mm-dd")</f>
        <v>2026-10-05</v>
      </c>
    </row>
    <row r="227" customFormat="false" ht="15" hidden="false" customHeight="false" outlineLevel="0" collapsed="false">
      <c r="A227" s="27" t="n">
        <v>4</v>
      </c>
      <c r="B227" s="28" t="n">
        <v>46300.1156985185</v>
      </c>
      <c r="C227" s="29" t="n">
        <f aca="false">IF(A228=A227,B228,INDEX(Rounds!$D:$D,MATCH(A227,Rounds!$A:$A,0)))</f>
        <v>46300.1157009607</v>
      </c>
      <c r="D227" s="30" t="n">
        <f aca="false">(B227-INDEX(Rounds!$C:$C,MATCH(A227,Rounds!$A:$A,0)))*86400</f>
        <v>69.166000443</v>
      </c>
      <c r="E227" s="30" t="n">
        <f aca="false">(C227-INDEX(Rounds!$C:$C,MATCH(A227,Rounds!$A:$A,0)))*86400</f>
        <v>69.376999977</v>
      </c>
      <c r="F227" s="31" t="n">
        <f aca="false">(C227-B227)*86400</f>
        <v>0.210999534</v>
      </c>
      <c r="G227" s="27" t="s">
        <v>151</v>
      </c>
      <c r="H227" s="27" t="s">
        <v>203</v>
      </c>
      <c r="I227" s="27" t="s">
        <v>211</v>
      </c>
      <c r="J227" s="27" t="s">
        <v>282</v>
      </c>
      <c r="K227" s="27" t="s">
        <v>214</v>
      </c>
      <c r="L227" s="3" t="str">
        <f aca="false">IF(ISNUMBER(SEARCH(" m",I227)),"Range",IF(I227="offline","Offline",IF(I227="","Unknown","No echo / error")))</f>
        <v>No echo / error</v>
      </c>
      <c r="M227" s="3" t="str">
        <f aca="false">IF(ISNUMBER(SEARCH(" m",J227)),"Range",IF(J227="offline","Offline",IF(J227="","Unknown","No echo / error")))</f>
        <v>Range</v>
      </c>
      <c r="N227" s="3" t="str">
        <f aca="false">IF(ISNUMBER(SEARCH(" m",K227)),"Range",IF(K227="offline","Offline",IF(K227="","Unknown","No echo / error")))</f>
        <v>Range</v>
      </c>
      <c r="O227" s="3" t="str">
        <f aca="false">TEXT(B227,"yyyy-mm-dd")</f>
        <v>2026-10-05</v>
      </c>
    </row>
    <row r="228" customFormat="false" ht="15" hidden="false" customHeight="false" outlineLevel="0" collapsed="false">
      <c r="A228" s="27" t="n">
        <v>4</v>
      </c>
      <c r="B228" s="28" t="n">
        <v>46300.1157009607</v>
      </c>
      <c r="C228" s="29" t="n">
        <f aca="false">IF(A229=A228,B229,INDEX(Rounds!$D:$D,MATCH(A228,Rounds!$A:$A,0)))</f>
        <v>46300.1157065278</v>
      </c>
      <c r="D228" s="30" t="n">
        <f aca="false">(B228-INDEX(Rounds!$C:$C,MATCH(A228,Rounds!$A:$A,0)))*86400</f>
        <v>69.376999977</v>
      </c>
      <c r="E228" s="30" t="n">
        <f aca="false">(C228-INDEX(Rounds!$C:$C,MATCH(A228,Rounds!$A:$A,0)))*86400</f>
        <v>69.858000311</v>
      </c>
      <c r="F228" s="31" t="n">
        <f aca="false">(C228-B228)*86400</f>
        <v>0.481000333</v>
      </c>
      <c r="G228" s="27" t="s">
        <v>150</v>
      </c>
      <c r="H228" s="27" t="s">
        <v>206</v>
      </c>
      <c r="I228" s="27" t="s">
        <v>361</v>
      </c>
      <c r="J228" s="27" t="s">
        <v>282</v>
      </c>
      <c r="K228" s="27" t="s">
        <v>214</v>
      </c>
      <c r="L228" s="3" t="str">
        <f aca="false">IF(ISNUMBER(SEARCH(" m",I228)),"Range",IF(I228="offline","Offline",IF(I228="","Unknown","No echo / error")))</f>
        <v>Range</v>
      </c>
      <c r="M228" s="3" t="str">
        <f aca="false">IF(ISNUMBER(SEARCH(" m",J228)),"Range",IF(J228="offline","Offline",IF(J228="","Unknown","No echo / error")))</f>
        <v>Range</v>
      </c>
      <c r="N228" s="3" t="str">
        <f aca="false">IF(ISNUMBER(SEARCH(" m",K228)),"Range",IF(K228="offline","Offline",IF(K228="","Unknown","No echo / error")))</f>
        <v>Range</v>
      </c>
      <c r="O228" s="3" t="str">
        <f aca="false">TEXT(B228,"yyyy-mm-dd")</f>
        <v>2026-10-05</v>
      </c>
    </row>
    <row r="229" customFormat="false" ht="15" hidden="false" customHeight="false" outlineLevel="0" collapsed="false">
      <c r="A229" s="27" t="n">
        <v>4</v>
      </c>
      <c r="B229" s="28" t="n">
        <v>46300.1157065278</v>
      </c>
      <c r="C229" s="29" t="n">
        <f aca="false">IF(A230=A229,B230,INDEX(Rounds!$D:$D,MATCH(A229,Rounds!$A:$A,0)))</f>
        <v>46300.1157069097</v>
      </c>
      <c r="D229" s="30" t="n">
        <f aca="false">(B229-INDEX(Rounds!$C:$C,MATCH(A229,Rounds!$A:$A,0)))*86400</f>
        <v>69.858000311</v>
      </c>
      <c r="E229" s="30" t="n">
        <f aca="false">(C229-INDEX(Rounds!$C:$C,MATCH(A229,Rounds!$A:$A,0)))*86400</f>
        <v>69.890999654</v>
      </c>
      <c r="F229" s="31" t="n">
        <f aca="false">(C229-B229)*86400</f>
        <v>0.032999343</v>
      </c>
      <c r="G229" s="27" t="s">
        <v>152</v>
      </c>
      <c r="H229" s="27" t="s">
        <v>208</v>
      </c>
      <c r="I229" s="27" t="s">
        <v>337</v>
      </c>
      <c r="J229" s="27" t="s">
        <v>204</v>
      </c>
      <c r="K229" s="27" t="s">
        <v>204</v>
      </c>
      <c r="L229" s="3" t="str">
        <f aca="false">IF(ISNUMBER(SEARCH(" m",I229)),"Range",IF(I229="offline","Offline",IF(I229="","Unknown","No echo / error")))</f>
        <v>Range</v>
      </c>
      <c r="M229" s="3" t="str">
        <f aca="false">IF(ISNUMBER(SEARCH(" m",J229)),"Range",IF(J229="offline","Offline",IF(J229="","Unknown","No echo / error")))</f>
        <v>No echo / error</v>
      </c>
      <c r="N229" s="3" t="str">
        <f aca="false">IF(ISNUMBER(SEARCH(" m",K229)),"Range",IF(K229="offline","Offline",IF(K229="","Unknown","No echo / error")))</f>
        <v>No echo / error</v>
      </c>
      <c r="O229" s="3" t="str">
        <f aca="false">TEXT(B229,"yyyy-mm-dd")</f>
        <v>2026-10-05</v>
      </c>
    </row>
    <row r="230" customFormat="false" ht="15" hidden="false" customHeight="false" outlineLevel="0" collapsed="false">
      <c r="A230" s="27" t="n">
        <v>4</v>
      </c>
      <c r="B230" s="28" t="n">
        <v>46300.1157069097</v>
      </c>
      <c r="C230" s="29" t="n">
        <f aca="false">IF(A231=A230,B231,INDEX(Rounds!$D:$D,MATCH(A230,Rounds!$A:$A,0)))</f>
        <v>46300.1157110301</v>
      </c>
      <c r="D230" s="30" t="n">
        <f aca="false">(B230-INDEX(Rounds!$C:$C,MATCH(A230,Rounds!$A:$A,0)))*86400</f>
        <v>69.890999654</v>
      </c>
      <c r="E230" s="30" t="n">
        <f aca="false">(C230-INDEX(Rounds!$C:$C,MATCH(A230,Rounds!$A:$A,0)))*86400</f>
        <v>70.247000036</v>
      </c>
      <c r="F230" s="31" t="n">
        <f aca="false">(C230-B230)*86400</f>
        <v>0.356000382</v>
      </c>
      <c r="G230" s="27" t="s">
        <v>151</v>
      </c>
      <c r="H230" s="27" t="s">
        <v>203</v>
      </c>
      <c r="I230" s="27" t="s">
        <v>338</v>
      </c>
      <c r="J230" s="27" t="s">
        <v>204</v>
      </c>
      <c r="K230" s="27" t="s">
        <v>204</v>
      </c>
      <c r="L230" s="3" t="str">
        <f aca="false">IF(ISNUMBER(SEARCH(" m",I230)),"Range",IF(I230="offline","Offline",IF(I230="","Unknown","No echo / error")))</f>
        <v>Range</v>
      </c>
      <c r="M230" s="3" t="str">
        <f aca="false">IF(ISNUMBER(SEARCH(" m",J230)),"Range",IF(J230="offline","Offline",IF(J230="","Unknown","No echo / error")))</f>
        <v>No echo / error</v>
      </c>
      <c r="N230" s="3" t="str">
        <f aca="false">IF(ISNUMBER(SEARCH(" m",K230)),"Range",IF(K230="offline","Offline",IF(K230="","Unknown","No echo / error")))</f>
        <v>No echo / error</v>
      </c>
      <c r="O230" s="3" t="str">
        <f aca="false">TEXT(B230,"yyyy-mm-dd")</f>
        <v>2026-10-05</v>
      </c>
    </row>
    <row r="231" customFormat="false" ht="15" hidden="false" customHeight="false" outlineLevel="0" collapsed="false">
      <c r="A231" s="27" t="n">
        <v>4</v>
      </c>
      <c r="B231" s="28" t="n">
        <v>46300.1157110301</v>
      </c>
      <c r="C231" s="29" t="n">
        <f aca="false">IF(A232=A231,B232,INDEX(Rounds!$D:$D,MATCH(A231,Rounds!$A:$A,0)))</f>
        <v>46300.1157160764</v>
      </c>
      <c r="D231" s="30" t="n">
        <f aca="false">(B231-INDEX(Rounds!$C:$C,MATCH(A231,Rounds!$A:$A,0)))*86400</f>
        <v>70.247000036</v>
      </c>
      <c r="E231" s="30" t="n">
        <f aca="false">(C231-INDEX(Rounds!$C:$C,MATCH(A231,Rounds!$A:$A,0)))*86400</f>
        <v>70.683000236</v>
      </c>
      <c r="F231" s="31" t="n">
        <f aca="false">(C231-B231)*86400</f>
        <v>0.436000199</v>
      </c>
      <c r="G231" s="27" t="s">
        <v>150</v>
      </c>
      <c r="H231" s="27" t="s">
        <v>206</v>
      </c>
      <c r="I231" s="27" t="s">
        <v>338</v>
      </c>
      <c r="J231" s="27" t="s">
        <v>204</v>
      </c>
      <c r="K231" s="27" t="s">
        <v>259</v>
      </c>
      <c r="L231" s="3" t="str">
        <f aca="false">IF(ISNUMBER(SEARCH(" m",I231)),"Range",IF(I231="offline","Offline",IF(I231="","Unknown","No echo / error")))</f>
        <v>Range</v>
      </c>
      <c r="M231" s="3" t="str">
        <f aca="false">IF(ISNUMBER(SEARCH(" m",J231)),"Range",IF(J231="offline","Offline",IF(J231="","Unknown","No echo / error")))</f>
        <v>No echo / error</v>
      </c>
      <c r="N231" s="3" t="str">
        <f aca="false">IF(ISNUMBER(SEARCH(" m",K231)),"Range",IF(K231="offline","Offline",IF(K231="","Unknown","No echo / error")))</f>
        <v>Range</v>
      </c>
      <c r="O231" s="3" t="str">
        <f aca="false">TEXT(B231,"yyyy-mm-dd")</f>
        <v>2026-10-05</v>
      </c>
    </row>
    <row r="232" customFormat="false" ht="15" hidden="false" customHeight="false" outlineLevel="0" collapsed="false">
      <c r="A232" s="27" t="n">
        <v>4</v>
      </c>
      <c r="B232" s="28" t="n">
        <v>46300.1157160764</v>
      </c>
      <c r="C232" s="29" t="n">
        <f aca="false">IF(A233=A232,B233,INDEX(Rounds!$D:$D,MATCH(A232,Rounds!$A:$A,0)))</f>
        <v>46300.1157173727</v>
      </c>
      <c r="D232" s="30" t="n">
        <f aca="false">(B232-INDEX(Rounds!$C:$C,MATCH(A232,Rounds!$A:$A,0)))*86400</f>
        <v>70.683000236</v>
      </c>
      <c r="E232" s="30" t="n">
        <f aca="false">(C232-INDEX(Rounds!$C:$C,MATCH(A232,Rounds!$A:$A,0)))*86400</f>
        <v>70.794999855</v>
      </c>
      <c r="F232" s="31" t="n">
        <f aca="false">(C232-B232)*86400</f>
        <v>0.111999618</v>
      </c>
      <c r="G232" s="27" t="s">
        <v>151</v>
      </c>
      <c r="H232" s="27" t="s">
        <v>203</v>
      </c>
      <c r="I232" s="27" t="s">
        <v>204</v>
      </c>
      <c r="J232" s="27" t="s">
        <v>204</v>
      </c>
      <c r="K232" s="27" t="s">
        <v>265</v>
      </c>
      <c r="L232" s="3" t="str">
        <f aca="false">IF(ISNUMBER(SEARCH(" m",I232)),"Range",IF(I232="offline","Offline",IF(I232="","Unknown","No echo / error")))</f>
        <v>No echo / error</v>
      </c>
      <c r="M232" s="3" t="str">
        <f aca="false">IF(ISNUMBER(SEARCH(" m",J232)),"Range",IF(J232="offline","Offline",IF(J232="","Unknown","No echo / error")))</f>
        <v>No echo / error</v>
      </c>
      <c r="N232" s="3" t="str">
        <f aca="false">IF(ISNUMBER(SEARCH(" m",K232)),"Range",IF(K232="offline","Offline",IF(K232="","Unknown","No echo / error")))</f>
        <v>Range</v>
      </c>
      <c r="O232" s="3" t="str">
        <f aca="false">TEXT(B232,"yyyy-mm-dd")</f>
        <v>2026-10-05</v>
      </c>
    </row>
    <row r="233" customFormat="false" ht="15" hidden="false" customHeight="false" outlineLevel="0" collapsed="false">
      <c r="A233" s="27" t="n">
        <v>4</v>
      </c>
      <c r="B233" s="28" t="n">
        <v>46300.1157173727</v>
      </c>
      <c r="C233" s="29" t="n">
        <f aca="false">IF(A234=A233,B234,INDEX(Rounds!$D:$D,MATCH(A233,Rounds!$A:$A,0)))</f>
        <v>46300.1157173727</v>
      </c>
      <c r="D233" s="30" t="n">
        <f aca="false">(B233-INDEX(Rounds!$C:$C,MATCH(A233,Rounds!$A:$A,0)))*86400</f>
        <v>70.794999855</v>
      </c>
      <c r="E233" s="30" t="n">
        <f aca="false">(C233-INDEX(Rounds!$C:$C,MATCH(A233,Rounds!$A:$A,0)))*86400</f>
        <v>70.794999855</v>
      </c>
      <c r="F233" s="31" t="n">
        <f aca="false">(C233-B233)*86400</f>
        <v>0</v>
      </c>
      <c r="G233" s="27" t="s">
        <v>154</v>
      </c>
      <c r="H233" s="27" t="s">
        <v>203</v>
      </c>
      <c r="I233" s="27" t="s">
        <v>204</v>
      </c>
      <c r="J233" s="27" t="s">
        <v>204</v>
      </c>
      <c r="K233" s="27" t="s">
        <v>265</v>
      </c>
      <c r="L233" s="3" t="str">
        <f aca="false">IF(ISNUMBER(SEARCH(" m",I233)),"Range",IF(I233="offline","Offline",IF(I233="","Unknown","No echo / error")))</f>
        <v>No echo / error</v>
      </c>
      <c r="M233" s="3" t="str">
        <f aca="false">IF(ISNUMBER(SEARCH(" m",J233)),"Range",IF(J233="offline","Offline",IF(J233="","Unknown","No echo / error")))</f>
        <v>No echo / error</v>
      </c>
      <c r="N233" s="3" t="str">
        <f aca="false">IF(ISNUMBER(SEARCH(" m",K233)),"Range",IF(K233="offline","Offline",IF(K233="","Unknown","No echo / error")))</f>
        <v>Range</v>
      </c>
      <c r="O233" s="3" t="str">
        <f aca="false">TEXT(B233,"yyyy-mm-dd")</f>
        <v>2026-10-05</v>
      </c>
    </row>
    <row r="234" customFormat="false" ht="15" hidden="false" customHeight="false" outlineLevel="0" collapsed="false">
      <c r="A234" s="27" t="n">
        <v>5</v>
      </c>
      <c r="B234" s="28" t="n">
        <v>46300.127267963</v>
      </c>
      <c r="C234" s="29" t="n">
        <f aca="false">IF(A235=A234,B235,INDEX(Rounds!$D:$D,MATCH(A234,Rounds!$A:$A,0)))</f>
        <v>46300.127267963</v>
      </c>
      <c r="D234" s="30" t="n">
        <f aca="false">(B234-INDEX(Rounds!$C:$C,MATCH(A234,Rounds!$A:$A,0)))*86400</f>
        <v>0</v>
      </c>
      <c r="E234" s="30" t="n">
        <f aca="false">(C234-INDEX(Rounds!$C:$C,MATCH(A234,Rounds!$A:$A,0)))*86400</f>
        <v>0</v>
      </c>
      <c r="F234" s="31" t="n">
        <f aca="false">(C234-B234)*86400</f>
        <v>0</v>
      </c>
      <c r="G234" s="27" t="s">
        <v>152</v>
      </c>
      <c r="H234" s="27" t="s">
        <v>208</v>
      </c>
      <c r="I234" s="27" t="s">
        <v>271</v>
      </c>
      <c r="J234" s="27" t="s">
        <v>261</v>
      </c>
      <c r="K234" s="27" t="s">
        <v>204</v>
      </c>
      <c r="L234" s="3" t="str">
        <f aca="false">IF(ISNUMBER(SEARCH(" m",I234)),"Range",IF(I234="offline","Offline",IF(I234="","Unknown","No echo / error")))</f>
        <v>Range</v>
      </c>
      <c r="M234" s="3" t="str">
        <f aca="false">IF(ISNUMBER(SEARCH(" m",J234)),"Range",IF(J234="offline","Offline",IF(J234="","Unknown","No echo / error")))</f>
        <v>Range</v>
      </c>
      <c r="N234" s="3" t="str">
        <f aca="false">IF(ISNUMBER(SEARCH(" m",K234)),"Range",IF(K234="offline","Offline",IF(K234="","Unknown","No echo / error")))</f>
        <v>No echo / error</v>
      </c>
      <c r="O234" s="3" t="str">
        <f aca="false">TEXT(B234,"yyyy-mm-dd")</f>
        <v>2026-10-05</v>
      </c>
    </row>
    <row r="235" customFormat="false" ht="15" hidden="false" customHeight="false" outlineLevel="0" collapsed="false">
      <c r="A235" s="27" t="n">
        <v>5</v>
      </c>
      <c r="B235" s="28" t="n">
        <v>46300.127267963</v>
      </c>
      <c r="C235" s="29" t="n">
        <f aca="false">IF(A236=A235,B236,INDEX(Rounds!$D:$D,MATCH(A235,Rounds!$A:$A,0)))</f>
        <v>46300.127267963</v>
      </c>
      <c r="D235" s="30" t="n">
        <f aca="false">(B235-INDEX(Rounds!$C:$C,MATCH(A235,Rounds!$A:$A,0)))*86400</f>
        <v>0</v>
      </c>
      <c r="E235" s="30" t="n">
        <f aca="false">(C235-INDEX(Rounds!$C:$C,MATCH(A235,Rounds!$A:$A,0)))*86400</f>
        <v>0</v>
      </c>
      <c r="F235" s="31" t="n">
        <f aca="false">(C235-B235)*86400</f>
        <v>0</v>
      </c>
      <c r="G235" s="27" t="s">
        <v>152</v>
      </c>
      <c r="H235" s="27" t="s">
        <v>208</v>
      </c>
      <c r="I235" s="27" t="s">
        <v>271</v>
      </c>
      <c r="J235" s="27" t="s">
        <v>261</v>
      </c>
      <c r="K235" s="27" t="s">
        <v>204</v>
      </c>
      <c r="L235" s="3" t="str">
        <f aca="false">IF(ISNUMBER(SEARCH(" m",I235)),"Range",IF(I235="offline","Offline",IF(I235="","Unknown","No echo / error")))</f>
        <v>Range</v>
      </c>
      <c r="M235" s="3" t="str">
        <f aca="false">IF(ISNUMBER(SEARCH(" m",J235)),"Range",IF(J235="offline","Offline",IF(J235="","Unknown","No echo / error")))</f>
        <v>Range</v>
      </c>
      <c r="N235" s="3" t="str">
        <f aca="false">IF(ISNUMBER(SEARCH(" m",K235)),"Range",IF(K235="offline","Offline",IF(K235="","Unknown","No echo / error")))</f>
        <v>No echo / error</v>
      </c>
      <c r="O235" s="3" t="str">
        <f aca="false">TEXT(B235,"yyyy-mm-dd")</f>
        <v>2026-10-05</v>
      </c>
    </row>
    <row r="236" customFormat="false" ht="15" hidden="false" customHeight="false" outlineLevel="0" collapsed="false">
      <c r="A236" s="27" t="n">
        <v>5</v>
      </c>
      <c r="B236" s="28" t="n">
        <v>46300.127267963</v>
      </c>
      <c r="C236" s="29" t="n">
        <f aca="false">IF(A237=A236,B237,INDEX(Rounds!$D:$D,MATCH(A236,Rounds!$A:$A,0)))</f>
        <v>46300.1272757639</v>
      </c>
      <c r="D236" s="30" t="n">
        <f aca="false">(B236-INDEX(Rounds!$C:$C,MATCH(A236,Rounds!$A:$A,0)))*86400</f>
        <v>0</v>
      </c>
      <c r="E236" s="30" t="n">
        <f aca="false">(C236-INDEX(Rounds!$C:$C,MATCH(A236,Rounds!$A:$A,0)))*86400</f>
        <v>0.67399994</v>
      </c>
      <c r="F236" s="31" t="n">
        <f aca="false">(C236-B236)*86400</f>
        <v>0.67399994</v>
      </c>
      <c r="G236" s="27" t="s">
        <v>152</v>
      </c>
      <c r="H236" s="27" t="s">
        <v>199</v>
      </c>
      <c r="I236" s="27" t="s">
        <v>366</v>
      </c>
      <c r="J236" s="27" t="s">
        <v>367</v>
      </c>
      <c r="K236" s="27" t="s">
        <v>368</v>
      </c>
      <c r="L236" s="3" t="str">
        <f aca="false">IF(ISNUMBER(SEARCH(" m",I236)),"Range",IF(I236="offline","Offline",IF(I236="","Unknown","No echo / error")))</f>
        <v>No echo / error</v>
      </c>
      <c r="M236" s="3" t="str">
        <f aca="false">IF(ISNUMBER(SEARCH(" m",J236)),"Range",IF(J236="offline","Offline",IF(J236="","Unknown","No echo / error")))</f>
        <v>No echo / error</v>
      </c>
      <c r="N236" s="3" t="str">
        <f aca="false">IF(ISNUMBER(SEARCH(" m",K236)),"Range",IF(K236="offline","Offline",IF(K236="","Unknown","No echo / error")))</f>
        <v>No echo / error</v>
      </c>
      <c r="O236" s="3" t="str">
        <f aca="false">TEXT(B236,"yyyy-mm-dd")</f>
        <v>2026-10-05</v>
      </c>
    </row>
    <row r="237" customFormat="false" ht="15" hidden="false" customHeight="false" outlineLevel="0" collapsed="false">
      <c r="A237" s="27" t="n">
        <v>5</v>
      </c>
      <c r="B237" s="28" t="n">
        <v>46300.1272757639</v>
      </c>
      <c r="C237" s="29" t="n">
        <f aca="false">IF(A238=A237,B238,INDEX(Rounds!$D:$D,MATCH(A237,Rounds!$A:$A,0)))</f>
        <v>46300.1272877083</v>
      </c>
      <c r="D237" s="30" t="n">
        <f aca="false">(B237-INDEX(Rounds!$C:$C,MATCH(A237,Rounds!$A:$A,0)))*86400</f>
        <v>0.67399994</v>
      </c>
      <c r="E237" s="30" t="n">
        <f aca="false">(C237-INDEX(Rounds!$C:$C,MATCH(A237,Rounds!$A:$A,0)))*86400</f>
        <v>1.705999975</v>
      </c>
      <c r="F237" s="31" t="n">
        <f aca="false">(C237-B237)*86400</f>
        <v>1.032000035</v>
      </c>
      <c r="G237" s="27" t="s">
        <v>151</v>
      </c>
      <c r="H237" s="27" t="s">
        <v>203</v>
      </c>
      <c r="I237" s="27" t="s">
        <v>204</v>
      </c>
      <c r="J237" s="27" t="s">
        <v>291</v>
      </c>
      <c r="K237" s="27" t="s">
        <v>369</v>
      </c>
      <c r="L237" s="3" t="str">
        <f aca="false">IF(ISNUMBER(SEARCH(" m",I237)),"Range",IF(I237="offline","Offline",IF(I237="","Unknown","No echo / error")))</f>
        <v>No echo / error</v>
      </c>
      <c r="M237" s="3" t="str">
        <f aca="false">IF(ISNUMBER(SEARCH(" m",J237)),"Range",IF(J237="offline","Offline",IF(J237="","Unknown","No echo / error")))</f>
        <v>Range</v>
      </c>
      <c r="N237" s="3" t="str">
        <f aca="false">IF(ISNUMBER(SEARCH(" m",K237)),"Range",IF(K237="offline","Offline",IF(K237="","Unknown","No echo / error")))</f>
        <v>Range</v>
      </c>
      <c r="O237" s="3" t="str">
        <f aca="false">TEXT(B237,"yyyy-mm-dd")</f>
        <v>2026-10-05</v>
      </c>
    </row>
    <row r="238" customFormat="false" ht="15" hidden="false" customHeight="false" outlineLevel="0" collapsed="false">
      <c r="A238" s="27" t="n">
        <v>5</v>
      </c>
      <c r="B238" s="28" t="n">
        <v>46300.1272877083</v>
      </c>
      <c r="C238" s="29" t="n">
        <f aca="false">IF(A239=A238,B239,INDEX(Rounds!$D:$D,MATCH(A238,Rounds!$A:$A,0)))</f>
        <v>46300.1273040625</v>
      </c>
      <c r="D238" s="30" t="n">
        <f aca="false">(B238-INDEX(Rounds!$C:$C,MATCH(A238,Rounds!$A:$A,0)))*86400</f>
        <v>1.705999975</v>
      </c>
      <c r="E238" s="30" t="n">
        <f aca="false">(C238-INDEX(Rounds!$C:$C,MATCH(A238,Rounds!$A:$A,0)))*86400</f>
        <v>3.119000256</v>
      </c>
      <c r="F238" s="31" t="n">
        <f aca="false">(C238-B238)*86400</f>
        <v>1.413000281</v>
      </c>
      <c r="G238" s="27" t="s">
        <v>150</v>
      </c>
      <c r="H238" s="27" t="s">
        <v>206</v>
      </c>
      <c r="I238" s="27" t="s">
        <v>204</v>
      </c>
      <c r="J238" s="27" t="s">
        <v>207</v>
      </c>
      <c r="K238" s="27" t="s">
        <v>261</v>
      </c>
      <c r="L238" s="3" t="str">
        <f aca="false">IF(ISNUMBER(SEARCH(" m",I238)),"Range",IF(I238="offline","Offline",IF(I238="","Unknown","No echo / error")))</f>
        <v>No echo / error</v>
      </c>
      <c r="M238" s="3" t="str">
        <f aca="false">IF(ISNUMBER(SEARCH(" m",J238)),"Range",IF(J238="offline","Offline",IF(J238="","Unknown","No echo / error")))</f>
        <v>Range</v>
      </c>
      <c r="N238" s="3" t="str">
        <f aca="false">IF(ISNUMBER(SEARCH(" m",K238)),"Range",IF(K238="offline","Offline",IF(K238="","Unknown","No echo / error")))</f>
        <v>Range</v>
      </c>
      <c r="O238" s="3" t="str">
        <f aca="false">TEXT(B238,"yyyy-mm-dd")</f>
        <v>2026-10-05</v>
      </c>
    </row>
    <row r="239" customFormat="false" ht="15" hidden="false" customHeight="false" outlineLevel="0" collapsed="false">
      <c r="A239" s="27" t="n">
        <v>5</v>
      </c>
      <c r="B239" s="28" t="n">
        <v>46300.1273040625</v>
      </c>
      <c r="C239" s="29" t="n">
        <f aca="false">IF(A240=A239,B240,INDEX(Rounds!$D:$D,MATCH(A239,Rounds!$A:$A,0)))</f>
        <v>46300.1273098264</v>
      </c>
      <c r="D239" s="30" t="n">
        <f aca="false">(B239-INDEX(Rounds!$C:$C,MATCH(A239,Rounds!$A:$A,0)))*86400</f>
        <v>3.119000256</v>
      </c>
      <c r="E239" s="30" t="n">
        <f aca="false">(C239-INDEX(Rounds!$C:$C,MATCH(A239,Rounds!$A:$A,0)))*86400</f>
        <v>3.617000347</v>
      </c>
      <c r="F239" s="31" t="n">
        <f aca="false">(C239-B239)*86400</f>
        <v>0.49800009</v>
      </c>
      <c r="G239" s="27" t="s">
        <v>152</v>
      </c>
      <c r="H239" s="27" t="s">
        <v>208</v>
      </c>
      <c r="I239" s="27" t="s">
        <v>370</v>
      </c>
      <c r="J239" s="27" t="s">
        <v>277</v>
      </c>
      <c r="K239" s="27" t="s">
        <v>214</v>
      </c>
      <c r="L239" s="3" t="str">
        <f aca="false">IF(ISNUMBER(SEARCH(" m",I239)),"Range",IF(I239="offline","Offline",IF(I239="","Unknown","No echo / error")))</f>
        <v>Range</v>
      </c>
      <c r="M239" s="3" t="str">
        <f aca="false">IF(ISNUMBER(SEARCH(" m",J239)),"Range",IF(J239="offline","Offline",IF(J239="","Unknown","No echo / error")))</f>
        <v>Range</v>
      </c>
      <c r="N239" s="3" t="str">
        <f aca="false">IF(ISNUMBER(SEARCH(" m",K239)),"Range",IF(K239="offline","Offline",IF(K239="","Unknown","No echo / error")))</f>
        <v>Range</v>
      </c>
      <c r="O239" s="3" t="str">
        <f aca="false">TEXT(B239,"yyyy-mm-dd")</f>
        <v>2026-10-05</v>
      </c>
    </row>
    <row r="240" customFormat="false" ht="15" hidden="false" customHeight="false" outlineLevel="0" collapsed="false">
      <c r="A240" s="27" t="n">
        <v>5</v>
      </c>
      <c r="B240" s="28" t="n">
        <v>46300.1273098264</v>
      </c>
      <c r="C240" s="29" t="n">
        <f aca="false">IF(A241=A240,B241,INDEX(Rounds!$D:$D,MATCH(A240,Rounds!$A:$A,0)))</f>
        <v>46300.1273154167</v>
      </c>
      <c r="D240" s="30" t="n">
        <f aca="false">(B240-INDEX(Rounds!$C:$C,MATCH(A240,Rounds!$A:$A,0)))*86400</f>
        <v>3.617000347</v>
      </c>
      <c r="E240" s="30" t="n">
        <f aca="false">(C240-INDEX(Rounds!$C:$C,MATCH(A240,Rounds!$A:$A,0)))*86400</f>
        <v>4.100000392</v>
      </c>
      <c r="F240" s="31" t="n">
        <f aca="false">(C240-B240)*86400</f>
        <v>0.483000045</v>
      </c>
      <c r="G240" s="27" t="s">
        <v>151</v>
      </c>
      <c r="H240" s="27" t="s">
        <v>203</v>
      </c>
      <c r="I240" s="27" t="s">
        <v>370</v>
      </c>
      <c r="J240" s="27" t="s">
        <v>277</v>
      </c>
      <c r="K240" s="27" t="s">
        <v>211</v>
      </c>
      <c r="L240" s="3" t="str">
        <f aca="false">IF(ISNUMBER(SEARCH(" m",I240)),"Range",IF(I240="offline","Offline",IF(I240="","Unknown","No echo / error")))</f>
        <v>Range</v>
      </c>
      <c r="M240" s="3" t="str">
        <f aca="false">IF(ISNUMBER(SEARCH(" m",J240)),"Range",IF(J240="offline","Offline",IF(J240="","Unknown","No echo / error")))</f>
        <v>Range</v>
      </c>
      <c r="N240" s="3" t="str">
        <f aca="false">IF(ISNUMBER(SEARCH(" m",K240)),"Range",IF(K240="offline","Offline",IF(K240="","Unknown","No echo / error")))</f>
        <v>No echo / error</v>
      </c>
      <c r="O240" s="3" t="str">
        <f aca="false">TEXT(B240,"yyyy-mm-dd")</f>
        <v>2026-10-05</v>
      </c>
    </row>
    <row r="241" customFormat="false" ht="15" hidden="false" customHeight="false" outlineLevel="0" collapsed="false">
      <c r="A241" s="27" t="n">
        <v>5</v>
      </c>
      <c r="B241" s="28" t="n">
        <v>46300.1273154167</v>
      </c>
      <c r="C241" s="29" t="n">
        <f aca="false">IF(A242=A241,B242,INDEX(Rounds!$D:$D,MATCH(A241,Rounds!$A:$A,0)))</f>
        <v>46300.127328831</v>
      </c>
      <c r="D241" s="30" t="n">
        <f aca="false">(B241-INDEX(Rounds!$C:$C,MATCH(A241,Rounds!$A:$A,0)))*86400</f>
        <v>4.100000392</v>
      </c>
      <c r="E241" s="30" t="n">
        <f aca="false">(C241-INDEX(Rounds!$C:$C,MATCH(A241,Rounds!$A:$A,0)))*86400</f>
        <v>5.25900009</v>
      </c>
      <c r="F241" s="31" t="n">
        <f aca="false">(C241-B241)*86400</f>
        <v>1.158999698</v>
      </c>
      <c r="G241" s="27" t="s">
        <v>152</v>
      </c>
      <c r="H241" s="27" t="s">
        <v>208</v>
      </c>
      <c r="I241" s="27" t="s">
        <v>266</v>
      </c>
      <c r="J241" s="27" t="s">
        <v>277</v>
      </c>
      <c r="K241" s="27" t="s">
        <v>257</v>
      </c>
      <c r="L241" s="3" t="str">
        <f aca="false">IF(ISNUMBER(SEARCH(" m",I241)),"Range",IF(I241="offline","Offline",IF(I241="","Unknown","No echo / error")))</f>
        <v>Range</v>
      </c>
      <c r="M241" s="3" t="str">
        <f aca="false">IF(ISNUMBER(SEARCH(" m",J241)),"Range",IF(J241="offline","Offline",IF(J241="","Unknown","No echo / error")))</f>
        <v>Range</v>
      </c>
      <c r="N241" s="3" t="str">
        <f aca="false">IF(ISNUMBER(SEARCH(" m",K241)),"Range",IF(K241="offline","Offline",IF(K241="","Unknown","No echo / error")))</f>
        <v>Range</v>
      </c>
      <c r="O241" s="3" t="str">
        <f aca="false">TEXT(B241,"yyyy-mm-dd")</f>
        <v>2026-10-05</v>
      </c>
    </row>
    <row r="242" customFormat="false" ht="15" hidden="false" customHeight="false" outlineLevel="0" collapsed="false">
      <c r="A242" s="27" t="n">
        <v>5</v>
      </c>
      <c r="B242" s="28" t="n">
        <v>46300.127328831</v>
      </c>
      <c r="C242" s="29" t="n">
        <f aca="false">IF(A243=A242,B243,INDEX(Rounds!$D:$D,MATCH(A242,Rounds!$A:$A,0)))</f>
        <v>46300.1273306829</v>
      </c>
      <c r="D242" s="30" t="n">
        <f aca="false">(B242-INDEX(Rounds!$C:$C,MATCH(A242,Rounds!$A:$A,0)))*86400</f>
        <v>5.25900009</v>
      </c>
      <c r="E242" s="30" t="n">
        <f aca="false">(C242-INDEX(Rounds!$C:$C,MATCH(A242,Rounds!$A:$A,0)))*86400</f>
        <v>5.419000354</v>
      </c>
      <c r="F242" s="31" t="n">
        <f aca="false">(C242-B242)*86400</f>
        <v>0.160000263</v>
      </c>
      <c r="G242" s="27" t="s">
        <v>151</v>
      </c>
      <c r="H242" s="27" t="s">
        <v>203</v>
      </c>
      <c r="I242" s="27" t="s">
        <v>221</v>
      </c>
      <c r="J242" s="27" t="s">
        <v>371</v>
      </c>
      <c r="K242" s="27" t="s">
        <v>362</v>
      </c>
      <c r="L242" s="3" t="str">
        <f aca="false">IF(ISNUMBER(SEARCH(" m",I242)),"Range",IF(I242="offline","Offline",IF(I242="","Unknown","No echo / error")))</f>
        <v>Range</v>
      </c>
      <c r="M242" s="3" t="str">
        <f aca="false">IF(ISNUMBER(SEARCH(" m",J242)),"Range",IF(J242="offline","Offline",IF(J242="","Unknown","No echo / error")))</f>
        <v>Range</v>
      </c>
      <c r="N242" s="3" t="str">
        <f aca="false">IF(ISNUMBER(SEARCH(" m",K242)),"Range",IF(K242="offline","Offline",IF(K242="","Unknown","No echo / error")))</f>
        <v>Range</v>
      </c>
      <c r="O242" s="3" t="str">
        <f aca="false">TEXT(B242,"yyyy-mm-dd")</f>
        <v>2026-10-05</v>
      </c>
    </row>
    <row r="243" customFormat="false" ht="15" hidden="false" customHeight="false" outlineLevel="0" collapsed="false">
      <c r="A243" s="27" t="n">
        <v>5</v>
      </c>
      <c r="B243" s="28" t="n">
        <v>46300.1273306829</v>
      </c>
      <c r="C243" s="29" t="n">
        <f aca="false">IF(A244=A243,B244,INDEX(Rounds!$D:$D,MATCH(A243,Rounds!$A:$A,0)))</f>
        <v>46300.1273831944</v>
      </c>
      <c r="D243" s="30" t="n">
        <f aca="false">(B243-INDEX(Rounds!$C:$C,MATCH(A243,Rounds!$A:$A,0)))*86400</f>
        <v>5.419000354</v>
      </c>
      <c r="E243" s="30" t="n">
        <f aca="false">(C243-INDEX(Rounds!$C:$C,MATCH(A243,Rounds!$A:$A,0)))*86400</f>
        <v>9.95599986</v>
      </c>
      <c r="F243" s="31" t="n">
        <f aca="false">(C243-B243)*86400</f>
        <v>4.536999505</v>
      </c>
      <c r="G243" s="27" t="s">
        <v>150</v>
      </c>
      <c r="H243" s="27" t="s">
        <v>206</v>
      </c>
      <c r="I243" s="27" t="s">
        <v>221</v>
      </c>
      <c r="J243" s="27" t="s">
        <v>371</v>
      </c>
      <c r="K243" s="27" t="s">
        <v>287</v>
      </c>
      <c r="L243" s="3" t="str">
        <f aca="false">IF(ISNUMBER(SEARCH(" m",I243)),"Range",IF(I243="offline","Offline",IF(I243="","Unknown","No echo / error")))</f>
        <v>Range</v>
      </c>
      <c r="M243" s="3" t="str">
        <f aca="false">IF(ISNUMBER(SEARCH(" m",J243)),"Range",IF(J243="offline","Offline",IF(J243="","Unknown","No echo / error")))</f>
        <v>Range</v>
      </c>
      <c r="N243" s="3" t="str">
        <f aca="false">IF(ISNUMBER(SEARCH(" m",K243)),"Range",IF(K243="offline","Offline",IF(K243="","Unknown","No echo / error")))</f>
        <v>Range</v>
      </c>
      <c r="O243" s="3" t="str">
        <f aca="false">TEXT(B243,"yyyy-mm-dd")</f>
        <v>2026-10-05</v>
      </c>
    </row>
    <row r="244" customFormat="false" ht="15" hidden="false" customHeight="false" outlineLevel="0" collapsed="false">
      <c r="A244" s="27" t="n">
        <v>5</v>
      </c>
      <c r="B244" s="28" t="n">
        <v>46300.1273831944</v>
      </c>
      <c r="C244" s="29" t="n">
        <f aca="false">IF(A245=A244,B245,INDEX(Rounds!$D:$D,MATCH(A244,Rounds!$A:$A,0)))</f>
        <v>46300.1273932292</v>
      </c>
      <c r="D244" s="30" t="n">
        <f aca="false">(B244-INDEX(Rounds!$C:$C,MATCH(A244,Rounds!$A:$A,0)))*86400</f>
        <v>9.95599986</v>
      </c>
      <c r="E244" s="30" t="n">
        <f aca="false">(C244-INDEX(Rounds!$C:$C,MATCH(A244,Rounds!$A:$A,0)))*86400</f>
        <v>10.823000664</v>
      </c>
      <c r="F244" s="31" t="n">
        <f aca="false">(C244-B244)*86400</f>
        <v>0.867000804</v>
      </c>
      <c r="G244" s="27" t="s">
        <v>151</v>
      </c>
      <c r="H244" s="27" t="s">
        <v>203</v>
      </c>
      <c r="I244" s="27" t="s">
        <v>344</v>
      </c>
      <c r="J244" s="27" t="s">
        <v>222</v>
      </c>
      <c r="K244" s="27" t="s">
        <v>282</v>
      </c>
      <c r="L244" s="3" t="str">
        <f aca="false">IF(ISNUMBER(SEARCH(" m",I244)),"Range",IF(I244="offline","Offline",IF(I244="","Unknown","No echo / error")))</f>
        <v>Range</v>
      </c>
      <c r="M244" s="3" t="str">
        <f aca="false">IF(ISNUMBER(SEARCH(" m",J244)),"Range",IF(J244="offline","Offline",IF(J244="","Unknown","No echo / error")))</f>
        <v>Range</v>
      </c>
      <c r="N244" s="3" t="str">
        <f aca="false">IF(ISNUMBER(SEARCH(" m",K244)),"Range",IF(K244="offline","Offline",IF(K244="","Unknown","No echo / error")))</f>
        <v>Range</v>
      </c>
      <c r="O244" s="3" t="str">
        <f aca="false">TEXT(B244,"yyyy-mm-dd")</f>
        <v>2026-10-05</v>
      </c>
    </row>
    <row r="245" customFormat="false" ht="15" hidden="false" customHeight="false" outlineLevel="0" collapsed="false">
      <c r="A245" s="27" t="n">
        <v>5</v>
      </c>
      <c r="B245" s="28" t="n">
        <v>46300.1273932292</v>
      </c>
      <c r="C245" s="29" t="n">
        <f aca="false">IF(A246=A245,B246,INDEX(Rounds!$D:$D,MATCH(A245,Rounds!$A:$A,0)))</f>
        <v>46300.1274055093</v>
      </c>
      <c r="D245" s="30" t="n">
        <f aca="false">(B245-INDEX(Rounds!$C:$C,MATCH(A245,Rounds!$A:$A,0)))*86400</f>
        <v>10.823000664</v>
      </c>
      <c r="E245" s="30" t="n">
        <f aca="false">(C245-INDEX(Rounds!$C:$C,MATCH(A245,Rounds!$A:$A,0)))*86400</f>
        <v>11.883999989</v>
      </c>
      <c r="F245" s="31" t="n">
        <f aca="false">(C245-B245)*86400</f>
        <v>1.060999324</v>
      </c>
      <c r="G245" s="27" t="s">
        <v>150</v>
      </c>
      <c r="H245" s="27" t="s">
        <v>206</v>
      </c>
      <c r="I245" s="27" t="s">
        <v>239</v>
      </c>
      <c r="J245" s="27" t="s">
        <v>372</v>
      </c>
      <c r="K245" s="27" t="s">
        <v>240</v>
      </c>
      <c r="L245" s="3" t="str">
        <f aca="false">IF(ISNUMBER(SEARCH(" m",I245)),"Range",IF(I245="offline","Offline",IF(I245="","Unknown","No echo / error")))</f>
        <v>Range</v>
      </c>
      <c r="M245" s="3" t="str">
        <f aca="false">IF(ISNUMBER(SEARCH(" m",J245)),"Range",IF(J245="offline","Offline",IF(J245="","Unknown","No echo / error")))</f>
        <v>Range</v>
      </c>
      <c r="N245" s="3" t="str">
        <f aca="false">IF(ISNUMBER(SEARCH(" m",K245)),"Range",IF(K245="offline","Offline",IF(K245="","Unknown","No echo / error")))</f>
        <v>Range</v>
      </c>
      <c r="O245" s="3" t="str">
        <f aca="false">TEXT(B245,"yyyy-mm-dd")</f>
        <v>2026-10-05</v>
      </c>
    </row>
    <row r="246" customFormat="false" ht="15" hidden="false" customHeight="false" outlineLevel="0" collapsed="false">
      <c r="A246" s="27" t="n">
        <v>5</v>
      </c>
      <c r="B246" s="28" t="n">
        <v>46300.1274055093</v>
      </c>
      <c r="C246" s="29" t="n">
        <f aca="false">IF(A247=A246,B247,INDEX(Rounds!$D:$D,MATCH(A246,Rounds!$A:$A,0)))</f>
        <v>46300.1274081134</v>
      </c>
      <c r="D246" s="30" t="n">
        <f aca="false">(B246-INDEX(Rounds!$C:$C,MATCH(A246,Rounds!$A:$A,0)))*86400</f>
        <v>11.883999989</v>
      </c>
      <c r="E246" s="30" t="n">
        <f aca="false">(C246-INDEX(Rounds!$C:$C,MATCH(A246,Rounds!$A:$A,0)))*86400</f>
        <v>12.109000654</v>
      </c>
      <c r="F246" s="31" t="n">
        <f aca="false">(C246-B246)*86400</f>
        <v>0.225000665</v>
      </c>
      <c r="G246" s="27" t="s">
        <v>152</v>
      </c>
      <c r="H246" s="27" t="s">
        <v>208</v>
      </c>
      <c r="I246" s="27" t="s">
        <v>298</v>
      </c>
      <c r="J246" s="27" t="s">
        <v>355</v>
      </c>
      <c r="K246" s="27" t="s">
        <v>238</v>
      </c>
      <c r="L246" s="3" t="str">
        <f aca="false">IF(ISNUMBER(SEARCH(" m",I246)),"Range",IF(I246="offline","Offline",IF(I246="","Unknown","No echo / error")))</f>
        <v>Range</v>
      </c>
      <c r="M246" s="3" t="str">
        <f aca="false">IF(ISNUMBER(SEARCH(" m",J246)),"Range",IF(J246="offline","Offline",IF(J246="","Unknown","No echo / error")))</f>
        <v>Range</v>
      </c>
      <c r="N246" s="3" t="str">
        <f aca="false">IF(ISNUMBER(SEARCH(" m",K246)),"Range",IF(K246="offline","Offline",IF(K246="","Unknown","No echo / error")))</f>
        <v>Range</v>
      </c>
      <c r="O246" s="3" t="str">
        <f aca="false">TEXT(B246,"yyyy-mm-dd")</f>
        <v>2026-10-05</v>
      </c>
    </row>
    <row r="247" customFormat="false" ht="15" hidden="false" customHeight="false" outlineLevel="0" collapsed="false">
      <c r="A247" s="27" t="n">
        <v>5</v>
      </c>
      <c r="B247" s="28" t="n">
        <v>46300.1274081134</v>
      </c>
      <c r="C247" s="29" t="n">
        <f aca="false">IF(A248=A247,B248,INDEX(Rounds!$D:$D,MATCH(A247,Rounds!$A:$A,0)))</f>
        <v>46300.1274095949</v>
      </c>
      <c r="D247" s="30" t="n">
        <f aca="false">(B247-INDEX(Rounds!$C:$C,MATCH(A247,Rounds!$A:$A,0)))*86400</f>
        <v>12.109000654</v>
      </c>
      <c r="E247" s="30" t="n">
        <f aca="false">(C247-INDEX(Rounds!$C:$C,MATCH(A247,Rounds!$A:$A,0)))*86400</f>
        <v>12.236999231</v>
      </c>
      <c r="F247" s="31" t="n">
        <f aca="false">(C247-B247)*86400</f>
        <v>0.127998576</v>
      </c>
      <c r="G247" s="27" t="s">
        <v>151</v>
      </c>
      <c r="H247" s="27" t="s">
        <v>203</v>
      </c>
      <c r="I247" s="27" t="s">
        <v>373</v>
      </c>
      <c r="J247" s="27" t="s">
        <v>212</v>
      </c>
      <c r="K247" s="27" t="s">
        <v>238</v>
      </c>
      <c r="L247" s="3" t="str">
        <f aca="false">IF(ISNUMBER(SEARCH(" m",I247)),"Range",IF(I247="offline","Offline",IF(I247="","Unknown","No echo / error")))</f>
        <v>Range</v>
      </c>
      <c r="M247" s="3" t="str">
        <f aca="false">IF(ISNUMBER(SEARCH(" m",J247)),"Range",IF(J247="offline","Offline",IF(J247="","Unknown","No echo / error")))</f>
        <v>Range</v>
      </c>
      <c r="N247" s="3" t="str">
        <f aca="false">IF(ISNUMBER(SEARCH(" m",K247)),"Range",IF(K247="offline","Offline",IF(K247="","Unknown","No echo / error")))</f>
        <v>Range</v>
      </c>
      <c r="O247" s="3" t="str">
        <f aca="false">TEXT(B247,"yyyy-mm-dd")</f>
        <v>2026-10-05</v>
      </c>
    </row>
    <row r="248" customFormat="false" ht="15" hidden="false" customHeight="false" outlineLevel="0" collapsed="false">
      <c r="A248" s="27" t="n">
        <v>5</v>
      </c>
      <c r="B248" s="28" t="n">
        <v>46300.1274095949</v>
      </c>
      <c r="C248" s="29" t="n">
        <f aca="false">IF(A249=A248,B249,INDEX(Rounds!$D:$D,MATCH(A248,Rounds!$A:$A,0)))</f>
        <v>46300.1275875579</v>
      </c>
      <c r="D248" s="30" t="n">
        <f aca="false">(B248-INDEX(Rounds!$C:$C,MATCH(A248,Rounds!$A:$A,0)))*86400</f>
        <v>12.236999231</v>
      </c>
      <c r="E248" s="30" t="n">
        <f aca="false">(C248-INDEX(Rounds!$C:$C,MATCH(A248,Rounds!$A:$A,0)))*86400</f>
        <v>27.613000245</v>
      </c>
      <c r="F248" s="31" t="n">
        <f aca="false">(C248-B248)*86400</f>
        <v>15.376001014</v>
      </c>
      <c r="G248" s="27" t="s">
        <v>150</v>
      </c>
      <c r="H248" s="27" t="s">
        <v>206</v>
      </c>
      <c r="I248" s="27" t="s">
        <v>373</v>
      </c>
      <c r="J248" s="27" t="s">
        <v>212</v>
      </c>
      <c r="K248" s="27" t="s">
        <v>240</v>
      </c>
      <c r="L248" s="3" t="str">
        <f aca="false">IF(ISNUMBER(SEARCH(" m",I248)),"Range",IF(I248="offline","Offline",IF(I248="","Unknown","No echo / error")))</f>
        <v>Range</v>
      </c>
      <c r="M248" s="3" t="str">
        <f aca="false">IF(ISNUMBER(SEARCH(" m",J248)),"Range",IF(J248="offline","Offline",IF(J248="","Unknown","No echo / error")))</f>
        <v>Range</v>
      </c>
      <c r="N248" s="3" t="str">
        <f aca="false">IF(ISNUMBER(SEARCH(" m",K248)),"Range",IF(K248="offline","Offline",IF(K248="","Unknown","No echo / error")))</f>
        <v>Range</v>
      </c>
      <c r="O248" s="3" t="str">
        <f aca="false">TEXT(B248,"yyyy-mm-dd")</f>
        <v>2026-10-05</v>
      </c>
    </row>
    <row r="249" customFormat="false" ht="15" hidden="false" customHeight="false" outlineLevel="0" collapsed="false">
      <c r="A249" s="27" t="n">
        <v>5</v>
      </c>
      <c r="B249" s="28" t="n">
        <v>46300.1275875579</v>
      </c>
      <c r="C249" s="29" t="n">
        <f aca="false">IF(A250=A249,B250,INDEX(Rounds!$D:$D,MATCH(A249,Rounds!$A:$A,0)))</f>
        <v>46300.1275890394</v>
      </c>
      <c r="D249" s="30" t="n">
        <f aca="false">(B249-INDEX(Rounds!$C:$C,MATCH(A249,Rounds!$A:$A,0)))*86400</f>
        <v>27.613000245</v>
      </c>
      <c r="E249" s="30" t="n">
        <f aca="false">(C249-INDEX(Rounds!$C:$C,MATCH(A249,Rounds!$A:$A,0)))*86400</f>
        <v>27.741000079</v>
      </c>
      <c r="F249" s="31" t="n">
        <f aca="false">(C249-B249)*86400</f>
        <v>0.127999833</v>
      </c>
      <c r="G249" s="27" t="s">
        <v>152</v>
      </c>
      <c r="H249" s="27" t="s">
        <v>208</v>
      </c>
      <c r="I249" s="27" t="s">
        <v>374</v>
      </c>
      <c r="J249" s="27" t="s">
        <v>238</v>
      </c>
      <c r="K249" s="27" t="s">
        <v>233</v>
      </c>
      <c r="L249" s="3" t="str">
        <f aca="false">IF(ISNUMBER(SEARCH(" m",I249)),"Range",IF(I249="offline","Offline",IF(I249="","Unknown","No echo / error")))</f>
        <v>Range</v>
      </c>
      <c r="M249" s="3" t="str">
        <f aca="false">IF(ISNUMBER(SEARCH(" m",J249)),"Range",IF(J249="offline","Offline",IF(J249="","Unknown","No echo / error")))</f>
        <v>Range</v>
      </c>
      <c r="N249" s="3" t="str">
        <f aca="false">IF(ISNUMBER(SEARCH(" m",K249)),"Range",IF(K249="offline","Offline",IF(K249="","Unknown","No echo / error")))</f>
        <v>Range</v>
      </c>
      <c r="O249" s="3" t="str">
        <f aca="false">TEXT(B249,"yyyy-mm-dd")</f>
        <v>2026-10-05</v>
      </c>
    </row>
    <row r="250" customFormat="false" ht="15" hidden="false" customHeight="false" outlineLevel="0" collapsed="false">
      <c r="A250" s="27" t="n">
        <v>5</v>
      </c>
      <c r="B250" s="28" t="n">
        <v>46300.1275890394</v>
      </c>
      <c r="C250" s="29" t="n">
        <f aca="false">IF(A251=A250,B251,INDEX(Rounds!$D:$D,MATCH(A250,Rounds!$A:$A,0)))</f>
        <v>46300.1275918403</v>
      </c>
      <c r="D250" s="30" t="n">
        <f aca="false">(B250-INDEX(Rounds!$C:$C,MATCH(A250,Rounds!$A:$A,0)))*86400</f>
        <v>27.741000079</v>
      </c>
      <c r="E250" s="30" t="n">
        <f aca="false">(C250-INDEX(Rounds!$C:$C,MATCH(A250,Rounds!$A:$A,0)))*86400</f>
        <v>27.983000501</v>
      </c>
      <c r="F250" s="31" t="n">
        <f aca="false">(C250-B250)*86400</f>
        <v>0.242000422</v>
      </c>
      <c r="G250" s="27" t="s">
        <v>151</v>
      </c>
      <c r="H250" s="27" t="s">
        <v>203</v>
      </c>
      <c r="I250" s="27" t="s">
        <v>256</v>
      </c>
      <c r="J250" s="27" t="s">
        <v>238</v>
      </c>
      <c r="K250" s="27" t="s">
        <v>241</v>
      </c>
      <c r="L250" s="3" t="str">
        <f aca="false">IF(ISNUMBER(SEARCH(" m",I250)),"Range",IF(I250="offline","Offline",IF(I250="","Unknown","No echo / error")))</f>
        <v>Range</v>
      </c>
      <c r="M250" s="3" t="str">
        <f aca="false">IF(ISNUMBER(SEARCH(" m",J250)),"Range",IF(J250="offline","Offline",IF(J250="","Unknown","No echo / error")))</f>
        <v>Range</v>
      </c>
      <c r="N250" s="3" t="str">
        <f aca="false">IF(ISNUMBER(SEARCH(" m",K250)),"Range",IF(K250="offline","Offline",IF(K250="","Unknown","No echo / error")))</f>
        <v>Range</v>
      </c>
      <c r="O250" s="3" t="str">
        <f aca="false">TEXT(B250,"yyyy-mm-dd")</f>
        <v>2026-10-05</v>
      </c>
    </row>
    <row r="251" customFormat="false" ht="15" hidden="false" customHeight="false" outlineLevel="0" collapsed="false">
      <c r="A251" s="27" t="n">
        <v>5</v>
      </c>
      <c r="B251" s="28" t="n">
        <v>46300.1275918403</v>
      </c>
      <c r="C251" s="29" t="n">
        <f aca="false">IF(A252=A251,B252,INDEX(Rounds!$D:$D,MATCH(A251,Rounds!$A:$A,0)))</f>
        <v>46300.1276230903</v>
      </c>
      <c r="D251" s="30" t="n">
        <f aca="false">(B251-INDEX(Rounds!$C:$C,MATCH(A251,Rounds!$A:$A,0)))*86400</f>
        <v>27.983000501</v>
      </c>
      <c r="E251" s="30" t="n">
        <f aca="false">(C251-INDEX(Rounds!$C:$C,MATCH(A251,Rounds!$A:$A,0)))*86400</f>
        <v>30.683000315</v>
      </c>
      <c r="F251" s="31" t="n">
        <f aca="false">(C251-B251)*86400</f>
        <v>2.699999813</v>
      </c>
      <c r="G251" s="27" t="s">
        <v>150</v>
      </c>
      <c r="H251" s="27" t="s">
        <v>206</v>
      </c>
      <c r="I251" s="27" t="s">
        <v>254</v>
      </c>
      <c r="J251" s="27" t="s">
        <v>292</v>
      </c>
      <c r="K251" s="27" t="s">
        <v>241</v>
      </c>
      <c r="L251" s="3" t="str">
        <f aca="false">IF(ISNUMBER(SEARCH(" m",I251)),"Range",IF(I251="offline","Offline",IF(I251="","Unknown","No echo / error")))</f>
        <v>Range</v>
      </c>
      <c r="M251" s="3" t="str">
        <f aca="false">IF(ISNUMBER(SEARCH(" m",J251)),"Range",IF(J251="offline","Offline",IF(J251="","Unknown","No echo / error")))</f>
        <v>Range</v>
      </c>
      <c r="N251" s="3" t="str">
        <f aca="false">IF(ISNUMBER(SEARCH(" m",K251)),"Range",IF(K251="offline","Offline",IF(K251="","Unknown","No echo / error")))</f>
        <v>Range</v>
      </c>
      <c r="O251" s="3" t="str">
        <f aca="false">TEXT(B251,"yyyy-mm-dd")</f>
        <v>2026-10-05</v>
      </c>
    </row>
    <row r="252" customFormat="false" ht="15" hidden="false" customHeight="false" outlineLevel="0" collapsed="false">
      <c r="A252" s="27" t="n">
        <v>5</v>
      </c>
      <c r="B252" s="28" t="n">
        <v>46300.1276230903</v>
      </c>
      <c r="C252" s="29" t="n">
        <f aca="false">IF(A253=A252,B253,INDEX(Rounds!$D:$D,MATCH(A252,Rounds!$A:$A,0)))</f>
        <v>46300.1276275579</v>
      </c>
      <c r="D252" s="30" t="n">
        <f aca="false">(B252-INDEX(Rounds!$C:$C,MATCH(A252,Rounds!$A:$A,0)))*86400</f>
        <v>30.683000315</v>
      </c>
      <c r="E252" s="30" t="n">
        <f aca="false">(C252-INDEX(Rounds!$C:$C,MATCH(A252,Rounds!$A:$A,0)))*86400</f>
        <v>31.069000158</v>
      </c>
      <c r="F252" s="31" t="n">
        <f aca="false">(C252-B252)*86400</f>
        <v>0.385999842</v>
      </c>
      <c r="G252" s="27" t="s">
        <v>151</v>
      </c>
      <c r="H252" s="27" t="s">
        <v>203</v>
      </c>
      <c r="I252" s="27" t="s">
        <v>266</v>
      </c>
      <c r="J252" s="27" t="s">
        <v>204</v>
      </c>
      <c r="K252" s="27" t="s">
        <v>204</v>
      </c>
      <c r="L252" s="3" t="str">
        <f aca="false">IF(ISNUMBER(SEARCH(" m",I252)),"Range",IF(I252="offline","Offline",IF(I252="","Unknown","No echo / error")))</f>
        <v>Range</v>
      </c>
      <c r="M252" s="3" t="str">
        <f aca="false">IF(ISNUMBER(SEARCH(" m",J252)),"Range",IF(J252="offline","Offline",IF(J252="","Unknown","No echo / error")))</f>
        <v>No echo / error</v>
      </c>
      <c r="N252" s="3" t="str">
        <f aca="false">IF(ISNUMBER(SEARCH(" m",K252)),"Range",IF(K252="offline","Offline",IF(K252="","Unknown","No echo / error")))</f>
        <v>No echo / error</v>
      </c>
      <c r="O252" s="3" t="str">
        <f aca="false">TEXT(B252,"yyyy-mm-dd")</f>
        <v>2026-10-05</v>
      </c>
    </row>
    <row r="253" customFormat="false" ht="15" hidden="false" customHeight="false" outlineLevel="0" collapsed="false">
      <c r="A253" s="27" t="n">
        <v>5</v>
      </c>
      <c r="B253" s="28" t="n">
        <v>46300.1276275579</v>
      </c>
      <c r="C253" s="29" t="n">
        <f aca="false">IF(A254=A253,B254,INDEX(Rounds!$D:$D,MATCH(A253,Rounds!$A:$A,0)))</f>
        <v>46300.1276370486</v>
      </c>
      <c r="D253" s="30" t="n">
        <f aca="false">(B253-INDEX(Rounds!$C:$C,MATCH(A253,Rounds!$A:$A,0)))*86400</f>
        <v>31.069000158</v>
      </c>
      <c r="E253" s="30" t="n">
        <f aca="false">(C253-INDEX(Rounds!$C:$C,MATCH(A253,Rounds!$A:$A,0)))*86400</f>
        <v>31.888999859</v>
      </c>
      <c r="F253" s="31" t="n">
        <f aca="false">(C253-B253)*86400</f>
        <v>0.819999701</v>
      </c>
      <c r="G253" s="27" t="s">
        <v>150</v>
      </c>
      <c r="H253" s="27" t="s">
        <v>206</v>
      </c>
      <c r="I253" s="27" t="s">
        <v>375</v>
      </c>
      <c r="J253" s="27" t="s">
        <v>204</v>
      </c>
      <c r="K253" s="27" t="s">
        <v>259</v>
      </c>
      <c r="L253" s="3" t="str">
        <f aca="false">IF(ISNUMBER(SEARCH(" m",I253)),"Range",IF(I253="offline","Offline",IF(I253="","Unknown","No echo / error")))</f>
        <v>Range</v>
      </c>
      <c r="M253" s="3" t="str">
        <f aca="false">IF(ISNUMBER(SEARCH(" m",J253)),"Range",IF(J253="offline","Offline",IF(J253="","Unknown","No echo / error")))</f>
        <v>No echo / error</v>
      </c>
      <c r="N253" s="3" t="str">
        <f aca="false">IF(ISNUMBER(SEARCH(" m",K253)),"Range",IF(K253="offline","Offline",IF(K253="","Unknown","No echo / error")))</f>
        <v>Range</v>
      </c>
      <c r="O253" s="3" t="str">
        <f aca="false">TEXT(B253,"yyyy-mm-dd")</f>
        <v>2026-10-05</v>
      </c>
    </row>
    <row r="254" customFormat="false" ht="15" hidden="false" customHeight="false" outlineLevel="0" collapsed="false">
      <c r="A254" s="27" t="n">
        <v>5</v>
      </c>
      <c r="B254" s="28" t="n">
        <v>46300.1276370486</v>
      </c>
      <c r="C254" s="29" t="n">
        <f aca="false">IF(A255=A254,B255,INDEX(Rounds!$D:$D,MATCH(A254,Rounds!$A:$A,0)))</f>
        <v>46300.1276390972</v>
      </c>
      <c r="D254" s="30" t="n">
        <f aca="false">(B254-INDEX(Rounds!$C:$C,MATCH(A254,Rounds!$A:$A,0)))*86400</f>
        <v>31.888999859</v>
      </c>
      <c r="E254" s="30" t="n">
        <f aca="false">(C254-INDEX(Rounds!$C:$C,MATCH(A254,Rounds!$A:$A,0)))*86400</f>
        <v>32.06599988</v>
      </c>
      <c r="F254" s="31" t="n">
        <f aca="false">(C254-B254)*86400</f>
        <v>0.17700002</v>
      </c>
      <c r="G254" s="27" t="s">
        <v>152</v>
      </c>
      <c r="H254" s="27" t="s">
        <v>208</v>
      </c>
      <c r="I254" s="27" t="s">
        <v>266</v>
      </c>
      <c r="J254" s="27" t="s">
        <v>239</v>
      </c>
      <c r="K254" s="27" t="s">
        <v>346</v>
      </c>
      <c r="L254" s="3" t="str">
        <f aca="false">IF(ISNUMBER(SEARCH(" m",I254)),"Range",IF(I254="offline","Offline",IF(I254="","Unknown","No echo / error")))</f>
        <v>Range</v>
      </c>
      <c r="M254" s="3" t="str">
        <f aca="false">IF(ISNUMBER(SEARCH(" m",J254)),"Range",IF(J254="offline","Offline",IF(J254="","Unknown","No echo / error")))</f>
        <v>Range</v>
      </c>
      <c r="N254" s="3" t="str">
        <f aca="false">IF(ISNUMBER(SEARCH(" m",K254)),"Range",IF(K254="offline","Offline",IF(K254="","Unknown","No echo / error")))</f>
        <v>Range</v>
      </c>
      <c r="O254" s="3" t="str">
        <f aca="false">TEXT(B254,"yyyy-mm-dd")</f>
        <v>2026-10-05</v>
      </c>
    </row>
    <row r="255" customFormat="false" ht="15" hidden="false" customHeight="false" outlineLevel="0" collapsed="false">
      <c r="A255" s="27" t="n">
        <v>5</v>
      </c>
      <c r="B255" s="28" t="n">
        <v>46300.1276390972</v>
      </c>
      <c r="C255" s="29" t="n">
        <f aca="false">IF(A256=A255,B256,INDEX(Rounds!$D:$D,MATCH(A255,Rounds!$A:$A,0)))</f>
        <v>46300.1276405903</v>
      </c>
      <c r="D255" s="30" t="n">
        <f aca="false">(B255-INDEX(Rounds!$C:$C,MATCH(A255,Rounds!$A:$A,0)))*86400</f>
        <v>32.06599988</v>
      </c>
      <c r="E255" s="30" t="n">
        <f aca="false">(C255-INDEX(Rounds!$C:$C,MATCH(A255,Rounds!$A:$A,0)))*86400</f>
        <v>32.195000513</v>
      </c>
      <c r="F255" s="31" t="n">
        <f aca="false">(C255-B255)*86400</f>
        <v>0.129000633</v>
      </c>
      <c r="G255" s="27" t="s">
        <v>151</v>
      </c>
      <c r="H255" s="27" t="s">
        <v>203</v>
      </c>
      <c r="I255" s="27" t="s">
        <v>376</v>
      </c>
      <c r="J255" s="27" t="s">
        <v>282</v>
      </c>
      <c r="K255" s="27" t="s">
        <v>346</v>
      </c>
      <c r="L255" s="3" t="str">
        <f aca="false">IF(ISNUMBER(SEARCH(" m",I255)),"Range",IF(I255="offline","Offline",IF(I255="","Unknown","No echo / error")))</f>
        <v>Range</v>
      </c>
      <c r="M255" s="3" t="str">
        <f aca="false">IF(ISNUMBER(SEARCH(" m",J255)),"Range",IF(J255="offline","Offline",IF(J255="","Unknown","No echo / error")))</f>
        <v>Range</v>
      </c>
      <c r="N255" s="3" t="str">
        <f aca="false">IF(ISNUMBER(SEARCH(" m",K255)),"Range",IF(K255="offline","Offline",IF(K255="","Unknown","No echo / error")))</f>
        <v>Range</v>
      </c>
      <c r="O255" s="3" t="str">
        <f aca="false">TEXT(B255,"yyyy-mm-dd")</f>
        <v>2026-10-05</v>
      </c>
    </row>
    <row r="256" customFormat="false" ht="15" hidden="false" customHeight="false" outlineLevel="0" collapsed="false">
      <c r="A256" s="27" t="n">
        <v>5</v>
      </c>
      <c r="B256" s="28" t="n">
        <v>46300.1276405903</v>
      </c>
      <c r="C256" s="29" t="n">
        <f aca="false">IF(A257=A256,B257,INDEX(Rounds!$D:$D,MATCH(A256,Rounds!$A:$A,0)))</f>
        <v>46300.1276515394</v>
      </c>
      <c r="D256" s="30" t="n">
        <f aca="false">(B256-INDEX(Rounds!$C:$C,MATCH(A256,Rounds!$A:$A,0)))*86400</f>
        <v>32.195000513</v>
      </c>
      <c r="E256" s="30" t="n">
        <f aca="false">(C256-INDEX(Rounds!$C:$C,MATCH(A256,Rounds!$A:$A,0)))*86400</f>
        <v>33.140999707</v>
      </c>
      <c r="F256" s="31" t="n">
        <f aca="false">(C256-B256)*86400</f>
        <v>0.945999193</v>
      </c>
      <c r="G256" s="27" t="s">
        <v>150</v>
      </c>
      <c r="H256" s="27" t="s">
        <v>206</v>
      </c>
      <c r="I256" s="27" t="s">
        <v>254</v>
      </c>
      <c r="J256" s="27" t="s">
        <v>282</v>
      </c>
      <c r="K256" s="27" t="s">
        <v>346</v>
      </c>
      <c r="L256" s="3" t="str">
        <f aca="false">IF(ISNUMBER(SEARCH(" m",I256)),"Range",IF(I256="offline","Offline",IF(I256="","Unknown","No echo / error")))</f>
        <v>Range</v>
      </c>
      <c r="M256" s="3" t="str">
        <f aca="false">IF(ISNUMBER(SEARCH(" m",J256)),"Range",IF(J256="offline","Offline",IF(J256="","Unknown","No echo / error")))</f>
        <v>Range</v>
      </c>
      <c r="N256" s="3" t="str">
        <f aca="false">IF(ISNUMBER(SEARCH(" m",K256)),"Range",IF(K256="offline","Offline",IF(K256="","Unknown","No echo / error")))</f>
        <v>Range</v>
      </c>
      <c r="O256" s="3" t="str">
        <f aca="false">TEXT(B256,"yyyy-mm-dd")</f>
        <v>2026-10-05</v>
      </c>
    </row>
    <row r="257" customFormat="false" ht="15" hidden="false" customHeight="false" outlineLevel="0" collapsed="false">
      <c r="A257" s="27" t="n">
        <v>5</v>
      </c>
      <c r="B257" s="28" t="n">
        <v>46300.1276515394</v>
      </c>
      <c r="C257" s="29" t="n">
        <f aca="false">IF(A258=A257,B258,INDEX(Rounds!$D:$D,MATCH(A257,Rounds!$A:$A,0)))</f>
        <v>46300.1276517245</v>
      </c>
      <c r="D257" s="30" t="n">
        <f aca="false">(B257-INDEX(Rounds!$C:$C,MATCH(A257,Rounds!$A:$A,0)))*86400</f>
        <v>33.140999707</v>
      </c>
      <c r="E257" s="30" t="n">
        <f aca="false">(C257-INDEX(Rounds!$C:$C,MATCH(A257,Rounds!$A:$A,0)))*86400</f>
        <v>33.157000551</v>
      </c>
      <c r="F257" s="31" t="n">
        <f aca="false">(C257-B257)*86400</f>
        <v>0.016000843</v>
      </c>
      <c r="G257" s="27" t="s">
        <v>152</v>
      </c>
      <c r="H257" s="27" t="s">
        <v>208</v>
      </c>
      <c r="I257" s="27" t="s">
        <v>266</v>
      </c>
      <c r="J257" s="27" t="s">
        <v>204</v>
      </c>
      <c r="K257" s="27" t="s">
        <v>377</v>
      </c>
      <c r="L257" s="3" t="str">
        <f aca="false">IF(ISNUMBER(SEARCH(" m",I257)),"Range",IF(I257="offline","Offline",IF(I257="","Unknown","No echo / error")))</f>
        <v>Range</v>
      </c>
      <c r="M257" s="3" t="str">
        <f aca="false">IF(ISNUMBER(SEARCH(" m",J257)),"Range",IF(J257="offline","Offline",IF(J257="","Unknown","No echo / error")))</f>
        <v>No echo / error</v>
      </c>
      <c r="N257" s="3" t="str">
        <f aca="false">IF(ISNUMBER(SEARCH(" m",K257)),"Range",IF(K257="offline","Offline",IF(K257="","Unknown","No echo / error")))</f>
        <v>Range</v>
      </c>
      <c r="O257" s="3" t="str">
        <f aca="false">TEXT(B257,"yyyy-mm-dd")</f>
        <v>2026-10-05</v>
      </c>
    </row>
    <row r="258" customFormat="false" ht="15" hidden="false" customHeight="false" outlineLevel="0" collapsed="false">
      <c r="A258" s="27" t="n">
        <v>5</v>
      </c>
      <c r="B258" s="28" t="n">
        <v>46300.1276517245</v>
      </c>
      <c r="C258" s="29" t="n">
        <f aca="false">IF(A259=A258,B259,INDEX(Rounds!$D:$D,MATCH(A258,Rounds!$A:$A,0)))</f>
        <v>46300.1276557986</v>
      </c>
      <c r="D258" s="30" t="n">
        <f aca="false">(B258-INDEX(Rounds!$C:$C,MATCH(A258,Rounds!$A:$A,0)))*86400</f>
        <v>33.157000551</v>
      </c>
      <c r="E258" s="30" t="n">
        <f aca="false">(C258-INDEX(Rounds!$C:$C,MATCH(A258,Rounds!$A:$A,0)))*86400</f>
        <v>33.509000251</v>
      </c>
      <c r="F258" s="31" t="n">
        <f aca="false">(C258-B258)*86400</f>
        <v>0.3519997</v>
      </c>
      <c r="G258" s="27" t="s">
        <v>151</v>
      </c>
      <c r="H258" s="27" t="s">
        <v>203</v>
      </c>
      <c r="I258" s="27" t="s">
        <v>266</v>
      </c>
      <c r="J258" s="27" t="s">
        <v>204</v>
      </c>
      <c r="K258" s="27" t="s">
        <v>274</v>
      </c>
      <c r="L258" s="3" t="str">
        <f aca="false">IF(ISNUMBER(SEARCH(" m",I258)),"Range",IF(I258="offline","Offline",IF(I258="","Unknown","No echo / error")))</f>
        <v>Range</v>
      </c>
      <c r="M258" s="3" t="str">
        <f aca="false">IF(ISNUMBER(SEARCH(" m",J258)),"Range",IF(J258="offline","Offline",IF(J258="","Unknown","No echo / error")))</f>
        <v>No echo / error</v>
      </c>
      <c r="N258" s="3" t="str">
        <f aca="false">IF(ISNUMBER(SEARCH(" m",K258)),"Range",IF(K258="offline","Offline",IF(K258="","Unknown","No echo / error")))</f>
        <v>Range</v>
      </c>
      <c r="O258" s="3" t="str">
        <f aca="false">TEXT(B258,"yyyy-mm-dd")</f>
        <v>2026-10-05</v>
      </c>
    </row>
    <row r="259" customFormat="false" ht="15" hidden="false" customHeight="false" outlineLevel="0" collapsed="false">
      <c r="A259" s="27" t="n">
        <v>5</v>
      </c>
      <c r="B259" s="28" t="n">
        <v>46300.1276557986</v>
      </c>
      <c r="C259" s="29" t="n">
        <f aca="false">IF(A260=A259,B260,INDEX(Rounds!$D:$D,MATCH(A259,Rounds!$A:$A,0)))</f>
        <v>46300.1276630208</v>
      </c>
      <c r="D259" s="30" t="n">
        <f aca="false">(B259-INDEX(Rounds!$C:$C,MATCH(A259,Rounds!$A:$A,0)))*86400</f>
        <v>33.509000251</v>
      </c>
      <c r="E259" s="30" t="n">
        <f aca="false">(C259-INDEX(Rounds!$C:$C,MATCH(A259,Rounds!$A:$A,0)))*86400</f>
        <v>34.132999833</v>
      </c>
      <c r="F259" s="31" t="n">
        <f aca="false">(C259-B259)*86400</f>
        <v>0.623999582</v>
      </c>
      <c r="G259" s="27" t="s">
        <v>150</v>
      </c>
      <c r="H259" s="27" t="s">
        <v>206</v>
      </c>
      <c r="I259" s="27" t="s">
        <v>378</v>
      </c>
      <c r="J259" s="27" t="s">
        <v>373</v>
      </c>
      <c r="K259" s="27" t="s">
        <v>274</v>
      </c>
      <c r="L259" s="3" t="str">
        <f aca="false">IF(ISNUMBER(SEARCH(" m",I259)),"Range",IF(I259="offline","Offline",IF(I259="","Unknown","No echo / error")))</f>
        <v>Range</v>
      </c>
      <c r="M259" s="3" t="str">
        <f aca="false">IF(ISNUMBER(SEARCH(" m",J259)),"Range",IF(J259="offline","Offline",IF(J259="","Unknown","No echo / error")))</f>
        <v>Range</v>
      </c>
      <c r="N259" s="3" t="str">
        <f aca="false">IF(ISNUMBER(SEARCH(" m",K259)),"Range",IF(K259="offline","Offline",IF(K259="","Unknown","No echo / error")))</f>
        <v>Range</v>
      </c>
      <c r="O259" s="3" t="str">
        <f aca="false">TEXT(B259,"yyyy-mm-dd")</f>
        <v>2026-10-05</v>
      </c>
    </row>
    <row r="260" customFormat="false" ht="15" hidden="false" customHeight="false" outlineLevel="0" collapsed="false">
      <c r="A260" s="27" t="n">
        <v>5</v>
      </c>
      <c r="B260" s="28" t="n">
        <v>46300.1276630208</v>
      </c>
      <c r="C260" s="29" t="n">
        <f aca="false">IF(A261=A260,B261,INDEX(Rounds!$D:$D,MATCH(A260,Rounds!$A:$A,0)))</f>
        <v>46300.1276645023</v>
      </c>
      <c r="D260" s="30" t="n">
        <f aca="false">(B260-INDEX(Rounds!$C:$C,MATCH(A260,Rounds!$A:$A,0)))*86400</f>
        <v>34.132999833</v>
      </c>
      <c r="E260" s="30" t="n">
        <f aca="false">(C260-INDEX(Rounds!$C:$C,MATCH(A260,Rounds!$A:$A,0)))*86400</f>
        <v>34.261000296</v>
      </c>
      <c r="F260" s="31" t="n">
        <f aca="false">(C260-B260)*86400</f>
        <v>0.128000462</v>
      </c>
      <c r="G260" s="27" t="s">
        <v>152</v>
      </c>
      <c r="H260" s="27" t="s">
        <v>208</v>
      </c>
      <c r="I260" s="27" t="s">
        <v>266</v>
      </c>
      <c r="J260" s="27" t="s">
        <v>373</v>
      </c>
      <c r="K260" s="27" t="s">
        <v>204</v>
      </c>
      <c r="L260" s="3" t="str">
        <f aca="false">IF(ISNUMBER(SEARCH(" m",I260)),"Range",IF(I260="offline","Offline",IF(I260="","Unknown","No echo / error")))</f>
        <v>Range</v>
      </c>
      <c r="M260" s="3" t="str">
        <f aca="false">IF(ISNUMBER(SEARCH(" m",J260)),"Range",IF(J260="offline","Offline",IF(J260="","Unknown","No echo / error")))</f>
        <v>Range</v>
      </c>
      <c r="N260" s="3" t="str">
        <f aca="false">IF(ISNUMBER(SEARCH(" m",K260)),"Range",IF(K260="offline","Offline",IF(K260="","Unknown","No echo / error")))</f>
        <v>No echo / error</v>
      </c>
      <c r="O260" s="3" t="str">
        <f aca="false">TEXT(B260,"yyyy-mm-dd")</f>
        <v>2026-10-05</v>
      </c>
    </row>
    <row r="261" customFormat="false" ht="15" hidden="false" customHeight="false" outlineLevel="0" collapsed="false">
      <c r="A261" s="27" t="n">
        <v>5</v>
      </c>
      <c r="B261" s="28" t="n">
        <v>46300.1276645023</v>
      </c>
      <c r="C261" s="29" t="n">
        <f aca="false">IF(A262=A261,B262,INDEX(Rounds!$D:$D,MATCH(A261,Rounds!$A:$A,0)))</f>
        <v>46300.1276669097</v>
      </c>
      <c r="D261" s="30" t="n">
        <f aca="false">(B261-INDEX(Rounds!$C:$C,MATCH(A261,Rounds!$A:$A,0)))*86400</f>
        <v>34.261000296</v>
      </c>
      <c r="E261" s="30" t="n">
        <f aca="false">(C261-INDEX(Rounds!$C:$C,MATCH(A261,Rounds!$A:$A,0)))*86400</f>
        <v>34.468999947</v>
      </c>
      <c r="F261" s="31" t="n">
        <f aca="false">(C261-B261)*86400</f>
        <v>0.207999651</v>
      </c>
      <c r="G261" s="27" t="s">
        <v>151</v>
      </c>
      <c r="H261" s="27" t="s">
        <v>203</v>
      </c>
      <c r="I261" s="27" t="s">
        <v>256</v>
      </c>
      <c r="J261" s="27" t="s">
        <v>282</v>
      </c>
      <c r="K261" s="27" t="s">
        <v>204</v>
      </c>
      <c r="L261" s="3" t="str">
        <f aca="false">IF(ISNUMBER(SEARCH(" m",I261)),"Range",IF(I261="offline","Offline",IF(I261="","Unknown","No echo / error")))</f>
        <v>Range</v>
      </c>
      <c r="M261" s="3" t="str">
        <f aca="false">IF(ISNUMBER(SEARCH(" m",J261)),"Range",IF(J261="offline","Offline",IF(J261="","Unknown","No echo / error")))</f>
        <v>Range</v>
      </c>
      <c r="N261" s="3" t="str">
        <f aca="false">IF(ISNUMBER(SEARCH(" m",K261)),"Range",IF(K261="offline","Offline",IF(K261="","Unknown","No echo / error")))</f>
        <v>No echo / error</v>
      </c>
      <c r="O261" s="3" t="str">
        <f aca="false">TEXT(B261,"yyyy-mm-dd")</f>
        <v>2026-10-05</v>
      </c>
    </row>
    <row r="262" customFormat="false" ht="15" hidden="false" customHeight="false" outlineLevel="0" collapsed="false">
      <c r="A262" s="27" t="n">
        <v>5</v>
      </c>
      <c r="B262" s="28" t="n">
        <v>46300.1276669097</v>
      </c>
      <c r="C262" s="29" t="n">
        <f aca="false">IF(A263=A262,B263,INDEX(Rounds!$D:$D,MATCH(A262,Rounds!$A:$A,0)))</f>
        <v>46300.1276998032</v>
      </c>
      <c r="D262" s="30" t="n">
        <f aca="false">(B262-INDEX(Rounds!$C:$C,MATCH(A262,Rounds!$A:$A,0)))*86400</f>
        <v>34.468999947</v>
      </c>
      <c r="E262" s="30" t="n">
        <f aca="false">(C262-INDEX(Rounds!$C:$C,MATCH(A262,Rounds!$A:$A,0)))*86400</f>
        <v>37.311000097</v>
      </c>
      <c r="F262" s="31" t="n">
        <f aca="false">(C262-B262)*86400</f>
        <v>2.84200015</v>
      </c>
      <c r="G262" s="27" t="s">
        <v>150</v>
      </c>
      <c r="H262" s="27" t="s">
        <v>206</v>
      </c>
      <c r="I262" s="27" t="s">
        <v>359</v>
      </c>
      <c r="J262" s="27" t="s">
        <v>282</v>
      </c>
      <c r="K262" s="27" t="s">
        <v>377</v>
      </c>
      <c r="L262" s="3" t="str">
        <f aca="false">IF(ISNUMBER(SEARCH(" m",I262)),"Range",IF(I262="offline","Offline",IF(I262="","Unknown","No echo / error")))</f>
        <v>Range</v>
      </c>
      <c r="M262" s="3" t="str">
        <f aca="false">IF(ISNUMBER(SEARCH(" m",J262)),"Range",IF(J262="offline","Offline",IF(J262="","Unknown","No echo / error")))</f>
        <v>Range</v>
      </c>
      <c r="N262" s="3" t="str">
        <f aca="false">IF(ISNUMBER(SEARCH(" m",K262)),"Range",IF(K262="offline","Offline",IF(K262="","Unknown","No echo / error")))</f>
        <v>Range</v>
      </c>
      <c r="O262" s="3" t="str">
        <f aca="false">TEXT(B262,"yyyy-mm-dd")</f>
        <v>2026-10-05</v>
      </c>
    </row>
    <row r="263" customFormat="false" ht="15" hidden="false" customHeight="false" outlineLevel="0" collapsed="false">
      <c r="A263" s="27" t="n">
        <v>5</v>
      </c>
      <c r="B263" s="28" t="n">
        <v>46300.1276998032</v>
      </c>
      <c r="C263" s="29" t="n">
        <f aca="false">IF(A264=A263,B264,INDEX(Rounds!$D:$D,MATCH(A263,Rounds!$A:$A,0)))</f>
        <v>46300.1277066667</v>
      </c>
      <c r="D263" s="30" t="n">
        <f aca="false">(B263-INDEX(Rounds!$C:$C,MATCH(A263,Rounds!$A:$A,0)))*86400</f>
        <v>37.311000097</v>
      </c>
      <c r="E263" s="30" t="n">
        <f aca="false">(C263-INDEX(Rounds!$C:$C,MATCH(A263,Rounds!$A:$A,0)))*86400</f>
        <v>37.904000678</v>
      </c>
      <c r="F263" s="31" t="n">
        <f aca="false">(C263-B263)*86400</f>
        <v>0.59300058</v>
      </c>
      <c r="G263" s="27" t="s">
        <v>152</v>
      </c>
      <c r="H263" s="27" t="s">
        <v>208</v>
      </c>
      <c r="I263" s="27" t="s">
        <v>204</v>
      </c>
      <c r="J263" s="27" t="s">
        <v>287</v>
      </c>
      <c r="K263" s="27" t="s">
        <v>274</v>
      </c>
      <c r="L263" s="3" t="str">
        <f aca="false">IF(ISNUMBER(SEARCH(" m",I263)),"Range",IF(I263="offline","Offline",IF(I263="","Unknown","No echo / error")))</f>
        <v>No echo / error</v>
      </c>
      <c r="M263" s="3" t="str">
        <f aca="false">IF(ISNUMBER(SEARCH(" m",J263)),"Range",IF(J263="offline","Offline",IF(J263="","Unknown","No echo / error")))</f>
        <v>Range</v>
      </c>
      <c r="N263" s="3" t="str">
        <f aca="false">IF(ISNUMBER(SEARCH(" m",K263)),"Range",IF(K263="offline","Offline",IF(K263="","Unknown","No echo / error")))</f>
        <v>Range</v>
      </c>
      <c r="O263" s="3" t="str">
        <f aca="false">TEXT(B263,"yyyy-mm-dd")</f>
        <v>2026-10-05</v>
      </c>
    </row>
    <row r="264" customFormat="false" ht="15" hidden="false" customHeight="false" outlineLevel="0" collapsed="false">
      <c r="A264" s="27" t="n">
        <v>5</v>
      </c>
      <c r="B264" s="28" t="n">
        <v>46300.1277066667</v>
      </c>
      <c r="C264" s="29" t="n">
        <f aca="false">IF(A265=A264,B265,INDEX(Rounds!$D:$D,MATCH(A264,Rounds!$A:$A,0)))</f>
        <v>46300.1277109491</v>
      </c>
      <c r="D264" s="30" t="n">
        <f aca="false">(B264-INDEX(Rounds!$C:$C,MATCH(A264,Rounds!$A:$A,0)))*86400</f>
        <v>37.904000678</v>
      </c>
      <c r="E264" s="30" t="n">
        <f aca="false">(C264-INDEX(Rounds!$C:$C,MATCH(A264,Rounds!$A:$A,0)))*86400</f>
        <v>38.274000305</v>
      </c>
      <c r="F264" s="31" t="n">
        <f aca="false">(C264-B264)*86400</f>
        <v>0.369999627</v>
      </c>
      <c r="G264" s="27" t="s">
        <v>151</v>
      </c>
      <c r="H264" s="27" t="s">
        <v>203</v>
      </c>
      <c r="I264" s="27" t="s">
        <v>204</v>
      </c>
      <c r="J264" s="27" t="s">
        <v>287</v>
      </c>
      <c r="K264" s="27" t="s">
        <v>211</v>
      </c>
      <c r="L264" s="3" t="str">
        <f aca="false">IF(ISNUMBER(SEARCH(" m",I264)),"Range",IF(I264="offline","Offline",IF(I264="","Unknown","No echo / error")))</f>
        <v>No echo / error</v>
      </c>
      <c r="M264" s="3" t="str">
        <f aca="false">IF(ISNUMBER(SEARCH(" m",J264)),"Range",IF(J264="offline","Offline",IF(J264="","Unknown","No echo / error")))</f>
        <v>Range</v>
      </c>
      <c r="N264" s="3" t="str">
        <f aca="false">IF(ISNUMBER(SEARCH(" m",K264)),"Range",IF(K264="offline","Offline",IF(K264="","Unknown","No echo / error")))</f>
        <v>No echo / error</v>
      </c>
      <c r="O264" s="3" t="str">
        <f aca="false">TEXT(B264,"yyyy-mm-dd")</f>
        <v>2026-10-05</v>
      </c>
    </row>
    <row r="265" customFormat="false" ht="15" hidden="false" customHeight="false" outlineLevel="0" collapsed="false">
      <c r="A265" s="27" t="n">
        <v>5</v>
      </c>
      <c r="B265" s="28" t="n">
        <v>46300.1277109491</v>
      </c>
      <c r="C265" s="29" t="n">
        <f aca="false">IF(A266=A265,B266,INDEX(Rounds!$D:$D,MATCH(A265,Rounds!$A:$A,0)))</f>
        <v>46300.1277122569</v>
      </c>
      <c r="D265" s="30" t="n">
        <f aca="false">(B265-INDEX(Rounds!$C:$C,MATCH(A265,Rounds!$A:$A,0)))*86400</f>
        <v>38.274000305</v>
      </c>
      <c r="E265" s="30" t="n">
        <f aca="false">(C265-INDEX(Rounds!$C:$C,MATCH(A265,Rounds!$A:$A,0)))*86400</f>
        <v>38.386999466</v>
      </c>
      <c r="F265" s="31" t="n">
        <f aca="false">(C265-B265)*86400</f>
        <v>0.11299916</v>
      </c>
      <c r="G265" s="27" t="s">
        <v>150</v>
      </c>
      <c r="H265" s="27" t="s">
        <v>206</v>
      </c>
      <c r="I265" s="27" t="s">
        <v>379</v>
      </c>
      <c r="J265" s="27" t="s">
        <v>287</v>
      </c>
      <c r="K265" s="27" t="s">
        <v>360</v>
      </c>
      <c r="L265" s="3" t="str">
        <f aca="false">IF(ISNUMBER(SEARCH(" m",I265)),"Range",IF(I265="offline","Offline",IF(I265="","Unknown","No echo / error")))</f>
        <v>Range</v>
      </c>
      <c r="M265" s="3" t="str">
        <f aca="false">IF(ISNUMBER(SEARCH(" m",J265)),"Range",IF(J265="offline","Offline",IF(J265="","Unknown","No echo / error")))</f>
        <v>Range</v>
      </c>
      <c r="N265" s="3" t="str">
        <f aca="false">IF(ISNUMBER(SEARCH(" m",K265)),"Range",IF(K265="offline","Offline",IF(K265="","Unknown","No echo / error")))</f>
        <v>Range</v>
      </c>
      <c r="O265" s="3" t="str">
        <f aca="false">TEXT(B265,"yyyy-mm-dd")</f>
        <v>2026-10-05</v>
      </c>
    </row>
    <row r="266" customFormat="false" ht="15" hidden="false" customHeight="false" outlineLevel="0" collapsed="false">
      <c r="A266" s="27" t="n">
        <v>5</v>
      </c>
      <c r="B266" s="28" t="n">
        <v>46300.1277122569</v>
      </c>
      <c r="C266" s="29" t="n">
        <f aca="false">IF(A267=A266,B267,INDEX(Rounds!$D:$D,MATCH(A266,Rounds!$A:$A,0)))</f>
        <v>46300.1277180093</v>
      </c>
      <c r="D266" s="30" t="n">
        <f aca="false">(B266-INDEX(Rounds!$C:$C,MATCH(A266,Rounds!$A:$A,0)))*86400</f>
        <v>38.386999466</v>
      </c>
      <c r="E266" s="30" t="n">
        <f aca="false">(C266-INDEX(Rounds!$C:$C,MATCH(A266,Rounds!$A:$A,0)))*86400</f>
        <v>38.884000014</v>
      </c>
      <c r="F266" s="31" t="n">
        <f aca="false">(C266-B266)*86400</f>
        <v>0.497000548</v>
      </c>
      <c r="G266" s="27" t="s">
        <v>151</v>
      </c>
      <c r="H266" s="27" t="s">
        <v>203</v>
      </c>
      <c r="I266" s="27" t="s">
        <v>379</v>
      </c>
      <c r="J266" s="27" t="s">
        <v>287</v>
      </c>
      <c r="K266" s="27" t="s">
        <v>259</v>
      </c>
      <c r="L266" s="3" t="str">
        <f aca="false">IF(ISNUMBER(SEARCH(" m",I266)),"Range",IF(I266="offline","Offline",IF(I266="","Unknown","No echo / error")))</f>
        <v>Range</v>
      </c>
      <c r="M266" s="3" t="str">
        <f aca="false">IF(ISNUMBER(SEARCH(" m",J266)),"Range",IF(J266="offline","Offline",IF(J266="","Unknown","No echo / error")))</f>
        <v>Range</v>
      </c>
      <c r="N266" s="3" t="str">
        <f aca="false">IF(ISNUMBER(SEARCH(" m",K266)),"Range",IF(K266="offline","Offline",IF(K266="","Unknown","No echo / error")))</f>
        <v>Range</v>
      </c>
      <c r="O266" s="3" t="str">
        <f aca="false">TEXT(B266,"yyyy-mm-dd")</f>
        <v>2026-10-05</v>
      </c>
    </row>
    <row r="267" customFormat="false" ht="15" hidden="false" customHeight="false" outlineLevel="0" collapsed="false">
      <c r="A267" s="27" t="n">
        <v>5</v>
      </c>
      <c r="B267" s="28" t="n">
        <v>46300.1277180093</v>
      </c>
      <c r="C267" s="29" t="n">
        <f aca="false">IF(A268=A267,B268,INDEX(Rounds!$D:$D,MATCH(A267,Rounds!$A:$A,0)))</f>
        <v>46300.1277189583</v>
      </c>
      <c r="D267" s="30" t="n">
        <f aca="false">(B267-INDEX(Rounds!$C:$C,MATCH(A267,Rounds!$A:$A,0)))*86400</f>
        <v>38.884000014</v>
      </c>
      <c r="E267" s="30" t="n">
        <f aca="false">(C267-INDEX(Rounds!$C:$C,MATCH(A267,Rounds!$A:$A,0)))*86400</f>
        <v>38.965999544</v>
      </c>
      <c r="F267" s="31" t="n">
        <f aca="false">(C267-B267)*86400</f>
        <v>0.08199953</v>
      </c>
      <c r="G267" s="27" t="s">
        <v>152</v>
      </c>
      <c r="H267" s="27" t="s">
        <v>208</v>
      </c>
      <c r="I267" s="27" t="s">
        <v>266</v>
      </c>
      <c r="J267" s="27" t="s">
        <v>380</v>
      </c>
      <c r="K267" s="27" t="s">
        <v>360</v>
      </c>
      <c r="L267" s="3" t="str">
        <f aca="false">IF(ISNUMBER(SEARCH(" m",I267)),"Range",IF(I267="offline","Offline",IF(I267="","Unknown","No echo / error")))</f>
        <v>Range</v>
      </c>
      <c r="M267" s="3" t="str">
        <f aca="false">IF(ISNUMBER(SEARCH(" m",J267)),"Range",IF(J267="offline","Offline",IF(J267="","Unknown","No echo / error")))</f>
        <v>Range</v>
      </c>
      <c r="N267" s="3" t="str">
        <f aca="false">IF(ISNUMBER(SEARCH(" m",K267)),"Range",IF(K267="offline","Offline",IF(K267="","Unknown","No echo / error")))</f>
        <v>Range</v>
      </c>
      <c r="O267" s="3" t="str">
        <f aca="false">TEXT(B267,"yyyy-mm-dd")</f>
        <v>2026-10-05</v>
      </c>
    </row>
    <row r="268" customFormat="false" ht="15" hidden="false" customHeight="false" outlineLevel="0" collapsed="false">
      <c r="A268" s="27" t="n">
        <v>5</v>
      </c>
      <c r="B268" s="28" t="n">
        <v>46300.1277189583</v>
      </c>
      <c r="C268" s="29" t="n">
        <f aca="false">IF(A269=A268,B269,INDEX(Rounds!$D:$D,MATCH(A268,Rounds!$A:$A,0)))</f>
        <v>46300.127724757</v>
      </c>
      <c r="D268" s="30" t="n">
        <f aca="false">(B268-INDEX(Rounds!$C:$C,MATCH(A268,Rounds!$A:$A,0)))*86400</f>
        <v>38.965999544</v>
      </c>
      <c r="E268" s="30" t="n">
        <f aca="false">(C268-INDEX(Rounds!$C:$C,MATCH(A268,Rounds!$A:$A,0)))*86400</f>
        <v>39.467000775</v>
      </c>
      <c r="F268" s="31" t="n">
        <f aca="false">(C268-B268)*86400</f>
        <v>0.50100123</v>
      </c>
      <c r="G268" s="27" t="s">
        <v>151</v>
      </c>
      <c r="H268" s="27" t="s">
        <v>203</v>
      </c>
      <c r="I268" s="27" t="s">
        <v>266</v>
      </c>
      <c r="J268" s="27" t="s">
        <v>380</v>
      </c>
      <c r="K268" s="27" t="s">
        <v>281</v>
      </c>
      <c r="L268" s="3" t="str">
        <f aca="false">IF(ISNUMBER(SEARCH(" m",I268)),"Range",IF(I268="offline","Offline",IF(I268="","Unknown","No echo / error")))</f>
        <v>Range</v>
      </c>
      <c r="M268" s="3" t="str">
        <f aca="false">IF(ISNUMBER(SEARCH(" m",J268)),"Range",IF(J268="offline","Offline",IF(J268="","Unknown","No echo / error")))</f>
        <v>Range</v>
      </c>
      <c r="N268" s="3" t="str">
        <f aca="false">IF(ISNUMBER(SEARCH(" m",K268)),"Range",IF(K268="offline","Offline",IF(K268="","Unknown","No echo / error")))</f>
        <v>Range</v>
      </c>
      <c r="O268" s="3" t="str">
        <f aca="false">TEXT(B268,"yyyy-mm-dd")</f>
        <v>2026-10-05</v>
      </c>
    </row>
    <row r="269" customFormat="false" ht="15" hidden="false" customHeight="false" outlineLevel="0" collapsed="false">
      <c r="A269" s="27" t="n">
        <v>5</v>
      </c>
      <c r="B269" s="28" t="n">
        <v>46300.127724757</v>
      </c>
      <c r="C269" s="29" t="n">
        <f aca="false">IF(A270=A269,B270,INDEX(Rounds!$D:$D,MATCH(A269,Rounds!$A:$A,0)))</f>
        <v>46300.1277269676</v>
      </c>
      <c r="D269" s="30" t="n">
        <f aca="false">(B269-INDEX(Rounds!$C:$C,MATCH(A269,Rounds!$A:$A,0)))*86400</f>
        <v>39.467000775</v>
      </c>
      <c r="E269" s="30" t="n">
        <f aca="false">(C269-INDEX(Rounds!$C:$C,MATCH(A269,Rounds!$A:$A,0)))*86400</f>
        <v>39.65800004</v>
      </c>
      <c r="F269" s="31" t="n">
        <f aca="false">(C269-B269)*86400</f>
        <v>0.190999265</v>
      </c>
      <c r="G269" s="27" t="s">
        <v>152</v>
      </c>
      <c r="H269" s="27" t="s">
        <v>208</v>
      </c>
      <c r="I269" s="27" t="s">
        <v>204</v>
      </c>
      <c r="J269" s="27" t="s">
        <v>204</v>
      </c>
      <c r="K269" s="27" t="s">
        <v>370</v>
      </c>
      <c r="L269" s="3" t="str">
        <f aca="false">IF(ISNUMBER(SEARCH(" m",I269)),"Range",IF(I269="offline","Offline",IF(I269="","Unknown","No echo / error")))</f>
        <v>No echo / error</v>
      </c>
      <c r="M269" s="3" t="str">
        <f aca="false">IF(ISNUMBER(SEARCH(" m",J269)),"Range",IF(J269="offline","Offline",IF(J269="","Unknown","No echo / error")))</f>
        <v>No echo / error</v>
      </c>
      <c r="N269" s="3" t="str">
        <f aca="false">IF(ISNUMBER(SEARCH(" m",K269)),"Range",IF(K269="offline","Offline",IF(K269="","Unknown","No echo / error")))</f>
        <v>Range</v>
      </c>
      <c r="O269" s="3" t="str">
        <f aca="false">TEXT(B269,"yyyy-mm-dd")</f>
        <v>2026-10-05</v>
      </c>
    </row>
    <row r="270" customFormat="false" ht="15" hidden="false" customHeight="false" outlineLevel="0" collapsed="false">
      <c r="A270" s="27" t="n">
        <v>5</v>
      </c>
      <c r="B270" s="28" t="n">
        <v>46300.1277269676</v>
      </c>
      <c r="C270" s="29" t="n">
        <f aca="false">IF(A271=A270,B271,INDEX(Rounds!$D:$D,MATCH(A270,Rounds!$A:$A,0)))</f>
        <v>46300.1277318287</v>
      </c>
      <c r="D270" s="30" t="n">
        <f aca="false">(B270-INDEX(Rounds!$C:$C,MATCH(A270,Rounds!$A:$A,0)))*86400</f>
        <v>39.65800004</v>
      </c>
      <c r="E270" s="30" t="n">
        <f aca="false">(C270-INDEX(Rounds!$C:$C,MATCH(A270,Rounds!$A:$A,0)))*86400</f>
        <v>40.078000025</v>
      </c>
      <c r="F270" s="31" t="n">
        <f aca="false">(C270-B270)*86400</f>
        <v>0.419999985</v>
      </c>
      <c r="G270" s="27" t="s">
        <v>151</v>
      </c>
      <c r="H270" s="27" t="s">
        <v>203</v>
      </c>
      <c r="I270" s="27" t="s">
        <v>204</v>
      </c>
      <c r="J270" s="27" t="s">
        <v>204</v>
      </c>
      <c r="K270" s="27" t="s">
        <v>201</v>
      </c>
      <c r="L270" s="3" t="str">
        <f aca="false">IF(ISNUMBER(SEARCH(" m",I270)),"Range",IF(I270="offline","Offline",IF(I270="","Unknown","No echo / error")))</f>
        <v>No echo / error</v>
      </c>
      <c r="M270" s="3" t="str">
        <f aca="false">IF(ISNUMBER(SEARCH(" m",J270)),"Range",IF(J270="offline","Offline",IF(J270="","Unknown","No echo / error")))</f>
        <v>No echo / error</v>
      </c>
      <c r="N270" s="3" t="str">
        <f aca="false">IF(ISNUMBER(SEARCH(" m",K270)),"Range",IF(K270="offline","Offline",IF(K270="","Unknown","No echo / error")))</f>
        <v>Range</v>
      </c>
      <c r="O270" s="3" t="str">
        <f aca="false">TEXT(B270,"yyyy-mm-dd")</f>
        <v>2026-10-05</v>
      </c>
    </row>
    <row r="271" customFormat="false" ht="15" hidden="false" customHeight="false" outlineLevel="0" collapsed="false">
      <c r="A271" s="27" t="n">
        <v>5</v>
      </c>
      <c r="B271" s="28" t="n">
        <v>46300.1277318287</v>
      </c>
      <c r="C271" s="29" t="n">
        <f aca="false">IF(A272=A271,B272,INDEX(Rounds!$D:$D,MATCH(A271,Rounds!$A:$A,0)))</f>
        <v>46300.1277546644</v>
      </c>
      <c r="D271" s="30" t="n">
        <f aca="false">(B271-INDEX(Rounds!$C:$C,MATCH(A271,Rounds!$A:$A,0)))*86400</f>
        <v>40.078000025</v>
      </c>
      <c r="E271" s="30" t="n">
        <f aca="false">(C271-INDEX(Rounds!$C:$C,MATCH(A271,Rounds!$A:$A,0)))*86400</f>
        <v>42.050999659</v>
      </c>
      <c r="F271" s="31" t="n">
        <f aca="false">(C271-B271)*86400</f>
        <v>1.972999633</v>
      </c>
      <c r="G271" s="27" t="s">
        <v>150</v>
      </c>
      <c r="H271" s="27" t="s">
        <v>206</v>
      </c>
      <c r="I271" s="27" t="s">
        <v>204</v>
      </c>
      <c r="J271" s="27" t="s">
        <v>287</v>
      </c>
      <c r="K271" s="27" t="s">
        <v>201</v>
      </c>
      <c r="L271" s="3" t="str">
        <f aca="false">IF(ISNUMBER(SEARCH(" m",I271)),"Range",IF(I271="offline","Offline",IF(I271="","Unknown","No echo / error")))</f>
        <v>No echo / error</v>
      </c>
      <c r="M271" s="3" t="str">
        <f aca="false">IF(ISNUMBER(SEARCH(" m",J271)),"Range",IF(J271="offline","Offline",IF(J271="","Unknown","No echo / error")))</f>
        <v>Range</v>
      </c>
      <c r="N271" s="3" t="str">
        <f aca="false">IF(ISNUMBER(SEARCH(" m",K271)),"Range",IF(K271="offline","Offline",IF(K271="","Unknown","No echo / error")))</f>
        <v>Range</v>
      </c>
      <c r="O271" s="3" t="str">
        <f aca="false">TEXT(B271,"yyyy-mm-dd")</f>
        <v>2026-10-05</v>
      </c>
    </row>
    <row r="272" customFormat="false" ht="15" hidden="false" customHeight="false" outlineLevel="0" collapsed="false">
      <c r="A272" s="27" t="n">
        <v>5</v>
      </c>
      <c r="B272" s="28" t="n">
        <v>46300.1277546644</v>
      </c>
      <c r="C272" s="29" t="n">
        <f aca="false">IF(A273=A272,B273,INDEX(Rounds!$D:$D,MATCH(A272,Rounds!$A:$A,0)))</f>
        <v>46300.1277559722</v>
      </c>
      <c r="D272" s="30" t="n">
        <f aca="false">(B272-INDEX(Rounds!$C:$C,MATCH(A272,Rounds!$A:$A,0)))*86400</f>
        <v>42.050999659</v>
      </c>
      <c r="E272" s="30" t="n">
        <f aca="false">(C272-INDEX(Rounds!$C:$C,MATCH(A272,Rounds!$A:$A,0)))*86400</f>
        <v>42.164000077</v>
      </c>
      <c r="F272" s="31" t="n">
        <f aca="false">(C272-B272)*86400</f>
        <v>0.113000418</v>
      </c>
      <c r="G272" s="27" t="s">
        <v>151</v>
      </c>
      <c r="H272" s="27" t="s">
        <v>203</v>
      </c>
      <c r="I272" s="27" t="s">
        <v>204</v>
      </c>
      <c r="J272" s="27" t="s">
        <v>381</v>
      </c>
      <c r="K272" s="27" t="s">
        <v>250</v>
      </c>
      <c r="L272" s="3" t="str">
        <f aca="false">IF(ISNUMBER(SEARCH(" m",I272)),"Range",IF(I272="offline","Offline",IF(I272="","Unknown","No echo / error")))</f>
        <v>No echo / error</v>
      </c>
      <c r="M272" s="3" t="str">
        <f aca="false">IF(ISNUMBER(SEARCH(" m",J272)),"Range",IF(J272="offline","Offline",IF(J272="","Unknown","No echo / error")))</f>
        <v>Range</v>
      </c>
      <c r="N272" s="3" t="str">
        <f aca="false">IF(ISNUMBER(SEARCH(" m",K272)),"Range",IF(K272="offline","Offline",IF(K272="","Unknown","No echo / error")))</f>
        <v>Range</v>
      </c>
      <c r="O272" s="3" t="str">
        <f aca="false">TEXT(B272,"yyyy-mm-dd")</f>
        <v>2026-10-05</v>
      </c>
    </row>
    <row r="273" customFormat="false" ht="15" hidden="false" customHeight="false" outlineLevel="0" collapsed="false">
      <c r="A273" s="27" t="n">
        <v>5</v>
      </c>
      <c r="B273" s="28" t="n">
        <v>46300.1277559722</v>
      </c>
      <c r="C273" s="29" t="n">
        <f aca="false">IF(A274=A273,B274,INDEX(Rounds!$D:$D,MATCH(A273,Rounds!$A:$A,0)))</f>
        <v>46300.127763044</v>
      </c>
      <c r="D273" s="30" t="n">
        <f aca="false">(B273-INDEX(Rounds!$C:$C,MATCH(A273,Rounds!$A:$A,0)))*86400</f>
        <v>42.164000077</v>
      </c>
      <c r="E273" s="30" t="n">
        <f aca="false">(C273-INDEX(Rounds!$C:$C,MATCH(A273,Rounds!$A:$A,0)))*86400</f>
        <v>42.774999956</v>
      </c>
      <c r="F273" s="31" t="n">
        <f aca="false">(C273-B273)*86400</f>
        <v>0.610999879</v>
      </c>
      <c r="G273" s="27" t="s">
        <v>150</v>
      </c>
      <c r="H273" s="27" t="s">
        <v>206</v>
      </c>
      <c r="I273" s="27" t="s">
        <v>204</v>
      </c>
      <c r="J273" s="27" t="s">
        <v>287</v>
      </c>
      <c r="K273" s="27" t="s">
        <v>250</v>
      </c>
      <c r="L273" s="3" t="str">
        <f aca="false">IF(ISNUMBER(SEARCH(" m",I273)),"Range",IF(I273="offline","Offline",IF(I273="","Unknown","No echo / error")))</f>
        <v>No echo / error</v>
      </c>
      <c r="M273" s="3" t="str">
        <f aca="false">IF(ISNUMBER(SEARCH(" m",J273)),"Range",IF(J273="offline","Offline",IF(J273="","Unknown","No echo / error")))</f>
        <v>Range</v>
      </c>
      <c r="N273" s="3" t="str">
        <f aca="false">IF(ISNUMBER(SEARCH(" m",K273)),"Range",IF(K273="offline","Offline",IF(K273="","Unknown","No echo / error")))</f>
        <v>Range</v>
      </c>
      <c r="O273" s="3" t="str">
        <f aca="false">TEXT(B273,"yyyy-mm-dd")</f>
        <v>2026-10-05</v>
      </c>
    </row>
    <row r="274" customFormat="false" ht="15" hidden="false" customHeight="false" outlineLevel="0" collapsed="false">
      <c r="A274" s="27" t="n">
        <v>5</v>
      </c>
      <c r="B274" s="28" t="n">
        <v>46300.127763044</v>
      </c>
      <c r="C274" s="29" t="n">
        <f aca="false">IF(A275=A274,B275,INDEX(Rounds!$D:$D,MATCH(A274,Rounds!$A:$A,0)))</f>
        <v>46300.1277669329</v>
      </c>
      <c r="D274" s="30" t="n">
        <f aca="false">(B274-INDEX(Rounds!$C:$C,MATCH(A274,Rounds!$A:$A,0)))*86400</f>
        <v>42.774999956</v>
      </c>
      <c r="E274" s="30" t="n">
        <f aca="false">(C274-INDEX(Rounds!$C:$C,MATCH(A274,Rounds!$A:$A,0)))*86400</f>
        <v>43.11100007</v>
      </c>
      <c r="F274" s="31" t="n">
        <f aca="false">(C274-B274)*86400</f>
        <v>0.336000113</v>
      </c>
      <c r="G274" s="27" t="s">
        <v>151</v>
      </c>
      <c r="H274" s="27" t="s">
        <v>203</v>
      </c>
      <c r="I274" s="27" t="s">
        <v>204</v>
      </c>
      <c r="J274" s="27" t="s">
        <v>287</v>
      </c>
      <c r="K274" s="27" t="s">
        <v>232</v>
      </c>
      <c r="L274" s="3" t="str">
        <f aca="false">IF(ISNUMBER(SEARCH(" m",I274)),"Range",IF(I274="offline","Offline",IF(I274="","Unknown","No echo / error")))</f>
        <v>No echo / error</v>
      </c>
      <c r="M274" s="3" t="str">
        <f aca="false">IF(ISNUMBER(SEARCH(" m",J274)),"Range",IF(J274="offline","Offline",IF(J274="","Unknown","No echo / error")))</f>
        <v>Range</v>
      </c>
      <c r="N274" s="3" t="str">
        <f aca="false">IF(ISNUMBER(SEARCH(" m",K274)),"Range",IF(K274="offline","Offline",IF(K274="","Unknown","No echo / error")))</f>
        <v>Range</v>
      </c>
      <c r="O274" s="3" t="str">
        <f aca="false">TEXT(B274,"yyyy-mm-dd")</f>
        <v>2026-10-05</v>
      </c>
    </row>
    <row r="275" customFormat="false" ht="15" hidden="false" customHeight="false" outlineLevel="0" collapsed="false">
      <c r="A275" s="27" t="n">
        <v>5</v>
      </c>
      <c r="B275" s="28" t="n">
        <v>46300.1277669329</v>
      </c>
      <c r="C275" s="29" t="n">
        <f aca="false">IF(A276=A275,B276,INDEX(Rounds!$D:$D,MATCH(A275,Rounds!$A:$A,0)))</f>
        <v>46300.1277714005</v>
      </c>
      <c r="D275" s="30" t="n">
        <f aca="false">(B275-INDEX(Rounds!$C:$C,MATCH(A275,Rounds!$A:$A,0)))*86400</f>
        <v>43.11100007</v>
      </c>
      <c r="E275" s="30" t="n">
        <f aca="false">(C275-INDEX(Rounds!$C:$C,MATCH(A275,Rounds!$A:$A,0)))*86400</f>
        <v>43.496999912</v>
      </c>
      <c r="F275" s="31" t="n">
        <f aca="false">(C275-B275)*86400</f>
        <v>0.385999842</v>
      </c>
      <c r="G275" s="27" t="s">
        <v>150</v>
      </c>
      <c r="H275" s="27" t="s">
        <v>206</v>
      </c>
      <c r="I275" s="27" t="s">
        <v>382</v>
      </c>
      <c r="J275" s="27" t="s">
        <v>287</v>
      </c>
      <c r="K275" s="27" t="s">
        <v>232</v>
      </c>
      <c r="L275" s="3" t="str">
        <f aca="false">IF(ISNUMBER(SEARCH(" m",I275)),"Range",IF(I275="offline","Offline",IF(I275="","Unknown","No echo / error")))</f>
        <v>Range</v>
      </c>
      <c r="M275" s="3" t="str">
        <f aca="false">IF(ISNUMBER(SEARCH(" m",J275)),"Range",IF(J275="offline","Offline",IF(J275="","Unknown","No echo / error")))</f>
        <v>Range</v>
      </c>
      <c r="N275" s="3" t="str">
        <f aca="false">IF(ISNUMBER(SEARCH(" m",K275)),"Range",IF(K275="offline","Offline",IF(K275="","Unknown","No echo / error")))</f>
        <v>Range</v>
      </c>
      <c r="O275" s="3" t="str">
        <f aca="false">TEXT(B275,"yyyy-mm-dd")</f>
        <v>2026-10-05</v>
      </c>
    </row>
    <row r="276" customFormat="false" ht="15" hidden="false" customHeight="false" outlineLevel="0" collapsed="false">
      <c r="A276" s="27" t="n">
        <v>5</v>
      </c>
      <c r="B276" s="28" t="n">
        <v>46300.1277714005</v>
      </c>
      <c r="C276" s="29" t="n">
        <f aca="false">IF(A277=A276,B277,INDEX(Rounds!$D:$D,MATCH(A276,Rounds!$A:$A,0)))</f>
        <v>46300.1277715857</v>
      </c>
      <c r="D276" s="30" t="n">
        <f aca="false">(B276-INDEX(Rounds!$C:$C,MATCH(A276,Rounds!$A:$A,0)))*86400</f>
        <v>43.496999912</v>
      </c>
      <c r="E276" s="30" t="n">
        <f aca="false">(C276-INDEX(Rounds!$C:$C,MATCH(A276,Rounds!$A:$A,0)))*86400</f>
        <v>43.513000127</v>
      </c>
      <c r="F276" s="31" t="n">
        <f aca="false">(C276-B276)*86400</f>
        <v>0.016000214</v>
      </c>
      <c r="G276" s="27" t="s">
        <v>152</v>
      </c>
      <c r="H276" s="27" t="s">
        <v>208</v>
      </c>
      <c r="I276" s="27" t="s">
        <v>266</v>
      </c>
      <c r="J276" s="27" t="s">
        <v>287</v>
      </c>
      <c r="K276" s="27" t="s">
        <v>250</v>
      </c>
      <c r="L276" s="3" t="str">
        <f aca="false">IF(ISNUMBER(SEARCH(" m",I276)),"Range",IF(I276="offline","Offline",IF(I276="","Unknown","No echo / error")))</f>
        <v>Range</v>
      </c>
      <c r="M276" s="3" t="str">
        <f aca="false">IF(ISNUMBER(SEARCH(" m",J276)),"Range",IF(J276="offline","Offline",IF(J276="","Unknown","No echo / error")))</f>
        <v>Range</v>
      </c>
      <c r="N276" s="3" t="str">
        <f aca="false">IF(ISNUMBER(SEARCH(" m",K276)),"Range",IF(K276="offline","Offline",IF(K276="","Unknown","No echo / error")))</f>
        <v>Range</v>
      </c>
      <c r="O276" s="3" t="str">
        <f aca="false">TEXT(B276,"yyyy-mm-dd")</f>
        <v>2026-10-05</v>
      </c>
    </row>
    <row r="277" customFormat="false" ht="15" hidden="false" customHeight="false" outlineLevel="0" collapsed="false">
      <c r="A277" s="27" t="n">
        <v>5</v>
      </c>
      <c r="B277" s="28" t="n">
        <v>46300.1277715857</v>
      </c>
      <c r="C277" s="29" t="n">
        <f aca="false">IF(A278=A277,B278,INDEX(Rounds!$D:$D,MATCH(A277,Rounds!$A:$A,0)))</f>
        <v>46300.1277740162</v>
      </c>
      <c r="D277" s="30" t="n">
        <f aca="false">(B277-INDEX(Rounds!$C:$C,MATCH(A277,Rounds!$A:$A,0)))*86400</f>
        <v>43.513000127</v>
      </c>
      <c r="E277" s="30" t="n">
        <f aca="false">(C277-INDEX(Rounds!$C:$C,MATCH(A277,Rounds!$A:$A,0)))*86400</f>
        <v>43.722999491</v>
      </c>
      <c r="F277" s="31" t="n">
        <f aca="false">(C277-B277)*86400</f>
        <v>0.209999363</v>
      </c>
      <c r="G277" s="27" t="s">
        <v>151</v>
      </c>
      <c r="H277" s="27" t="s">
        <v>203</v>
      </c>
      <c r="I277" s="27" t="s">
        <v>266</v>
      </c>
      <c r="J277" s="27" t="s">
        <v>287</v>
      </c>
      <c r="K277" s="27" t="s">
        <v>250</v>
      </c>
      <c r="L277" s="3" t="str">
        <f aca="false">IF(ISNUMBER(SEARCH(" m",I277)),"Range",IF(I277="offline","Offline",IF(I277="","Unknown","No echo / error")))</f>
        <v>Range</v>
      </c>
      <c r="M277" s="3" t="str">
        <f aca="false">IF(ISNUMBER(SEARCH(" m",J277)),"Range",IF(J277="offline","Offline",IF(J277="","Unknown","No echo / error")))</f>
        <v>Range</v>
      </c>
      <c r="N277" s="3" t="str">
        <f aca="false">IF(ISNUMBER(SEARCH(" m",K277)),"Range",IF(K277="offline","Offline",IF(K277="","Unknown","No echo / error")))</f>
        <v>Range</v>
      </c>
      <c r="O277" s="3" t="str">
        <f aca="false">TEXT(B277,"yyyy-mm-dd")</f>
        <v>2026-10-05</v>
      </c>
    </row>
    <row r="278" customFormat="false" ht="15" hidden="false" customHeight="false" outlineLevel="0" collapsed="false">
      <c r="A278" s="27" t="n">
        <v>5</v>
      </c>
      <c r="B278" s="28" t="n">
        <v>46300.1277740162</v>
      </c>
      <c r="C278" s="29" t="n">
        <f aca="false">IF(A279=A278,B279,INDEX(Rounds!$D:$D,MATCH(A278,Rounds!$A:$A,0)))</f>
        <v>46300.1277797801</v>
      </c>
      <c r="D278" s="30" t="n">
        <f aca="false">(B278-INDEX(Rounds!$C:$C,MATCH(A278,Rounds!$A:$A,0)))*86400</f>
        <v>43.722999491</v>
      </c>
      <c r="E278" s="30" t="n">
        <f aca="false">(C278-INDEX(Rounds!$C:$C,MATCH(A278,Rounds!$A:$A,0)))*86400</f>
        <v>44.220999581</v>
      </c>
      <c r="F278" s="31" t="n">
        <f aca="false">(C278-B278)*86400</f>
        <v>0.49800009</v>
      </c>
      <c r="G278" s="27" t="s">
        <v>150</v>
      </c>
      <c r="H278" s="27" t="s">
        <v>206</v>
      </c>
      <c r="I278" s="27" t="s">
        <v>330</v>
      </c>
      <c r="J278" s="27" t="s">
        <v>383</v>
      </c>
      <c r="K278" s="27" t="s">
        <v>250</v>
      </c>
      <c r="L278" s="3" t="str">
        <f aca="false">IF(ISNUMBER(SEARCH(" m",I278)),"Range",IF(I278="offline","Offline",IF(I278="","Unknown","No echo / error")))</f>
        <v>Range</v>
      </c>
      <c r="M278" s="3" t="str">
        <f aca="false">IF(ISNUMBER(SEARCH(" m",J278)),"Range",IF(J278="offline","Offline",IF(J278="","Unknown","No echo / error")))</f>
        <v>No echo / error</v>
      </c>
      <c r="N278" s="3" t="str">
        <f aca="false">IF(ISNUMBER(SEARCH(" m",K278)),"Range",IF(K278="offline","Offline",IF(K278="","Unknown","No echo / error")))</f>
        <v>Range</v>
      </c>
      <c r="O278" s="3" t="str">
        <f aca="false">TEXT(B278,"yyyy-mm-dd")</f>
        <v>2026-10-05</v>
      </c>
    </row>
    <row r="279" customFormat="false" ht="15" hidden="false" customHeight="false" outlineLevel="0" collapsed="false">
      <c r="A279" s="27" t="n">
        <v>5</v>
      </c>
      <c r="B279" s="28" t="n">
        <v>46300.1277797801</v>
      </c>
      <c r="C279" s="29" t="n">
        <f aca="false">IF(A280=A279,B280,INDEX(Rounds!$D:$D,MATCH(A279,Rounds!$A:$A,0)))</f>
        <v>46300.127780162</v>
      </c>
      <c r="D279" s="30" t="n">
        <f aca="false">(B279-INDEX(Rounds!$C:$C,MATCH(A279,Rounds!$A:$A,0)))*86400</f>
        <v>44.220999581</v>
      </c>
      <c r="E279" s="30" t="n">
        <f aca="false">(C279-INDEX(Rounds!$C:$C,MATCH(A279,Rounds!$A:$A,0)))*86400</f>
        <v>44.254000182</v>
      </c>
      <c r="F279" s="31" t="n">
        <f aca="false">(C279-B279)*86400</f>
        <v>0.0330006</v>
      </c>
      <c r="G279" s="27" t="s">
        <v>152</v>
      </c>
      <c r="H279" s="27" t="s">
        <v>208</v>
      </c>
      <c r="I279" s="27" t="s">
        <v>384</v>
      </c>
      <c r="J279" s="27" t="s">
        <v>371</v>
      </c>
      <c r="K279" s="27" t="s">
        <v>244</v>
      </c>
      <c r="L279" s="3" t="str">
        <f aca="false">IF(ISNUMBER(SEARCH(" m",I279)),"Range",IF(I279="offline","Offline",IF(I279="","Unknown","No echo / error")))</f>
        <v>Range</v>
      </c>
      <c r="M279" s="3" t="str">
        <f aca="false">IF(ISNUMBER(SEARCH(" m",J279)),"Range",IF(J279="offline","Offline",IF(J279="","Unknown","No echo / error")))</f>
        <v>Range</v>
      </c>
      <c r="N279" s="3" t="str">
        <f aca="false">IF(ISNUMBER(SEARCH(" m",K279)),"Range",IF(K279="offline","Offline",IF(K279="","Unknown","No echo / error")))</f>
        <v>Range</v>
      </c>
      <c r="O279" s="3" t="str">
        <f aca="false">TEXT(B279,"yyyy-mm-dd")</f>
        <v>2026-10-05</v>
      </c>
    </row>
    <row r="280" customFormat="false" ht="15" hidden="false" customHeight="false" outlineLevel="0" collapsed="false">
      <c r="A280" s="27" t="n">
        <v>5</v>
      </c>
      <c r="B280" s="28" t="n">
        <v>46300.127780162</v>
      </c>
      <c r="C280" s="29" t="n">
        <f aca="false">IF(A281=A280,B281,INDEX(Rounds!$D:$D,MATCH(A280,Rounds!$A:$A,0)))</f>
        <v>46300.1277857407</v>
      </c>
      <c r="D280" s="30" t="n">
        <f aca="false">(B280-INDEX(Rounds!$C:$C,MATCH(A280,Rounds!$A:$A,0)))*86400</f>
        <v>44.254000182</v>
      </c>
      <c r="E280" s="30" t="n">
        <f aca="false">(C280-INDEX(Rounds!$C:$C,MATCH(A280,Rounds!$A:$A,0)))*86400</f>
        <v>44.736000057</v>
      </c>
      <c r="F280" s="31" t="n">
        <f aca="false">(C280-B280)*86400</f>
        <v>0.481999875</v>
      </c>
      <c r="G280" s="27" t="s">
        <v>151</v>
      </c>
      <c r="H280" s="27" t="s">
        <v>203</v>
      </c>
      <c r="I280" s="27" t="s">
        <v>384</v>
      </c>
      <c r="J280" s="27" t="s">
        <v>371</v>
      </c>
      <c r="K280" s="27" t="s">
        <v>284</v>
      </c>
      <c r="L280" s="3" t="str">
        <f aca="false">IF(ISNUMBER(SEARCH(" m",I280)),"Range",IF(I280="offline","Offline",IF(I280="","Unknown","No echo / error")))</f>
        <v>Range</v>
      </c>
      <c r="M280" s="3" t="str">
        <f aca="false">IF(ISNUMBER(SEARCH(" m",J280)),"Range",IF(J280="offline","Offline",IF(J280="","Unknown","No echo / error")))</f>
        <v>Range</v>
      </c>
      <c r="N280" s="3" t="str">
        <f aca="false">IF(ISNUMBER(SEARCH(" m",K280)),"Range",IF(K280="offline","Offline",IF(K280="","Unknown","No echo / error")))</f>
        <v>Range</v>
      </c>
      <c r="O280" s="3" t="str">
        <f aca="false">TEXT(B280,"yyyy-mm-dd")</f>
        <v>2026-10-05</v>
      </c>
    </row>
    <row r="281" customFormat="false" ht="15" hidden="false" customHeight="false" outlineLevel="0" collapsed="false">
      <c r="A281" s="27" t="n">
        <v>5</v>
      </c>
      <c r="B281" s="28" t="n">
        <v>46300.1277857407</v>
      </c>
      <c r="C281" s="29" t="n">
        <f aca="false">IF(A282=A281,B282,INDEX(Rounds!$D:$D,MATCH(A281,Rounds!$A:$A,0)))</f>
        <v>46300.1277952315</v>
      </c>
      <c r="D281" s="30" t="n">
        <f aca="false">(B281-INDEX(Rounds!$C:$C,MATCH(A281,Rounds!$A:$A,0)))*86400</f>
        <v>44.736000057</v>
      </c>
      <c r="E281" s="30" t="n">
        <f aca="false">(C281-INDEX(Rounds!$C:$C,MATCH(A281,Rounds!$A:$A,0)))*86400</f>
        <v>45.555999758</v>
      </c>
      <c r="F281" s="31" t="n">
        <f aca="false">(C281-B281)*86400</f>
        <v>0.819999701</v>
      </c>
      <c r="G281" s="27" t="s">
        <v>152</v>
      </c>
      <c r="H281" s="27" t="s">
        <v>208</v>
      </c>
      <c r="I281" s="27" t="s">
        <v>384</v>
      </c>
      <c r="J281" s="27" t="s">
        <v>371</v>
      </c>
      <c r="K281" s="27" t="s">
        <v>284</v>
      </c>
      <c r="L281" s="3" t="str">
        <f aca="false">IF(ISNUMBER(SEARCH(" m",I281)),"Range",IF(I281="offline","Offline",IF(I281="","Unknown","No echo / error")))</f>
        <v>Range</v>
      </c>
      <c r="M281" s="3" t="str">
        <f aca="false">IF(ISNUMBER(SEARCH(" m",J281)),"Range",IF(J281="offline","Offline",IF(J281="","Unknown","No echo / error")))</f>
        <v>Range</v>
      </c>
      <c r="N281" s="3" t="str">
        <f aca="false">IF(ISNUMBER(SEARCH(" m",K281)),"Range",IF(K281="offline","Offline",IF(K281="","Unknown","No echo / error")))</f>
        <v>Range</v>
      </c>
      <c r="O281" s="3" t="str">
        <f aca="false">TEXT(B281,"yyyy-mm-dd")</f>
        <v>2026-10-05</v>
      </c>
    </row>
    <row r="282" customFormat="false" ht="15" hidden="false" customHeight="false" outlineLevel="0" collapsed="false">
      <c r="A282" s="27" t="n">
        <v>5</v>
      </c>
      <c r="B282" s="28" t="n">
        <v>46300.1277952315</v>
      </c>
      <c r="C282" s="29" t="n">
        <f aca="false">IF(A283=A282,B283,INDEX(Rounds!$D:$D,MATCH(A282,Rounds!$A:$A,0)))</f>
        <v>46300.127798206</v>
      </c>
      <c r="D282" s="30" t="n">
        <f aca="false">(B282-INDEX(Rounds!$C:$C,MATCH(A282,Rounds!$A:$A,0)))*86400</f>
        <v>45.555999758</v>
      </c>
      <c r="E282" s="30" t="n">
        <f aca="false">(C282-INDEX(Rounds!$C:$C,MATCH(A282,Rounds!$A:$A,0)))*86400</f>
        <v>45.813000225</v>
      </c>
      <c r="F282" s="31" t="n">
        <f aca="false">(C282-B282)*86400</f>
        <v>0.257000466</v>
      </c>
      <c r="G282" s="27" t="s">
        <v>151</v>
      </c>
      <c r="H282" s="27" t="s">
        <v>203</v>
      </c>
      <c r="I282" s="27" t="s">
        <v>385</v>
      </c>
      <c r="J282" s="27" t="s">
        <v>371</v>
      </c>
      <c r="K282" s="27" t="s">
        <v>299</v>
      </c>
      <c r="L282" s="3" t="str">
        <f aca="false">IF(ISNUMBER(SEARCH(" m",I282)),"Range",IF(I282="offline","Offline",IF(I282="","Unknown","No echo / error")))</f>
        <v>Range</v>
      </c>
      <c r="M282" s="3" t="str">
        <f aca="false">IF(ISNUMBER(SEARCH(" m",J282)),"Range",IF(J282="offline","Offline",IF(J282="","Unknown","No echo / error")))</f>
        <v>Range</v>
      </c>
      <c r="N282" s="3" t="str">
        <f aca="false">IF(ISNUMBER(SEARCH(" m",K282)),"Range",IF(K282="offline","Offline",IF(K282="","Unknown","No echo / error")))</f>
        <v>Range</v>
      </c>
      <c r="O282" s="3" t="str">
        <f aca="false">TEXT(B282,"yyyy-mm-dd")</f>
        <v>2026-10-05</v>
      </c>
    </row>
    <row r="283" customFormat="false" ht="15" hidden="false" customHeight="false" outlineLevel="0" collapsed="false">
      <c r="A283" s="27" t="n">
        <v>5</v>
      </c>
      <c r="B283" s="28" t="n">
        <v>46300.127798206</v>
      </c>
      <c r="C283" s="29" t="n">
        <f aca="false">IF(A284=A283,B284,INDEX(Rounds!$D:$D,MATCH(A283,Rounds!$A:$A,0)))</f>
        <v>46300.1279734028</v>
      </c>
      <c r="D283" s="30" t="n">
        <f aca="false">(B283-INDEX(Rounds!$C:$C,MATCH(A283,Rounds!$A:$A,0)))*86400</f>
        <v>45.813000225</v>
      </c>
      <c r="E283" s="30" t="n">
        <f aca="false">(C283-INDEX(Rounds!$C:$C,MATCH(A283,Rounds!$A:$A,0)))*86400</f>
        <v>60.950000071</v>
      </c>
      <c r="F283" s="31" t="n">
        <f aca="false">(C283-B283)*86400</f>
        <v>15.136999846</v>
      </c>
      <c r="G283" s="27" t="s">
        <v>150</v>
      </c>
      <c r="H283" s="27" t="s">
        <v>206</v>
      </c>
      <c r="I283" s="27" t="s">
        <v>362</v>
      </c>
      <c r="J283" s="27" t="s">
        <v>210</v>
      </c>
      <c r="K283" s="27" t="s">
        <v>299</v>
      </c>
      <c r="L283" s="3" t="str">
        <f aca="false">IF(ISNUMBER(SEARCH(" m",I283)),"Range",IF(I283="offline","Offline",IF(I283="","Unknown","No echo / error")))</f>
        <v>Range</v>
      </c>
      <c r="M283" s="3" t="str">
        <f aca="false">IF(ISNUMBER(SEARCH(" m",J283)),"Range",IF(J283="offline","Offline",IF(J283="","Unknown","No echo / error")))</f>
        <v>Range</v>
      </c>
      <c r="N283" s="3" t="str">
        <f aca="false">IF(ISNUMBER(SEARCH(" m",K283)),"Range",IF(K283="offline","Offline",IF(K283="","Unknown","No echo / error")))</f>
        <v>Range</v>
      </c>
      <c r="O283" s="3" t="str">
        <f aca="false">TEXT(B283,"yyyy-mm-dd")</f>
        <v>2026-10-05</v>
      </c>
    </row>
    <row r="284" customFormat="false" ht="15" hidden="false" customHeight="false" outlineLevel="0" collapsed="false">
      <c r="A284" s="27" t="n">
        <v>5</v>
      </c>
      <c r="B284" s="28" t="n">
        <v>46300.1279734028</v>
      </c>
      <c r="C284" s="29" t="n">
        <f aca="false">IF(A285=A284,B285,INDEX(Rounds!$D:$D,MATCH(A284,Rounds!$A:$A,0)))</f>
        <v>46300.1279788194</v>
      </c>
      <c r="D284" s="30" t="n">
        <f aca="false">(B284-INDEX(Rounds!$C:$C,MATCH(A284,Rounds!$A:$A,0)))*86400</f>
        <v>60.950000071</v>
      </c>
      <c r="E284" s="30" t="n">
        <f aca="false">(C284-INDEX(Rounds!$C:$C,MATCH(A284,Rounds!$A:$A,0)))*86400</f>
        <v>61.417999444</v>
      </c>
      <c r="F284" s="31" t="n">
        <f aca="false">(C284-B284)*86400</f>
        <v>0.467999372</v>
      </c>
      <c r="G284" s="27" t="s">
        <v>151</v>
      </c>
      <c r="H284" s="27" t="s">
        <v>203</v>
      </c>
      <c r="I284" s="27" t="s">
        <v>204</v>
      </c>
      <c r="J284" s="27" t="s">
        <v>241</v>
      </c>
      <c r="K284" s="27" t="s">
        <v>386</v>
      </c>
      <c r="L284" s="3" t="str">
        <f aca="false">IF(ISNUMBER(SEARCH(" m",I284)),"Range",IF(I284="offline","Offline",IF(I284="","Unknown","No echo / error")))</f>
        <v>No echo / error</v>
      </c>
      <c r="M284" s="3" t="str">
        <f aca="false">IF(ISNUMBER(SEARCH(" m",J284)),"Range",IF(J284="offline","Offline",IF(J284="","Unknown","No echo / error")))</f>
        <v>Range</v>
      </c>
      <c r="N284" s="3" t="str">
        <f aca="false">IF(ISNUMBER(SEARCH(" m",K284)),"Range",IF(K284="offline","Offline",IF(K284="","Unknown","No echo / error")))</f>
        <v>Range</v>
      </c>
      <c r="O284" s="3" t="str">
        <f aca="false">TEXT(B284,"yyyy-mm-dd")</f>
        <v>2026-10-05</v>
      </c>
    </row>
    <row r="285" customFormat="false" ht="15" hidden="false" customHeight="false" outlineLevel="0" collapsed="false">
      <c r="A285" s="27" t="n">
        <v>5</v>
      </c>
      <c r="B285" s="28" t="n">
        <v>46300.1279788194</v>
      </c>
      <c r="C285" s="29" t="n">
        <f aca="false">IF(A286=A285,B286,INDEX(Rounds!$D:$D,MATCH(A285,Rounds!$A:$A,0)))</f>
        <v>46300.1279882755</v>
      </c>
      <c r="D285" s="30" t="n">
        <f aca="false">(B285-INDEX(Rounds!$C:$C,MATCH(A285,Rounds!$A:$A,0)))*86400</f>
        <v>61.417999444</v>
      </c>
      <c r="E285" s="30" t="n">
        <f aca="false">(C285-INDEX(Rounds!$C:$C,MATCH(A285,Rounds!$A:$A,0)))*86400</f>
        <v>62.234999891</v>
      </c>
      <c r="F285" s="31" t="n">
        <f aca="false">(C285-B285)*86400</f>
        <v>0.817000446</v>
      </c>
      <c r="G285" s="27" t="s">
        <v>150</v>
      </c>
      <c r="H285" s="27" t="s">
        <v>206</v>
      </c>
      <c r="I285" s="27" t="s">
        <v>259</v>
      </c>
      <c r="J285" s="27" t="s">
        <v>280</v>
      </c>
      <c r="K285" s="27" t="s">
        <v>341</v>
      </c>
      <c r="L285" s="3" t="str">
        <f aca="false">IF(ISNUMBER(SEARCH(" m",I285)),"Range",IF(I285="offline","Offline",IF(I285="","Unknown","No echo / error")))</f>
        <v>Range</v>
      </c>
      <c r="M285" s="3" t="str">
        <f aca="false">IF(ISNUMBER(SEARCH(" m",J285)),"Range",IF(J285="offline","Offline",IF(J285="","Unknown","No echo / error")))</f>
        <v>Range</v>
      </c>
      <c r="N285" s="3" t="str">
        <f aca="false">IF(ISNUMBER(SEARCH(" m",K285)),"Range",IF(K285="offline","Offline",IF(K285="","Unknown","No echo / error")))</f>
        <v>Range</v>
      </c>
      <c r="O285" s="3" t="str">
        <f aca="false">TEXT(B285,"yyyy-mm-dd")</f>
        <v>2026-10-05</v>
      </c>
    </row>
    <row r="286" customFormat="false" ht="15" hidden="false" customHeight="false" outlineLevel="0" collapsed="false">
      <c r="A286" s="27" t="n">
        <v>5</v>
      </c>
      <c r="B286" s="28" t="n">
        <v>46300.1279882755</v>
      </c>
      <c r="C286" s="29" t="n">
        <f aca="false">IF(A287=A286,B287,INDEX(Rounds!$D:$D,MATCH(A286,Rounds!$A:$A,0)))</f>
        <v>46300.1279893866</v>
      </c>
      <c r="D286" s="30" t="n">
        <f aca="false">(B286-INDEX(Rounds!$C:$C,MATCH(A286,Rounds!$A:$A,0)))*86400</f>
        <v>62.234999891</v>
      </c>
      <c r="E286" s="30" t="n">
        <f aca="false">(C286-INDEX(Rounds!$C:$C,MATCH(A286,Rounds!$A:$A,0)))*86400</f>
        <v>62.330999923</v>
      </c>
      <c r="F286" s="31" t="n">
        <f aca="false">(C286-B286)*86400</f>
        <v>0.096000032</v>
      </c>
      <c r="G286" s="27" t="s">
        <v>152</v>
      </c>
      <c r="H286" s="27" t="s">
        <v>208</v>
      </c>
      <c r="I286" s="27" t="s">
        <v>244</v>
      </c>
      <c r="J286" s="27" t="s">
        <v>273</v>
      </c>
      <c r="K286" s="27" t="s">
        <v>387</v>
      </c>
      <c r="L286" s="3" t="str">
        <f aca="false">IF(ISNUMBER(SEARCH(" m",I286)),"Range",IF(I286="offline","Offline",IF(I286="","Unknown","No echo / error")))</f>
        <v>Range</v>
      </c>
      <c r="M286" s="3" t="str">
        <f aca="false">IF(ISNUMBER(SEARCH(" m",J286)),"Range",IF(J286="offline","Offline",IF(J286="","Unknown","No echo / error")))</f>
        <v>Range</v>
      </c>
      <c r="N286" s="3" t="str">
        <f aca="false">IF(ISNUMBER(SEARCH(" m",K286)),"Range",IF(K286="offline","Offline",IF(K286="","Unknown","No echo / error")))</f>
        <v>Range</v>
      </c>
      <c r="O286" s="3" t="str">
        <f aca="false">TEXT(B286,"yyyy-mm-dd")</f>
        <v>2026-10-05</v>
      </c>
    </row>
    <row r="287" customFormat="false" ht="15" hidden="false" customHeight="false" outlineLevel="0" collapsed="false">
      <c r="A287" s="27" t="n">
        <v>5</v>
      </c>
      <c r="B287" s="28" t="n">
        <v>46300.1279893866</v>
      </c>
      <c r="C287" s="29" t="n">
        <f aca="false">IF(A288=A287,B288,INDEX(Rounds!$D:$D,MATCH(A287,Rounds!$A:$A,0)))</f>
        <v>46300.1279904977</v>
      </c>
      <c r="D287" s="30" t="n">
        <f aca="false">(B287-INDEX(Rounds!$C:$C,MATCH(A287,Rounds!$A:$A,0)))*86400</f>
        <v>62.330999923</v>
      </c>
      <c r="E287" s="30" t="n">
        <f aca="false">(C287-INDEX(Rounds!$C:$C,MATCH(A287,Rounds!$A:$A,0)))*86400</f>
        <v>62.426999327</v>
      </c>
      <c r="F287" s="31" t="n">
        <f aca="false">(C287-B287)*86400</f>
        <v>0.095999403</v>
      </c>
      <c r="G287" s="27" t="s">
        <v>151</v>
      </c>
      <c r="H287" s="27" t="s">
        <v>203</v>
      </c>
      <c r="I287" s="27" t="s">
        <v>259</v>
      </c>
      <c r="J287" s="27" t="s">
        <v>273</v>
      </c>
      <c r="K287" s="27" t="s">
        <v>387</v>
      </c>
      <c r="L287" s="3" t="str">
        <f aca="false">IF(ISNUMBER(SEARCH(" m",I287)),"Range",IF(I287="offline","Offline",IF(I287="","Unknown","No echo / error")))</f>
        <v>Range</v>
      </c>
      <c r="M287" s="3" t="str">
        <f aca="false">IF(ISNUMBER(SEARCH(" m",J287)),"Range",IF(J287="offline","Offline",IF(J287="","Unknown","No echo / error")))</f>
        <v>Range</v>
      </c>
      <c r="N287" s="3" t="str">
        <f aca="false">IF(ISNUMBER(SEARCH(" m",K287)),"Range",IF(K287="offline","Offline",IF(K287="","Unknown","No echo / error")))</f>
        <v>Range</v>
      </c>
      <c r="O287" s="3" t="str">
        <f aca="false">TEXT(B287,"yyyy-mm-dd")</f>
        <v>2026-10-05</v>
      </c>
    </row>
    <row r="288" customFormat="false" ht="15" hidden="false" customHeight="false" outlineLevel="0" collapsed="false">
      <c r="A288" s="27" t="n">
        <v>5</v>
      </c>
      <c r="B288" s="28" t="n">
        <v>46300.1279904977</v>
      </c>
      <c r="C288" s="29" t="n">
        <f aca="false">IF(A289=A288,B289,INDEX(Rounds!$D:$D,MATCH(A288,Rounds!$A:$A,0)))</f>
        <v>46300.1279971875</v>
      </c>
      <c r="D288" s="30" t="n">
        <f aca="false">(B288-INDEX(Rounds!$C:$C,MATCH(A288,Rounds!$A:$A,0)))*86400</f>
        <v>62.426999327</v>
      </c>
      <c r="E288" s="30" t="n">
        <f aca="false">(C288-INDEX(Rounds!$C:$C,MATCH(A288,Rounds!$A:$A,0)))*86400</f>
        <v>63.004999863</v>
      </c>
      <c r="F288" s="31" t="n">
        <f aca="false">(C288-B288)*86400</f>
        <v>0.578000536</v>
      </c>
      <c r="G288" s="27" t="s">
        <v>150</v>
      </c>
      <c r="H288" s="27" t="s">
        <v>206</v>
      </c>
      <c r="I288" s="27" t="s">
        <v>259</v>
      </c>
      <c r="J288" s="27" t="s">
        <v>241</v>
      </c>
      <c r="K288" s="27" t="s">
        <v>387</v>
      </c>
      <c r="L288" s="3" t="str">
        <f aca="false">IF(ISNUMBER(SEARCH(" m",I288)),"Range",IF(I288="offline","Offline",IF(I288="","Unknown","No echo / error")))</f>
        <v>Range</v>
      </c>
      <c r="M288" s="3" t="str">
        <f aca="false">IF(ISNUMBER(SEARCH(" m",J288)),"Range",IF(J288="offline","Offline",IF(J288="","Unknown","No echo / error")))</f>
        <v>Range</v>
      </c>
      <c r="N288" s="3" t="str">
        <f aca="false">IF(ISNUMBER(SEARCH(" m",K288)),"Range",IF(K288="offline","Offline",IF(K288="","Unknown","No echo / error")))</f>
        <v>Range</v>
      </c>
      <c r="O288" s="3" t="str">
        <f aca="false">TEXT(B288,"yyyy-mm-dd")</f>
        <v>2026-10-05</v>
      </c>
    </row>
    <row r="289" customFormat="false" ht="15" hidden="false" customHeight="false" outlineLevel="0" collapsed="false">
      <c r="A289" s="27" t="n">
        <v>5</v>
      </c>
      <c r="B289" s="28" t="n">
        <v>46300.1279971875</v>
      </c>
      <c r="C289" s="29" t="n">
        <f aca="false">IF(A290=A289,B290,INDEX(Rounds!$D:$D,MATCH(A289,Rounds!$A:$A,0)))</f>
        <v>46300.1279971875</v>
      </c>
      <c r="D289" s="30" t="n">
        <f aca="false">(B289-INDEX(Rounds!$C:$C,MATCH(A289,Rounds!$A:$A,0)))*86400</f>
        <v>63.004999863</v>
      </c>
      <c r="E289" s="30" t="n">
        <f aca="false">(C289-INDEX(Rounds!$C:$C,MATCH(A289,Rounds!$A:$A,0)))*86400</f>
        <v>63.004999863</v>
      </c>
      <c r="F289" s="31" t="n">
        <f aca="false">(C289-B289)*86400</f>
        <v>0</v>
      </c>
      <c r="G289" s="27" t="s">
        <v>154</v>
      </c>
      <c r="H289" s="27" t="s">
        <v>206</v>
      </c>
      <c r="I289" s="27" t="s">
        <v>259</v>
      </c>
      <c r="J289" s="27" t="s">
        <v>241</v>
      </c>
      <c r="K289" s="27" t="s">
        <v>387</v>
      </c>
      <c r="L289" s="3" t="str">
        <f aca="false">IF(ISNUMBER(SEARCH(" m",I289)),"Range",IF(I289="offline","Offline",IF(I289="","Unknown","No echo / error")))</f>
        <v>Range</v>
      </c>
      <c r="M289" s="3" t="str">
        <f aca="false">IF(ISNUMBER(SEARCH(" m",J289)),"Range",IF(J289="offline","Offline",IF(J289="","Unknown","No echo / error")))</f>
        <v>Range</v>
      </c>
      <c r="N289" s="3" t="str">
        <f aca="false">IF(ISNUMBER(SEARCH(" m",K289)),"Range",IF(K289="offline","Offline",IF(K289="","Unknown","No echo / error")))</f>
        <v>Range</v>
      </c>
      <c r="O289" s="3" t="str">
        <f aca="false">TEXT(B289,"yyyy-mm-dd")</f>
        <v>2026-10-05</v>
      </c>
    </row>
    <row r="290" customFormat="false" ht="15" hidden="false" customHeight="false" outlineLevel="0" collapsed="false">
      <c r="A290" s="27" t="n">
        <v>6</v>
      </c>
      <c r="B290" s="28" t="n">
        <v>46300.1527333796</v>
      </c>
      <c r="C290" s="29" t="n">
        <f aca="false">IF(A291=A290,B291,INDEX(Rounds!$D:$D,MATCH(A290,Rounds!$A:$A,0)))</f>
        <v>46300.1527333796</v>
      </c>
      <c r="D290" s="30" t="n">
        <f aca="false">(B290-INDEX(Rounds!$C:$C,MATCH(A290,Rounds!$A:$A,0)))*86400</f>
        <v>0</v>
      </c>
      <c r="E290" s="30" t="n">
        <f aca="false">(C290-INDEX(Rounds!$C:$C,MATCH(A290,Rounds!$A:$A,0)))*86400</f>
        <v>0</v>
      </c>
      <c r="F290" s="31" t="n">
        <f aca="false">(C290-B290)*86400</f>
        <v>0</v>
      </c>
      <c r="G290" s="27" t="s">
        <v>150</v>
      </c>
      <c r="H290" s="27" t="s">
        <v>206</v>
      </c>
      <c r="I290" s="27" t="s">
        <v>259</v>
      </c>
      <c r="J290" s="27" t="s">
        <v>241</v>
      </c>
      <c r="K290" s="27" t="s">
        <v>387</v>
      </c>
      <c r="L290" s="3" t="str">
        <f aca="false">IF(ISNUMBER(SEARCH(" m",I290)),"Range",IF(I290="offline","Offline",IF(I290="","Unknown","No echo / error")))</f>
        <v>Range</v>
      </c>
      <c r="M290" s="3" t="str">
        <f aca="false">IF(ISNUMBER(SEARCH(" m",J290)),"Range",IF(J290="offline","Offline",IF(J290="","Unknown","No echo / error")))</f>
        <v>Range</v>
      </c>
      <c r="N290" s="3" t="str">
        <f aca="false">IF(ISNUMBER(SEARCH(" m",K290)),"Range",IF(K290="offline","Offline",IF(K290="","Unknown","No echo / error")))</f>
        <v>Range</v>
      </c>
      <c r="O290" s="3" t="str">
        <f aca="false">TEXT(B290,"yyyy-mm-dd")</f>
        <v>2026-10-05</v>
      </c>
    </row>
    <row r="291" customFormat="false" ht="15" hidden="false" customHeight="false" outlineLevel="0" collapsed="false">
      <c r="A291" s="27" t="n">
        <v>6</v>
      </c>
      <c r="B291" s="28" t="n">
        <v>46300.1527333796</v>
      </c>
      <c r="C291" s="29" t="n">
        <f aca="false">IF(A292=A291,B292,INDEX(Rounds!$D:$D,MATCH(A291,Rounds!$A:$A,0)))</f>
        <v>46300.1527333796</v>
      </c>
      <c r="D291" s="30" t="n">
        <f aca="false">(B291-INDEX(Rounds!$C:$C,MATCH(A291,Rounds!$A:$A,0)))*86400</f>
        <v>0</v>
      </c>
      <c r="E291" s="30" t="n">
        <f aca="false">(C291-INDEX(Rounds!$C:$C,MATCH(A291,Rounds!$A:$A,0)))*86400</f>
        <v>0</v>
      </c>
      <c r="F291" s="31" t="n">
        <f aca="false">(C291-B291)*86400</f>
        <v>0</v>
      </c>
      <c r="G291" s="27" t="s">
        <v>150</v>
      </c>
      <c r="H291" s="27" t="s">
        <v>206</v>
      </c>
      <c r="I291" s="27" t="s">
        <v>259</v>
      </c>
      <c r="J291" s="27" t="s">
        <v>241</v>
      </c>
      <c r="K291" s="27" t="s">
        <v>387</v>
      </c>
      <c r="L291" s="3" t="str">
        <f aca="false">IF(ISNUMBER(SEARCH(" m",I291)),"Range",IF(I291="offline","Offline",IF(I291="","Unknown","No echo / error")))</f>
        <v>Range</v>
      </c>
      <c r="M291" s="3" t="str">
        <f aca="false">IF(ISNUMBER(SEARCH(" m",J291)),"Range",IF(J291="offline","Offline",IF(J291="","Unknown","No echo / error")))</f>
        <v>Range</v>
      </c>
      <c r="N291" s="3" t="str">
        <f aca="false">IF(ISNUMBER(SEARCH(" m",K291)),"Range",IF(K291="offline","Offline",IF(K291="","Unknown","No echo / error")))</f>
        <v>Range</v>
      </c>
      <c r="O291" s="3" t="str">
        <f aca="false">TEXT(B291,"yyyy-mm-dd")</f>
        <v>2026-10-05</v>
      </c>
    </row>
    <row r="292" customFormat="false" ht="15" hidden="false" customHeight="false" outlineLevel="0" collapsed="false">
      <c r="A292" s="27" t="n">
        <v>6</v>
      </c>
      <c r="B292" s="28" t="n">
        <v>46300.1527333796</v>
      </c>
      <c r="C292" s="29" t="n">
        <f aca="false">IF(A293=A292,B293,INDEX(Rounds!$D:$D,MATCH(A292,Rounds!$A:$A,0)))</f>
        <v>46300.1527477083</v>
      </c>
      <c r="D292" s="30" t="n">
        <f aca="false">(B292-INDEX(Rounds!$C:$C,MATCH(A292,Rounds!$A:$A,0)))*86400</f>
        <v>0</v>
      </c>
      <c r="E292" s="30" t="n">
        <f aca="false">(C292-INDEX(Rounds!$C:$C,MATCH(A292,Rounds!$A:$A,0)))*86400</f>
        <v>1.237999973</v>
      </c>
      <c r="F292" s="31" t="n">
        <f aca="false">(C292-B292)*86400</f>
        <v>1.237999973</v>
      </c>
      <c r="G292" s="27" t="s">
        <v>152</v>
      </c>
      <c r="H292" s="27" t="s">
        <v>199</v>
      </c>
      <c r="I292" s="27" t="s">
        <v>366</v>
      </c>
      <c r="J292" s="27" t="s">
        <v>367</v>
      </c>
      <c r="K292" s="27" t="s">
        <v>368</v>
      </c>
      <c r="L292" s="3" t="str">
        <f aca="false">IF(ISNUMBER(SEARCH(" m",I292)),"Range",IF(I292="offline","Offline",IF(I292="","Unknown","No echo / error")))</f>
        <v>No echo / error</v>
      </c>
      <c r="M292" s="3" t="str">
        <f aca="false">IF(ISNUMBER(SEARCH(" m",J292)),"Range",IF(J292="offline","Offline",IF(J292="","Unknown","No echo / error")))</f>
        <v>No echo / error</v>
      </c>
      <c r="N292" s="3" t="str">
        <f aca="false">IF(ISNUMBER(SEARCH(" m",K292)),"Range",IF(K292="offline","Offline",IF(K292="","Unknown","No echo / error")))</f>
        <v>No echo / error</v>
      </c>
      <c r="O292" s="3" t="str">
        <f aca="false">TEXT(B292,"yyyy-mm-dd")</f>
        <v>2026-10-05</v>
      </c>
    </row>
    <row r="293" customFormat="false" ht="15" hidden="false" customHeight="false" outlineLevel="0" collapsed="false">
      <c r="A293" s="27" t="n">
        <v>6</v>
      </c>
      <c r="B293" s="28" t="n">
        <v>46300.1527477083</v>
      </c>
      <c r="C293" s="29" t="n">
        <f aca="false">IF(A294=A293,B294,INDEX(Rounds!$D:$D,MATCH(A293,Rounds!$A:$A,0)))</f>
        <v>46300.1527532986</v>
      </c>
      <c r="D293" s="30" t="n">
        <f aca="false">(B293-INDEX(Rounds!$C:$C,MATCH(A293,Rounds!$A:$A,0)))*86400</f>
        <v>1.237999973</v>
      </c>
      <c r="E293" s="30" t="n">
        <f aca="false">(C293-INDEX(Rounds!$C:$C,MATCH(A293,Rounds!$A:$A,0)))*86400</f>
        <v>1.72099939</v>
      </c>
      <c r="F293" s="31" t="n">
        <f aca="false">(C293-B293)*86400</f>
        <v>0.482999416</v>
      </c>
      <c r="G293" s="27" t="s">
        <v>151</v>
      </c>
      <c r="H293" s="27" t="s">
        <v>203</v>
      </c>
      <c r="I293" s="27" t="s">
        <v>204</v>
      </c>
      <c r="J293" s="27" t="s">
        <v>264</v>
      </c>
      <c r="K293" s="27" t="s">
        <v>388</v>
      </c>
      <c r="L293" s="3" t="str">
        <f aca="false">IF(ISNUMBER(SEARCH(" m",I293)),"Range",IF(I293="offline","Offline",IF(I293="","Unknown","No echo / error")))</f>
        <v>No echo / error</v>
      </c>
      <c r="M293" s="3" t="str">
        <f aca="false">IF(ISNUMBER(SEARCH(" m",J293)),"Range",IF(J293="offline","Offline",IF(J293="","Unknown","No echo / error")))</f>
        <v>Range</v>
      </c>
      <c r="N293" s="3" t="str">
        <f aca="false">IF(ISNUMBER(SEARCH(" m",K293)),"Range",IF(K293="offline","Offline",IF(K293="","Unknown","No echo / error")))</f>
        <v>Range</v>
      </c>
      <c r="O293" s="3" t="str">
        <f aca="false">TEXT(B293,"yyyy-mm-dd")</f>
        <v>2026-10-05</v>
      </c>
    </row>
    <row r="294" customFormat="false" ht="15" hidden="false" customHeight="false" outlineLevel="0" collapsed="false">
      <c r="A294" s="27" t="n">
        <v>6</v>
      </c>
      <c r="B294" s="28" t="n">
        <v>46300.1527532986</v>
      </c>
      <c r="C294" s="29" t="n">
        <f aca="false">IF(A295=A294,B295,INDEX(Rounds!$D:$D,MATCH(A294,Rounds!$A:$A,0)))</f>
        <v>46300.1527559028</v>
      </c>
      <c r="D294" s="30" t="n">
        <f aca="false">(B294-INDEX(Rounds!$C:$C,MATCH(A294,Rounds!$A:$A,0)))*86400</f>
        <v>1.72099939</v>
      </c>
      <c r="E294" s="30" t="n">
        <f aca="false">(C294-INDEX(Rounds!$C:$C,MATCH(A294,Rounds!$A:$A,0)))*86400</f>
        <v>1.945998799</v>
      </c>
      <c r="F294" s="31" t="n">
        <f aca="false">(C294-B294)*86400</f>
        <v>0.224999408</v>
      </c>
      <c r="G294" s="27" t="s">
        <v>152</v>
      </c>
      <c r="H294" s="27" t="s">
        <v>208</v>
      </c>
      <c r="I294" s="27" t="s">
        <v>319</v>
      </c>
      <c r="J294" s="27" t="s">
        <v>328</v>
      </c>
      <c r="K294" s="27" t="s">
        <v>204</v>
      </c>
      <c r="L294" s="3" t="str">
        <f aca="false">IF(ISNUMBER(SEARCH(" m",I294)),"Range",IF(I294="offline","Offline",IF(I294="","Unknown","No echo / error")))</f>
        <v>Range</v>
      </c>
      <c r="M294" s="3" t="str">
        <f aca="false">IF(ISNUMBER(SEARCH(" m",J294)),"Range",IF(J294="offline","Offline",IF(J294="","Unknown","No echo / error")))</f>
        <v>Range</v>
      </c>
      <c r="N294" s="3" t="str">
        <f aca="false">IF(ISNUMBER(SEARCH(" m",K294)),"Range",IF(K294="offline","Offline",IF(K294="","Unknown","No echo / error")))</f>
        <v>No echo / error</v>
      </c>
      <c r="O294" s="3" t="str">
        <f aca="false">TEXT(B294,"yyyy-mm-dd")</f>
        <v>2026-10-05</v>
      </c>
    </row>
    <row r="295" customFormat="false" ht="15" hidden="false" customHeight="false" outlineLevel="0" collapsed="false">
      <c r="A295" s="27" t="n">
        <v>6</v>
      </c>
      <c r="B295" s="28" t="n">
        <v>46300.1527559028</v>
      </c>
      <c r="C295" s="29" t="n">
        <f aca="false">IF(A296=A295,B296,INDEX(Rounds!$D:$D,MATCH(A295,Rounds!$A:$A,0)))</f>
        <v>46300.1527599653</v>
      </c>
      <c r="D295" s="30" t="n">
        <f aca="false">(B295-INDEX(Rounds!$C:$C,MATCH(A295,Rounds!$A:$A,0)))*86400</f>
        <v>1.945998799</v>
      </c>
      <c r="E295" s="30" t="n">
        <f aca="false">(C295-INDEX(Rounds!$C:$C,MATCH(A295,Rounds!$A:$A,0)))*86400</f>
        <v>2.297000214</v>
      </c>
      <c r="F295" s="31" t="n">
        <f aca="false">(C295-B295)*86400</f>
        <v>0.351001415</v>
      </c>
      <c r="G295" s="27" t="s">
        <v>151</v>
      </c>
      <c r="H295" s="27" t="s">
        <v>203</v>
      </c>
      <c r="I295" s="27" t="s">
        <v>220</v>
      </c>
      <c r="J295" s="27" t="s">
        <v>357</v>
      </c>
      <c r="K295" s="27" t="s">
        <v>204</v>
      </c>
      <c r="L295" s="3" t="str">
        <f aca="false">IF(ISNUMBER(SEARCH(" m",I295)),"Range",IF(I295="offline","Offline",IF(I295="","Unknown","No echo / error")))</f>
        <v>No echo / error</v>
      </c>
      <c r="M295" s="3" t="str">
        <f aca="false">IF(ISNUMBER(SEARCH(" m",J295)),"Range",IF(J295="offline","Offline",IF(J295="","Unknown","No echo / error")))</f>
        <v>Range</v>
      </c>
      <c r="N295" s="3" t="str">
        <f aca="false">IF(ISNUMBER(SEARCH(" m",K295)),"Range",IF(K295="offline","Offline",IF(K295="","Unknown","No echo / error")))</f>
        <v>No echo / error</v>
      </c>
      <c r="O295" s="3" t="str">
        <f aca="false">TEXT(B295,"yyyy-mm-dd")</f>
        <v>2026-10-05</v>
      </c>
    </row>
    <row r="296" customFormat="false" ht="15" hidden="false" customHeight="false" outlineLevel="0" collapsed="false">
      <c r="A296" s="27" t="n">
        <v>6</v>
      </c>
      <c r="B296" s="28" t="n">
        <v>46300.1527599653</v>
      </c>
      <c r="C296" s="29" t="n">
        <f aca="false">IF(A297=A296,B297,INDEX(Rounds!$D:$D,MATCH(A296,Rounds!$A:$A,0)))</f>
        <v>46300.1528046412</v>
      </c>
      <c r="D296" s="30" t="n">
        <f aca="false">(B296-INDEX(Rounds!$C:$C,MATCH(A296,Rounds!$A:$A,0)))*86400</f>
        <v>2.297000214</v>
      </c>
      <c r="E296" s="30" t="n">
        <f aca="false">(C296-INDEX(Rounds!$C:$C,MATCH(A296,Rounds!$A:$A,0)))*86400</f>
        <v>6.157000525</v>
      </c>
      <c r="F296" s="31" t="n">
        <f aca="false">(C296-B296)*86400</f>
        <v>3.860000311</v>
      </c>
      <c r="G296" s="27" t="s">
        <v>150</v>
      </c>
      <c r="H296" s="27" t="s">
        <v>206</v>
      </c>
      <c r="I296" s="27" t="s">
        <v>361</v>
      </c>
      <c r="J296" s="27" t="s">
        <v>290</v>
      </c>
      <c r="K296" s="27" t="s">
        <v>370</v>
      </c>
      <c r="L296" s="3" t="str">
        <f aca="false">IF(ISNUMBER(SEARCH(" m",I296)),"Range",IF(I296="offline","Offline",IF(I296="","Unknown","No echo / error")))</f>
        <v>Range</v>
      </c>
      <c r="M296" s="3" t="str">
        <f aca="false">IF(ISNUMBER(SEARCH(" m",J296)),"Range",IF(J296="offline","Offline",IF(J296="","Unknown","No echo / error")))</f>
        <v>Range</v>
      </c>
      <c r="N296" s="3" t="str">
        <f aca="false">IF(ISNUMBER(SEARCH(" m",K296)),"Range",IF(K296="offline","Offline",IF(K296="","Unknown","No echo / error")))</f>
        <v>Range</v>
      </c>
      <c r="O296" s="3" t="str">
        <f aca="false">TEXT(B296,"yyyy-mm-dd")</f>
        <v>2026-10-05</v>
      </c>
    </row>
    <row r="297" customFormat="false" ht="15" hidden="false" customHeight="false" outlineLevel="0" collapsed="false">
      <c r="A297" s="27" t="n">
        <v>6</v>
      </c>
      <c r="B297" s="28" t="n">
        <v>46300.1528046412</v>
      </c>
      <c r="C297" s="29" t="n">
        <f aca="false">IF(A298=A297,B298,INDEX(Rounds!$D:$D,MATCH(A297,Rounds!$A:$A,0)))</f>
        <v>46300.1528072338</v>
      </c>
      <c r="D297" s="30" t="n">
        <f aca="false">(B297-INDEX(Rounds!$C:$C,MATCH(A297,Rounds!$A:$A,0)))*86400</f>
        <v>6.157000525</v>
      </c>
      <c r="E297" s="30" t="n">
        <f aca="false">(C297-INDEX(Rounds!$C:$C,MATCH(A297,Rounds!$A:$A,0)))*86400</f>
        <v>6.380999763</v>
      </c>
      <c r="F297" s="31" t="n">
        <f aca="false">(C297-B297)*86400</f>
        <v>0.223999237</v>
      </c>
      <c r="G297" s="27" t="s">
        <v>151</v>
      </c>
      <c r="H297" s="27" t="s">
        <v>203</v>
      </c>
      <c r="I297" s="27" t="s">
        <v>204</v>
      </c>
      <c r="J297" s="27" t="s">
        <v>302</v>
      </c>
      <c r="K297" s="27" t="s">
        <v>282</v>
      </c>
      <c r="L297" s="3" t="str">
        <f aca="false">IF(ISNUMBER(SEARCH(" m",I297)),"Range",IF(I297="offline","Offline",IF(I297="","Unknown","No echo / error")))</f>
        <v>No echo / error</v>
      </c>
      <c r="M297" s="3" t="str">
        <f aca="false">IF(ISNUMBER(SEARCH(" m",J297)),"Range",IF(J297="offline","Offline",IF(J297="","Unknown","No echo / error")))</f>
        <v>Range</v>
      </c>
      <c r="N297" s="3" t="str">
        <f aca="false">IF(ISNUMBER(SEARCH(" m",K297)),"Range",IF(K297="offline","Offline",IF(K297="","Unknown","No echo / error")))</f>
        <v>Range</v>
      </c>
      <c r="O297" s="3" t="str">
        <f aca="false">TEXT(B297,"yyyy-mm-dd")</f>
        <v>2026-10-05</v>
      </c>
    </row>
    <row r="298" customFormat="false" ht="15" hidden="false" customHeight="false" outlineLevel="0" collapsed="false">
      <c r="A298" s="27" t="n">
        <v>6</v>
      </c>
      <c r="B298" s="28" t="n">
        <v>46300.1528072338</v>
      </c>
      <c r="C298" s="29" t="n">
        <f aca="false">IF(A299=A298,B299,INDEX(Rounds!$D:$D,MATCH(A298,Rounds!$A:$A,0)))</f>
        <v>46300.152827338</v>
      </c>
      <c r="D298" s="30" t="n">
        <f aca="false">(B298-INDEX(Rounds!$C:$C,MATCH(A298,Rounds!$A:$A,0)))*86400</f>
        <v>6.380999763</v>
      </c>
      <c r="E298" s="30" t="n">
        <f aca="false">(C298-INDEX(Rounds!$C:$C,MATCH(A298,Rounds!$A:$A,0)))*86400</f>
        <v>8.118000626</v>
      </c>
      <c r="F298" s="31" t="n">
        <f aca="false">(C298-B298)*86400</f>
        <v>1.737000863</v>
      </c>
      <c r="G298" s="27" t="s">
        <v>150</v>
      </c>
      <c r="H298" s="27" t="s">
        <v>206</v>
      </c>
      <c r="I298" s="27" t="s">
        <v>253</v>
      </c>
      <c r="J298" s="27" t="s">
        <v>377</v>
      </c>
      <c r="K298" s="27" t="s">
        <v>282</v>
      </c>
      <c r="L298" s="3" t="str">
        <f aca="false">IF(ISNUMBER(SEARCH(" m",I298)),"Range",IF(I298="offline","Offline",IF(I298="","Unknown","No echo / error")))</f>
        <v>Range</v>
      </c>
      <c r="M298" s="3" t="str">
        <f aca="false">IF(ISNUMBER(SEARCH(" m",J298)),"Range",IF(J298="offline","Offline",IF(J298="","Unknown","No echo / error")))</f>
        <v>Range</v>
      </c>
      <c r="N298" s="3" t="str">
        <f aca="false">IF(ISNUMBER(SEARCH(" m",K298)),"Range",IF(K298="offline","Offline",IF(K298="","Unknown","No echo / error")))</f>
        <v>Range</v>
      </c>
      <c r="O298" s="3" t="str">
        <f aca="false">TEXT(B298,"yyyy-mm-dd")</f>
        <v>2026-10-05</v>
      </c>
    </row>
    <row r="299" customFormat="false" ht="15" hidden="false" customHeight="false" outlineLevel="0" collapsed="false">
      <c r="A299" s="27" t="n">
        <v>6</v>
      </c>
      <c r="B299" s="28" t="n">
        <v>46300.152827338</v>
      </c>
      <c r="C299" s="29" t="n">
        <f aca="false">IF(A300=A299,B300,INDEX(Rounds!$D:$D,MATCH(A299,Rounds!$A:$A,0)))</f>
        <v>46300.152840162</v>
      </c>
      <c r="D299" s="30" t="n">
        <f aca="false">(B299-INDEX(Rounds!$C:$C,MATCH(A299,Rounds!$A:$A,0)))*86400</f>
        <v>8.118000626</v>
      </c>
      <c r="E299" s="30" t="n">
        <f aca="false">(C299-INDEX(Rounds!$C:$C,MATCH(A299,Rounds!$A:$A,0)))*86400</f>
        <v>9.225999796</v>
      </c>
      <c r="F299" s="31" t="n">
        <f aca="false">(C299-B299)*86400</f>
        <v>1.10799917</v>
      </c>
      <c r="G299" s="27" t="s">
        <v>152</v>
      </c>
      <c r="H299" s="27" t="s">
        <v>208</v>
      </c>
      <c r="I299" s="27" t="s">
        <v>337</v>
      </c>
      <c r="J299" s="27" t="s">
        <v>250</v>
      </c>
      <c r="K299" s="27" t="s">
        <v>214</v>
      </c>
      <c r="L299" s="3" t="str">
        <f aca="false">IF(ISNUMBER(SEARCH(" m",I299)),"Range",IF(I299="offline","Offline",IF(I299="","Unknown","No echo / error")))</f>
        <v>Range</v>
      </c>
      <c r="M299" s="3" t="str">
        <f aca="false">IF(ISNUMBER(SEARCH(" m",J299)),"Range",IF(J299="offline","Offline",IF(J299="","Unknown","No echo / error")))</f>
        <v>Range</v>
      </c>
      <c r="N299" s="3" t="str">
        <f aca="false">IF(ISNUMBER(SEARCH(" m",K299)),"Range",IF(K299="offline","Offline",IF(K299="","Unknown","No echo / error")))</f>
        <v>Range</v>
      </c>
      <c r="O299" s="3" t="str">
        <f aca="false">TEXT(B299,"yyyy-mm-dd")</f>
        <v>2026-10-05</v>
      </c>
    </row>
    <row r="300" customFormat="false" ht="15" hidden="false" customHeight="false" outlineLevel="0" collapsed="false">
      <c r="A300" s="27" t="n">
        <v>6</v>
      </c>
      <c r="B300" s="28" t="n">
        <v>46300.152840162</v>
      </c>
      <c r="C300" s="29" t="n">
        <f aca="false">IF(A301=A300,B301,INDEX(Rounds!$D:$D,MATCH(A300,Rounds!$A:$A,0)))</f>
        <v>46300.1528535764</v>
      </c>
      <c r="D300" s="30" t="n">
        <f aca="false">(B300-INDEX(Rounds!$C:$C,MATCH(A300,Rounds!$A:$A,0)))*86400</f>
        <v>9.225999796</v>
      </c>
      <c r="E300" s="30" t="n">
        <f aca="false">(C300-INDEX(Rounds!$C:$C,MATCH(A300,Rounds!$A:$A,0)))*86400</f>
        <v>10.384999494</v>
      </c>
      <c r="F300" s="31" t="n">
        <f aca="false">(C300-B300)*86400</f>
        <v>1.158999698</v>
      </c>
      <c r="G300" s="27" t="s">
        <v>151</v>
      </c>
      <c r="H300" s="27" t="s">
        <v>203</v>
      </c>
      <c r="I300" s="27" t="s">
        <v>389</v>
      </c>
      <c r="J300" s="27" t="s">
        <v>347</v>
      </c>
      <c r="K300" s="27" t="s">
        <v>204</v>
      </c>
      <c r="L300" s="3" t="str">
        <f aca="false">IF(ISNUMBER(SEARCH(" m",I300)),"Range",IF(I300="offline","Offline",IF(I300="","Unknown","No echo / error")))</f>
        <v>Range</v>
      </c>
      <c r="M300" s="3" t="str">
        <f aca="false">IF(ISNUMBER(SEARCH(" m",J300)),"Range",IF(J300="offline","Offline",IF(J300="","Unknown","No echo / error")))</f>
        <v>Range</v>
      </c>
      <c r="N300" s="3" t="str">
        <f aca="false">IF(ISNUMBER(SEARCH(" m",K300)),"Range",IF(K300="offline","Offline",IF(K300="","Unknown","No echo / error")))</f>
        <v>No echo / error</v>
      </c>
      <c r="O300" s="3" t="str">
        <f aca="false">TEXT(B300,"yyyy-mm-dd")</f>
        <v>2026-10-05</v>
      </c>
    </row>
    <row r="301" customFormat="false" ht="15" hidden="false" customHeight="false" outlineLevel="0" collapsed="false">
      <c r="A301" s="27" t="n">
        <v>6</v>
      </c>
      <c r="B301" s="28" t="n">
        <v>46300.1528535764</v>
      </c>
      <c r="C301" s="29" t="n">
        <f aca="false">IF(A302=A301,B302,INDEX(Rounds!$D:$D,MATCH(A301,Rounds!$A:$A,0)))</f>
        <v>46300.1528662153</v>
      </c>
      <c r="D301" s="30" t="n">
        <f aca="false">(B301-INDEX(Rounds!$C:$C,MATCH(A301,Rounds!$A:$A,0)))*86400</f>
        <v>10.384999494</v>
      </c>
      <c r="E301" s="30" t="n">
        <f aca="false">(C301-INDEX(Rounds!$C:$C,MATCH(A301,Rounds!$A:$A,0)))*86400</f>
        <v>11.476999707</v>
      </c>
      <c r="F301" s="31" t="n">
        <f aca="false">(C301-B301)*86400</f>
        <v>1.092000212</v>
      </c>
      <c r="G301" s="27" t="s">
        <v>152</v>
      </c>
      <c r="H301" s="27" t="s">
        <v>208</v>
      </c>
      <c r="I301" s="27" t="s">
        <v>204</v>
      </c>
      <c r="J301" s="27" t="s">
        <v>220</v>
      </c>
      <c r="K301" s="27" t="s">
        <v>216</v>
      </c>
      <c r="L301" s="3" t="str">
        <f aca="false">IF(ISNUMBER(SEARCH(" m",I301)),"Range",IF(I301="offline","Offline",IF(I301="","Unknown","No echo / error")))</f>
        <v>No echo / error</v>
      </c>
      <c r="M301" s="3" t="str">
        <f aca="false">IF(ISNUMBER(SEARCH(" m",J301)),"Range",IF(J301="offline","Offline",IF(J301="","Unknown","No echo / error")))</f>
        <v>No echo / error</v>
      </c>
      <c r="N301" s="3" t="str">
        <f aca="false">IF(ISNUMBER(SEARCH(" m",K301)),"Range",IF(K301="offline","Offline",IF(K301="","Unknown","No echo / error")))</f>
        <v>Range</v>
      </c>
      <c r="O301" s="3" t="str">
        <f aca="false">TEXT(B301,"yyyy-mm-dd")</f>
        <v>2026-10-05</v>
      </c>
    </row>
    <row r="302" customFormat="false" ht="15" hidden="false" customHeight="false" outlineLevel="0" collapsed="false">
      <c r="A302" s="27" t="n">
        <v>6</v>
      </c>
      <c r="B302" s="28" t="n">
        <v>46300.1528662153</v>
      </c>
      <c r="C302" s="29" t="n">
        <f aca="false">IF(A303=A302,B303,INDEX(Rounds!$D:$D,MATCH(A302,Rounds!$A:$A,0)))</f>
        <v>46300.1528686458</v>
      </c>
      <c r="D302" s="30" t="n">
        <f aca="false">(B302-INDEX(Rounds!$C:$C,MATCH(A302,Rounds!$A:$A,0)))*86400</f>
        <v>11.476999707</v>
      </c>
      <c r="E302" s="30" t="n">
        <f aca="false">(C302-INDEX(Rounds!$C:$C,MATCH(A302,Rounds!$A:$A,0)))*86400</f>
        <v>11.6869997</v>
      </c>
      <c r="F302" s="31" t="n">
        <f aca="false">(C302-B302)*86400</f>
        <v>0.209999992</v>
      </c>
      <c r="G302" s="27" t="s">
        <v>151</v>
      </c>
      <c r="H302" s="27" t="s">
        <v>203</v>
      </c>
      <c r="I302" s="27" t="s">
        <v>271</v>
      </c>
      <c r="J302" s="27" t="s">
        <v>294</v>
      </c>
      <c r="K302" s="27" t="s">
        <v>264</v>
      </c>
      <c r="L302" s="3" t="str">
        <f aca="false">IF(ISNUMBER(SEARCH(" m",I302)),"Range",IF(I302="offline","Offline",IF(I302="","Unknown","No echo / error")))</f>
        <v>Range</v>
      </c>
      <c r="M302" s="3" t="str">
        <f aca="false">IF(ISNUMBER(SEARCH(" m",J302)),"Range",IF(J302="offline","Offline",IF(J302="","Unknown","No echo / error")))</f>
        <v>Range</v>
      </c>
      <c r="N302" s="3" t="str">
        <f aca="false">IF(ISNUMBER(SEARCH(" m",K302)),"Range",IF(K302="offline","Offline",IF(K302="","Unknown","No echo / error")))</f>
        <v>Range</v>
      </c>
      <c r="O302" s="3" t="str">
        <f aca="false">TEXT(B302,"yyyy-mm-dd")</f>
        <v>2026-10-05</v>
      </c>
    </row>
    <row r="303" customFormat="false" ht="15" hidden="false" customHeight="false" outlineLevel="0" collapsed="false">
      <c r="A303" s="27" t="n">
        <v>6</v>
      </c>
      <c r="B303" s="28" t="n">
        <v>46300.1528686458</v>
      </c>
      <c r="C303" s="29" t="n">
        <f aca="false">IF(A304=A303,B304,INDEX(Rounds!$D:$D,MATCH(A303,Rounds!$A:$A,0)))</f>
        <v>46300.1528870486</v>
      </c>
      <c r="D303" s="30" t="n">
        <f aca="false">(B303-INDEX(Rounds!$C:$C,MATCH(A303,Rounds!$A:$A,0)))*86400</f>
        <v>11.6869997</v>
      </c>
      <c r="E303" s="30" t="n">
        <f aca="false">(C303-INDEX(Rounds!$C:$C,MATCH(A303,Rounds!$A:$A,0)))*86400</f>
        <v>13.276999373</v>
      </c>
      <c r="F303" s="31" t="n">
        <f aca="false">(C303-B303)*86400</f>
        <v>1.589999673</v>
      </c>
      <c r="G303" s="27" t="s">
        <v>150</v>
      </c>
      <c r="H303" s="27" t="s">
        <v>206</v>
      </c>
      <c r="I303" s="27" t="s">
        <v>348</v>
      </c>
      <c r="J303" s="27" t="s">
        <v>240</v>
      </c>
      <c r="K303" s="27" t="s">
        <v>264</v>
      </c>
      <c r="L303" s="3" t="str">
        <f aca="false">IF(ISNUMBER(SEARCH(" m",I303)),"Range",IF(I303="offline","Offline",IF(I303="","Unknown","No echo / error")))</f>
        <v>Range</v>
      </c>
      <c r="M303" s="3" t="str">
        <f aca="false">IF(ISNUMBER(SEARCH(" m",J303)),"Range",IF(J303="offline","Offline",IF(J303="","Unknown","No echo / error")))</f>
        <v>Range</v>
      </c>
      <c r="N303" s="3" t="str">
        <f aca="false">IF(ISNUMBER(SEARCH(" m",K303)),"Range",IF(K303="offline","Offline",IF(K303="","Unknown","No echo / error")))</f>
        <v>Range</v>
      </c>
      <c r="O303" s="3" t="str">
        <f aca="false">TEXT(B303,"yyyy-mm-dd")</f>
        <v>2026-10-05</v>
      </c>
    </row>
    <row r="304" customFormat="false" ht="15" hidden="false" customHeight="false" outlineLevel="0" collapsed="false">
      <c r="A304" s="27" t="n">
        <v>6</v>
      </c>
      <c r="B304" s="28" t="n">
        <v>46300.1528870486</v>
      </c>
      <c r="C304" s="29" t="n">
        <f aca="false">IF(A305=A304,B305,INDEX(Rounds!$D:$D,MATCH(A304,Rounds!$A:$A,0)))</f>
        <v>46300.1528887269</v>
      </c>
      <c r="D304" s="30" t="n">
        <f aca="false">(B304-INDEX(Rounds!$C:$C,MATCH(A304,Rounds!$A:$A,0)))*86400</f>
        <v>13.276999373</v>
      </c>
      <c r="E304" s="30" t="n">
        <f aca="false">(C304-INDEX(Rounds!$C:$C,MATCH(A304,Rounds!$A:$A,0)))*86400</f>
        <v>13.421999593</v>
      </c>
      <c r="F304" s="31" t="n">
        <f aca="false">(C304-B304)*86400</f>
        <v>0.145000219</v>
      </c>
      <c r="G304" s="27" t="s">
        <v>152</v>
      </c>
      <c r="H304" s="27" t="s">
        <v>208</v>
      </c>
      <c r="I304" s="27" t="s">
        <v>390</v>
      </c>
      <c r="J304" s="27" t="s">
        <v>391</v>
      </c>
      <c r="K304" s="27" t="s">
        <v>223</v>
      </c>
      <c r="L304" s="3" t="str">
        <f aca="false">IF(ISNUMBER(SEARCH(" m",I304)),"Range",IF(I304="offline","Offline",IF(I304="","Unknown","No echo / error")))</f>
        <v>Range</v>
      </c>
      <c r="M304" s="3" t="str">
        <f aca="false">IF(ISNUMBER(SEARCH(" m",J304)),"Range",IF(J304="offline","Offline",IF(J304="","Unknown","No echo / error")))</f>
        <v>Range</v>
      </c>
      <c r="N304" s="3" t="str">
        <f aca="false">IF(ISNUMBER(SEARCH(" m",K304)),"Range",IF(K304="offline","Offline",IF(K304="","Unknown","No echo / error")))</f>
        <v>Range</v>
      </c>
      <c r="O304" s="3" t="str">
        <f aca="false">TEXT(B304,"yyyy-mm-dd")</f>
        <v>2026-10-05</v>
      </c>
    </row>
    <row r="305" customFormat="false" ht="15" hidden="false" customHeight="false" outlineLevel="0" collapsed="false">
      <c r="A305" s="27" t="n">
        <v>6</v>
      </c>
      <c r="B305" s="28" t="n">
        <v>46300.1528887269</v>
      </c>
      <c r="C305" s="29" t="n">
        <f aca="false">IF(A306=A305,B306,INDEX(Rounds!$D:$D,MATCH(A305,Rounds!$A:$A,0)))</f>
        <v>46300.1528906019</v>
      </c>
      <c r="D305" s="30" t="n">
        <f aca="false">(B305-INDEX(Rounds!$C:$C,MATCH(A305,Rounds!$A:$A,0)))*86400</f>
        <v>13.421999593</v>
      </c>
      <c r="E305" s="30" t="n">
        <f aca="false">(C305-INDEX(Rounds!$C:$C,MATCH(A305,Rounds!$A:$A,0)))*86400</f>
        <v>13.583999569</v>
      </c>
      <c r="F305" s="31" t="n">
        <f aca="false">(C305-B305)*86400</f>
        <v>0.161999976</v>
      </c>
      <c r="G305" s="27" t="s">
        <v>151</v>
      </c>
      <c r="H305" s="27" t="s">
        <v>203</v>
      </c>
      <c r="I305" s="27" t="s">
        <v>390</v>
      </c>
      <c r="J305" s="27" t="s">
        <v>223</v>
      </c>
      <c r="K305" s="27" t="s">
        <v>248</v>
      </c>
      <c r="L305" s="3" t="str">
        <f aca="false">IF(ISNUMBER(SEARCH(" m",I305)),"Range",IF(I305="offline","Offline",IF(I305="","Unknown","No echo / error")))</f>
        <v>Range</v>
      </c>
      <c r="M305" s="3" t="str">
        <f aca="false">IF(ISNUMBER(SEARCH(" m",J305)),"Range",IF(J305="offline","Offline",IF(J305="","Unknown","No echo / error")))</f>
        <v>Range</v>
      </c>
      <c r="N305" s="3" t="str">
        <f aca="false">IF(ISNUMBER(SEARCH(" m",K305)),"Range",IF(K305="offline","Offline",IF(K305="","Unknown","No echo / error")))</f>
        <v>Range</v>
      </c>
      <c r="O305" s="3" t="str">
        <f aca="false">TEXT(B305,"yyyy-mm-dd")</f>
        <v>2026-10-05</v>
      </c>
    </row>
    <row r="306" customFormat="false" ht="15" hidden="false" customHeight="false" outlineLevel="0" collapsed="false">
      <c r="A306" s="27" t="n">
        <v>6</v>
      </c>
      <c r="B306" s="28" t="n">
        <v>46300.1528906019</v>
      </c>
      <c r="C306" s="29" t="n">
        <f aca="false">IF(A307=A306,B307,INDEX(Rounds!$D:$D,MATCH(A306,Rounds!$A:$A,0)))</f>
        <v>46300.1529127199</v>
      </c>
      <c r="D306" s="30" t="n">
        <f aca="false">(B306-INDEX(Rounds!$C:$C,MATCH(A306,Rounds!$A:$A,0)))*86400</f>
        <v>13.583999569</v>
      </c>
      <c r="E306" s="30" t="n">
        <f aca="false">(C306-INDEX(Rounds!$C:$C,MATCH(A306,Rounds!$A:$A,0)))*86400</f>
        <v>15.494999941</v>
      </c>
      <c r="F306" s="31" t="n">
        <f aca="false">(C306-B306)*86400</f>
        <v>1.911000371</v>
      </c>
      <c r="G306" s="27" t="s">
        <v>150</v>
      </c>
      <c r="H306" s="27" t="s">
        <v>206</v>
      </c>
      <c r="I306" s="27" t="s">
        <v>276</v>
      </c>
      <c r="J306" s="27" t="s">
        <v>272</v>
      </c>
      <c r="K306" s="27" t="s">
        <v>248</v>
      </c>
      <c r="L306" s="3" t="str">
        <f aca="false">IF(ISNUMBER(SEARCH(" m",I306)),"Range",IF(I306="offline","Offline",IF(I306="","Unknown","No echo / error")))</f>
        <v>Range</v>
      </c>
      <c r="M306" s="3" t="str">
        <f aca="false">IF(ISNUMBER(SEARCH(" m",J306)),"Range",IF(J306="offline","Offline",IF(J306="","Unknown","No echo / error")))</f>
        <v>Range</v>
      </c>
      <c r="N306" s="3" t="str">
        <f aca="false">IF(ISNUMBER(SEARCH(" m",K306)),"Range",IF(K306="offline","Offline",IF(K306="","Unknown","No echo / error")))</f>
        <v>Range</v>
      </c>
      <c r="O306" s="3" t="str">
        <f aca="false">TEXT(B306,"yyyy-mm-dd")</f>
        <v>2026-10-05</v>
      </c>
    </row>
    <row r="307" customFormat="false" ht="15" hidden="false" customHeight="false" outlineLevel="0" collapsed="false">
      <c r="A307" s="27" t="n">
        <v>6</v>
      </c>
      <c r="B307" s="28" t="n">
        <v>46300.1529127199</v>
      </c>
      <c r="C307" s="29" t="n">
        <f aca="false">IF(A308=A307,B308,INDEX(Rounds!$D:$D,MATCH(A307,Rounds!$A:$A,0)))</f>
        <v>46300.1529151505</v>
      </c>
      <c r="D307" s="30" t="n">
        <f aca="false">(B307-INDEX(Rounds!$C:$C,MATCH(A307,Rounds!$A:$A,0)))*86400</f>
        <v>15.494999941</v>
      </c>
      <c r="E307" s="30" t="n">
        <f aca="false">(C307-INDEX(Rounds!$C:$C,MATCH(A307,Rounds!$A:$A,0)))*86400</f>
        <v>15.705000562</v>
      </c>
      <c r="F307" s="31" t="n">
        <f aca="false">(C307-B307)*86400</f>
        <v>0.210000621</v>
      </c>
      <c r="G307" s="27" t="s">
        <v>151</v>
      </c>
      <c r="H307" s="27" t="s">
        <v>203</v>
      </c>
      <c r="I307" s="27" t="s">
        <v>392</v>
      </c>
      <c r="J307" s="27" t="s">
        <v>393</v>
      </c>
      <c r="K307" s="27" t="s">
        <v>290</v>
      </c>
      <c r="L307" s="3" t="str">
        <f aca="false">IF(ISNUMBER(SEARCH(" m",I307)),"Range",IF(I307="offline","Offline",IF(I307="","Unknown","No echo / error")))</f>
        <v>Range</v>
      </c>
      <c r="M307" s="3" t="str">
        <f aca="false">IF(ISNUMBER(SEARCH(" m",J307)),"Range",IF(J307="offline","Offline",IF(J307="","Unknown","No echo / error")))</f>
        <v>Range</v>
      </c>
      <c r="N307" s="3" t="str">
        <f aca="false">IF(ISNUMBER(SEARCH(" m",K307)),"Range",IF(K307="offline","Offline",IF(K307="","Unknown","No echo / error")))</f>
        <v>Range</v>
      </c>
      <c r="O307" s="3" t="str">
        <f aca="false">TEXT(B307,"yyyy-mm-dd")</f>
        <v>2026-10-05</v>
      </c>
    </row>
    <row r="308" customFormat="false" ht="15" hidden="false" customHeight="false" outlineLevel="0" collapsed="false">
      <c r="A308" s="27" t="n">
        <v>6</v>
      </c>
      <c r="B308" s="28" t="n">
        <v>46300.1529151505</v>
      </c>
      <c r="C308" s="29" t="n">
        <f aca="false">IF(A309=A308,B309,INDEX(Rounds!$D:$D,MATCH(A308,Rounds!$A:$A,0)))</f>
        <v>46300.1529190857</v>
      </c>
      <c r="D308" s="30" t="n">
        <f aca="false">(B308-INDEX(Rounds!$C:$C,MATCH(A308,Rounds!$A:$A,0)))*86400</f>
        <v>15.705000562</v>
      </c>
      <c r="E308" s="30" t="n">
        <f aca="false">(C308-INDEX(Rounds!$C:$C,MATCH(A308,Rounds!$A:$A,0)))*86400</f>
        <v>16.045000101</v>
      </c>
      <c r="F308" s="31" t="n">
        <f aca="false">(C308-B308)*86400</f>
        <v>0.339999538</v>
      </c>
      <c r="G308" s="27" t="s">
        <v>150</v>
      </c>
      <c r="H308" s="27" t="s">
        <v>206</v>
      </c>
      <c r="I308" s="27" t="s">
        <v>390</v>
      </c>
      <c r="J308" s="27" t="s">
        <v>280</v>
      </c>
      <c r="K308" s="27" t="s">
        <v>290</v>
      </c>
      <c r="L308" s="3" t="str">
        <f aca="false">IF(ISNUMBER(SEARCH(" m",I308)),"Range",IF(I308="offline","Offline",IF(I308="","Unknown","No echo / error")))</f>
        <v>Range</v>
      </c>
      <c r="M308" s="3" t="str">
        <f aca="false">IF(ISNUMBER(SEARCH(" m",J308)),"Range",IF(J308="offline","Offline",IF(J308="","Unknown","No echo / error")))</f>
        <v>Range</v>
      </c>
      <c r="N308" s="3" t="str">
        <f aca="false">IF(ISNUMBER(SEARCH(" m",K308)),"Range",IF(K308="offline","Offline",IF(K308="","Unknown","No echo / error")))</f>
        <v>Range</v>
      </c>
      <c r="O308" s="3" t="str">
        <f aca="false">TEXT(B308,"yyyy-mm-dd")</f>
        <v>2026-10-05</v>
      </c>
    </row>
    <row r="309" customFormat="false" ht="15" hidden="false" customHeight="false" outlineLevel="0" collapsed="false">
      <c r="A309" s="27" t="n">
        <v>6</v>
      </c>
      <c r="B309" s="28" t="n">
        <v>46300.1529190857</v>
      </c>
      <c r="C309" s="29" t="n">
        <f aca="false">IF(A310=A309,B310,INDEX(Rounds!$D:$D,MATCH(A309,Rounds!$A:$A,0)))</f>
        <v>46300.1529203819</v>
      </c>
      <c r="D309" s="30" t="n">
        <f aca="false">(B309-INDEX(Rounds!$C:$C,MATCH(A309,Rounds!$A:$A,0)))*86400</f>
        <v>16.045000101</v>
      </c>
      <c r="E309" s="30" t="n">
        <f aca="false">(C309-INDEX(Rounds!$C:$C,MATCH(A309,Rounds!$A:$A,0)))*86400</f>
        <v>16.156999091</v>
      </c>
      <c r="F309" s="31" t="n">
        <f aca="false">(C309-B309)*86400</f>
        <v>0.11199899</v>
      </c>
      <c r="G309" s="27" t="s">
        <v>151</v>
      </c>
      <c r="H309" s="27" t="s">
        <v>203</v>
      </c>
      <c r="I309" s="27" t="s">
        <v>204</v>
      </c>
      <c r="J309" s="27" t="s">
        <v>280</v>
      </c>
      <c r="K309" s="27" t="s">
        <v>394</v>
      </c>
      <c r="L309" s="3" t="str">
        <f aca="false">IF(ISNUMBER(SEARCH(" m",I309)),"Range",IF(I309="offline","Offline",IF(I309="","Unknown","No echo / error")))</f>
        <v>No echo / error</v>
      </c>
      <c r="M309" s="3" t="str">
        <f aca="false">IF(ISNUMBER(SEARCH(" m",J309)),"Range",IF(J309="offline","Offline",IF(J309="","Unknown","No echo / error")))</f>
        <v>Range</v>
      </c>
      <c r="N309" s="3" t="str">
        <f aca="false">IF(ISNUMBER(SEARCH(" m",K309)),"Range",IF(K309="offline","Offline",IF(K309="","Unknown","No echo / error")))</f>
        <v>Range</v>
      </c>
      <c r="O309" s="3" t="str">
        <f aca="false">TEXT(B309,"yyyy-mm-dd")</f>
        <v>2026-10-05</v>
      </c>
    </row>
    <row r="310" customFormat="false" ht="15" hidden="false" customHeight="false" outlineLevel="0" collapsed="false">
      <c r="A310" s="27" t="n">
        <v>6</v>
      </c>
      <c r="B310" s="28" t="n">
        <v>46300.1529203819</v>
      </c>
      <c r="C310" s="29" t="n">
        <f aca="false">IF(A311=A310,B311,INDEX(Rounds!$D:$D,MATCH(A310,Rounds!$A:$A,0)))</f>
        <v>46300.1529511343</v>
      </c>
      <c r="D310" s="30" t="n">
        <f aca="false">(B310-INDEX(Rounds!$C:$C,MATCH(A310,Rounds!$A:$A,0)))*86400</f>
        <v>16.156999091</v>
      </c>
      <c r="E310" s="30" t="n">
        <f aca="false">(C310-INDEX(Rounds!$C:$C,MATCH(A310,Rounds!$A:$A,0)))*86400</f>
        <v>18.813999742</v>
      </c>
      <c r="F310" s="31" t="n">
        <f aca="false">(C310-B310)*86400</f>
        <v>2.65700065</v>
      </c>
      <c r="G310" s="27" t="s">
        <v>150</v>
      </c>
      <c r="H310" s="27" t="s">
        <v>206</v>
      </c>
      <c r="I310" s="27" t="s">
        <v>204</v>
      </c>
      <c r="J310" s="27" t="s">
        <v>240</v>
      </c>
      <c r="K310" s="27" t="s">
        <v>394</v>
      </c>
      <c r="L310" s="3" t="str">
        <f aca="false">IF(ISNUMBER(SEARCH(" m",I310)),"Range",IF(I310="offline","Offline",IF(I310="","Unknown","No echo / error")))</f>
        <v>No echo / error</v>
      </c>
      <c r="M310" s="3" t="str">
        <f aca="false">IF(ISNUMBER(SEARCH(" m",J310)),"Range",IF(J310="offline","Offline",IF(J310="","Unknown","No echo / error")))</f>
        <v>Range</v>
      </c>
      <c r="N310" s="3" t="str">
        <f aca="false">IF(ISNUMBER(SEARCH(" m",K310)),"Range",IF(K310="offline","Offline",IF(K310="","Unknown","No echo / error")))</f>
        <v>Range</v>
      </c>
      <c r="O310" s="3" t="str">
        <f aca="false">TEXT(B310,"yyyy-mm-dd")</f>
        <v>2026-10-05</v>
      </c>
    </row>
    <row r="311" customFormat="false" ht="15" hidden="false" customHeight="false" outlineLevel="0" collapsed="false">
      <c r="A311" s="27" t="n">
        <v>6</v>
      </c>
      <c r="B311" s="28" t="n">
        <v>46300.1529511343</v>
      </c>
      <c r="C311" s="29" t="n">
        <f aca="false">IF(A312=A311,B312,INDEX(Rounds!$D:$D,MATCH(A311,Rounds!$A:$A,0)))</f>
        <v>46300.152951875</v>
      </c>
      <c r="D311" s="30" t="n">
        <f aca="false">(B311-INDEX(Rounds!$C:$C,MATCH(A311,Rounds!$A:$A,0)))*86400</f>
        <v>18.813999742</v>
      </c>
      <c r="E311" s="30" t="n">
        <f aca="false">(C311-INDEX(Rounds!$C:$C,MATCH(A311,Rounds!$A:$A,0)))*86400</f>
        <v>18.877999973</v>
      </c>
      <c r="F311" s="31" t="n">
        <f aca="false">(C311-B311)*86400</f>
        <v>0.064000231</v>
      </c>
      <c r="G311" s="27" t="s">
        <v>152</v>
      </c>
      <c r="H311" s="27" t="s">
        <v>208</v>
      </c>
      <c r="I311" s="27" t="s">
        <v>395</v>
      </c>
      <c r="J311" s="27" t="s">
        <v>223</v>
      </c>
      <c r="K311" s="27" t="s">
        <v>373</v>
      </c>
      <c r="L311" s="3" t="str">
        <f aca="false">IF(ISNUMBER(SEARCH(" m",I311)),"Range",IF(I311="offline","Offline",IF(I311="","Unknown","No echo / error")))</f>
        <v>Range</v>
      </c>
      <c r="M311" s="3" t="str">
        <f aca="false">IF(ISNUMBER(SEARCH(" m",J311)),"Range",IF(J311="offline","Offline",IF(J311="","Unknown","No echo / error")))</f>
        <v>Range</v>
      </c>
      <c r="N311" s="3" t="str">
        <f aca="false">IF(ISNUMBER(SEARCH(" m",K311)),"Range",IF(K311="offline","Offline",IF(K311="","Unknown","No echo / error")))</f>
        <v>Range</v>
      </c>
      <c r="O311" s="3" t="str">
        <f aca="false">TEXT(B311,"yyyy-mm-dd")</f>
        <v>2026-10-05</v>
      </c>
    </row>
    <row r="312" customFormat="false" ht="15" hidden="false" customHeight="false" outlineLevel="0" collapsed="false">
      <c r="A312" s="27" t="n">
        <v>6</v>
      </c>
      <c r="B312" s="28" t="n">
        <v>46300.152951875</v>
      </c>
      <c r="C312" s="29" t="n">
        <f aca="false">IF(A313=A312,B313,INDEX(Rounds!$D:$D,MATCH(A312,Rounds!$A:$A,0)))</f>
        <v>46300.1529531713</v>
      </c>
      <c r="D312" s="30" t="n">
        <f aca="false">(B312-INDEX(Rounds!$C:$C,MATCH(A312,Rounds!$A:$A,0)))*86400</f>
        <v>18.877999973</v>
      </c>
      <c r="E312" s="30" t="n">
        <f aca="false">(C312-INDEX(Rounds!$C:$C,MATCH(A312,Rounds!$A:$A,0)))*86400</f>
        <v>18.989998963</v>
      </c>
      <c r="F312" s="31" t="n">
        <f aca="false">(C312-B312)*86400</f>
        <v>0.11199899</v>
      </c>
      <c r="G312" s="27" t="s">
        <v>151</v>
      </c>
      <c r="H312" s="27" t="s">
        <v>203</v>
      </c>
      <c r="I312" s="27" t="s">
        <v>395</v>
      </c>
      <c r="J312" s="27" t="s">
        <v>223</v>
      </c>
      <c r="K312" s="27" t="s">
        <v>243</v>
      </c>
      <c r="L312" s="3" t="str">
        <f aca="false">IF(ISNUMBER(SEARCH(" m",I312)),"Range",IF(I312="offline","Offline",IF(I312="","Unknown","No echo / error")))</f>
        <v>Range</v>
      </c>
      <c r="M312" s="3" t="str">
        <f aca="false">IF(ISNUMBER(SEARCH(" m",J312)),"Range",IF(J312="offline","Offline",IF(J312="","Unknown","No echo / error")))</f>
        <v>Range</v>
      </c>
      <c r="N312" s="3" t="str">
        <f aca="false">IF(ISNUMBER(SEARCH(" m",K312)),"Range",IF(K312="offline","Offline",IF(K312="","Unknown","No echo / error")))</f>
        <v>Range</v>
      </c>
      <c r="O312" s="3" t="str">
        <f aca="false">TEXT(B312,"yyyy-mm-dd")</f>
        <v>2026-10-05</v>
      </c>
    </row>
    <row r="313" customFormat="false" ht="15" hidden="false" customHeight="false" outlineLevel="0" collapsed="false">
      <c r="A313" s="27" t="n">
        <v>6</v>
      </c>
      <c r="B313" s="28" t="n">
        <v>46300.1529531713</v>
      </c>
      <c r="C313" s="29" t="n">
        <f aca="false">IF(A314=A313,B314,INDEX(Rounds!$D:$D,MATCH(A313,Rounds!$A:$A,0)))</f>
        <v>46300.1529617361</v>
      </c>
      <c r="D313" s="30" t="n">
        <f aca="false">(B313-INDEX(Rounds!$C:$C,MATCH(A313,Rounds!$A:$A,0)))*86400</f>
        <v>18.989998963</v>
      </c>
      <c r="E313" s="30" t="n">
        <f aca="false">(C313-INDEX(Rounds!$C:$C,MATCH(A313,Rounds!$A:$A,0)))*86400</f>
        <v>19.729999476</v>
      </c>
      <c r="F313" s="31" t="n">
        <f aca="false">(C313-B313)*86400</f>
        <v>0.740000512</v>
      </c>
      <c r="G313" s="27" t="s">
        <v>150</v>
      </c>
      <c r="H313" s="27" t="s">
        <v>206</v>
      </c>
      <c r="I313" s="27" t="s">
        <v>395</v>
      </c>
      <c r="J313" s="27" t="s">
        <v>248</v>
      </c>
      <c r="K313" s="27" t="s">
        <v>243</v>
      </c>
      <c r="L313" s="3" t="str">
        <f aca="false">IF(ISNUMBER(SEARCH(" m",I313)),"Range",IF(I313="offline","Offline",IF(I313="","Unknown","No echo / error")))</f>
        <v>Range</v>
      </c>
      <c r="M313" s="3" t="str">
        <f aca="false">IF(ISNUMBER(SEARCH(" m",J313)),"Range",IF(J313="offline","Offline",IF(J313="","Unknown","No echo / error")))</f>
        <v>Range</v>
      </c>
      <c r="N313" s="3" t="str">
        <f aca="false">IF(ISNUMBER(SEARCH(" m",K313)),"Range",IF(K313="offline","Offline",IF(K313="","Unknown","No echo / error")))</f>
        <v>Range</v>
      </c>
      <c r="O313" s="3" t="str">
        <f aca="false">TEXT(B313,"yyyy-mm-dd")</f>
        <v>2026-10-05</v>
      </c>
    </row>
    <row r="314" customFormat="false" ht="15" hidden="false" customHeight="false" outlineLevel="0" collapsed="false">
      <c r="A314" s="27" t="n">
        <v>6</v>
      </c>
      <c r="B314" s="28" t="n">
        <v>46300.1529617361</v>
      </c>
      <c r="C314" s="29" t="n">
        <f aca="false">IF(A315=A314,B315,INDEX(Rounds!$D:$D,MATCH(A314,Rounds!$A:$A,0)))</f>
        <v>46300.1529708218</v>
      </c>
      <c r="D314" s="30" t="n">
        <f aca="false">(B314-INDEX(Rounds!$C:$C,MATCH(A314,Rounds!$A:$A,0)))*86400</f>
        <v>19.729999476</v>
      </c>
      <c r="E314" s="30" t="n">
        <f aca="false">(C314-INDEX(Rounds!$C:$C,MATCH(A314,Rounds!$A:$A,0)))*86400</f>
        <v>20.514999493</v>
      </c>
      <c r="F314" s="31" t="n">
        <f aca="false">(C314-B314)*86400</f>
        <v>0.785000016</v>
      </c>
      <c r="G314" s="27" t="s">
        <v>151</v>
      </c>
      <c r="H314" s="27" t="s">
        <v>203</v>
      </c>
      <c r="I314" s="27" t="s">
        <v>382</v>
      </c>
      <c r="J314" s="27" t="s">
        <v>272</v>
      </c>
      <c r="K314" s="27" t="s">
        <v>346</v>
      </c>
      <c r="L314" s="3" t="str">
        <f aca="false">IF(ISNUMBER(SEARCH(" m",I314)),"Range",IF(I314="offline","Offline",IF(I314="","Unknown","No echo / error")))</f>
        <v>Range</v>
      </c>
      <c r="M314" s="3" t="str">
        <f aca="false">IF(ISNUMBER(SEARCH(" m",J314)),"Range",IF(J314="offline","Offline",IF(J314="","Unknown","No echo / error")))</f>
        <v>Range</v>
      </c>
      <c r="N314" s="3" t="str">
        <f aca="false">IF(ISNUMBER(SEARCH(" m",K314)),"Range",IF(K314="offline","Offline",IF(K314="","Unknown","No echo / error")))</f>
        <v>Range</v>
      </c>
      <c r="O314" s="3" t="str">
        <f aca="false">TEXT(B314,"yyyy-mm-dd")</f>
        <v>2026-10-05</v>
      </c>
    </row>
    <row r="315" customFormat="false" ht="15" hidden="false" customHeight="false" outlineLevel="0" collapsed="false">
      <c r="A315" s="27" t="n">
        <v>6</v>
      </c>
      <c r="B315" s="28" t="n">
        <v>46300.1529708218</v>
      </c>
      <c r="C315" s="29" t="n">
        <f aca="false">IF(A316=A315,B316,INDEX(Rounds!$D:$D,MATCH(A315,Rounds!$A:$A,0)))</f>
        <v>46300.1529801389</v>
      </c>
      <c r="D315" s="30" t="n">
        <f aca="false">(B315-INDEX(Rounds!$C:$C,MATCH(A315,Rounds!$A:$A,0)))*86400</f>
        <v>20.514999493</v>
      </c>
      <c r="E315" s="30" t="n">
        <f aca="false">(C315-INDEX(Rounds!$C:$C,MATCH(A315,Rounds!$A:$A,0)))*86400</f>
        <v>21.319999778</v>
      </c>
      <c r="F315" s="31" t="n">
        <f aca="false">(C315-B315)*86400</f>
        <v>0.805000285</v>
      </c>
      <c r="G315" s="27" t="s">
        <v>150</v>
      </c>
      <c r="H315" s="27" t="s">
        <v>206</v>
      </c>
      <c r="I315" s="27" t="s">
        <v>301</v>
      </c>
      <c r="J315" s="27" t="s">
        <v>396</v>
      </c>
      <c r="K315" s="27" t="s">
        <v>212</v>
      </c>
      <c r="L315" s="3" t="str">
        <f aca="false">IF(ISNUMBER(SEARCH(" m",I315)),"Range",IF(I315="offline","Offline",IF(I315="","Unknown","No echo / error")))</f>
        <v>Range</v>
      </c>
      <c r="M315" s="3" t="str">
        <f aca="false">IF(ISNUMBER(SEARCH(" m",J315)),"Range",IF(J315="offline","Offline",IF(J315="","Unknown","No echo / error")))</f>
        <v>Range</v>
      </c>
      <c r="N315" s="3" t="str">
        <f aca="false">IF(ISNUMBER(SEARCH(" m",K315)),"Range",IF(K315="offline","Offline",IF(K315="","Unknown","No echo / error")))</f>
        <v>Range</v>
      </c>
      <c r="O315" s="3" t="str">
        <f aca="false">TEXT(B315,"yyyy-mm-dd")</f>
        <v>2026-10-05</v>
      </c>
    </row>
    <row r="316" customFormat="false" ht="15" hidden="false" customHeight="false" outlineLevel="0" collapsed="false">
      <c r="A316" s="27" t="n">
        <v>6</v>
      </c>
      <c r="B316" s="28" t="n">
        <v>46300.1529801389</v>
      </c>
      <c r="C316" s="29" t="n">
        <f aca="false">IF(A317=A316,B317,INDEX(Rounds!$D:$D,MATCH(A316,Rounds!$A:$A,0)))</f>
        <v>46300.15298125</v>
      </c>
      <c r="D316" s="30" t="n">
        <f aca="false">(B316-INDEX(Rounds!$C:$C,MATCH(A316,Rounds!$A:$A,0)))*86400</f>
        <v>21.319999778</v>
      </c>
      <c r="E316" s="30" t="n">
        <f aca="false">(C316-INDEX(Rounds!$C:$C,MATCH(A316,Rounds!$A:$A,0)))*86400</f>
        <v>21.415999811</v>
      </c>
      <c r="F316" s="31" t="n">
        <f aca="false">(C316-B316)*86400</f>
        <v>0.096000032</v>
      </c>
      <c r="G316" s="27" t="s">
        <v>151</v>
      </c>
      <c r="H316" s="27" t="s">
        <v>203</v>
      </c>
      <c r="I316" s="27" t="s">
        <v>217</v>
      </c>
      <c r="J316" s="27" t="s">
        <v>215</v>
      </c>
      <c r="K316" s="27" t="s">
        <v>207</v>
      </c>
      <c r="L316" s="3" t="str">
        <f aca="false">IF(ISNUMBER(SEARCH(" m",I316)),"Range",IF(I316="offline","Offline",IF(I316="","Unknown","No echo / error")))</f>
        <v>Range</v>
      </c>
      <c r="M316" s="3" t="str">
        <f aca="false">IF(ISNUMBER(SEARCH(" m",J316)),"Range",IF(J316="offline","Offline",IF(J316="","Unknown","No echo / error")))</f>
        <v>Range</v>
      </c>
      <c r="N316" s="3" t="str">
        <f aca="false">IF(ISNUMBER(SEARCH(" m",K316)),"Range",IF(K316="offline","Offline",IF(K316="","Unknown","No echo / error")))</f>
        <v>Range</v>
      </c>
      <c r="O316" s="3" t="str">
        <f aca="false">TEXT(B316,"yyyy-mm-dd")</f>
        <v>2026-10-05</v>
      </c>
    </row>
    <row r="317" customFormat="false" ht="15" hidden="false" customHeight="false" outlineLevel="0" collapsed="false">
      <c r="A317" s="27" t="n">
        <v>6</v>
      </c>
      <c r="B317" s="28" t="n">
        <v>46300.15298125</v>
      </c>
      <c r="C317" s="29" t="n">
        <f aca="false">IF(A318=A317,B318,INDEX(Rounds!$D:$D,MATCH(A317,Rounds!$A:$A,0)))</f>
        <v>46300.1530099421</v>
      </c>
      <c r="D317" s="30" t="n">
        <f aca="false">(B317-INDEX(Rounds!$C:$C,MATCH(A317,Rounds!$A:$A,0)))*86400</f>
        <v>21.415999811</v>
      </c>
      <c r="E317" s="30" t="n">
        <f aca="false">(C317-INDEX(Rounds!$C:$C,MATCH(A317,Rounds!$A:$A,0)))*86400</f>
        <v>23.894999641</v>
      </c>
      <c r="F317" s="31" t="n">
        <f aca="false">(C317-B317)*86400</f>
        <v>2.47899983</v>
      </c>
      <c r="G317" s="27" t="s">
        <v>150</v>
      </c>
      <c r="H317" s="27" t="s">
        <v>206</v>
      </c>
      <c r="I317" s="27" t="s">
        <v>217</v>
      </c>
      <c r="J317" s="27" t="s">
        <v>271</v>
      </c>
      <c r="K317" s="27" t="s">
        <v>207</v>
      </c>
      <c r="L317" s="3" t="str">
        <f aca="false">IF(ISNUMBER(SEARCH(" m",I317)),"Range",IF(I317="offline","Offline",IF(I317="","Unknown","No echo / error")))</f>
        <v>Range</v>
      </c>
      <c r="M317" s="3" t="str">
        <f aca="false">IF(ISNUMBER(SEARCH(" m",J317)),"Range",IF(J317="offline","Offline",IF(J317="","Unknown","No echo / error")))</f>
        <v>Range</v>
      </c>
      <c r="N317" s="3" t="str">
        <f aca="false">IF(ISNUMBER(SEARCH(" m",K317)),"Range",IF(K317="offline","Offline",IF(K317="","Unknown","No echo / error")))</f>
        <v>Range</v>
      </c>
      <c r="O317" s="3" t="str">
        <f aca="false">TEXT(B317,"yyyy-mm-dd")</f>
        <v>2026-10-05</v>
      </c>
    </row>
    <row r="318" customFormat="false" ht="15" hidden="false" customHeight="false" outlineLevel="0" collapsed="false">
      <c r="A318" s="27" t="n">
        <v>6</v>
      </c>
      <c r="B318" s="28" t="n">
        <v>46300.1530099421</v>
      </c>
      <c r="C318" s="29" t="n">
        <f aca="false">IF(A319=A318,B319,INDEX(Rounds!$D:$D,MATCH(A318,Rounds!$A:$A,0)))</f>
        <v>46300.1530103241</v>
      </c>
      <c r="D318" s="30" t="n">
        <f aca="false">(B318-INDEX(Rounds!$C:$C,MATCH(A318,Rounds!$A:$A,0)))*86400</f>
        <v>23.894999641</v>
      </c>
      <c r="E318" s="30" t="n">
        <f aca="false">(C318-INDEX(Rounds!$C:$C,MATCH(A318,Rounds!$A:$A,0)))*86400</f>
        <v>23.927999613</v>
      </c>
      <c r="F318" s="31" t="n">
        <f aca="false">(C318-B318)*86400</f>
        <v>0.032999971</v>
      </c>
      <c r="G318" s="27" t="s">
        <v>152</v>
      </c>
      <c r="H318" s="27" t="s">
        <v>208</v>
      </c>
      <c r="I318" s="27" t="s">
        <v>397</v>
      </c>
      <c r="J318" s="27" t="s">
        <v>385</v>
      </c>
      <c r="K318" s="27" t="s">
        <v>213</v>
      </c>
      <c r="L318" s="3" t="str">
        <f aca="false">IF(ISNUMBER(SEARCH(" m",I318)),"Range",IF(I318="offline","Offline",IF(I318="","Unknown","No echo / error")))</f>
        <v>Range</v>
      </c>
      <c r="M318" s="3" t="str">
        <f aca="false">IF(ISNUMBER(SEARCH(" m",J318)),"Range",IF(J318="offline","Offline",IF(J318="","Unknown","No echo / error")))</f>
        <v>Range</v>
      </c>
      <c r="N318" s="3" t="str">
        <f aca="false">IF(ISNUMBER(SEARCH(" m",K318)),"Range",IF(K318="offline","Offline",IF(K318="","Unknown","No echo / error")))</f>
        <v>Range</v>
      </c>
      <c r="O318" s="3" t="str">
        <f aca="false">TEXT(B318,"yyyy-mm-dd")</f>
        <v>2026-10-05</v>
      </c>
    </row>
    <row r="319" customFormat="false" ht="15" hidden="false" customHeight="false" outlineLevel="0" collapsed="false">
      <c r="A319" s="27" t="n">
        <v>6</v>
      </c>
      <c r="B319" s="28" t="n">
        <v>46300.1530103241</v>
      </c>
      <c r="C319" s="29" t="n">
        <f aca="false">IF(A320=A319,B320,INDEX(Rounds!$D:$D,MATCH(A319,Rounds!$A:$A,0)))</f>
        <v>46300.1530114468</v>
      </c>
      <c r="D319" s="30" t="n">
        <f aca="false">(B319-INDEX(Rounds!$C:$C,MATCH(A319,Rounds!$A:$A,0)))*86400</f>
        <v>23.927999613</v>
      </c>
      <c r="E319" s="30" t="n">
        <f aca="false">(C319-INDEX(Rounds!$C:$C,MATCH(A319,Rounds!$A:$A,0)))*86400</f>
        <v>24.024999816</v>
      </c>
      <c r="F319" s="31" t="n">
        <f aca="false">(C319-B319)*86400</f>
        <v>0.097000203</v>
      </c>
      <c r="G319" s="27" t="s">
        <v>151</v>
      </c>
      <c r="H319" s="27" t="s">
        <v>203</v>
      </c>
      <c r="I319" s="27" t="s">
        <v>397</v>
      </c>
      <c r="J319" s="27" t="s">
        <v>385</v>
      </c>
      <c r="K319" s="27" t="s">
        <v>398</v>
      </c>
      <c r="L319" s="3" t="str">
        <f aca="false">IF(ISNUMBER(SEARCH(" m",I319)),"Range",IF(I319="offline","Offline",IF(I319="","Unknown","No echo / error")))</f>
        <v>Range</v>
      </c>
      <c r="M319" s="3" t="str">
        <f aca="false">IF(ISNUMBER(SEARCH(" m",J319)),"Range",IF(J319="offline","Offline",IF(J319="","Unknown","No echo / error")))</f>
        <v>Range</v>
      </c>
      <c r="N319" s="3" t="str">
        <f aca="false">IF(ISNUMBER(SEARCH(" m",K319)),"Range",IF(K319="offline","Offline",IF(K319="","Unknown","No echo / error")))</f>
        <v>Range</v>
      </c>
      <c r="O319" s="3" t="str">
        <f aca="false">TEXT(B319,"yyyy-mm-dd")</f>
        <v>2026-10-05</v>
      </c>
    </row>
    <row r="320" customFormat="false" ht="15" hidden="false" customHeight="false" outlineLevel="0" collapsed="false">
      <c r="A320" s="27" t="n">
        <v>6</v>
      </c>
      <c r="B320" s="28" t="n">
        <v>46300.1530114468</v>
      </c>
      <c r="C320" s="29" t="n">
        <f aca="false">IF(A321=A320,B321,INDEX(Rounds!$D:$D,MATCH(A320,Rounds!$A:$A,0)))</f>
        <v>46300.1530183333</v>
      </c>
      <c r="D320" s="30" t="n">
        <f aca="false">(B320-INDEX(Rounds!$C:$C,MATCH(A320,Rounds!$A:$A,0)))*86400</f>
        <v>24.024999816</v>
      </c>
      <c r="E320" s="30" t="n">
        <f aca="false">(C320-INDEX(Rounds!$C:$C,MATCH(A320,Rounds!$A:$A,0)))*86400</f>
        <v>24.619999481</v>
      </c>
      <c r="F320" s="31" t="n">
        <f aca="false">(C320-B320)*86400</f>
        <v>0.594999664</v>
      </c>
      <c r="G320" s="27" t="s">
        <v>150</v>
      </c>
      <c r="H320" s="27" t="s">
        <v>206</v>
      </c>
      <c r="I320" s="27" t="s">
        <v>234</v>
      </c>
      <c r="J320" s="27" t="s">
        <v>385</v>
      </c>
      <c r="K320" s="27" t="s">
        <v>398</v>
      </c>
      <c r="L320" s="3" t="str">
        <f aca="false">IF(ISNUMBER(SEARCH(" m",I320)),"Range",IF(I320="offline","Offline",IF(I320="","Unknown","No echo / error")))</f>
        <v>Range</v>
      </c>
      <c r="M320" s="3" t="str">
        <f aca="false">IF(ISNUMBER(SEARCH(" m",J320)),"Range",IF(J320="offline","Offline",IF(J320="","Unknown","No echo / error")))</f>
        <v>Range</v>
      </c>
      <c r="N320" s="3" t="str">
        <f aca="false">IF(ISNUMBER(SEARCH(" m",K320)),"Range",IF(K320="offline","Offline",IF(K320="","Unknown","No echo / error")))</f>
        <v>Range</v>
      </c>
      <c r="O320" s="3" t="str">
        <f aca="false">TEXT(B320,"yyyy-mm-dd")</f>
        <v>2026-10-05</v>
      </c>
    </row>
    <row r="321" customFormat="false" ht="15" hidden="false" customHeight="false" outlineLevel="0" collapsed="false">
      <c r="A321" s="27" t="n">
        <v>6</v>
      </c>
      <c r="B321" s="28" t="n">
        <v>46300.1530183333</v>
      </c>
      <c r="C321" s="29" t="n">
        <f aca="false">IF(A322=A321,B322,INDEX(Rounds!$D:$D,MATCH(A321,Rounds!$A:$A,0)))</f>
        <v>46300.1530276389</v>
      </c>
      <c r="D321" s="30" t="n">
        <f aca="false">(B321-INDEX(Rounds!$C:$C,MATCH(A321,Rounds!$A:$A,0)))*86400</f>
        <v>24.619999481</v>
      </c>
      <c r="E321" s="30" t="n">
        <f aca="false">(C321-INDEX(Rounds!$C:$C,MATCH(A321,Rounds!$A:$A,0)))*86400</f>
        <v>25.423999596</v>
      </c>
      <c r="F321" s="31" t="n">
        <f aca="false">(C321-B321)*86400</f>
        <v>0.804000115</v>
      </c>
      <c r="G321" s="27" t="s">
        <v>151</v>
      </c>
      <c r="H321" s="27" t="s">
        <v>203</v>
      </c>
      <c r="I321" s="27" t="s">
        <v>382</v>
      </c>
      <c r="J321" s="27" t="s">
        <v>204</v>
      </c>
      <c r="K321" s="27" t="s">
        <v>399</v>
      </c>
      <c r="L321" s="3" t="str">
        <f aca="false">IF(ISNUMBER(SEARCH(" m",I321)),"Range",IF(I321="offline","Offline",IF(I321="","Unknown","No echo / error")))</f>
        <v>Range</v>
      </c>
      <c r="M321" s="3" t="str">
        <f aca="false">IF(ISNUMBER(SEARCH(" m",J321)),"Range",IF(J321="offline","Offline",IF(J321="","Unknown","No echo / error")))</f>
        <v>No echo / error</v>
      </c>
      <c r="N321" s="3" t="str">
        <f aca="false">IF(ISNUMBER(SEARCH(" m",K321)),"Range",IF(K321="offline","Offline",IF(K321="","Unknown","No echo / error")))</f>
        <v>Range</v>
      </c>
      <c r="O321" s="3" t="str">
        <f aca="false">TEXT(B321,"yyyy-mm-dd")</f>
        <v>2026-10-05</v>
      </c>
    </row>
    <row r="322" customFormat="false" ht="15" hidden="false" customHeight="false" outlineLevel="0" collapsed="false">
      <c r="A322" s="27" t="n">
        <v>6</v>
      </c>
      <c r="B322" s="28" t="n">
        <v>46300.1530276389</v>
      </c>
      <c r="C322" s="29" t="n">
        <f aca="false">IF(A323=A322,B323,INDEX(Rounds!$D:$D,MATCH(A322,Rounds!$A:$A,0)))</f>
        <v>46300.1530315278</v>
      </c>
      <c r="D322" s="30" t="n">
        <f aca="false">(B322-INDEX(Rounds!$C:$C,MATCH(A322,Rounds!$A:$A,0)))*86400</f>
        <v>25.423999596</v>
      </c>
      <c r="E322" s="30" t="n">
        <f aca="false">(C322-INDEX(Rounds!$C:$C,MATCH(A322,Rounds!$A:$A,0)))*86400</f>
        <v>25.75999971</v>
      </c>
      <c r="F322" s="31" t="n">
        <f aca="false">(C322-B322)*86400</f>
        <v>0.336000113</v>
      </c>
      <c r="G322" s="27" t="s">
        <v>150</v>
      </c>
      <c r="H322" s="27" t="s">
        <v>206</v>
      </c>
      <c r="I322" s="27" t="s">
        <v>210</v>
      </c>
      <c r="J322" s="27" t="s">
        <v>204</v>
      </c>
      <c r="K322" s="27" t="s">
        <v>213</v>
      </c>
      <c r="L322" s="3" t="str">
        <f aca="false">IF(ISNUMBER(SEARCH(" m",I322)),"Range",IF(I322="offline","Offline",IF(I322="","Unknown","No echo / error")))</f>
        <v>Range</v>
      </c>
      <c r="M322" s="3" t="str">
        <f aca="false">IF(ISNUMBER(SEARCH(" m",J322)),"Range",IF(J322="offline","Offline",IF(J322="","Unknown","No echo / error")))</f>
        <v>No echo / error</v>
      </c>
      <c r="N322" s="3" t="str">
        <f aca="false">IF(ISNUMBER(SEARCH(" m",K322)),"Range",IF(K322="offline","Offline",IF(K322="","Unknown","No echo / error")))</f>
        <v>Range</v>
      </c>
      <c r="O322" s="3" t="str">
        <f aca="false">TEXT(B322,"yyyy-mm-dd")</f>
        <v>2026-10-05</v>
      </c>
    </row>
    <row r="323" customFormat="false" ht="15" hidden="false" customHeight="false" outlineLevel="0" collapsed="false">
      <c r="A323" s="27" t="n">
        <v>6</v>
      </c>
      <c r="B323" s="28" t="n">
        <v>46300.1530315278</v>
      </c>
      <c r="C323" s="29" t="n">
        <f aca="false">IF(A324=A323,B324,INDEX(Rounds!$D:$D,MATCH(A323,Rounds!$A:$A,0)))</f>
        <v>46300.1530367477</v>
      </c>
      <c r="D323" s="30" t="n">
        <f aca="false">(B323-INDEX(Rounds!$C:$C,MATCH(A323,Rounds!$A:$A,0)))*86400</f>
        <v>25.75999971</v>
      </c>
      <c r="E323" s="30" t="n">
        <f aca="false">(C323-INDEX(Rounds!$C:$C,MATCH(A323,Rounds!$A:$A,0)))*86400</f>
        <v>26.210999954</v>
      </c>
      <c r="F323" s="31" t="n">
        <f aca="false">(C323-B323)*86400</f>
        <v>0.451000244</v>
      </c>
      <c r="G323" s="27" t="s">
        <v>151</v>
      </c>
      <c r="H323" s="27" t="s">
        <v>203</v>
      </c>
      <c r="I323" s="27" t="s">
        <v>250</v>
      </c>
      <c r="J323" s="27" t="s">
        <v>385</v>
      </c>
      <c r="K323" s="27" t="s">
        <v>212</v>
      </c>
      <c r="L323" s="3" t="str">
        <f aca="false">IF(ISNUMBER(SEARCH(" m",I323)),"Range",IF(I323="offline","Offline",IF(I323="","Unknown","No echo / error")))</f>
        <v>Range</v>
      </c>
      <c r="M323" s="3" t="str">
        <f aca="false">IF(ISNUMBER(SEARCH(" m",J323)),"Range",IF(J323="offline","Offline",IF(J323="","Unknown","No echo / error")))</f>
        <v>Range</v>
      </c>
      <c r="N323" s="3" t="str">
        <f aca="false">IF(ISNUMBER(SEARCH(" m",K323)),"Range",IF(K323="offline","Offline",IF(K323="","Unknown","No echo / error")))</f>
        <v>Range</v>
      </c>
      <c r="O323" s="3" t="str">
        <f aca="false">TEXT(B323,"yyyy-mm-dd")</f>
        <v>2026-10-05</v>
      </c>
    </row>
    <row r="324" customFormat="false" ht="15" hidden="false" customHeight="false" outlineLevel="0" collapsed="false">
      <c r="A324" s="27" t="n">
        <v>6</v>
      </c>
      <c r="B324" s="28" t="n">
        <v>46300.1530367477</v>
      </c>
      <c r="C324" s="29" t="n">
        <f aca="false">IF(A325=A324,B325,INDEX(Rounds!$D:$D,MATCH(A324,Rounds!$A:$A,0)))</f>
        <v>46300.1531640509</v>
      </c>
      <c r="D324" s="30" t="n">
        <f aca="false">(B324-INDEX(Rounds!$C:$C,MATCH(A324,Rounds!$A:$A,0)))*86400</f>
        <v>26.210999954</v>
      </c>
      <c r="E324" s="30" t="n">
        <f aca="false">(C324-INDEX(Rounds!$C:$C,MATCH(A324,Rounds!$A:$A,0)))*86400</f>
        <v>37.20999984</v>
      </c>
      <c r="F324" s="31" t="n">
        <f aca="false">(C324-B324)*86400</f>
        <v>10.998999886</v>
      </c>
      <c r="G324" s="27" t="s">
        <v>150</v>
      </c>
      <c r="H324" s="27" t="s">
        <v>206</v>
      </c>
      <c r="I324" s="27" t="s">
        <v>219</v>
      </c>
      <c r="J324" s="27" t="s">
        <v>240</v>
      </c>
      <c r="K324" s="27" t="s">
        <v>204</v>
      </c>
      <c r="L324" s="3" t="str">
        <f aca="false">IF(ISNUMBER(SEARCH(" m",I324)),"Range",IF(I324="offline","Offline",IF(I324="","Unknown","No echo / error")))</f>
        <v>Range</v>
      </c>
      <c r="M324" s="3" t="str">
        <f aca="false">IF(ISNUMBER(SEARCH(" m",J324)),"Range",IF(J324="offline","Offline",IF(J324="","Unknown","No echo / error")))</f>
        <v>Range</v>
      </c>
      <c r="N324" s="3" t="str">
        <f aca="false">IF(ISNUMBER(SEARCH(" m",K324)),"Range",IF(K324="offline","Offline",IF(K324="","Unknown","No echo / error")))</f>
        <v>No echo / error</v>
      </c>
      <c r="O324" s="3" t="str">
        <f aca="false">TEXT(B324,"yyyy-mm-dd")</f>
        <v>2026-10-05</v>
      </c>
    </row>
    <row r="325" customFormat="false" ht="15" hidden="false" customHeight="false" outlineLevel="0" collapsed="false">
      <c r="A325" s="27" t="n">
        <v>6</v>
      </c>
      <c r="B325" s="28" t="n">
        <v>46300.1531640509</v>
      </c>
      <c r="C325" s="29" t="n">
        <f aca="false">IF(A326=A325,B326,INDEX(Rounds!$D:$D,MATCH(A325,Rounds!$A:$A,0)))</f>
        <v>46300.1531718634</v>
      </c>
      <c r="D325" s="30" t="n">
        <f aca="false">(B325-INDEX(Rounds!$C:$C,MATCH(A325,Rounds!$A:$A,0)))*86400</f>
        <v>37.20999984</v>
      </c>
      <c r="E325" s="30" t="n">
        <f aca="false">(C325-INDEX(Rounds!$C:$C,MATCH(A325,Rounds!$A:$A,0)))*86400</f>
        <v>37.884999951</v>
      </c>
      <c r="F325" s="31" t="n">
        <f aca="false">(C325-B325)*86400</f>
        <v>0.67500011</v>
      </c>
      <c r="G325" s="27" t="s">
        <v>152</v>
      </c>
      <c r="H325" s="27" t="s">
        <v>208</v>
      </c>
      <c r="I325" s="27" t="s">
        <v>204</v>
      </c>
      <c r="J325" s="27" t="s">
        <v>204</v>
      </c>
      <c r="K325" s="27" t="s">
        <v>250</v>
      </c>
      <c r="L325" s="3" t="str">
        <f aca="false">IF(ISNUMBER(SEARCH(" m",I325)),"Range",IF(I325="offline","Offline",IF(I325="","Unknown","No echo / error")))</f>
        <v>No echo / error</v>
      </c>
      <c r="M325" s="3" t="str">
        <f aca="false">IF(ISNUMBER(SEARCH(" m",J325)),"Range",IF(J325="offline","Offline",IF(J325="","Unknown","No echo / error")))</f>
        <v>No echo / error</v>
      </c>
      <c r="N325" s="3" t="str">
        <f aca="false">IF(ISNUMBER(SEARCH(" m",K325)),"Range",IF(K325="offline","Offline",IF(K325="","Unknown","No echo / error")))</f>
        <v>Range</v>
      </c>
      <c r="O325" s="3" t="str">
        <f aca="false">TEXT(B325,"yyyy-mm-dd")</f>
        <v>2026-10-05</v>
      </c>
    </row>
    <row r="326" customFormat="false" ht="15" hidden="false" customHeight="false" outlineLevel="0" collapsed="false">
      <c r="A326" s="27" t="n">
        <v>6</v>
      </c>
      <c r="B326" s="28" t="n">
        <v>46300.1531718634</v>
      </c>
      <c r="C326" s="29" t="n">
        <f aca="false">IF(A327=A326,B327,INDEX(Rounds!$D:$D,MATCH(A326,Rounds!$A:$A,0)))</f>
        <v>46300.1531836343</v>
      </c>
      <c r="D326" s="30" t="n">
        <f aca="false">(B326-INDEX(Rounds!$C:$C,MATCH(A326,Rounds!$A:$A,0)))*86400</f>
        <v>37.884999951</v>
      </c>
      <c r="E326" s="30" t="n">
        <f aca="false">(C326-INDEX(Rounds!$C:$C,MATCH(A326,Rounds!$A:$A,0)))*86400</f>
        <v>38.901999942</v>
      </c>
      <c r="F326" s="31" t="n">
        <f aca="false">(C326-B326)*86400</f>
        <v>1.01699999</v>
      </c>
      <c r="G326" s="27" t="s">
        <v>151</v>
      </c>
      <c r="H326" s="27" t="s">
        <v>203</v>
      </c>
      <c r="I326" s="27" t="s">
        <v>382</v>
      </c>
      <c r="J326" s="27" t="s">
        <v>204</v>
      </c>
      <c r="K326" s="27" t="s">
        <v>213</v>
      </c>
      <c r="L326" s="3" t="str">
        <f aca="false">IF(ISNUMBER(SEARCH(" m",I326)),"Range",IF(I326="offline","Offline",IF(I326="","Unknown","No echo / error")))</f>
        <v>Range</v>
      </c>
      <c r="M326" s="3" t="str">
        <f aca="false">IF(ISNUMBER(SEARCH(" m",J326)),"Range",IF(J326="offline","Offline",IF(J326="","Unknown","No echo / error")))</f>
        <v>No echo / error</v>
      </c>
      <c r="N326" s="3" t="str">
        <f aca="false">IF(ISNUMBER(SEARCH(" m",K326)),"Range",IF(K326="offline","Offline",IF(K326="","Unknown","No echo / error")))</f>
        <v>Range</v>
      </c>
      <c r="O326" s="3" t="str">
        <f aca="false">TEXT(B326,"yyyy-mm-dd")</f>
        <v>2026-10-05</v>
      </c>
    </row>
    <row r="327" customFormat="false" ht="15" hidden="false" customHeight="false" outlineLevel="0" collapsed="false">
      <c r="A327" s="27" t="n">
        <v>6</v>
      </c>
      <c r="B327" s="28" t="n">
        <v>46300.1531836343</v>
      </c>
      <c r="C327" s="29" t="n">
        <f aca="false">IF(A328=A327,B328,INDEX(Rounds!$D:$D,MATCH(A327,Rounds!$A:$A,0)))</f>
        <v>46300.1531892014</v>
      </c>
      <c r="D327" s="30" t="n">
        <f aca="false">(B327-INDEX(Rounds!$C:$C,MATCH(A327,Rounds!$A:$A,0)))*86400</f>
        <v>38.901999942</v>
      </c>
      <c r="E327" s="30" t="n">
        <f aca="false">(C327-INDEX(Rounds!$C:$C,MATCH(A327,Rounds!$A:$A,0)))*86400</f>
        <v>39.382999646</v>
      </c>
      <c r="F327" s="31" t="n">
        <f aca="false">(C327-B327)*86400</f>
        <v>0.480999704</v>
      </c>
      <c r="G327" s="27" t="s">
        <v>152</v>
      </c>
      <c r="H327" s="27" t="s">
        <v>208</v>
      </c>
      <c r="I327" s="27" t="s">
        <v>266</v>
      </c>
      <c r="J327" s="27" t="s">
        <v>235</v>
      </c>
      <c r="K327" s="27" t="s">
        <v>212</v>
      </c>
      <c r="L327" s="3" t="str">
        <f aca="false">IF(ISNUMBER(SEARCH(" m",I327)),"Range",IF(I327="offline","Offline",IF(I327="","Unknown","No echo / error")))</f>
        <v>Range</v>
      </c>
      <c r="M327" s="3" t="str">
        <f aca="false">IF(ISNUMBER(SEARCH(" m",J327)),"Range",IF(J327="offline","Offline",IF(J327="","Unknown","No echo / error")))</f>
        <v>Range</v>
      </c>
      <c r="N327" s="3" t="str">
        <f aca="false">IF(ISNUMBER(SEARCH(" m",K327)),"Range",IF(K327="offline","Offline",IF(K327="","Unknown","No echo / error")))</f>
        <v>Range</v>
      </c>
      <c r="O327" s="3" t="str">
        <f aca="false">TEXT(B327,"yyyy-mm-dd")</f>
        <v>2026-10-05</v>
      </c>
    </row>
    <row r="328" customFormat="false" ht="15" hidden="false" customHeight="false" outlineLevel="0" collapsed="false">
      <c r="A328" s="27" t="n">
        <v>6</v>
      </c>
      <c r="B328" s="28" t="n">
        <v>46300.1531892014</v>
      </c>
      <c r="C328" s="29" t="n">
        <f aca="false">IF(A329=A328,B329,INDEX(Rounds!$D:$D,MATCH(A328,Rounds!$A:$A,0)))</f>
        <v>46300.1531958912</v>
      </c>
      <c r="D328" s="30" t="n">
        <f aca="false">(B328-INDEX(Rounds!$C:$C,MATCH(A328,Rounds!$A:$A,0)))*86400</f>
        <v>39.382999646</v>
      </c>
      <c r="E328" s="30" t="n">
        <f aca="false">(C328-INDEX(Rounds!$C:$C,MATCH(A328,Rounds!$A:$A,0)))*86400</f>
        <v>39.960999554</v>
      </c>
      <c r="F328" s="31" t="n">
        <f aca="false">(C328-B328)*86400</f>
        <v>0.577999907</v>
      </c>
      <c r="G328" s="27" t="s">
        <v>151</v>
      </c>
      <c r="H328" s="27" t="s">
        <v>203</v>
      </c>
      <c r="I328" s="27" t="s">
        <v>330</v>
      </c>
      <c r="J328" s="27" t="s">
        <v>204</v>
      </c>
      <c r="K328" s="27" t="s">
        <v>213</v>
      </c>
      <c r="L328" s="3" t="str">
        <f aca="false">IF(ISNUMBER(SEARCH(" m",I328)),"Range",IF(I328="offline","Offline",IF(I328="","Unknown","No echo / error")))</f>
        <v>Range</v>
      </c>
      <c r="M328" s="3" t="str">
        <f aca="false">IF(ISNUMBER(SEARCH(" m",J328)),"Range",IF(J328="offline","Offline",IF(J328="","Unknown","No echo / error")))</f>
        <v>No echo / error</v>
      </c>
      <c r="N328" s="3" t="str">
        <f aca="false">IF(ISNUMBER(SEARCH(" m",K328)),"Range",IF(K328="offline","Offline",IF(K328="","Unknown","No echo / error")))</f>
        <v>Range</v>
      </c>
      <c r="O328" s="3" t="str">
        <f aca="false">TEXT(B328,"yyyy-mm-dd")</f>
        <v>2026-10-05</v>
      </c>
    </row>
    <row r="329" customFormat="false" ht="15" hidden="false" customHeight="false" outlineLevel="0" collapsed="false">
      <c r="A329" s="27" t="n">
        <v>6</v>
      </c>
      <c r="B329" s="28" t="n">
        <v>46300.1531958912</v>
      </c>
      <c r="C329" s="29" t="n">
        <f aca="false">IF(A330=A329,B330,INDEX(Rounds!$D:$D,MATCH(A329,Rounds!$A:$A,0)))</f>
        <v>46300.1532073958</v>
      </c>
      <c r="D329" s="30" t="n">
        <f aca="false">(B329-INDEX(Rounds!$C:$C,MATCH(A329,Rounds!$A:$A,0)))*86400</f>
        <v>39.960999554</v>
      </c>
      <c r="E329" s="30" t="n">
        <f aca="false">(C329-INDEX(Rounds!$C:$C,MATCH(A329,Rounds!$A:$A,0)))*86400</f>
        <v>40.955000021</v>
      </c>
      <c r="F329" s="31" t="n">
        <f aca="false">(C329-B329)*86400</f>
        <v>0.994000467</v>
      </c>
      <c r="G329" s="27" t="s">
        <v>150</v>
      </c>
      <c r="H329" s="27" t="s">
        <v>206</v>
      </c>
      <c r="I329" s="27" t="s">
        <v>400</v>
      </c>
      <c r="J329" s="27" t="s">
        <v>351</v>
      </c>
      <c r="K329" s="27" t="s">
        <v>204</v>
      </c>
      <c r="L329" s="3" t="str">
        <f aca="false">IF(ISNUMBER(SEARCH(" m",I329)),"Range",IF(I329="offline","Offline",IF(I329="","Unknown","No echo / error")))</f>
        <v>Range</v>
      </c>
      <c r="M329" s="3" t="str">
        <f aca="false">IF(ISNUMBER(SEARCH(" m",J329)),"Range",IF(J329="offline","Offline",IF(J329="","Unknown","No echo / error")))</f>
        <v>Range</v>
      </c>
      <c r="N329" s="3" t="str">
        <f aca="false">IF(ISNUMBER(SEARCH(" m",K329)),"Range",IF(K329="offline","Offline",IF(K329="","Unknown","No echo / error")))</f>
        <v>No echo / error</v>
      </c>
      <c r="O329" s="3" t="str">
        <f aca="false">TEXT(B329,"yyyy-mm-dd")</f>
        <v>2026-10-05</v>
      </c>
    </row>
    <row r="330" customFormat="false" ht="15" hidden="false" customHeight="false" outlineLevel="0" collapsed="false">
      <c r="A330" s="27" t="n">
        <v>6</v>
      </c>
      <c r="B330" s="28" t="n">
        <v>46300.1532073958</v>
      </c>
      <c r="C330" s="29" t="n">
        <f aca="false">IF(A331=A330,B331,INDEX(Rounds!$D:$D,MATCH(A330,Rounds!$A:$A,0)))</f>
        <v>46300.1532137037</v>
      </c>
      <c r="D330" s="30" t="n">
        <f aca="false">(B330-INDEX(Rounds!$C:$C,MATCH(A330,Rounds!$A:$A,0)))*86400</f>
        <v>40.955000021</v>
      </c>
      <c r="E330" s="30" t="n">
        <f aca="false">(C330-INDEX(Rounds!$C:$C,MATCH(A330,Rounds!$A:$A,0)))*86400</f>
        <v>41.499999957</v>
      </c>
      <c r="F330" s="31" t="n">
        <f aca="false">(C330-B330)*86400</f>
        <v>0.544999935</v>
      </c>
      <c r="G330" s="27" t="s">
        <v>152</v>
      </c>
      <c r="H330" s="27" t="s">
        <v>208</v>
      </c>
      <c r="I330" s="27" t="s">
        <v>338</v>
      </c>
      <c r="J330" s="27" t="s">
        <v>351</v>
      </c>
      <c r="K330" s="27" t="s">
        <v>373</v>
      </c>
      <c r="L330" s="3" t="str">
        <f aca="false">IF(ISNUMBER(SEARCH(" m",I330)),"Range",IF(I330="offline","Offline",IF(I330="","Unknown","No echo / error")))</f>
        <v>Range</v>
      </c>
      <c r="M330" s="3" t="str">
        <f aca="false">IF(ISNUMBER(SEARCH(" m",J330)),"Range",IF(J330="offline","Offline",IF(J330="","Unknown","No echo / error")))</f>
        <v>Range</v>
      </c>
      <c r="N330" s="3" t="str">
        <f aca="false">IF(ISNUMBER(SEARCH(" m",K330)),"Range",IF(K330="offline","Offline",IF(K330="","Unknown","No echo / error")))</f>
        <v>Range</v>
      </c>
      <c r="O330" s="3" t="str">
        <f aca="false">TEXT(B330,"yyyy-mm-dd")</f>
        <v>2026-10-05</v>
      </c>
    </row>
    <row r="331" customFormat="false" ht="15" hidden="false" customHeight="false" outlineLevel="0" collapsed="false">
      <c r="A331" s="27" t="n">
        <v>6</v>
      </c>
      <c r="B331" s="28" t="n">
        <v>46300.1532137037</v>
      </c>
      <c r="C331" s="29" t="n">
        <f aca="false">IF(A332=A331,B332,INDEX(Rounds!$D:$D,MATCH(A331,Rounds!$A:$A,0)))</f>
        <v>46300.1532233912</v>
      </c>
      <c r="D331" s="30" t="n">
        <f aca="false">(B331-INDEX(Rounds!$C:$C,MATCH(A331,Rounds!$A:$A,0)))*86400</f>
        <v>41.499999957</v>
      </c>
      <c r="E331" s="30" t="n">
        <f aca="false">(C331-INDEX(Rounds!$C:$C,MATCH(A331,Rounds!$A:$A,0)))*86400</f>
        <v>42.336999415</v>
      </c>
      <c r="F331" s="31" t="n">
        <f aca="false">(C331-B331)*86400</f>
        <v>0.836999458</v>
      </c>
      <c r="G331" s="27" t="s">
        <v>151</v>
      </c>
      <c r="H331" s="27" t="s">
        <v>203</v>
      </c>
      <c r="I331" s="27" t="s">
        <v>400</v>
      </c>
      <c r="J331" s="27" t="s">
        <v>351</v>
      </c>
      <c r="K331" s="27" t="s">
        <v>211</v>
      </c>
      <c r="L331" s="3" t="str">
        <f aca="false">IF(ISNUMBER(SEARCH(" m",I331)),"Range",IF(I331="offline","Offline",IF(I331="","Unknown","No echo / error")))</f>
        <v>Range</v>
      </c>
      <c r="M331" s="3" t="str">
        <f aca="false">IF(ISNUMBER(SEARCH(" m",J331)),"Range",IF(J331="offline","Offline",IF(J331="","Unknown","No echo / error")))</f>
        <v>Range</v>
      </c>
      <c r="N331" s="3" t="str">
        <f aca="false">IF(ISNUMBER(SEARCH(" m",K331)),"Range",IF(K331="offline","Offline",IF(K331="","Unknown","No echo / error")))</f>
        <v>No echo / error</v>
      </c>
      <c r="O331" s="3" t="str">
        <f aca="false">TEXT(B331,"yyyy-mm-dd")</f>
        <v>2026-10-05</v>
      </c>
    </row>
    <row r="332" customFormat="false" ht="15" hidden="false" customHeight="false" outlineLevel="0" collapsed="false">
      <c r="A332" s="27" t="n">
        <v>6</v>
      </c>
      <c r="B332" s="28" t="n">
        <v>46300.1532233912</v>
      </c>
      <c r="C332" s="29" t="n">
        <f aca="false">IF(A333=A332,B333,INDEX(Rounds!$D:$D,MATCH(A332,Rounds!$A:$A,0)))</f>
        <v>46300.153260787</v>
      </c>
      <c r="D332" s="30" t="n">
        <f aca="false">(B332-INDEX(Rounds!$C:$C,MATCH(A332,Rounds!$A:$A,0)))*86400</f>
        <v>42.336999415</v>
      </c>
      <c r="E332" s="30" t="n">
        <f aca="false">(C332-INDEX(Rounds!$C:$C,MATCH(A332,Rounds!$A:$A,0)))*86400</f>
        <v>45.567999919</v>
      </c>
      <c r="F332" s="31" t="n">
        <f aca="false">(C332-B332)*86400</f>
        <v>3.231000504</v>
      </c>
      <c r="G332" s="27" t="s">
        <v>150</v>
      </c>
      <c r="H332" s="27" t="s">
        <v>206</v>
      </c>
      <c r="I332" s="27" t="s">
        <v>286</v>
      </c>
      <c r="J332" s="27" t="s">
        <v>204</v>
      </c>
      <c r="K332" s="27" t="s">
        <v>280</v>
      </c>
      <c r="L332" s="3" t="str">
        <f aca="false">IF(ISNUMBER(SEARCH(" m",I332)),"Range",IF(I332="offline","Offline",IF(I332="","Unknown","No echo / error")))</f>
        <v>Range</v>
      </c>
      <c r="M332" s="3" t="str">
        <f aca="false">IF(ISNUMBER(SEARCH(" m",J332)),"Range",IF(J332="offline","Offline",IF(J332="","Unknown","No echo / error")))</f>
        <v>No echo / error</v>
      </c>
      <c r="N332" s="3" t="str">
        <f aca="false">IF(ISNUMBER(SEARCH(" m",K332)),"Range",IF(K332="offline","Offline",IF(K332="","Unknown","No echo / error")))</f>
        <v>Range</v>
      </c>
      <c r="O332" s="3" t="str">
        <f aca="false">TEXT(B332,"yyyy-mm-dd")</f>
        <v>2026-10-05</v>
      </c>
    </row>
    <row r="333" customFormat="false" ht="15" hidden="false" customHeight="false" outlineLevel="0" collapsed="false">
      <c r="A333" s="27" t="n">
        <v>6</v>
      </c>
      <c r="B333" s="28" t="n">
        <v>46300.153260787</v>
      </c>
      <c r="C333" s="29" t="n">
        <f aca="false">IF(A334=A333,B334,INDEX(Rounds!$D:$D,MATCH(A333,Rounds!$A:$A,0)))</f>
        <v>46300.1532622685</v>
      </c>
      <c r="D333" s="30" t="n">
        <f aca="false">(B333-INDEX(Rounds!$C:$C,MATCH(A333,Rounds!$A:$A,0)))*86400</f>
        <v>45.567999919</v>
      </c>
      <c r="E333" s="30" t="n">
        <f aca="false">(C333-INDEX(Rounds!$C:$C,MATCH(A333,Rounds!$A:$A,0)))*86400</f>
        <v>45.695999753</v>
      </c>
      <c r="F333" s="31" t="n">
        <f aca="false">(C333-B333)*86400</f>
        <v>0.127999833</v>
      </c>
      <c r="G333" s="27" t="s">
        <v>152</v>
      </c>
      <c r="H333" s="27" t="s">
        <v>208</v>
      </c>
      <c r="I333" s="27" t="s">
        <v>342</v>
      </c>
      <c r="J333" s="27" t="s">
        <v>244</v>
      </c>
      <c r="K333" s="27" t="s">
        <v>241</v>
      </c>
      <c r="L333" s="3" t="str">
        <f aca="false">IF(ISNUMBER(SEARCH(" m",I333)),"Range",IF(I333="offline","Offline",IF(I333="","Unknown","No echo / error")))</f>
        <v>Range</v>
      </c>
      <c r="M333" s="3" t="str">
        <f aca="false">IF(ISNUMBER(SEARCH(" m",J333)),"Range",IF(J333="offline","Offline",IF(J333="","Unknown","No echo / error")))</f>
        <v>Range</v>
      </c>
      <c r="N333" s="3" t="str">
        <f aca="false">IF(ISNUMBER(SEARCH(" m",K333)),"Range",IF(K333="offline","Offline",IF(K333="","Unknown","No echo / error")))</f>
        <v>Range</v>
      </c>
      <c r="O333" s="3" t="str">
        <f aca="false">TEXT(B333,"yyyy-mm-dd")</f>
        <v>2026-10-05</v>
      </c>
    </row>
    <row r="334" customFormat="false" ht="15" hidden="false" customHeight="false" outlineLevel="0" collapsed="false">
      <c r="A334" s="27" t="n">
        <v>6</v>
      </c>
      <c r="B334" s="28" t="n">
        <v>46300.1532622685</v>
      </c>
      <c r="C334" s="29" t="n">
        <f aca="false">IF(A335=A334,B335,INDEX(Rounds!$D:$D,MATCH(A334,Rounds!$A:$A,0)))</f>
        <v>46300.1532635764</v>
      </c>
      <c r="D334" s="30" t="n">
        <f aca="false">(B334-INDEX(Rounds!$C:$C,MATCH(A334,Rounds!$A:$A,0)))*86400</f>
        <v>45.695999753</v>
      </c>
      <c r="E334" s="30" t="n">
        <f aca="false">(C334-INDEX(Rounds!$C:$C,MATCH(A334,Rounds!$A:$A,0)))*86400</f>
        <v>45.808999543</v>
      </c>
      <c r="F334" s="31" t="n">
        <f aca="false">(C334-B334)*86400</f>
        <v>0.112999789</v>
      </c>
      <c r="G334" s="27" t="s">
        <v>151</v>
      </c>
      <c r="H334" s="27" t="s">
        <v>203</v>
      </c>
      <c r="I334" s="27" t="s">
        <v>220</v>
      </c>
      <c r="J334" s="27" t="s">
        <v>244</v>
      </c>
      <c r="K334" s="27" t="s">
        <v>241</v>
      </c>
      <c r="L334" s="3" t="str">
        <f aca="false">IF(ISNUMBER(SEARCH(" m",I334)),"Range",IF(I334="offline","Offline",IF(I334="","Unknown","No echo / error")))</f>
        <v>No echo / error</v>
      </c>
      <c r="M334" s="3" t="str">
        <f aca="false">IF(ISNUMBER(SEARCH(" m",J334)),"Range",IF(J334="offline","Offline",IF(J334="","Unknown","No echo / error")))</f>
        <v>Range</v>
      </c>
      <c r="N334" s="3" t="str">
        <f aca="false">IF(ISNUMBER(SEARCH(" m",K334)),"Range",IF(K334="offline","Offline",IF(K334="","Unknown","No echo / error")))</f>
        <v>Range</v>
      </c>
      <c r="O334" s="3" t="str">
        <f aca="false">TEXT(B334,"yyyy-mm-dd")</f>
        <v>2026-10-05</v>
      </c>
    </row>
    <row r="335" customFormat="false" ht="15" hidden="false" customHeight="false" outlineLevel="0" collapsed="false">
      <c r="A335" s="27" t="n">
        <v>6</v>
      </c>
      <c r="B335" s="28" t="n">
        <v>46300.1532635764</v>
      </c>
      <c r="C335" s="29" t="n">
        <f aca="false">IF(A336=A335,B336,INDEX(Rounds!$D:$D,MATCH(A335,Rounds!$A:$A,0)))</f>
        <v>46300.1533412269</v>
      </c>
      <c r="D335" s="30" t="n">
        <f aca="false">(B335-INDEX(Rounds!$C:$C,MATCH(A335,Rounds!$A:$A,0)))*86400</f>
        <v>45.808999543</v>
      </c>
      <c r="E335" s="30" t="n">
        <f aca="false">(C335-INDEX(Rounds!$C:$C,MATCH(A335,Rounds!$A:$A,0)))*86400</f>
        <v>52.517999312</v>
      </c>
      <c r="F335" s="31" t="n">
        <f aca="false">(C335-B335)*86400</f>
        <v>6.708999769</v>
      </c>
      <c r="G335" s="27" t="s">
        <v>150</v>
      </c>
      <c r="H335" s="27" t="s">
        <v>206</v>
      </c>
      <c r="I335" s="27" t="s">
        <v>220</v>
      </c>
      <c r="J335" s="27" t="s">
        <v>282</v>
      </c>
      <c r="K335" s="27" t="s">
        <v>241</v>
      </c>
      <c r="L335" s="3" t="str">
        <f aca="false">IF(ISNUMBER(SEARCH(" m",I335)),"Range",IF(I335="offline","Offline",IF(I335="","Unknown","No echo / error")))</f>
        <v>No echo / error</v>
      </c>
      <c r="M335" s="3" t="str">
        <f aca="false">IF(ISNUMBER(SEARCH(" m",J335)),"Range",IF(J335="offline","Offline",IF(J335="","Unknown","No echo / error")))</f>
        <v>Range</v>
      </c>
      <c r="N335" s="3" t="str">
        <f aca="false">IF(ISNUMBER(SEARCH(" m",K335)),"Range",IF(K335="offline","Offline",IF(K335="","Unknown","No echo / error")))</f>
        <v>Range</v>
      </c>
      <c r="O335" s="3" t="str">
        <f aca="false">TEXT(B335,"yyyy-mm-dd")</f>
        <v>2026-10-05</v>
      </c>
    </row>
    <row r="336" customFormat="false" ht="15" hidden="false" customHeight="false" outlineLevel="0" collapsed="false">
      <c r="A336" s="27" t="n">
        <v>6</v>
      </c>
      <c r="B336" s="28" t="n">
        <v>46300.1533412269</v>
      </c>
      <c r="C336" s="29" t="n">
        <f aca="false">IF(A337=A336,B337,INDEX(Rounds!$D:$D,MATCH(A336,Rounds!$A:$A,0)))</f>
        <v>46300.1533522107</v>
      </c>
      <c r="D336" s="30" t="n">
        <f aca="false">(B336-INDEX(Rounds!$C:$C,MATCH(A336,Rounds!$A:$A,0)))*86400</f>
        <v>52.517999312</v>
      </c>
      <c r="E336" s="30" t="n">
        <f aca="false">(C336-INDEX(Rounds!$C:$C,MATCH(A336,Rounds!$A:$A,0)))*86400</f>
        <v>53.466999647</v>
      </c>
      <c r="F336" s="31" t="n">
        <f aca="false">(C336-B336)*86400</f>
        <v>0.949000334</v>
      </c>
      <c r="G336" s="27" t="s">
        <v>152</v>
      </c>
      <c r="H336" s="27" t="s">
        <v>208</v>
      </c>
      <c r="I336" s="27" t="s">
        <v>350</v>
      </c>
      <c r="J336" s="27" t="s">
        <v>278</v>
      </c>
      <c r="K336" s="27" t="s">
        <v>211</v>
      </c>
      <c r="L336" s="3" t="str">
        <f aca="false">IF(ISNUMBER(SEARCH(" m",I336)),"Range",IF(I336="offline","Offline",IF(I336="","Unknown","No echo / error")))</f>
        <v>Range</v>
      </c>
      <c r="M336" s="3" t="str">
        <f aca="false">IF(ISNUMBER(SEARCH(" m",J336)),"Range",IF(J336="offline","Offline",IF(J336="","Unknown","No echo / error")))</f>
        <v>Range</v>
      </c>
      <c r="N336" s="3" t="str">
        <f aca="false">IF(ISNUMBER(SEARCH(" m",K336)),"Range",IF(K336="offline","Offline",IF(K336="","Unknown","No echo / error")))</f>
        <v>No echo / error</v>
      </c>
      <c r="O336" s="3" t="str">
        <f aca="false">TEXT(B336,"yyyy-mm-dd")</f>
        <v>2026-10-05</v>
      </c>
    </row>
    <row r="337" customFormat="false" ht="15" hidden="false" customHeight="false" outlineLevel="0" collapsed="false">
      <c r="A337" s="27" t="n">
        <v>6</v>
      </c>
      <c r="B337" s="28" t="n">
        <v>46300.1533522107</v>
      </c>
      <c r="C337" s="29" t="n">
        <f aca="false">IF(A338=A337,B338,INDEX(Rounds!$D:$D,MATCH(A337,Rounds!$A:$A,0)))</f>
        <v>46300.1533538889</v>
      </c>
      <c r="D337" s="30" t="n">
        <f aca="false">(B337-INDEX(Rounds!$C:$C,MATCH(A337,Rounds!$A:$A,0)))*86400</f>
        <v>53.466999647</v>
      </c>
      <c r="E337" s="30" t="n">
        <f aca="false">(C337-INDEX(Rounds!$C:$C,MATCH(A337,Rounds!$A:$A,0)))*86400</f>
        <v>53.611999866</v>
      </c>
      <c r="F337" s="31" t="n">
        <f aca="false">(C337-B337)*86400</f>
        <v>0.145000219</v>
      </c>
      <c r="G337" s="27" t="s">
        <v>151</v>
      </c>
      <c r="H337" s="27" t="s">
        <v>203</v>
      </c>
      <c r="I337" s="27" t="s">
        <v>401</v>
      </c>
      <c r="J337" s="27" t="s">
        <v>402</v>
      </c>
      <c r="K337" s="27" t="s">
        <v>330</v>
      </c>
      <c r="L337" s="3" t="str">
        <f aca="false">IF(ISNUMBER(SEARCH(" m",I337)),"Range",IF(I337="offline","Offline",IF(I337="","Unknown","No echo / error")))</f>
        <v>Range</v>
      </c>
      <c r="M337" s="3" t="str">
        <f aca="false">IF(ISNUMBER(SEARCH(" m",J337)),"Range",IF(J337="offline","Offline",IF(J337="","Unknown","No echo / error")))</f>
        <v>Range</v>
      </c>
      <c r="N337" s="3" t="str">
        <f aca="false">IF(ISNUMBER(SEARCH(" m",K337)),"Range",IF(K337="offline","Offline",IF(K337="","Unknown","No echo / error")))</f>
        <v>Range</v>
      </c>
      <c r="O337" s="3" t="str">
        <f aca="false">TEXT(B337,"yyyy-mm-dd")</f>
        <v>2026-10-05</v>
      </c>
    </row>
    <row r="338" customFormat="false" ht="15" hidden="false" customHeight="false" outlineLevel="0" collapsed="false">
      <c r="A338" s="27" t="n">
        <v>6</v>
      </c>
      <c r="B338" s="28" t="n">
        <v>46300.1533538889</v>
      </c>
      <c r="C338" s="29" t="n">
        <f aca="false">IF(A339=A338,B339,INDEX(Rounds!$D:$D,MATCH(A338,Rounds!$A:$A,0)))</f>
        <v>46300.1533795718</v>
      </c>
      <c r="D338" s="30" t="n">
        <f aca="false">(B338-INDEX(Rounds!$C:$C,MATCH(A338,Rounds!$A:$A,0)))*86400</f>
        <v>53.611999866</v>
      </c>
      <c r="E338" s="30" t="n">
        <f aca="false">(C338-INDEX(Rounds!$C:$C,MATCH(A338,Rounds!$A:$A,0)))*86400</f>
        <v>55.830999976</v>
      </c>
      <c r="F338" s="31" t="n">
        <f aca="false">(C338-B338)*86400</f>
        <v>2.219000109</v>
      </c>
      <c r="G338" s="27" t="s">
        <v>150</v>
      </c>
      <c r="H338" s="27" t="s">
        <v>206</v>
      </c>
      <c r="I338" s="27" t="s">
        <v>310</v>
      </c>
      <c r="J338" s="27" t="s">
        <v>402</v>
      </c>
      <c r="K338" s="27" t="s">
        <v>330</v>
      </c>
      <c r="L338" s="3" t="str">
        <f aca="false">IF(ISNUMBER(SEARCH(" m",I338)),"Range",IF(I338="offline","Offline",IF(I338="","Unknown","No echo / error")))</f>
        <v>Range</v>
      </c>
      <c r="M338" s="3" t="str">
        <f aca="false">IF(ISNUMBER(SEARCH(" m",J338)),"Range",IF(J338="offline","Offline",IF(J338="","Unknown","No echo / error")))</f>
        <v>Range</v>
      </c>
      <c r="N338" s="3" t="str">
        <f aca="false">IF(ISNUMBER(SEARCH(" m",K338)),"Range",IF(K338="offline","Offline",IF(K338="","Unknown","No echo / error")))</f>
        <v>Range</v>
      </c>
      <c r="O338" s="3" t="str">
        <f aca="false">TEXT(B338,"yyyy-mm-dd")</f>
        <v>2026-10-05</v>
      </c>
    </row>
    <row r="339" customFormat="false" ht="15" hidden="false" customHeight="false" outlineLevel="0" collapsed="false">
      <c r="A339" s="27" t="n">
        <v>6</v>
      </c>
      <c r="B339" s="28" t="n">
        <v>46300.1533795718</v>
      </c>
      <c r="C339" s="29" t="n">
        <f aca="false">IF(A340=A339,B340,INDEX(Rounds!$D:$D,MATCH(A339,Rounds!$A:$A,0)))</f>
        <v>46300.1533857292</v>
      </c>
      <c r="D339" s="30" t="n">
        <f aca="false">(B339-INDEX(Rounds!$C:$C,MATCH(A339,Rounds!$A:$A,0)))*86400</f>
        <v>55.830999976</v>
      </c>
      <c r="E339" s="30" t="n">
        <f aca="false">(C339-INDEX(Rounds!$C:$C,MATCH(A339,Rounds!$A:$A,0)))*86400</f>
        <v>56.363000208</v>
      </c>
      <c r="F339" s="31" t="n">
        <f aca="false">(C339-B339)*86400</f>
        <v>0.532000232</v>
      </c>
      <c r="G339" s="27" t="s">
        <v>152</v>
      </c>
      <c r="H339" s="27" t="s">
        <v>208</v>
      </c>
      <c r="I339" s="27" t="s">
        <v>204</v>
      </c>
      <c r="J339" s="27" t="s">
        <v>385</v>
      </c>
      <c r="K339" s="27" t="s">
        <v>337</v>
      </c>
      <c r="L339" s="3" t="str">
        <f aca="false">IF(ISNUMBER(SEARCH(" m",I339)),"Range",IF(I339="offline","Offline",IF(I339="","Unknown","No echo / error")))</f>
        <v>No echo / error</v>
      </c>
      <c r="M339" s="3" t="str">
        <f aca="false">IF(ISNUMBER(SEARCH(" m",J339)),"Range",IF(J339="offline","Offline",IF(J339="","Unknown","No echo / error")))</f>
        <v>Range</v>
      </c>
      <c r="N339" s="3" t="str">
        <f aca="false">IF(ISNUMBER(SEARCH(" m",K339)),"Range",IF(K339="offline","Offline",IF(K339="","Unknown","No echo / error")))</f>
        <v>Range</v>
      </c>
      <c r="O339" s="3" t="str">
        <f aca="false">TEXT(B339,"yyyy-mm-dd")</f>
        <v>2026-10-05</v>
      </c>
    </row>
    <row r="340" customFormat="false" ht="15" hidden="false" customHeight="false" outlineLevel="0" collapsed="false">
      <c r="A340" s="27" t="n">
        <v>6</v>
      </c>
      <c r="B340" s="28" t="n">
        <v>46300.1533857292</v>
      </c>
      <c r="C340" s="29" t="n">
        <f aca="false">IF(A341=A340,B341,INDEX(Rounds!$D:$D,MATCH(A340,Rounds!$A:$A,0)))</f>
        <v>46300.1533868403</v>
      </c>
      <c r="D340" s="30" t="n">
        <f aca="false">(B340-INDEX(Rounds!$C:$C,MATCH(A340,Rounds!$A:$A,0)))*86400</f>
        <v>56.363000208</v>
      </c>
      <c r="E340" s="30" t="n">
        <f aca="false">(C340-INDEX(Rounds!$C:$C,MATCH(A340,Rounds!$A:$A,0)))*86400</f>
        <v>56.458999612</v>
      </c>
      <c r="F340" s="31" t="n">
        <f aca="false">(C340-B340)*86400</f>
        <v>0.095999403</v>
      </c>
      <c r="G340" s="27" t="s">
        <v>151</v>
      </c>
      <c r="H340" s="27" t="s">
        <v>203</v>
      </c>
      <c r="I340" s="27" t="s">
        <v>218</v>
      </c>
      <c r="J340" s="27" t="s">
        <v>403</v>
      </c>
      <c r="K340" s="27" t="s">
        <v>305</v>
      </c>
      <c r="L340" s="3" t="str">
        <f aca="false">IF(ISNUMBER(SEARCH(" m",I340)),"Range",IF(I340="offline","Offline",IF(I340="","Unknown","No echo / error")))</f>
        <v>Range</v>
      </c>
      <c r="M340" s="3" t="str">
        <f aca="false">IF(ISNUMBER(SEARCH(" m",J340)),"Range",IF(J340="offline","Offline",IF(J340="","Unknown","No echo / error")))</f>
        <v>Range</v>
      </c>
      <c r="N340" s="3" t="str">
        <f aca="false">IF(ISNUMBER(SEARCH(" m",K340)),"Range",IF(K340="offline","Offline",IF(K340="","Unknown","No echo / error")))</f>
        <v>Range</v>
      </c>
      <c r="O340" s="3" t="str">
        <f aca="false">TEXT(B340,"yyyy-mm-dd")</f>
        <v>2026-10-05</v>
      </c>
    </row>
    <row r="341" customFormat="false" ht="15" hidden="false" customHeight="false" outlineLevel="0" collapsed="false">
      <c r="A341" s="27" t="n">
        <v>6</v>
      </c>
      <c r="B341" s="28" t="n">
        <v>46300.1533868403</v>
      </c>
      <c r="C341" s="29" t="n">
        <f aca="false">IF(A342=A341,B342,INDEX(Rounds!$D:$D,MATCH(A341,Rounds!$A:$A,0)))</f>
        <v>46300.1534063773</v>
      </c>
      <c r="D341" s="30" t="n">
        <f aca="false">(B341-INDEX(Rounds!$C:$C,MATCH(A341,Rounds!$A:$A,0)))*86400</f>
        <v>56.458999612</v>
      </c>
      <c r="E341" s="30" t="n">
        <f aca="false">(C341-INDEX(Rounds!$C:$C,MATCH(A341,Rounds!$A:$A,0)))*86400</f>
        <v>58.146999031</v>
      </c>
      <c r="F341" s="31" t="n">
        <f aca="false">(C341-B341)*86400</f>
        <v>1.687999418</v>
      </c>
      <c r="G341" s="27" t="s">
        <v>150</v>
      </c>
      <c r="H341" s="27" t="s">
        <v>206</v>
      </c>
      <c r="I341" s="27" t="s">
        <v>218</v>
      </c>
      <c r="J341" s="27" t="s">
        <v>291</v>
      </c>
      <c r="K341" s="27" t="s">
        <v>305</v>
      </c>
      <c r="L341" s="3" t="str">
        <f aca="false">IF(ISNUMBER(SEARCH(" m",I341)),"Range",IF(I341="offline","Offline",IF(I341="","Unknown","No echo / error")))</f>
        <v>Range</v>
      </c>
      <c r="M341" s="3" t="str">
        <f aca="false">IF(ISNUMBER(SEARCH(" m",J341)),"Range",IF(J341="offline","Offline",IF(J341="","Unknown","No echo / error")))</f>
        <v>Range</v>
      </c>
      <c r="N341" s="3" t="str">
        <f aca="false">IF(ISNUMBER(SEARCH(" m",K341)),"Range",IF(K341="offline","Offline",IF(K341="","Unknown","No echo / error")))</f>
        <v>Range</v>
      </c>
      <c r="O341" s="3" t="str">
        <f aca="false">TEXT(B341,"yyyy-mm-dd")</f>
        <v>2026-10-05</v>
      </c>
    </row>
    <row r="342" customFormat="false" ht="15" hidden="false" customHeight="false" outlineLevel="0" collapsed="false">
      <c r="A342" s="27" t="n">
        <v>6</v>
      </c>
      <c r="B342" s="28" t="n">
        <v>46300.1534063773</v>
      </c>
      <c r="C342" s="29" t="n">
        <f aca="false">IF(A343=A342,B343,INDEX(Rounds!$D:$D,MATCH(A342,Rounds!$A:$A,0)))</f>
        <v>46300.1534627083</v>
      </c>
      <c r="D342" s="30" t="n">
        <f aca="false">(B342-INDEX(Rounds!$C:$C,MATCH(A342,Rounds!$A:$A,0)))*86400</f>
        <v>58.146999031</v>
      </c>
      <c r="E342" s="30" t="n">
        <f aca="false">(C342-INDEX(Rounds!$C:$C,MATCH(A342,Rounds!$A:$A,0)))*86400</f>
        <v>63.013999513</v>
      </c>
      <c r="F342" s="31" t="n">
        <f aca="false">(C342-B342)*86400</f>
        <v>4.867000482</v>
      </c>
      <c r="G342" s="27" t="s">
        <v>153</v>
      </c>
      <c r="H342" s="27" t="s">
        <v>324</v>
      </c>
      <c r="I342" s="27" t="s">
        <v>392</v>
      </c>
      <c r="J342" s="27" t="s">
        <v>301</v>
      </c>
      <c r="K342" s="27" t="s">
        <v>291</v>
      </c>
      <c r="L342" s="3" t="str">
        <f aca="false">IF(ISNUMBER(SEARCH(" m",I342)),"Range",IF(I342="offline","Offline",IF(I342="","Unknown","No echo / error")))</f>
        <v>Range</v>
      </c>
      <c r="M342" s="3" t="str">
        <f aca="false">IF(ISNUMBER(SEARCH(" m",J342)),"Range",IF(J342="offline","Offline",IF(J342="","Unknown","No echo / error")))</f>
        <v>Range</v>
      </c>
      <c r="N342" s="3" t="str">
        <f aca="false">IF(ISNUMBER(SEARCH(" m",K342)),"Range",IF(K342="offline","Offline",IF(K342="","Unknown","No echo / error")))</f>
        <v>Range</v>
      </c>
      <c r="O342" s="3" t="str">
        <f aca="false">TEXT(B342,"yyyy-mm-dd")</f>
        <v>2026-10-05</v>
      </c>
    </row>
    <row r="343" customFormat="false" ht="15" hidden="false" customHeight="false" outlineLevel="0" collapsed="false">
      <c r="A343" s="27" t="n">
        <v>6</v>
      </c>
      <c r="B343" s="28" t="n">
        <v>46300.1534627083</v>
      </c>
      <c r="C343" s="29" t="n">
        <f aca="false">IF(A344=A343,B344,INDEX(Rounds!$D:$D,MATCH(A343,Rounds!$A:$A,0)))</f>
        <v>46300.1534627083</v>
      </c>
      <c r="D343" s="30" t="n">
        <f aca="false">(B343-INDEX(Rounds!$C:$C,MATCH(A343,Rounds!$A:$A,0)))*86400</f>
        <v>63.013999513</v>
      </c>
      <c r="E343" s="30" t="n">
        <f aca="false">(C343-INDEX(Rounds!$C:$C,MATCH(A343,Rounds!$A:$A,0)))*86400</f>
        <v>63.013999513</v>
      </c>
      <c r="F343" s="31" t="n">
        <f aca="false">(C343-B343)*86400</f>
        <v>0</v>
      </c>
      <c r="G343" s="27" t="s">
        <v>154</v>
      </c>
      <c r="H343" s="27" t="s">
        <v>324</v>
      </c>
      <c r="I343" s="27" t="s">
        <v>392</v>
      </c>
      <c r="J343" s="27" t="s">
        <v>301</v>
      </c>
      <c r="K343" s="27" t="s">
        <v>291</v>
      </c>
      <c r="L343" s="3" t="str">
        <f aca="false">IF(ISNUMBER(SEARCH(" m",I343)),"Range",IF(I343="offline","Offline",IF(I343="","Unknown","No echo / error")))</f>
        <v>Range</v>
      </c>
      <c r="M343" s="3" t="str">
        <f aca="false">IF(ISNUMBER(SEARCH(" m",J343)),"Range",IF(J343="offline","Offline",IF(J343="","Unknown","No echo / error")))</f>
        <v>Range</v>
      </c>
      <c r="N343" s="3" t="str">
        <f aca="false">IF(ISNUMBER(SEARCH(" m",K343)),"Range",IF(K343="offline","Offline",IF(K343="","Unknown","No echo / error")))</f>
        <v>Range</v>
      </c>
      <c r="O343" s="3" t="str">
        <f aca="false">TEXT(B343,"yyyy-mm-dd")</f>
        <v>2026-10-05</v>
      </c>
    </row>
    <row r="344" customFormat="false" ht="15" hidden="false" customHeight="false" outlineLevel="0" collapsed="false">
      <c r="A344" s="27" t="n">
        <v>7</v>
      </c>
      <c r="B344" s="28" t="n">
        <v>46300.1537463542</v>
      </c>
      <c r="C344" s="29" t="n">
        <f aca="false">IF(A345=A344,B345,INDEX(Rounds!$D:$D,MATCH(A344,Rounds!$A:$A,0)))</f>
        <v>46300.1537463542</v>
      </c>
      <c r="D344" s="30" t="n">
        <f aca="false">(B344-INDEX(Rounds!$C:$C,MATCH(A344,Rounds!$A:$A,0)))*86400</f>
        <v>0</v>
      </c>
      <c r="E344" s="30" t="n">
        <f aca="false">(C344-INDEX(Rounds!$C:$C,MATCH(A344,Rounds!$A:$A,0)))*86400</f>
        <v>0</v>
      </c>
      <c r="F344" s="31" t="n">
        <f aca="false">(C344-B344)*86400</f>
        <v>0</v>
      </c>
      <c r="G344" s="27" t="s">
        <v>153</v>
      </c>
      <c r="H344" s="27" t="s">
        <v>324</v>
      </c>
      <c r="I344" s="27" t="s">
        <v>392</v>
      </c>
      <c r="J344" s="27" t="s">
        <v>301</v>
      </c>
      <c r="K344" s="27" t="s">
        <v>291</v>
      </c>
      <c r="L344" s="3" t="str">
        <f aca="false">IF(ISNUMBER(SEARCH(" m",I344)),"Range",IF(I344="offline","Offline",IF(I344="","Unknown","No echo / error")))</f>
        <v>Range</v>
      </c>
      <c r="M344" s="3" t="str">
        <f aca="false">IF(ISNUMBER(SEARCH(" m",J344)),"Range",IF(J344="offline","Offline",IF(J344="","Unknown","No echo / error")))</f>
        <v>Range</v>
      </c>
      <c r="N344" s="3" t="str">
        <f aca="false">IF(ISNUMBER(SEARCH(" m",K344)),"Range",IF(K344="offline","Offline",IF(K344="","Unknown","No echo / error")))</f>
        <v>Range</v>
      </c>
      <c r="O344" s="3" t="str">
        <f aca="false">TEXT(B344,"yyyy-mm-dd")</f>
        <v>2026-10-05</v>
      </c>
    </row>
    <row r="345" customFormat="false" ht="15" hidden="false" customHeight="false" outlineLevel="0" collapsed="false">
      <c r="A345" s="27" t="n">
        <v>7</v>
      </c>
      <c r="B345" s="28" t="n">
        <v>46300.1537463542</v>
      </c>
      <c r="C345" s="29" t="n">
        <f aca="false">IF(A346=A345,B346,INDEX(Rounds!$D:$D,MATCH(A345,Rounds!$A:$A,0)))</f>
        <v>46300.1537463542</v>
      </c>
      <c r="D345" s="30" t="n">
        <f aca="false">(B345-INDEX(Rounds!$C:$C,MATCH(A345,Rounds!$A:$A,0)))*86400</f>
        <v>0</v>
      </c>
      <c r="E345" s="30" t="n">
        <f aca="false">(C345-INDEX(Rounds!$C:$C,MATCH(A345,Rounds!$A:$A,0)))*86400</f>
        <v>0</v>
      </c>
      <c r="F345" s="31" t="n">
        <f aca="false">(C345-B345)*86400</f>
        <v>0</v>
      </c>
      <c r="G345" s="27" t="s">
        <v>153</v>
      </c>
      <c r="H345" s="27" t="s">
        <v>324</v>
      </c>
      <c r="I345" s="27" t="s">
        <v>392</v>
      </c>
      <c r="J345" s="27" t="s">
        <v>301</v>
      </c>
      <c r="K345" s="27" t="s">
        <v>291</v>
      </c>
      <c r="L345" s="3" t="str">
        <f aca="false">IF(ISNUMBER(SEARCH(" m",I345)),"Range",IF(I345="offline","Offline",IF(I345="","Unknown","No echo / error")))</f>
        <v>Range</v>
      </c>
      <c r="M345" s="3" t="str">
        <f aca="false">IF(ISNUMBER(SEARCH(" m",J345)),"Range",IF(J345="offline","Offline",IF(J345="","Unknown","No echo / error")))</f>
        <v>Range</v>
      </c>
      <c r="N345" s="3" t="str">
        <f aca="false">IF(ISNUMBER(SEARCH(" m",K345)),"Range",IF(K345="offline","Offline",IF(K345="","Unknown","No echo / error")))</f>
        <v>Range</v>
      </c>
      <c r="O345" s="3" t="str">
        <f aca="false">TEXT(B345,"yyyy-mm-dd")</f>
        <v>2026-10-05</v>
      </c>
    </row>
    <row r="346" customFormat="false" ht="15" hidden="false" customHeight="false" outlineLevel="0" collapsed="false">
      <c r="A346" s="27" t="n">
        <v>7</v>
      </c>
      <c r="B346" s="28" t="n">
        <v>46300.1537463542</v>
      </c>
      <c r="C346" s="29" t="n">
        <f aca="false">IF(A347=A346,B347,INDEX(Rounds!$D:$D,MATCH(A346,Rounds!$A:$A,0)))</f>
        <v>46300.1537541667</v>
      </c>
      <c r="D346" s="30" t="n">
        <f aca="false">(B346-INDEX(Rounds!$C:$C,MATCH(A346,Rounds!$A:$A,0)))*86400</f>
        <v>0</v>
      </c>
      <c r="E346" s="30" t="n">
        <f aca="false">(C346-INDEX(Rounds!$C:$C,MATCH(A346,Rounds!$A:$A,0)))*86400</f>
        <v>0.67500011</v>
      </c>
      <c r="F346" s="31" t="n">
        <f aca="false">(C346-B346)*86400</f>
        <v>0.67500011</v>
      </c>
      <c r="G346" s="27" t="s">
        <v>152</v>
      </c>
      <c r="H346" s="27" t="s">
        <v>199</v>
      </c>
      <c r="I346" s="27" t="s">
        <v>329</v>
      </c>
      <c r="J346" s="27" t="s">
        <v>281</v>
      </c>
      <c r="K346" s="27" t="s">
        <v>274</v>
      </c>
      <c r="L346" s="3" t="str">
        <f aca="false">IF(ISNUMBER(SEARCH(" m",I346)),"Range",IF(I346="offline","Offline",IF(I346="","Unknown","No echo / error")))</f>
        <v>Range</v>
      </c>
      <c r="M346" s="3" t="str">
        <f aca="false">IF(ISNUMBER(SEARCH(" m",J346)),"Range",IF(J346="offline","Offline",IF(J346="","Unknown","No echo / error")))</f>
        <v>Range</v>
      </c>
      <c r="N346" s="3" t="str">
        <f aca="false">IF(ISNUMBER(SEARCH(" m",K346)),"Range",IF(K346="offline","Offline",IF(K346="","Unknown","No echo / error")))</f>
        <v>Range</v>
      </c>
      <c r="O346" s="3" t="str">
        <f aca="false">TEXT(B346,"yyyy-mm-dd")</f>
        <v>2026-10-05</v>
      </c>
    </row>
    <row r="347" customFormat="false" ht="15" hidden="false" customHeight="false" outlineLevel="0" collapsed="false">
      <c r="A347" s="27" t="n">
        <v>7</v>
      </c>
      <c r="B347" s="28" t="n">
        <v>46300.1537541667</v>
      </c>
      <c r="C347" s="29" t="n">
        <f aca="false">IF(A348=A347,B348,INDEX(Rounds!$D:$D,MATCH(A347,Rounds!$A:$A,0)))</f>
        <v>46300.153759919</v>
      </c>
      <c r="D347" s="30" t="n">
        <f aca="false">(B347-INDEX(Rounds!$C:$C,MATCH(A347,Rounds!$A:$A,0)))*86400</f>
        <v>0.67500011</v>
      </c>
      <c r="E347" s="30" t="n">
        <f aca="false">(C347-INDEX(Rounds!$C:$C,MATCH(A347,Rounds!$A:$A,0)))*86400</f>
        <v>1.17200003</v>
      </c>
      <c r="F347" s="31" t="n">
        <f aca="false">(C347-B347)*86400</f>
        <v>0.496999919</v>
      </c>
      <c r="G347" s="27" t="s">
        <v>151</v>
      </c>
      <c r="H347" s="27" t="s">
        <v>203</v>
      </c>
      <c r="I347" s="27" t="s">
        <v>204</v>
      </c>
      <c r="J347" s="27" t="s">
        <v>312</v>
      </c>
      <c r="K347" s="27" t="s">
        <v>204</v>
      </c>
      <c r="L347" s="3" t="str">
        <f aca="false">IF(ISNUMBER(SEARCH(" m",I347)),"Range",IF(I347="offline","Offline",IF(I347="","Unknown","No echo / error")))</f>
        <v>No echo / error</v>
      </c>
      <c r="M347" s="3" t="str">
        <f aca="false">IF(ISNUMBER(SEARCH(" m",J347)),"Range",IF(J347="offline","Offline",IF(J347="","Unknown","No echo / error")))</f>
        <v>Range</v>
      </c>
      <c r="N347" s="3" t="str">
        <f aca="false">IF(ISNUMBER(SEARCH(" m",K347)),"Range",IF(K347="offline","Offline",IF(K347="","Unknown","No echo / error")))</f>
        <v>No echo / error</v>
      </c>
      <c r="O347" s="3" t="str">
        <f aca="false">TEXT(B347,"yyyy-mm-dd")</f>
        <v>2026-10-05</v>
      </c>
    </row>
    <row r="348" customFormat="false" ht="15" hidden="false" customHeight="false" outlineLevel="0" collapsed="false">
      <c r="A348" s="27" t="n">
        <v>7</v>
      </c>
      <c r="B348" s="28" t="n">
        <v>46300.153759919</v>
      </c>
      <c r="C348" s="29" t="n">
        <f aca="false">IF(A349=A348,B349,INDEX(Rounds!$D:$D,MATCH(A348,Rounds!$A:$A,0)))</f>
        <v>46300.1537638079</v>
      </c>
      <c r="D348" s="30" t="n">
        <f aca="false">(B348-INDEX(Rounds!$C:$C,MATCH(A348,Rounds!$A:$A,0)))*86400</f>
        <v>1.17200003</v>
      </c>
      <c r="E348" s="30" t="n">
        <f aca="false">(C348-INDEX(Rounds!$C:$C,MATCH(A348,Rounds!$A:$A,0)))*86400</f>
        <v>1.508000143</v>
      </c>
      <c r="F348" s="31" t="n">
        <f aca="false">(C348-B348)*86400</f>
        <v>0.336000113</v>
      </c>
      <c r="G348" s="27" t="s">
        <v>152</v>
      </c>
      <c r="H348" s="27" t="s">
        <v>208</v>
      </c>
      <c r="I348" s="27" t="s">
        <v>204</v>
      </c>
      <c r="J348" s="27" t="s">
        <v>404</v>
      </c>
      <c r="K348" s="27" t="s">
        <v>204</v>
      </c>
      <c r="L348" s="3" t="str">
        <f aca="false">IF(ISNUMBER(SEARCH(" m",I348)),"Range",IF(I348="offline","Offline",IF(I348="","Unknown","No echo / error")))</f>
        <v>No echo / error</v>
      </c>
      <c r="M348" s="3" t="str">
        <f aca="false">IF(ISNUMBER(SEARCH(" m",J348)),"Range",IF(J348="offline","Offline",IF(J348="","Unknown","No echo / error")))</f>
        <v>Range</v>
      </c>
      <c r="N348" s="3" t="str">
        <f aca="false">IF(ISNUMBER(SEARCH(" m",K348)),"Range",IF(K348="offline","Offline",IF(K348="","Unknown","No echo / error")))</f>
        <v>No echo / error</v>
      </c>
      <c r="O348" s="3" t="str">
        <f aca="false">TEXT(B348,"yyyy-mm-dd")</f>
        <v>2026-10-05</v>
      </c>
    </row>
    <row r="349" customFormat="false" ht="15" hidden="false" customHeight="false" outlineLevel="0" collapsed="false">
      <c r="A349" s="27" t="n">
        <v>7</v>
      </c>
      <c r="B349" s="28" t="n">
        <v>46300.1537638079</v>
      </c>
      <c r="C349" s="29" t="n">
        <f aca="false">IF(A350=A349,B350,INDEX(Rounds!$D:$D,MATCH(A349,Rounds!$A:$A,0)))</f>
        <v>46300.1537664236</v>
      </c>
      <c r="D349" s="30" t="n">
        <f aca="false">(B349-INDEX(Rounds!$C:$C,MATCH(A349,Rounds!$A:$A,0)))*86400</f>
        <v>1.508000143</v>
      </c>
      <c r="E349" s="30" t="n">
        <f aca="false">(C349-INDEX(Rounds!$C:$C,MATCH(A349,Rounds!$A:$A,0)))*86400</f>
        <v>1.733999722</v>
      </c>
      <c r="F349" s="31" t="n">
        <f aca="false">(C349-B349)*86400</f>
        <v>0.225999578</v>
      </c>
      <c r="G349" s="27" t="s">
        <v>151</v>
      </c>
      <c r="H349" s="27" t="s">
        <v>203</v>
      </c>
      <c r="I349" s="27" t="s">
        <v>267</v>
      </c>
      <c r="J349" s="27" t="s">
        <v>277</v>
      </c>
      <c r="K349" s="27" t="s">
        <v>204</v>
      </c>
      <c r="L349" s="3" t="str">
        <f aca="false">IF(ISNUMBER(SEARCH(" m",I349)),"Range",IF(I349="offline","Offline",IF(I349="","Unknown","No echo / error")))</f>
        <v>Range</v>
      </c>
      <c r="M349" s="3" t="str">
        <f aca="false">IF(ISNUMBER(SEARCH(" m",J349)),"Range",IF(J349="offline","Offline",IF(J349="","Unknown","No echo / error")))</f>
        <v>Range</v>
      </c>
      <c r="N349" s="3" t="str">
        <f aca="false">IF(ISNUMBER(SEARCH(" m",K349)),"Range",IF(K349="offline","Offline",IF(K349="","Unknown","No echo / error")))</f>
        <v>No echo / error</v>
      </c>
      <c r="O349" s="3" t="str">
        <f aca="false">TEXT(B349,"yyyy-mm-dd")</f>
        <v>2026-10-05</v>
      </c>
    </row>
    <row r="350" customFormat="false" ht="15" hidden="false" customHeight="false" outlineLevel="0" collapsed="false">
      <c r="A350" s="27" t="n">
        <v>7</v>
      </c>
      <c r="B350" s="28" t="n">
        <v>46300.1537664236</v>
      </c>
      <c r="C350" s="29" t="n">
        <f aca="false">IF(A351=A350,B351,INDEX(Rounds!$D:$D,MATCH(A350,Rounds!$A:$A,0)))</f>
        <v>46300.1538675695</v>
      </c>
      <c r="D350" s="30" t="n">
        <f aca="false">(B350-INDEX(Rounds!$C:$C,MATCH(A350,Rounds!$A:$A,0)))*86400</f>
        <v>1.733999722</v>
      </c>
      <c r="E350" s="30" t="n">
        <f aca="false">(C350-INDEX(Rounds!$C:$C,MATCH(A350,Rounds!$A:$A,0)))*86400</f>
        <v>10.473000048</v>
      </c>
      <c r="F350" s="31" t="n">
        <f aca="false">(C350-B350)*86400</f>
        <v>8.739000326</v>
      </c>
      <c r="G350" s="27" t="s">
        <v>150</v>
      </c>
      <c r="H350" s="27" t="s">
        <v>206</v>
      </c>
      <c r="I350" s="27" t="s">
        <v>405</v>
      </c>
      <c r="J350" s="27" t="s">
        <v>277</v>
      </c>
      <c r="K350" s="27" t="s">
        <v>222</v>
      </c>
      <c r="L350" s="3" t="str">
        <f aca="false">IF(ISNUMBER(SEARCH(" m",I350)),"Range",IF(I350="offline","Offline",IF(I350="","Unknown","No echo / error")))</f>
        <v>Range</v>
      </c>
      <c r="M350" s="3" t="str">
        <f aca="false">IF(ISNUMBER(SEARCH(" m",J350)),"Range",IF(J350="offline","Offline",IF(J350="","Unknown","No echo / error")))</f>
        <v>Range</v>
      </c>
      <c r="N350" s="3" t="str">
        <f aca="false">IF(ISNUMBER(SEARCH(" m",K350)),"Range",IF(K350="offline","Offline",IF(K350="","Unknown","No echo / error")))</f>
        <v>Range</v>
      </c>
      <c r="O350" s="3" t="str">
        <f aca="false">TEXT(B350,"yyyy-mm-dd")</f>
        <v>2026-10-05</v>
      </c>
    </row>
    <row r="351" customFormat="false" ht="15" hidden="false" customHeight="false" outlineLevel="0" collapsed="false">
      <c r="A351" s="27" t="n">
        <v>7</v>
      </c>
      <c r="B351" s="28" t="n">
        <v>46300.1538675695</v>
      </c>
      <c r="C351" s="29" t="n">
        <f aca="false">IF(A352=A351,B352,INDEX(Rounds!$D:$D,MATCH(A351,Rounds!$A:$A,0)))</f>
        <v>46300.1538738889</v>
      </c>
      <c r="D351" s="30" t="n">
        <f aca="false">(B351-INDEX(Rounds!$C:$C,MATCH(A351,Rounds!$A:$A,0)))*86400</f>
        <v>10.473000048</v>
      </c>
      <c r="E351" s="30" t="n">
        <f aca="false">(C351-INDEX(Rounds!$C:$C,MATCH(A351,Rounds!$A:$A,0)))*86400</f>
        <v>11.019000154</v>
      </c>
      <c r="F351" s="31" t="n">
        <f aca="false">(C351-B351)*86400</f>
        <v>0.546000106</v>
      </c>
      <c r="G351" s="27" t="s">
        <v>152</v>
      </c>
      <c r="H351" s="27" t="s">
        <v>208</v>
      </c>
      <c r="I351" s="27" t="s">
        <v>406</v>
      </c>
      <c r="J351" s="27" t="s">
        <v>282</v>
      </c>
      <c r="K351" s="27" t="s">
        <v>259</v>
      </c>
      <c r="L351" s="3" t="str">
        <f aca="false">IF(ISNUMBER(SEARCH(" m",I351)),"Range",IF(I351="offline","Offline",IF(I351="","Unknown","No echo / error")))</f>
        <v>Range</v>
      </c>
      <c r="M351" s="3" t="str">
        <f aca="false">IF(ISNUMBER(SEARCH(" m",J351)),"Range",IF(J351="offline","Offline",IF(J351="","Unknown","No echo / error")))</f>
        <v>Range</v>
      </c>
      <c r="N351" s="3" t="str">
        <f aca="false">IF(ISNUMBER(SEARCH(" m",K351)),"Range",IF(K351="offline","Offline",IF(K351="","Unknown","No echo / error")))</f>
        <v>Range</v>
      </c>
      <c r="O351" s="3" t="str">
        <f aca="false">TEXT(B351,"yyyy-mm-dd")</f>
        <v>2026-10-05</v>
      </c>
    </row>
    <row r="352" customFormat="false" ht="15" hidden="false" customHeight="false" outlineLevel="0" collapsed="false">
      <c r="A352" s="27" t="n">
        <v>7</v>
      </c>
      <c r="B352" s="28" t="n">
        <v>46300.1538738889</v>
      </c>
      <c r="C352" s="29" t="n">
        <f aca="false">IF(A353=A352,B353,INDEX(Rounds!$D:$D,MATCH(A352,Rounds!$A:$A,0)))</f>
        <v>46300.1538781713</v>
      </c>
      <c r="D352" s="30" t="n">
        <f aca="false">(B352-INDEX(Rounds!$C:$C,MATCH(A352,Rounds!$A:$A,0)))*86400</f>
        <v>11.019000154</v>
      </c>
      <c r="E352" s="30" t="n">
        <f aca="false">(C352-INDEX(Rounds!$C:$C,MATCH(A352,Rounds!$A:$A,0)))*86400</f>
        <v>11.389000411</v>
      </c>
      <c r="F352" s="31" t="n">
        <f aca="false">(C352-B352)*86400</f>
        <v>0.370000256</v>
      </c>
      <c r="G352" s="27" t="s">
        <v>151</v>
      </c>
      <c r="H352" s="27" t="s">
        <v>203</v>
      </c>
      <c r="I352" s="27" t="s">
        <v>406</v>
      </c>
      <c r="J352" s="27" t="s">
        <v>211</v>
      </c>
      <c r="K352" s="27" t="s">
        <v>241</v>
      </c>
      <c r="L352" s="3" t="str">
        <f aca="false">IF(ISNUMBER(SEARCH(" m",I352)),"Range",IF(I352="offline","Offline",IF(I352="","Unknown","No echo / error")))</f>
        <v>Range</v>
      </c>
      <c r="M352" s="3" t="str">
        <f aca="false">IF(ISNUMBER(SEARCH(" m",J352)),"Range",IF(J352="offline","Offline",IF(J352="","Unknown","No echo / error")))</f>
        <v>No echo / error</v>
      </c>
      <c r="N352" s="3" t="str">
        <f aca="false">IF(ISNUMBER(SEARCH(" m",K352)),"Range",IF(K352="offline","Offline",IF(K352="","Unknown","No echo / error")))</f>
        <v>Range</v>
      </c>
      <c r="O352" s="3" t="str">
        <f aca="false">TEXT(B352,"yyyy-mm-dd")</f>
        <v>2026-10-05</v>
      </c>
    </row>
    <row r="353" customFormat="false" ht="15" hidden="false" customHeight="false" outlineLevel="0" collapsed="false">
      <c r="A353" s="27" t="n">
        <v>7</v>
      </c>
      <c r="B353" s="28" t="n">
        <v>46300.1538781713</v>
      </c>
      <c r="C353" s="29" t="n">
        <f aca="false">IF(A354=A353,B354,INDEX(Rounds!$D:$D,MATCH(A353,Rounds!$A:$A,0)))</f>
        <v>46300.1538818634</v>
      </c>
      <c r="D353" s="30" t="n">
        <f aca="false">(B353-INDEX(Rounds!$C:$C,MATCH(A353,Rounds!$A:$A,0)))*86400</f>
        <v>11.389000411</v>
      </c>
      <c r="E353" s="30" t="n">
        <f aca="false">(C353-INDEX(Rounds!$C:$C,MATCH(A353,Rounds!$A:$A,0)))*86400</f>
        <v>11.708000139</v>
      </c>
      <c r="F353" s="31" t="n">
        <f aca="false">(C353-B353)*86400</f>
        <v>0.318999728</v>
      </c>
      <c r="G353" s="27" t="s">
        <v>150</v>
      </c>
      <c r="H353" s="27" t="s">
        <v>206</v>
      </c>
      <c r="I353" s="27" t="s">
        <v>299</v>
      </c>
      <c r="J353" s="27" t="s">
        <v>204</v>
      </c>
      <c r="K353" s="27" t="s">
        <v>241</v>
      </c>
      <c r="L353" s="3" t="str">
        <f aca="false">IF(ISNUMBER(SEARCH(" m",I353)),"Range",IF(I353="offline","Offline",IF(I353="","Unknown","No echo / error")))</f>
        <v>Range</v>
      </c>
      <c r="M353" s="3" t="str">
        <f aca="false">IF(ISNUMBER(SEARCH(" m",J353)),"Range",IF(J353="offline","Offline",IF(J353="","Unknown","No echo / error")))</f>
        <v>No echo / error</v>
      </c>
      <c r="N353" s="3" t="str">
        <f aca="false">IF(ISNUMBER(SEARCH(" m",K353)),"Range",IF(K353="offline","Offline",IF(K353="","Unknown","No echo / error")))</f>
        <v>Range</v>
      </c>
      <c r="O353" s="3" t="str">
        <f aca="false">TEXT(B353,"yyyy-mm-dd")</f>
        <v>2026-10-05</v>
      </c>
    </row>
    <row r="354" customFormat="false" ht="15" hidden="false" customHeight="false" outlineLevel="0" collapsed="false">
      <c r="A354" s="27" t="n">
        <v>7</v>
      </c>
      <c r="B354" s="28" t="n">
        <v>46300.1538818634</v>
      </c>
      <c r="C354" s="29" t="n">
        <f aca="false">IF(A355=A354,B355,INDEX(Rounds!$D:$D,MATCH(A354,Rounds!$A:$A,0)))</f>
        <v>46300.1538852431</v>
      </c>
      <c r="D354" s="30" t="n">
        <f aca="false">(B354-INDEX(Rounds!$C:$C,MATCH(A354,Rounds!$A:$A,0)))*86400</f>
        <v>11.708000139</v>
      </c>
      <c r="E354" s="30" t="n">
        <f aca="false">(C354-INDEX(Rounds!$C:$C,MATCH(A354,Rounds!$A:$A,0)))*86400</f>
        <v>12</v>
      </c>
      <c r="F354" s="31" t="n">
        <f aca="false">(C354-B354)*86400</f>
        <v>0.291999522</v>
      </c>
      <c r="G354" s="27" t="s">
        <v>151</v>
      </c>
      <c r="H354" s="27" t="s">
        <v>203</v>
      </c>
      <c r="I354" s="27" t="s">
        <v>218</v>
      </c>
      <c r="J354" s="27" t="s">
        <v>204</v>
      </c>
      <c r="K354" s="27" t="s">
        <v>213</v>
      </c>
      <c r="L354" s="3" t="str">
        <f aca="false">IF(ISNUMBER(SEARCH(" m",I354)),"Range",IF(I354="offline","Offline",IF(I354="","Unknown","No echo / error")))</f>
        <v>Range</v>
      </c>
      <c r="M354" s="3" t="str">
        <f aca="false">IF(ISNUMBER(SEARCH(" m",J354)),"Range",IF(J354="offline","Offline",IF(J354="","Unknown","No echo / error")))</f>
        <v>No echo / error</v>
      </c>
      <c r="N354" s="3" t="str">
        <f aca="false">IF(ISNUMBER(SEARCH(" m",K354)),"Range",IF(K354="offline","Offline",IF(K354="","Unknown","No echo / error")))</f>
        <v>Range</v>
      </c>
      <c r="O354" s="3" t="str">
        <f aca="false">TEXT(B354,"yyyy-mm-dd")</f>
        <v>2026-10-05</v>
      </c>
    </row>
    <row r="355" customFormat="false" ht="15" hidden="false" customHeight="false" outlineLevel="0" collapsed="false">
      <c r="A355" s="27" t="n">
        <v>7</v>
      </c>
      <c r="B355" s="28" t="n">
        <v>46300.1538852431</v>
      </c>
      <c r="C355" s="29" t="n">
        <f aca="false">IF(A356=A355,B356,INDEX(Rounds!$D:$D,MATCH(A355,Rounds!$A:$A,0)))</f>
        <v>46300.1539104398</v>
      </c>
      <c r="D355" s="30" t="n">
        <f aca="false">(B355-INDEX(Rounds!$C:$C,MATCH(A355,Rounds!$A:$A,0)))*86400</f>
        <v>12</v>
      </c>
      <c r="E355" s="30" t="n">
        <f aca="false">(C355-INDEX(Rounds!$C:$C,MATCH(A355,Rounds!$A:$A,0)))*86400</f>
        <v>14.17700015</v>
      </c>
      <c r="F355" s="31" t="n">
        <f aca="false">(C355-B355)*86400</f>
        <v>2.177000488</v>
      </c>
      <c r="G355" s="27" t="s">
        <v>150</v>
      </c>
      <c r="H355" s="27" t="s">
        <v>206</v>
      </c>
      <c r="I355" s="27" t="s">
        <v>218</v>
      </c>
      <c r="J355" s="27" t="s">
        <v>360</v>
      </c>
      <c r="K355" s="27" t="s">
        <v>281</v>
      </c>
      <c r="L355" s="3" t="str">
        <f aca="false">IF(ISNUMBER(SEARCH(" m",I355)),"Range",IF(I355="offline","Offline",IF(I355="","Unknown","No echo / error")))</f>
        <v>Range</v>
      </c>
      <c r="M355" s="3" t="str">
        <f aca="false">IF(ISNUMBER(SEARCH(" m",J355)),"Range",IF(J355="offline","Offline",IF(J355="","Unknown","No echo / error")))</f>
        <v>Range</v>
      </c>
      <c r="N355" s="3" t="str">
        <f aca="false">IF(ISNUMBER(SEARCH(" m",K355)),"Range",IF(K355="offline","Offline",IF(K355="","Unknown","No echo / error")))</f>
        <v>Range</v>
      </c>
      <c r="O355" s="3" t="str">
        <f aca="false">TEXT(B355,"yyyy-mm-dd")</f>
        <v>2026-10-05</v>
      </c>
    </row>
    <row r="356" customFormat="false" ht="15" hidden="false" customHeight="false" outlineLevel="0" collapsed="false">
      <c r="A356" s="27" t="n">
        <v>7</v>
      </c>
      <c r="B356" s="28" t="n">
        <v>46300.1539104398</v>
      </c>
      <c r="C356" s="29" t="n">
        <f aca="false">IF(A357=A356,B357,INDEX(Rounds!$D:$D,MATCH(A356,Rounds!$A:$A,0)))</f>
        <v>46300.1539178819</v>
      </c>
      <c r="D356" s="30" t="n">
        <f aca="false">(B356-INDEX(Rounds!$C:$C,MATCH(A356,Rounds!$A:$A,0)))*86400</f>
        <v>14.17700015</v>
      </c>
      <c r="E356" s="30" t="n">
        <f aca="false">(C356-INDEX(Rounds!$C:$C,MATCH(A356,Rounds!$A:$A,0)))*86400</f>
        <v>14.819999202</v>
      </c>
      <c r="F356" s="31" t="n">
        <f aca="false">(C356-B356)*86400</f>
        <v>0.642999052</v>
      </c>
      <c r="G356" s="27" t="s">
        <v>152</v>
      </c>
      <c r="H356" s="27" t="s">
        <v>208</v>
      </c>
      <c r="I356" s="27" t="s">
        <v>407</v>
      </c>
      <c r="J356" s="27" t="s">
        <v>211</v>
      </c>
      <c r="K356" s="27" t="s">
        <v>351</v>
      </c>
      <c r="L356" s="3" t="str">
        <f aca="false">IF(ISNUMBER(SEARCH(" m",I356)),"Range",IF(I356="offline","Offline",IF(I356="","Unknown","No echo / error")))</f>
        <v>Range</v>
      </c>
      <c r="M356" s="3" t="str">
        <f aca="false">IF(ISNUMBER(SEARCH(" m",J356)),"Range",IF(J356="offline","Offline",IF(J356="","Unknown","No echo / error")))</f>
        <v>No echo / error</v>
      </c>
      <c r="N356" s="3" t="str">
        <f aca="false">IF(ISNUMBER(SEARCH(" m",K356)),"Range",IF(K356="offline","Offline",IF(K356="","Unknown","No echo / error")))</f>
        <v>Range</v>
      </c>
      <c r="O356" s="3" t="str">
        <f aca="false">TEXT(B356,"yyyy-mm-dd")</f>
        <v>2026-10-05</v>
      </c>
    </row>
    <row r="357" customFormat="false" ht="15" hidden="false" customHeight="false" outlineLevel="0" collapsed="false">
      <c r="A357" s="27" t="n">
        <v>7</v>
      </c>
      <c r="B357" s="28" t="n">
        <v>46300.1539178819</v>
      </c>
      <c r="C357" s="29" t="n">
        <f aca="false">IF(A358=A357,B358,INDEX(Rounds!$D:$D,MATCH(A357,Rounds!$A:$A,0)))</f>
        <v>46300.1539234722</v>
      </c>
      <c r="D357" s="30" t="n">
        <f aca="false">(B357-INDEX(Rounds!$C:$C,MATCH(A357,Rounds!$A:$A,0)))*86400</f>
        <v>14.819999202</v>
      </c>
      <c r="E357" s="30" t="n">
        <f aca="false">(C357-INDEX(Rounds!$C:$C,MATCH(A357,Rounds!$A:$A,0)))*86400</f>
        <v>15.302999876</v>
      </c>
      <c r="F357" s="31" t="n">
        <f aca="false">(C357-B357)*86400</f>
        <v>0.483000674</v>
      </c>
      <c r="G357" s="27" t="s">
        <v>151</v>
      </c>
      <c r="H357" s="27" t="s">
        <v>203</v>
      </c>
      <c r="I357" s="27" t="s">
        <v>342</v>
      </c>
      <c r="J357" s="27" t="s">
        <v>211</v>
      </c>
      <c r="K357" s="27" t="s">
        <v>351</v>
      </c>
      <c r="L357" s="3" t="str">
        <f aca="false">IF(ISNUMBER(SEARCH(" m",I357)),"Range",IF(I357="offline","Offline",IF(I357="","Unknown","No echo / error")))</f>
        <v>Range</v>
      </c>
      <c r="M357" s="3" t="str">
        <f aca="false">IF(ISNUMBER(SEARCH(" m",J357)),"Range",IF(J357="offline","Offline",IF(J357="","Unknown","No echo / error")))</f>
        <v>No echo / error</v>
      </c>
      <c r="N357" s="3" t="str">
        <f aca="false">IF(ISNUMBER(SEARCH(" m",K357)),"Range",IF(K357="offline","Offline",IF(K357="","Unknown","No echo / error")))</f>
        <v>Range</v>
      </c>
      <c r="O357" s="3" t="str">
        <f aca="false">TEXT(B357,"yyyy-mm-dd")</f>
        <v>2026-10-05</v>
      </c>
    </row>
    <row r="358" customFormat="false" ht="15" hidden="false" customHeight="false" outlineLevel="0" collapsed="false">
      <c r="A358" s="27" t="n">
        <v>7</v>
      </c>
      <c r="B358" s="28" t="n">
        <v>46300.1539234722</v>
      </c>
      <c r="C358" s="29" t="n">
        <f aca="false">IF(A359=A358,B359,INDEX(Rounds!$D:$D,MATCH(A358,Rounds!$A:$A,0)))</f>
        <v>46300.1539934144</v>
      </c>
      <c r="D358" s="30" t="n">
        <f aca="false">(B358-INDEX(Rounds!$C:$C,MATCH(A358,Rounds!$A:$A,0)))*86400</f>
        <v>15.302999876</v>
      </c>
      <c r="E358" s="30" t="n">
        <f aca="false">(C358-INDEX(Rounds!$C:$C,MATCH(A358,Rounds!$A:$A,0)))*86400</f>
        <v>21.345999813</v>
      </c>
      <c r="F358" s="31" t="n">
        <f aca="false">(C358-B358)*86400</f>
        <v>6.042999937</v>
      </c>
      <c r="G358" s="27" t="s">
        <v>150</v>
      </c>
      <c r="H358" s="27" t="s">
        <v>206</v>
      </c>
      <c r="I358" s="27" t="s">
        <v>204</v>
      </c>
      <c r="J358" s="27" t="s">
        <v>211</v>
      </c>
      <c r="K358" s="27" t="s">
        <v>350</v>
      </c>
      <c r="L358" s="3" t="str">
        <f aca="false">IF(ISNUMBER(SEARCH(" m",I358)),"Range",IF(I358="offline","Offline",IF(I358="","Unknown","No echo / error")))</f>
        <v>No echo / error</v>
      </c>
      <c r="M358" s="3" t="str">
        <f aca="false">IF(ISNUMBER(SEARCH(" m",J358)),"Range",IF(J358="offline","Offline",IF(J358="","Unknown","No echo / error")))</f>
        <v>No echo / error</v>
      </c>
      <c r="N358" s="3" t="str">
        <f aca="false">IF(ISNUMBER(SEARCH(" m",K358)),"Range",IF(K358="offline","Offline",IF(K358="","Unknown","No echo / error")))</f>
        <v>Range</v>
      </c>
      <c r="O358" s="3" t="str">
        <f aca="false">TEXT(B358,"yyyy-mm-dd")</f>
        <v>2026-10-05</v>
      </c>
    </row>
    <row r="359" customFormat="false" ht="15" hidden="false" customHeight="false" outlineLevel="0" collapsed="false">
      <c r="A359" s="27" t="n">
        <v>7</v>
      </c>
      <c r="B359" s="28" t="n">
        <v>46300.1539934144</v>
      </c>
      <c r="C359" s="29" t="n">
        <f aca="false">IF(A360=A359,B360,INDEX(Rounds!$D:$D,MATCH(A359,Rounds!$A:$A,0)))</f>
        <v>46300.1539993519</v>
      </c>
      <c r="D359" s="30" t="n">
        <f aca="false">(B359-INDEX(Rounds!$C:$C,MATCH(A359,Rounds!$A:$A,0)))*86400</f>
        <v>21.345999813</v>
      </c>
      <c r="E359" s="30" t="n">
        <f aca="false">(C359-INDEX(Rounds!$C:$C,MATCH(A359,Rounds!$A:$A,0)))*86400</f>
        <v>21.858999948</v>
      </c>
      <c r="F359" s="31" t="n">
        <f aca="false">(C359-B359)*86400</f>
        <v>0.513000134</v>
      </c>
      <c r="G359" s="27" t="s">
        <v>152</v>
      </c>
      <c r="H359" s="27" t="s">
        <v>208</v>
      </c>
      <c r="I359" s="27" t="s">
        <v>211</v>
      </c>
      <c r="J359" s="27" t="s">
        <v>372</v>
      </c>
      <c r="K359" s="27" t="s">
        <v>397</v>
      </c>
      <c r="L359" s="3" t="str">
        <f aca="false">IF(ISNUMBER(SEARCH(" m",I359)),"Range",IF(I359="offline","Offline",IF(I359="","Unknown","No echo / error")))</f>
        <v>No echo / error</v>
      </c>
      <c r="M359" s="3" t="str">
        <f aca="false">IF(ISNUMBER(SEARCH(" m",J359)),"Range",IF(J359="offline","Offline",IF(J359="","Unknown","No echo / error")))</f>
        <v>Range</v>
      </c>
      <c r="N359" s="3" t="str">
        <f aca="false">IF(ISNUMBER(SEARCH(" m",K359)),"Range",IF(K359="offline","Offline",IF(K359="","Unknown","No echo / error")))</f>
        <v>Range</v>
      </c>
      <c r="O359" s="3" t="str">
        <f aca="false">TEXT(B359,"yyyy-mm-dd")</f>
        <v>2026-10-05</v>
      </c>
    </row>
    <row r="360" customFormat="false" ht="15" hidden="false" customHeight="false" outlineLevel="0" collapsed="false">
      <c r="A360" s="27" t="n">
        <v>7</v>
      </c>
      <c r="B360" s="28" t="n">
        <v>46300.1539993519</v>
      </c>
      <c r="C360" s="29" t="n">
        <f aca="false">IF(A361=A360,B361,INDEX(Rounds!$D:$D,MATCH(A360,Rounds!$A:$A,0)))</f>
        <v>46300.1540003009</v>
      </c>
      <c r="D360" s="30" t="n">
        <f aca="false">(B360-INDEX(Rounds!$C:$C,MATCH(A360,Rounds!$A:$A,0)))*86400</f>
        <v>21.858999948</v>
      </c>
      <c r="E360" s="30" t="n">
        <f aca="false">(C360-INDEX(Rounds!$C:$C,MATCH(A360,Rounds!$A:$A,0)))*86400</f>
        <v>21.941000106</v>
      </c>
      <c r="F360" s="31" t="n">
        <f aca="false">(C360-B360)*86400</f>
        <v>0.082000158</v>
      </c>
      <c r="G360" s="27" t="s">
        <v>151</v>
      </c>
      <c r="H360" s="27" t="s">
        <v>203</v>
      </c>
      <c r="I360" s="27" t="s">
        <v>211</v>
      </c>
      <c r="J360" s="27" t="s">
        <v>346</v>
      </c>
      <c r="K360" s="27" t="s">
        <v>397</v>
      </c>
      <c r="L360" s="3" t="str">
        <f aca="false">IF(ISNUMBER(SEARCH(" m",I360)),"Range",IF(I360="offline","Offline",IF(I360="","Unknown","No echo / error")))</f>
        <v>No echo / error</v>
      </c>
      <c r="M360" s="3" t="str">
        <f aca="false">IF(ISNUMBER(SEARCH(" m",J360)),"Range",IF(J360="offline","Offline",IF(J360="","Unknown","No echo / error")))</f>
        <v>Range</v>
      </c>
      <c r="N360" s="3" t="str">
        <f aca="false">IF(ISNUMBER(SEARCH(" m",K360)),"Range",IF(K360="offline","Offline",IF(K360="","Unknown","No echo / error")))</f>
        <v>Range</v>
      </c>
      <c r="O360" s="3" t="str">
        <f aca="false">TEXT(B360,"yyyy-mm-dd")</f>
        <v>2026-10-05</v>
      </c>
    </row>
    <row r="361" customFormat="false" ht="15" hidden="false" customHeight="false" outlineLevel="0" collapsed="false">
      <c r="A361" s="27" t="n">
        <v>7</v>
      </c>
      <c r="B361" s="28" t="n">
        <v>46300.1540003009</v>
      </c>
      <c r="C361" s="29" t="n">
        <f aca="false">IF(A362=A361,B362,INDEX(Rounds!$D:$D,MATCH(A361,Rounds!$A:$A,0)))</f>
        <v>46300.1540456944</v>
      </c>
      <c r="D361" s="30" t="n">
        <f aca="false">(B361-INDEX(Rounds!$C:$C,MATCH(A361,Rounds!$A:$A,0)))*86400</f>
        <v>21.941000106</v>
      </c>
      <c r="E361" s="30" t="n">
        <f aca="false">(C361-INDEX(Rounds!$C:$C,MATCH(A361,Rounds!$A:$A,0)))*86400</f>
        <v>25.862999679</v>
      </c>
      <c r="F361" s="31" t="n">
        <f aca="false">(C361-B361)*86400</f>
        <v>3.921999572</v>
      </c>
      <c r="G361" s="27" t="s">
        <v>153</v>
      </c>
      <c r="H361" s="27" t="s">
        <v>324</v>
      </c>
      <c r="I361" s="27" t="s">
        <v>382</v>
      </c>
      <c r="J361" s="27" t="s">
        <v>346</v>
      </c>
      <c r="K361" s="27" t="s">
        <v>397</v>
      </c>
      <c r="L361" s="3" t="str">
        <f aca="false">IF(ISNUMBER(SEARCH(" m",I361)),"Range",IF(I361="offline","Offline",IF(I361="","Unknown","No echo / error")))</f>
        <v>Range</v>
      </c>
      <c r="M361" s="3" t="str">
        <f aca="false">IF(ISNUMBER(SEARCH(" m",J361)),"Range",IF(J361="offline","Offline",IF(J361="","Unknown","No echo / error")))</f>
        <v>Range</v>
      </c>
      <c r="N361" s="3" t="str">
        <f aca="false">IF(ISNUMBER(SEARCH(" m",K361)),"Range",IF(K361="offline","Offline",IF(K361="","Unknown","No echo / error")))</f>
        <v>Range</v>
      </c>
      <c r="O361" s="3" t="str">
        <f aca="false">TEXT(B361,"yyyy-mm-dd")</f>
        <v>2026-10-05</v>
      </c>
    </row>
    <row r="362" customFormat="false" ht="15" hidden="false" customHeight="false" outlineLevel="0" collapsed="false">
      <c r="A362" s="27" t="n">
        <v>7</v>
      </c>
      <c r="B362" s="28" t="n">
        <v>46300.1540456944</v>
      </c>
      <c r="C362" s="29" t="n">
        <f aca="false">IF(A363=A362,B363,INDEX(Rounds!$D:$D,MATCH(A362,Rounds!$A:$A,0)))</f>
        <v>46300.1541141204</v>
      </c>
      <c r="D362" s="30" t="n">
        <f aca="false">(B362-INDEX(Rounds!$C:$C,MATCH(A362,Rounds!$A:$A,0)))*86400</f>
        <v>25.862999679</v>
      </c>
      <c r="E362" s="30" t="n">
        <f aca="false">(C362-INDEX(Rounds!$C:$C,MATCH(A362,Rounds!$A:$A,0)))*86400</f>
        <v>31.774999899</v>
      </c>
      <c r="F362" s="31" t="n">
        <f aca="false">(C362-B362)*86400</f>
        <v>5.91200022</v>
      </c>
      <c r="G362" s="27" t="s">
        <v>150</v>
      </c>
      <c r="H362" s="27" t="s">
        <v>206</v>
      </c>
      <c r="I362" s="27" t="s">
        <v>276</v>
      </c>
      <c r="J362" s="27" t="s">
        <v>408</v>
      </c>
      <c r="K362" s="27" t="s">
        <v>213</v>
      </c>
      <c r="L362" s="3" t="str">
        <f aca="false">IF(ISNUMBER(SEARCH(" m",I362)),"Range",IF(I362="offline","Offline",IF(I362="","Unknown","No echo / error")))</f>
        <v>Range</v>
      </c>
      <c r="M362" s="3" t="str">
        <f aca="false">IF(ISNUMBER(SEARCH(" m",J362)),"Range",IF(J362="offline","Offline",IF(J362="","Unknown","No echo / error")))</f>
        <v>Range</v>
      </c>
      <c r="N362" s="3" t="str">
        <f aca="false">IF(ISNUMBER(SEARCH(" m",K362)),"Range",IF(K362="offline","Offline",IF(K362="","Unknown","No echo / error")))</f>
        <v>Range</v>
      </c>
      <c r="O362" s="3" t="str">
        <f aca="false">TEXT(B362,"yyyy-mm-dd")</f>
        <v>2026-10-05</v>
      </c>
    </row>
    <row r="363" customFormat="false" ht="15" hidden="false" customHeight="false" outlineLevel="0" collapsed="false">
      <c r="A363" s="27" t="n">
        <v>7</v>
      </c>
      <c r="B363" s="28" t="n">
        <v>46300.1541141204</v>
      </c>
      <c r="C363" s="29" t="n">
        <f aca="false">IF(A364=A363,B364,INDEX(Rounds!$D:$D,MATCH(A363,Rounds!$A:$A,0)))</f>
        <v>46300.1543482755</v>
      </c>
      <c r="D363" s="30" t="n">
        <f aca="false">(B363-INDEX(Rounds!$C:$C,MATCH(A363,Rounds!$A:$A,0)))*86400</f>
        <v>31.774999899</v>
      </c>
      <c r="E363" s="30" t="n">
        <f aca="false">(C363-INDEX(Rounds!$C:$C,MATCH(A363,Rounds!$A:$A,0)))*86400</f>
        <v>52.005999349</v>
      </c>
      <c r="F363" s="31" t="n">
        <f aca="false">(C363-B363)*86400</f>
        <v>20.230999449</v>
      </c>
      <c r="G363" s="27" t="s">
        <v>153</v>
      </c>
      <c r="H363" s="27" t="s">
        <v>324</v>
      </c>
      <c r="I363" s="27" t="s">
        <v>379</v>
      </c>
      <c r="J363" s="27" t="s">
        <v>409</v>
      </c>
      <c r="K363" s="27" t="s">
        <v>408</v>
      </c>
      <c r="L363" s="3" t="str">
        <f aca="false">IF(ISNUMBER(SEARCH(" m",I363)),"Range",IF(I363="offline","Offline",IF(I363="","Unknown","No echo / error")))</f>
        <v>Range</v>
      </c>
      <c r="M363" s="3" t="str">
        <f aca="false">IF(ISNUMBER(SEARCH(" m",J363)),"Range",IF(J363="offline","Offline",IF(J363="","Unknown","No echo / error")))</f>
        <v>Range</v>
      </c>
      <c r="N363" s="3" t="str">
        <f aca="false">IF(ISNUMBER(SEARCH(" m",K363)),"Range",IF(K363="offline","Offline",IF(K363="","Unknown","No echo / error")))</f>
        <v>Range</v>
      </c>
      <c r="O363" s="3" t="str">
        <f aca="false">TEXT(B363,"yyyy-mm-dd")</f>
        <v>2026-10-05</v>
      </c>
    </row>
    <row r="364" customFormat="false" ht="15" hidden="false" customHeight="false" outlineLevel="0" collapsed="false">
      <c r="A364" s="27" t="n">
        <v>7</v>
      </c>
      <c r="B364" s="28" t="n">
        <v>46300.1543482755</v>
      </c>
      <c r="C364" s="29" t="n">
        <f aca="false">IF(A365=A364,B365,INDEX(Rounds!$D:$D,MATCH(A364,Rounds!$A:$A,0)))</f>
        <v>46300.1543677431</v>
      </c>
      <c r="D364" s="30" t="n">
        <f aca="false">(B364-INDEX(Rounds!$C:$C,MATCH(A364,Rounds!$A:$A,0)))*86400</f>
        <v>52.005999349</v>
      </c>
      <c r="E364" s="30" t="n">
        <f aca="false">(C364-INDEX(Rounds!$C:$C,MATCH(A364,Rounds!$A:$A,0)))*86400</f>
        <v>53.68799963</v>
      </c>
      <c r="F364" s="31" t="n">
        <f aca="false">(C364-B364)*86400</f>
        <v>1.682000281</v>
      </c>
      <c r="G364" s="27" t="s">
        <v>154</v>
      </c>
      <c r="H364" s="27" t="s">
        <v>324</v>
      </c>
      <c r="I364" s="27" t="s">
        <v>382</v>
      </c>
      <c r="J364" s="27" t="s">
        <v>409</v>
      </c>
      <c r="K364" s="27" t="s">
        <v>410</v>
      </c>
      <c r="L364" s="3" t="str">
        <f aca="false">IF(ISNUMBER(SEARCH(" m",I364)),"Range",IF(I364="offline","Offline",IF(I364="","Unknown","No echo / error")))</f>
        <v>Range</v>
      </c>
      <c r="M364" s="3" t="str">
        <f aca="false">IF(ISNUMBER(SEARCH(" m",J364)),"Range",IF(J364="offline","Offline",IF(J364="","Unknown","No echo / error")))</f>
        <v>Range</v>
      </c>
      <c r="N364" s="3" t="str">
        <f aca="false">IF(ISNUMBER(SEARCH(" m",K364)),"Range",IF(K364="offline","Offline",IF(K364="","Unknown","No echo / error")))</f>
        <v>Range</v>
      </c>
      <c r="O364" s="3" t="str">
        <f aca="false">TEXT(B364,"yyyy-mm-dd")</f>
        <v>2026-10-05</v>
      </c>
    </row>
    <row r="365" customFormat="false" ht="15" hidden="false" customHeight="false" outlineLevel="0" collapsed="false">
      <c r="A365" s="27" t="n">
        <v>7</v>
      </c>
      <c r="B365" s="28" t="n">
        <v>46300.1543677431</v>
      </c>
      <c r="C365" s="29" t="n">
        <f aca="false">IF(A366=A365,B366,INDEX(Rounds!$D:$D,MATCH(A365,Rounds!$A:$A,0)))</f>
        <v>46300.1569665509</v>
      </c>
      <c r="D365" s="30" t="n">
        <f aca="false">(B365-INDEX(Rounds!$C:$C,MATCH(A365,Rounds!$A:$A,0)))*86400</f>
        <v>53.68799963</v>
      </c>
      <c r="E365" s="30" t="n">
        <f aca="false">(C365-INDEX(Rounds!$C:$C,MATCH(A365,Rounds!$A:$A,0)))*86400</f>
        <v>278.224999643</v>
      </c>
      <c r="F365" s="31" t="n">
        <f aca="false">(C365-B365)*86400</f>
        <v>224.537000013</v>
      </c>
      <c r="G365" s="27" t="s">
        <v>154</v>
      </c>
      <c r="H365" s="27" t="s">
        <v>411</v>
      </c>
      <c r="I365" s="27" t="s">
        <v>373</v>
      </c>
      <c r="J365" s="27" t="s">
        <v>409</v>
      </c>
      <c r="K365" s="27" t="s">
        <v>396</v>
      </c>
      <c r="L365" s="3" t="str">
        <f aca="false">IF(ISNUMBER(SEARCH(" m",I365)),"Range",IF(I365="offline","Offline",IF(I365="","Unknown","No echo / error")))</f>
        <v>Range</v>
      </c>
      <c r="M365" s="3" t="str">
        <f aca="false">IF(ISNUMBER(SEARCH(" m",J365)),"Range",IF(J365="offline","Offline",IF(J365="","Unknown","No echo / error")))</f>
        <v>Range</v>
      </c>
      <c r="N365" s="3" t="str">
        <f aca="false">IF(ISNUMBER(SEARCH(" m",K365)),"Range",IF(K365="offline","Offline",IF(K365="","Unknown","No echo / error")))</f>
        <v>Range</v>
      </c>
      <c r="O365" s="3" t="str">
        <f aca="false">TEXT(B365,"yyyy-mm-dd")</f>
        <v>2026-10-05</v>
      </c>
    </row>
    <row r="366" customFormat="false" ht="15" hidden="false" customHeight="false" outlineLevel="0" collapsed="false">
      <c r="A366" s="27" t="n">
        <v>7</v>
      </c>
      <c r="B366" s="28" t="n">
        <v>46300.1569665509</v>
      </c>
      <c r="C366" s="29" t="n">
        <f aca="false">IF(A367=A366,B367,INDEX(Rounds!$D:$D,MATCH(A366,Rounds!$A:$A,0)))</f>
        <v>46300.1569665509</v>
      </c>
      <c r="D366" s="30" t="n">
        <f aca="false">(B366-INDEX(Rounds!$C:$C,MATCH(A366,Rounds!$A:$A,0)))*86400</f>
        <v>278.224999643</v>
      </c>
      <c r="E366" s="30" t="n">
        <f aca="false">(C366-INDEX(Rounds!$C:$C,MATCH(A366,Rounds!$A:$A,0)))*86400</f>
        <v>278.224999643</v>
      </c>
      <c r="F366" s="31" t="n">
        <f aca="false">(C366-B366)*86400</f>
        <v>0</v>
      </c>
      <c r="G366" s="27" t="s">
        <v>154</v>
      </c>
      <c r="H366" s="27" t="s">
        <v>411</v>
      </c>
      <c r="I366" s="27" t="s">
        <v>373</v>
      </c>
      <c r="J366" s="27" t="s">
        <v>409</v>
      </c>
      <c r="K366" s="27" t="s">
        <v>396</v>
      </c>
      <c r="L366" s="3" t="str">
        <f aca="false">IF(ISNUMBER(SEARCH(" m",I366)),"Range",IF(I366="offline","Offline",IF(I366="","Unknown","No echo / error")))</f>
        <v>Range</v>
      </c>
      <c r="M366" s="3" t="str">
        <f aca="false">IF(ISNUMBER(SEARCH(" m",J366)),"Range",IF(J366="offline","Offline",IF(J366="","Unknown","No echo / error")))</f>
        <v>Range</v>
      </c>
      <c r="N366" s="3" t="str">
        <f aca="false">IF(ISNUMBER(SEARCH(" m",K366)),"Range",IF(K366="offline","Offline",IF(K366="","Unknown","No echo / error")))</f>
        <v>Range</v>
      </c>
      <c r="O366" s="3" t="str">
        <f aca="false">TEXT(B366,"yyyy-mm-dd")</f>
        <v>2026-10-05</v>
      </c>
    </row>
    <row r="367" customFormat="false" ht="15" hidden="false" customHeight="false" outlineLevel="0" collapsed="false">
      <c r="A367" s="27" t="n">
        <v>7</v>
      </c>
      <c r="B367" s="28" t="n">
        <v>46300.1569665509</v>
      </c>
      <c r="C367" s="29" t="n">
        <f aca="false">IF(A368=A367,B368,INDEX(Rounds!$D:$D,MATCH(A367,Rounds!$A:$A,0)))</f>
        <v>46300.1569742014</v>
      </c>
      <c r="D367" s="30" t="n">
        <f aca="false">(B367-INDEX(Rounds!$C:$C,MATCH(A367,Rounds!$A:$A,0)))*86400</f>
        <v>278.224999643</v>
      </c>
      <c r="E367" s="30" t="n">
        <f aca="false">(C367-INDEX(Rounds!$C:$C,MATCH(A367,Rounds!$A:$A,0)))*86400</f>
        <v>278.88599988</v>
      </c>
      <c r="F367" s="31" t="n">
        <f aca="false">(C367-B367)*86400</f>
        <v>0.661000236</v>
      </c>
      <c r="G367" s="27" t="s">
        <v>152</v>
      </c>
      <c r="H367" s="27" t="s">
        <v>208</v>
      </c>
      <c r="I367" s="27" t="s">
        <v>373</v>
      </c>
      <c r="J367" s="27" t="s">
        <v>409</v>
      </c>
      <c r="K367" s="27" t="s">
        <v>396</v>
      </c>
      <c r="L367" s="3" t="str">
        <f aca="false">IF(ISNUMBER(SEARCH(" m",I367)),"Range",IF(I367="offline","Offline",IF(I367="","Unknown","No echo / error")))</f>
        <v>Range</v>
      </c>
      <c r="M367" s="3" t="str">
        <f aca="false">IF(ISNUMBER(SEARCH(" m",J367)),"Range",IF(J367="offline","Offline",IF(J367="","Unknown","No echo / error")))</f>
        <v>Range</v>
      </c>
      <c r="N367" s="3" t="str">
        <f aca="false">IF(ISNUMBER(SEARCH(" m",K367)),"Range",IF(K367="offline","Offline",IF(K367="","Unknown","No echo / error")))</f>
        <v>Range</v>
      </c>
      <c r="O367" s="3" t="str">
        <f aca="false">TEXT(B367,"yyyy-mm-dd")</f>
        <v>2026-10-05</v>
      </c>
    </row>
    <row r="368" customFormat="false" ht="15" hidden="false" customHeight="false" outlineLevel="0" collapsed="false">
      <c r="A368" s="27" t="n">
        <v>7</v>
      </c>
      <c r="B368" s="28" t="n">
        <v>46300.1569742014</v>
      </c>
      <c r="C368" s="29" t="n">
        <f aca="false">IF(A369=A368,B369,INDEX(Rounds!$D:$D,MATCH(A368,Rounds!$A:$A,0)))</f>
        <v>46300.1569798032</v>
      </c>
      <c r="D368" s="30" t="n">
        <f aca="false">(B368-INDEX(Rounds!$C:$C,MATCH(A368,Rounds!$A:$A,0)))*86400</f>
        <v>278.88599988</v>
      </c>
      <c r="E368" s="30" t="n">
        <f aca="false">(C368-INDEX(Rounds!$C:$C,MATCH(A368,Rounds!$A:$A,0)))*86400</f>
        <v>279.370000096</v>
      </c>
      <c r="F368" s="31" t="n">
        <f aca="false">(C368-B368)*86400</f>
        <v>0.484000216</v>
      </c>
      <c r="G368" s="27" t="s">
        <v>151</v>
      </c>
      <c r="H368" s="27" t="s">
        <v>203</v>
      </c>
      <c r="I368" s="27" t="s">
        <v>242</v>
      </c>
      <c r="J368" s="27" t="s">
        <v>204</v>
      </c>
      <c r="K368" s="27" t="s">
        <v>302</v>
      </c>
      <c r="L368" s="3" t="str">
        <f aca="false">IF(ISNUMBER(SEARCH(" m",I368)),"Range",IF(I368="offline","Offline",IF(I368="","Unknown","No echo / error")))</f>
        <v>Range</v>
      </c>
      <c r="M368" s="3" t="str">
        <f aca="false">IF(ISNUMBER(SEARCH(" m",J368)),"Range",IF(J368="offline","Offline",IF(J368="","Unknown","No echo / error")))</f>
        <v>No echo / error</v>
      </c>
      <c r="N368" s="3" t="str">
        <f aca="false">IF(ISNUMBER(SEARCH(" m",K368)),"Range",IF(K368="offline","Offline",IF(K368="","Unknown","No echo / error")))</f>
        <v>Range</v>
      </c>
      <c r="O368" s="3" t="str">
        <f aca="false">TEXT(B368,"yyyy-mm-dd")</f>
        <v>2026-10-05</v>
      </c>
    </row>
    <row r="369" customFormat="false" ht="15" hidden="false" customHeight="false" outlineLevel="0" collapsed="false">
      <c r="A369" s="27" t="n">
        <v>7</v>
      </c>
      <c r="B369" s="28" t="n">
        <v>46300.1569798032</v>
      </c>
      <c r="C369" s="29" t="n">
        <f aca="false">IF(A370=A369,B370,INDEX(Rounds!$D:$D,MATCH(A369,Rounds!$A:$A,0)))</f>
        <v>46300.1569823958</v>
      </c>
      <c r="D369" s="30" t="n">
        <f aca="false">(B369-INDEX(Rounds!$C:$C,MATCH(A369,Rounds!$A:$A,0)))*86400</f>
        <v>279.370000096</v>
      </c>
      <c r="E369" s="30" t="n">
        <f aca="false">(C369-INDEX(Rounds!$C:$C,MATCH(A369,Rounds!$A:$A,0)))*86400</f>
        <v>279.593999334</v>
      </c>
      <c r="F369" s="31" t="n">
        <f aca="false">(C369-B369)*86400</f>
        <v>0.223999237</v>
      </c>
      <c r="G369" s="27" t="s">
        <v>152</v>
      </c>
      <c r="H369" s="27" t="s">
        <v>208</v>
      </c>
      <c r="I369" s="27" t="s">
        <v>246</v>
      </c>
      <c r="J369" s="27" t="s">
        <v>204</v>
      </c>
      <c r="K369" s="27" t="s">
        <v>393</v>
      </c>
      <c r="L369" s="3" t="str">
        <f aca="false">IF(ISNUMBER(SEARCH(" m",I369)),"Range",IF(I369="offline","Offline",IF(I369="","Unknown","No echo / error")))</f>
        <v>Range</v>
      </c>
      <c r="M369" s="3" t="str">
        <f aca="false">IF(ISNUMBER(SEARCH(" m",J369)),"Range",IF(J369="offline","Offline",IF(J369="","Unknown","No echo / error")))</f>
        <v>No echo / error</v>
      </c>
      <c r="N369" s="3" t="str">
        <f aca="false">IF(ISNUMBER(SEARCH(" m",K369)),"Range",IF(K369="offline","Offline",IF(K369="","Unknown","No echo / error")))</f>
        <v>Range</v>
      </c>
      <c r="O369" s="3" t="str">
        <f aca="false">TEXT(B369,"yyyy-mm-dd")</f>
        <v>2026-10-05</v>
      </c>
    </row>
    <row r="370" customFormat="false" ht="15" hidden="false" customHeight="false" outlineLevel="0" collapsed="false">
      <c r="A370" s="27" t="n">
        <v>7</v>
      </c>
      <c r="B370" s="28" t="n">
        <v>46300.1569823958</v>
      </c>
      <c r="C370" s="29" t="n">
        <f aca="false">IF(A371=A370,B371,INDEX(Rounds!$D:$D,MATCH(A370,Rounds!$A:$A,0)))</f>
        <v>46300.1569838773</v>
      </c>
      <c r="D370" s="30" t="n">
        <f aca="false">(B370-INDEX(Rounds!$C:$C,MATCH(A370,Rounds!$A:$A,0)))*86400</f>
        <v>279.593999334</v>
      </c>
      <c r="E370" s="30" t="n">
        <f aca="false">(C370-INDEX(Rounds!$C:$C,MATCH(A370,Rounds!$A:$A,0)))*86400</f>
        <v>279.721999168</v>
      </c>
      <c r="F370" s="31" t="n">
        <f aca="false">(C370-B370)*86400</f>
        <v>0.127999833</v>
      </c>
      <c r="G370" s="27" t="s">
        <v>151</v>
      </c>
      <c r="H370" s="27" t="s">
        <v>203</v>
      </c>
      <c r="I370" s="27" t="s">
        <v>336</v>
      </c>
      <c r="J370" s="27" t="s">
        <v>233</v>
      </c>
      <c r="K370" s="27" t="s">
        <v>393</v>
      </c>
      <c r="L370" s="3" t="str">
        <f aca="false">IF(ISNUMBER(SEARCH(" m",I370)),"Range",IF(I370="offline","Offline",IF(I370="","Unknown","No echo / error")))</f>
        <v>Range</v>
      </c>
      <c r="M370" s="3" t="str">
        <f aca="false">IF(ISNUMBER(SEARCH(" m",J370)),"Range",IF(J370="offline","Offline",IF(J370="","Unknown","No echo / error")))</f>
        <v>Range</v>
      </c>
      <c r="N370" s="3" t="str">
        <f aca="false">IF(ISNUMBER(SEARCH(" m",K370)),"Range",IF(K370="offline","Offline",IF(K370="","Unknown","No echo / error")))</f>
        <v>Range</v>
      </c>
      <c r="O370" s="3" t="str">
        <f aca="false">TEXT(B370,"yyyy-mm-dd")</f>
        <v>2026-10-05</v>
      </c>
    </row>
    <row r="371" customFormat="false" ht="15" hidden="false" customHeight="false" outlineLevel="0" collapsed="false">
      <c r="A371" s="27" t="n">
        <v>7</v>
      </c>
      <c r="B371" s="28" t="n">
        <v>46300.1569838773</v>
      </c>
      <c r="C371" s="29" t="n">
        <f aca="false">IF(A372=A371,B372,INDEX(Rounds!$D:$D,MATCH(A371,Rounds!$A:$A,0)))</f>
        <v>46300.1570588889</v>
      </c>
      <c r="D371" s="30" t="n">
        <f aca="false">(B371-INDEX(Rounds!$C:$C,MATCH(A371,Rounds!$A:$A,0)))*86400</f>
        <v>279.721999168</v>
      </c>
      <c r="E371" s="30" t="n">
        <f aca="false">(C371-INDEX(Rounds!$C:$C,MATCH(A371,Rounds!$A:$A,0)))*86400</f>
        <v>286.203000275</v>
      </c>
      <c r="F371" s="31" t="n">
        <f aca="false">(C371-B371)*86400</f>
        <v>6.481001107</v>
      </c>
      <c r="G371" s="27" t="s">
        <v>150</v>
      </c>
      <c r="H371" s="27" t="s">
        <v>206</v>
      </c>
      <c r="I371" s="27" t="s">
        <v>336</v>
      </c>
      <c r="J371" s="27" t="s">
        <v>233</v>
      </c>
      <c r="K371" s="27" t="s">
        <v>281</v>
      </c>
      <c r="L371" s="3" t="str">
        <f aca="false">IF(ISNUMBER(SEARCH(" m",I371)),"Range",IF(I371="offline","Offline",IF(I371="","Unknown","No echo / error")))</f>
        <v>Range</v>
      </c>
      <c r="M371" s="3" t="str">
        <f aca="false">IF(ISNUMBER(SEARCH(" m",J371)),"Range",IF(J371="offline","Offline",IF(J371="","Unknown","No echo / error")))</f>
        <v>Range</v>
      </c>
      <c r="N371" s="3" t="str">
        <f aca="false">IF(ISNUMBER(SEARCH(" m",K371)),"Range",IF(K371="offline","Offline",IF(K371="","Unknown","No echo / error")))</f>
        <v>Range</v>
      </c>
      <c r="O371" s="3" t="str">
        <f aca="false">TEXT(B371,"yyyy-mm-dd")</f>
        <v>2026-10-05</v>
      </c>
    </row>
    <row r="372" customFormat="false" ht="15" hidden="false" customHeight="false" outlineLevel="0" collapsed="false">
      <c r="A372" s="27" t="n">
        <v>7</v>
      </c>
      <c r="B372" s="28" t="n">
        <v>46300.1570588889</v>
      </c>
      <c r="C372" s="29" t="n">
        <f aca="false">IF(A373=A372,B373,INDEX(Rounds!$D:$D,MATCH(A372,Rounds!$A:$A,0)))</f>
        <v>46300.1570639236</v>
      </c>
      <c r="D372" s="30" t="n">
        <f aca="false">(B372-INDEX(Rounds!$C:$C,MATCH(A372,Rounds!$A:$A,0)))*86400</f>
        <v>286.203000275</v>
      </c>
      <c r="E372" s="30" t="n">
        <f aca="false">(C372-INDEX(Rounds!$C:$C,MATCH(A372,Rounds!$A:$A,0)))*86400</f>
        <v>286.637999676</v>
      </c>
      <c r="F372" s="31" t="n">
        <f aca="false">(C372-B372)*86400</f>
        <v>0.4349994</v>
      </c>
      <c r="G372" s="27" t="s">
        <v>152</v>
      </c>
      <c r="H372" s="27" t="s">
        <v>208</v>
      </c>
      <c r="I372" s="27" t="s">
        <v>204</v>
      </c>
      <c r="J372" s="27" t="s">
        <v>204</v>
      </c>
      <c r="K372" s="27" t="s">
        <v>316</v>
      </c>
      <c r="L372" s="3" t="str">
        <f aca="false">IF(ISNUMBER(SEARCH(" m",I372)),"Range",IF(I372="offline","Offline",IF(I372="","Unknown","No echo / error")))</f>
        <v>No echo / error</v>
      </c>
      <c r="M372" s="3" t="str">
        <f aca="false">IF(ISNUMBER(SEARCH(" m",J372)),"Range",IF(J372="offline","Offline",IF(J372="","Unknown","No echo / error")))</f>
        <v>No echo / error</v>
      </c>
      <c r="N372" s="3" t="str">
        <f aca="false">IF(ISNUMBER(SEARCH(" m",K372)),"Range",IF(K372="offline","Offline",IF(K372="","Unknown","No echo / error")))</f>
        <v>Range</v>
      </c>
      <c r="O372" s="3" t="str">
        <f aca="false">TEXT(B372,"yyyy-mm-dd")</f>
        <v>2026-10-05</v>
      </c>
    </row>
    <row r="373" customFormat="false" ht="15" hidden="false" customHeight="false" outlineLevel="0" collapsed="false">
      <c r="A373" s="27" t="n">
        <v>7</v>
      </c>
      <c r="B373" s="28" t="n">
        <v>46300.1570639236</v>
      </c>
      <c r="C373" s="29" t="n">
        <f aca="false">IF(A374=A373,B374,INDEX(Rounds!$D:$D,MATCH(A373,Rounds!$A:$A,0)))</f>
        <v>46300.1570654051</v>
      </c>
      <c r="D373" s="30" t="n">
        <f aca="false">(B373-INDEX(Rounds!$C:$C,MATCH(A373,Rounds!$A:$A,0)))*86400</f>
        <v>286.637999676</v>
      </c>
      <c r="E373" s="30" t="n">
        <f aca="false">(C373-INDEX(Rounds!$C:$C,MATCH(A373,Rounds!$A:$A,0)))*86400</f>
        <v>286.766000767</v>
      </c>
      <c r="F373" s="31" t="n">
        <f aca="false">(C373-B373)*86400</f>
        <v>0.128001091</v>
      </c>
      <c r="G373" s="27" t="s">
        <v>151</v>
      </c>
      <c r="H373" s="27" t="s">
        <v>203</v>
      </c>
      <c r="I373" s="27" t="s">
        <v>412</v>
      </c>
      <c r="J373" s="27" t="s">
        <v>413</v>
      </c>
      <c r="K373" s="27" t="s">
        <v>359</v>
      </c>
      <c r="L373" s="3" t="str">
        <f aca="false">IF(ISNUMBER(SEARCH(" m",I373)),"Range",IF(I373="offline","Offline",IF(I373="","Unknown","No echo / error")))</f>
        <v>Range</v>
      </c>
      <c r="M373" s="3" t="str">
        <f aca="false">IF(ISNUMBER(SEARCH(" m",J373)),"Range",IF(J373="offline","Offline",IF(J373="","Unknown","No echo / error")))</f>
        <v>Range</v>
      </c>
      <c r="N373" s="3" t="str">
        <f aca="false">IF(ISNUMBER(SEARCH(" m",K373)),"Range",IF(K373="offline","Offline",IF(K373="","Unknown","No echo / error")))</f>
        <v>Range</v>
      </c>
      <c r="O373" s="3" t="str">
        <f aca="false">TEXT(B373,"yyyy-mm-dd")</f>
        <v>2026-10-05</v>
      </c>
    </row>
    <row r="374" customFormat="false" ht="15" hidden="false" customHeight="false" outlineLevel="0" collapsed="false">
      <c r="A374" s="27" t="n">
        <v>7</v>
      </c>
      <c r="B374" s="28" t="n">
        <v>46300.1570654051</v>
      </c>
      <c r="C374" s="29" t="n">
        <f aca="false">IF(A375=A374,B375,INDEX(Rounds!$D:$D,MATCH(A374,Rounds!$A:$A,0)))</f>
        <v>46300.157070625</v>
      </c>
      <c r="D374" s="30" t="n">
        <f aca="false">(B374-INDEX(Rounds!$C:$C,MATCH(A374,Rounds!$A:$A,0)))*86400</f>
        <v>286.766000767</v>
      </c>
      <c r="E374" s="30" t="n">
        <f aca="false">(C374-INDEX(Rounds!$C:$C,MATCH(A374,Rounds!$A:$A,0)))*86400</f>
        <v>287.216999754</v>
      </c>
      <c r="F374" s="31" t="n">
        <f aca="false">(C374-B374)*86400</f>
        <v>0.450998987</v>
      </c>
      <c r="G374" s="27" t="s">
        <v>150</v>
      </c>
      <c r="H374" s="27" t="s">
        <v>206</v>
      </c>
      <c r="I374" s="27" t="s">
        <v>412</v>
      </c>
      <c r="J374" s="27" t="s">
        <v>350</v>
      </c>
      <c r="K374" s="27" t="s">
        <v>359</v>
      </c>
      <c r="L374" s="3" t="str">
        <f aca="false">IF(ISNUMBER(SEARCH(" m",I374)),"Range",IF(I374="offline","Offline",IF(I374="","Unknown","No echo / error")))</f>
        <v>Range</v>
      </c>
      <c r="M374" s="3" t="str">
        <f aca="false">IF(ISNUMBER(SEARCH(" m",J374)),"Range",IF(J374="offline","Offline",IF(J374="","Unknown","No echo / error")))</f>
        <v>Range</v>
      </c>
      <c r="N374" s="3" t="str">
        <f aca="false">IF(ISNUMBER(SEARCH(" m",K374)),"Range",IF(K374="offline","Offline",IF(K374="","Unknown","No echo / error")))</f>
        <v>Range</v>
      </c>
      <c r="O374" s="3" t="str">
        <f aca="false">TEXT(B374,"yyyy-mm-dd")</f>
        <v>2026-10-05</v>
      </c>
    </row>
    <row r="375" customFormat="false" ht="15" hidden="false" customHeight="false" outlineLevel="0" collapsed="false">
      <c r="A375" s="27" t="n">
        <v>7</v>
      </c>
      <c r="B375" s="28" t="n">
        <v>46300.157070625</v>
      </c>
      <c r="C375" s="29" t="n">
        <f aca="false">IF(A376=A375,B376,INDEX(Rounds!$D:$D,MATCH(A375,Rounds!$A:$A,0)))</f>
        <v>46300.1570761921</v>
      </c>
      <c r="D375" s="30" t="n">
        <f aca="false">(B375-INDEX(Rounds!$C:$C,MATCH(A375,Rounds!$A:$A,0)))*86400</f>
        <v>287.216999754</v>
      </c>
      <c r="E375" s="30" t="n">
        <f aca="false">(C375-INDEX(Rounds!$C:$C,MATCH(A375,Rounds!$A:$A,0)))*86400</f>
        <v>287.698000087</v>
      </c>
      <c r="F375" s="31" t="n">
        <f aca="false">(C375-B375)*86400</f>
        <v>0.481000333</v>
      </c>
      <c r="G375" s="27" t="s">
        <v>151</v>
      </c>
      <c r="H375" s="27" t="s">
        <v>203</v>
      </c>
      <c r="I375" s="27" t="s">
        <v>216</v>
      </c>
      <c r="J375" s="27" t="s">
        <v>283</v>
      </c>
      <c r="K375" s="27" t="s">
        <v>414</v>
      </c>
      <c r="L375" s="3" t="str">
        <f aca="false">IF(ISNUMBER(SEARCH(" m",I375)),"Range",IF(I375="offline","Offline",IF(I375="","Unknown","No echo / error")))</f>
        <v>Range</v>
      </c>
      <c r="M375" s="3" t="str">
        <f aca="false">IF(ISNUMBER(SEARCH(" m",J375)),"Range",IF(J375="offline","Offline",IF(J375="","Unknown","No echo / error")))</f>
        <v>Range</v>
      </c>
      <c r="N375" s="3" t="str">
        <f aca="false">IF(ISNUMBER(SEARCH(" m",K375)),"Range",IF(K375="offline","Offline",IF(K375="","Unknown","No echo / error")))</f>
        <v>Range</v>
      </c>
      <c r="O375" s="3" t="str">
        <f aca="false">TEXT(B375,"yyyy-mm-dd")</f>
        <v>2026-10-05</v>
      </c>
    </row>
    <row r="376" customFormat="false" ht="15" hidden="false" customHeight="false" outlineLevel="0" collapsed="false">
      <c r="A376" s="27" t="n">
        <v>7</v>
      </c>
      <c r="B376" s="28" t="n">
        <v>46300.1570761921</v>
      </c>
      <c r="C376" s="29" t="n">
        <f aca="false">IF(A377=A376,B377,INDEX(Rounds!$D:$D,MATCH(A376,Rounds!$A:$A,0)))</f>
        <v>46300.1570786111</v>
      </c>
      <c r="D376" s="30" t="n">
        <f aca="false">(B376-INDEX(Rounds!$C:$C,MATCH(A376,Rounds!$A:$A,0)))*86400</f>
        <v>287.698000087</v>
      </c>
      <c r="E376" s="30" t="n">
        <f aca="false">(C376-INDEX(Rounds!$C:$C,MATCH(A376,Rounds!$A:$A,0)))*86400</f>
        <v>287.906999909</v>
      </c>
      <c r="F376" s="31" t="n">
        <f aca="false">(C376-B376)*86400</f>
        <v>0.208999821</v>
      </c>
      <c r="G376" s="27" t="s">
        <v>152</v>
      </c>
      <c r="H376" s="27" t="s">
        <v>208</v>
      </c>
      <c r="I376" s="27" t="s">
        <v>294</v>
      </c>
      <c r="J376" s="27" t="s">
        <v>373</v>
      </c>
      <c r="K376" s="27" t="s">
        <v>204</v>
      </c>
      <c r="L376" s="3" t="str">
        <f aca="false">IF(ISNUMBER(SEARCH(" m",I376)),"Range",IF(I376="offline","Offline",IF(I376="","Unknown","No echo / error")))</f>
        <v>Range</v>
      </c>
      <c r="M376" s="3" t="str">
        <f aca="false">IF(ISNUMBER(SEARCH(" m",J376)),"Range",IF(J376="offline","Offline",IF(J376="","Unknown","No echo / error")))</f>
        <v>Range</v>
      </c>
      <c r="N376" s="3" t="str">
        <f aca="false">IF(ISNUMBER(SEARCH(" m",K376)),"Range",IF(K376="offline","Offline",IF(K376="","Unknown","No echo / error")))</f>
        <v>No echo / error</v>
      </c>
      <c r="O376" s="3" t="str">
        <f aca="false">TEXT(B376,"yyyy-mm-dd")</f>
        <v>2026-10-05</v>
      </c>
    </row>
    <row r="377" customFormat="false" ht="15" hidden="false" customHeight="false" outlineLevel="0" collapsed="false">
      <c r="A377" s="27" t="n">
        <v>7</v>
      </c>
      <c r="B377" s="28" t="n">
        <v>46300.1570786111</v>
      </c>
      <c r="C377" s="29" t="n">
        <f aca="false">IF(A378=A377,B378,INDEX(Rounds!$D:$D,MATCH(A377,Rounds!$A:$A,0)))</f>
        <v>46300.1570856597</v>
      </c>
      <c r="D377" s="30" t="n">
        <f aca="false">(B377-INDEX(Rounds!$C:$C,MATCH(A377,Rounds!$A:$A,0)))*86400</f>
        <v>287.906999909</v>
      </c>
      <c r="E377" s="30" t="n">
        <f aca="false">(C377-INDEX(Rounds!$C:$C,MATCH(A377,Rounds!$A:$A,0)))*86400</f>
        <v>288.515999447</v>
      </c>
      <c r="F377" s="31" t="n">
        <f aca="false">(C377-B377)*86400</f>
        <v>0.608999538</v>
      </c>
      <c r="G377" s="27" t="s">
        <v>151</v>
      </c>
      <c r="H377" s="27" t="s">
        <v>203</v>
      </c>
      <c r="I377" s="27" t="s">
        <v>325</v>
      </c>
      <c r="J377" s="27" t="s">
        <v>235</v>
      </c>
      <c r="K377" s="27" t="s">
        <v>204</v>
      </c>
      <c r="L377" s="3" t="str">
        <f aca="false">IF(ISNUMBER(SEARCH(" m",I377)),"Range",IF(I377="offline","Offline",IF(I377="","Unknown","No echo / error")))</f>
        <v>Range</v>
      </c>
      <c r="M377" s="3" t="str">
        <f aca="false">IF(ISNUMBER(SEARCH(" m",J377)),"Range",IF(J377="offline","Offline",IF(J377="","Unknown","No echo / error")))</f>
        <v>Range</v>
      </c>
      <c r="N377" s="3" t="str">
        <f aca="false">IF(ISNUMBER(SEARCH(" m",K377)),"Range",IF(K377="offline","Offline",IF(K377="","Unknown","No echo / error")))</f>
        <v>No echo / error</v>
      </c>
      <c r="O377" s="3" t="str">
        <f aca="false">TEXT(B377,"yyyy-mm-dd")</f>
        <v>2026-10-05</v>
      </c>
    </row>
    <row r="378" customFormat="false" ht="15" hidden="false" customHeight="false" outlineLevel="0" collapsed="false">
      <c r="A378" s="27" t="n">
        <v>7</v>
      </c>
      <c r="B378" s="28" t="n">
        <v>46300.1570856597</v>
      </c>
      <c r="C378" s="29" t="n">
        <f aca="false">IF(A379=A378,B379,INDEX(Rounds!$D:$D,MATCH(A378,Rounds!$A:$A,0)))</f>
        <v>46300.1571131829</v>
      </c>
      <c r="D378" s="30" t="n">
        <f aca="false">(B378-INDEX(Rounds!$C:$C,MATCH(A378,Rounds!$A:$A,0)))*86400</f>
        <v>288.515999447</v>
      </c>
      <c r="E378" s="30" t="n">
        <f aca="false">(C378-INDEX(Rounds!$C:$C,MATCH(A378,Rounds!$A:$A,0)))*86400</f>
        <v>290.89399965</v>
      </c>
      <c r="F378" s="31" t="n">
        <f aca="false">(C378-B378)*86400</f>
        <v>2.378000202</v>
      </c>
      <c r="G378" s="27" t="s">
        <v>150</v>
      </c>
      <c r="H378" s="27" t="s">
        <v>206</v>
      </c>
      <c r="I378" s="27" t="s">
        <v>261</v>
      </c>
      <c r="J378" s="27" t="s">
        <v>278</v>
      </c>
      <c r="K378" s="27" t="s">
        <v>204</v>
      </c>
      <c r="L378" s="3" t="str">
        <f aca="false">IF(ISNUMBER(SEARCH(" m",I378)),"Range",IF(I378="offline","Offline",IF(I378="","Unknown","No echo / error")))</f>
        <v>Range</v>
      </c>
      <c r="M378" s="3" t="str">
        <f aca="false">IF(ISNUMBER(SEARCH(" m",J378)),"Range",IF(J378="offline","Offline",IF(J378="","Unknown","No echo / error")))</f>
        <v>Range</v>
      </c>
      <c r="N378" s="3" t="str">
        <f aca="false">IF(ISNUMBER(SEARCH(" m",K378)),"Range",IF(K378="offline","Offline",IF(K378="","Unknown","No echo / error")))</f>
        <v>No echo / error</v>
      </c>
      <c r="O378" s="3" t="str">
        <f aca="false">TEXT(B378,"yyyy-mm-dd")</f>
        <v>2026-10-05</v>
      </c>
    </row>
    <row r="379" customFormat="false" ht="15" hidden="false" customHeight="false" outlineLevel="0" collapsed="false">
      <c r="A379" s="27" t="n">
        <v>7</v>
      </c>
      <c r="B379" s="28" t="n">
        <v>46300.1571131829</v>
      </c>
      <c r="C379" s="29" t="n">
        <f aca="false">IF(A380=A379,B380,INDEX(Rounds!$D:$D,MATCH(A379,Rounds!$A:$A,0)))</f>
        <v>46300.15711875</v>
      </c>
      <c r="D379" s="30" t="n">
        <f aca="false">(B379-INDEX(Rounds!$C:$C,MATCH(A379,Rounds!$A:$A,0)))*86400</f>
        <v>290.89399965</v>
      </c>
      <c r="E379" s="30" t="n">
        <f aca="false">(C379-INDEX(Rounds!$C:$C,MATCH(A379,Rounds!$A:$A,0)))*86400</f>
        <v>291.374999983</v>
      </c>
      <c r="F379" s="31" t="n">
        <f aca="false">(C379-B379)*86400</f>
        <v>0.481000333</v>
      </c>
      <c r="G379" s="27" t="s">
        <v>151</v>
      </c>
      <c r="H379" s="27" t="s">
        <v>203</v>
      </c>
      <c r="I379" s="27" t="s">
        <v>204</v>
      </c>
      <c r="J379" s="27" t="s">
        <v>204</v>
      </c>
      <c r="K379" s="27" t="s">
        <v>415</v>
      </c>
      <c r="L379" s="3" t="str">
        <f aca="false">IF(ISNUMBER(SEARCH(" m",I379)),"Range",IF(I379="offline","Offline",IF(I379="","Unknown","No echo / error")))</f>
        <v>No echo / error</v>
      </c>
      <c r="M379" s="3" t="str">
        <f aca="false">IF(ISNUMBER(SEARCH(" m",J379)),"Range",IF(J379="offline","Offline",IF(J379="","Unknown","No echo / error")))</f>
        <v>No echo / error</v>
      </c>
      <c r="N379" s="3" t="str">
        <f aca="false">IF(ISNUMBER(SEARCH(" m",K379)),"Range",IF(K379="offline","Offline",IF(K379="","Unknown","No echo / error")))</f>
        <v>Range</v>
      </c>
      <c r="O379" s="3" t="str">
        <f aca="false">TEXT(B379,"yyyy-mm-dd")</f>
        <v>2026-10-05</v>
      </c>
    </row>
    <row r="380" customFormat="false" ht="15" hidden="false" customHeight="false" outlineLevel="0" collapsed="false">
      <c r="A380" s="27" t="n">
        <v>7</v>
      </c>
      <c r="B380" s="28" t="n">
        <v>46300.15711875</v>
      </c>
      <c r="C380" s="29" t="n">
        <f aca="false">IF(A381=A380,B381,INDEX(Rounds!$D:$D,MATCH(A380,Rounds!$A:$A,0)))</f>
        <v>46300.1571286111</v>
      </c>
      <c r="D380" s="30" t="n">
        <f aca="false">(B380-INDEX(Rounds!$C:$C,MATCH(A380,Rounds!$A:$A,0)))*86400</f>
        <v>291.374999983</v>
      </c>
      <c r="E380" s="30" t="n">
        <f aca="false">(C380-INDEX(Rounds!$C:$C,MATCH(A380,Rounds!$A:$A,0)))*86400</f>
        <v>292.226999485</v>
      </c>
      <c r="F380" s="31" t="n">
        <f aca="false">(C380-B380)*86400</f>
        <v>0.851999502</v>
      </c>
      <c r="G380" s="27" t="s">
        <v>152</v>
      </c>
      <c r="H380" s="27" t="s">
        <v>208</v>
      </c>
      <c r="I380" s="27" t="s">
        <v>401</v>
      </c>
      <c r="J380" s="27" t="s">
        <v>204</v>
      </c>
      <c r="K380" s="27" t="s">
        <v>204</v>
      </c>
      <c r="L380" s="3" t="str">
        <f aca="false">IF(ISNUMBER(SEARCH(" m",I380)),"Range",IF(I380="offline","Offline",IF(I380="","Unknown","No echo / error")))</f>
        <v>Range</v>
      </c>
      <c r="M380" s="3" t="str">
        <f aca="false">IF(ISNUMBER(SEARCH(" m",J380)),"Range",IF(J380="offline","Offline",IF(J380="","Unknown","No echo / error")))</f>
        <v>No echo / error</v>
      </c>
      <c r="N380" s="3" t="str">
        <f aca="false">IF(ISNUMBER(SEARCH(" m",K380)),"Range",IF(K380="offline","Offline",IF(K380="","Unknown","No echo / error")))</f>
        <v>No echo / error</v>
      </c>
      <c r="O380" s="3" t="str">
        <f aca="false">TEXT(B380,"yyyy-mm-dd")</f>
        <v>2026-10-05</v>
      </c>
    </row>
    <row r="381" customFormat="false" ht="15" hidden="false" customHeight="false" outlineLevel="0" collapsed="false">
      <c r="A381" s="27" t="n">
        <v>7</v>
      </c>
      <c r="B381" s="28" t="n">
        <v>46300.1571286111</v>
      </c>
      <c r="C381" s="29" t="n">
        <f aca="false">IF(A382=A381,B382,INDEX(Rounds!$D:$D,MATCH(A381,Rounds!$A:$A,0)))</f>
        <v>46300.1571414468</v>
      </c>
      <c r="D381" s="30" t="n">
        <f aca="false">(B381-INDEX(Rounds!$C:$C,MATCH(A381,Rounds!$A:$A,0)))*86400</f>
        <v>292.226999485</v>
      </c>
      <c r="E381" s="30" t="n">
        <f aca="false">(C381-INDEX(Rounds!$C:$C,MATCH(A381,Rounds!$A:$A,0)))*86400</f>
        <v>293.336000083</v>
      </c>
      <c r="F381" s="31" t="n">
        <f aca="false">(C381-B381)*86400</f>
        <v>1.109000598</v>
      </c>
      <c r="G381" s="27" t="s">
        <v>151</v>
      </c>
      <c r="H381" s="27" t="s">
        <v>203</v>
      </c>
      <c r="I381" s="27" t="s">
        <v>204</v>
      </c>
      <c r="J381" s="27" t="s">
        <v>416</v>
      </c>
      <c r="K381" s="27" t="s">
        <v>207</v>
      </c>
      <c r="L381" s="3" t="str">
        <f aca="false">IF(ISNUMBER(SEARCH(" m",I381)),"Range",IF(I381="offline","Offline",IF(I381="","Unknown","No echo / error")))</f>
        <v>No echo / error</v>
      </c>
      <c r="M381" s="3" t="str">
        <f aca="false">IF(ISNUMBER(SEARCH(" m",J381)),"Range",IF(J381="offline","Offline",IF(J381="","Unknown","No echo / error")))</f>
        <v>Range</v>
      </c>
      <c r="N381" s="3" t="str">
        <f aca="false">IF(ISNUMBER(SEARCH(" m",K381)),"Range",IF(K381="offline","Offline",IF(K381="","Unknown","No echo / error")))</f>
        <v>Range</v>
      </c>
      <c r="O381" s="3" t="str">
        <f aca="false">TEXT(B381,"yyyy-mm-dd")</f>
        <v>2026-10-05</v>
      </c>
    </row>
    <row r="382" customFormat="false" ht="15" hidden="false" customHeight="false" outlineLevel="0" collapsed="false">
      <c r="A382" s="27" t="n">
        <v>7</v>
      </c>
      <c r="B382" s="28" t="n">
        <v>46300.1571414468</v>
      </c>
      <c r="C382" s="29" t="n">
        <f aca="false">IF(A383=A382,B383,INDEX(Rounds!$D:$D,MATCH(A382,Rounds!$A:$A,0)))</f>
        <v>46300.1571414468</v>
      </c>
      <c r="D382" s="30" t="n">
        <f aca="false">(B382-INDEX(Rounds!$C:$C,MATCH(A382,Rounds!$A:$A,0)))*86400</f>
        <v>293.336000083</v>
      </c>
      <c r="E382" s="30" t="n">
        <f aca="false">(C382-INDEX(Rounds!$C:$C,MATCH(A382,Rounds!$A:$A,0)))*86400</f>
        <v>293.336000083</v>
      </c>
      <c r="F382" s="31" t="n">
        <f aca="false">(C382-B382)*86400</f>
        <v>0</v>
      </c>
      <c r="G382" s="27" t="s">
        <v>154</v>
      </c>
      <c r="H382" s="27" t="s">
        <v>203</v>
      </c>
      <c r="I382" s="27" t="s">
        <v>382</v>
      </c>
      <c r="J382" s="27" t="s">
        <v>417</v>
      </c>
      <c r="K382" s="27" t="s">
        <v>415</v>
      </c>
      <c r="L382" s="3" t="str">
        <f aca="false">IF(ISNUMBER(SEARCH(" m",I382)),"Range",IF(I382="offline","Offline",IF(I382="","Unknown","No echo / error")))</f>
        <v>Range</v>
      </c>
      <c r="M382" s="3" t="str">
        <f aca="false">IF(ISNUMBER(SEARCH(" m",J382)),"Range",IF(J382="offline","Offline",IF(J382="","Unknown","No echo / error")))</f>
        <v>Range</v>
      </c>
      <c r="N382" s="3" t="str">
        <f aca="false">IF(ISNUMBER(SEARCH(" m",K382)),"Range",IF(K382="offline","Offline",IF(K382="","Unknown","No echo / error")))</f>
        <v>Range</v>
      </c>
      <c r="O382" s="3" t="str">
        <f aca="false">TEXT(B382,"yyyy-mm-dd")</f>
        <v>2026-10-05</v>
      </c>
    </row>
    <row r="383" customFormat="false" ht="15" hidden="false" customHeight="false" outlineLevel="0" collapsed="false">
      <c r="A383" s="27" t="n">
        <v>8</v>
      </c>
      <c r="B383" s="28" t="n">
        <v>46300.1571832639</v>
      </c>
      <c r="C383" s="29" t="n">
        <f aca="false">IF(A384=A383,B384,INDEX(Rounds!$D:$D,MATCH(A383,Rounds!$A:$A,0)))</f>
        <v>46300.1571832639</v>
      </c>
      <c r="D383" s="30" t="n">
        <f aca="false">(B383-INDEX(Rounds!$C:$C,MATCH(A383,Rounds!$A:$A,0)))*86400</f>
        <v>0</v>
      </c>
      <c r="E383" s="30" t="n">
        <f aca="false">(C383-INDEX(Rounds!$C:$C,MATCH(A383,Rounds!$A:$A,0)))*86400</f>
        <v>0</v>
      </c>
      <c r="F383" s="31" t="n">
        <f aca="false">(C383-B383)*86400</f>
        <v>0</v>
      </c>
      <c r="G383" s="27" t="s">
        <v>151</v>
      </c>
      <c r="H383" s="27" t="s">
        <v>203</v>
      </c>
      <c r="I383" s="27" t="s">
        <v>382</v>
      </c>
      <c r="J383" s="27" t="s">
        <v>417</v>
      </c>
      <c r="K383" s="27" t="s">
        <v>415</v>
      </c>
      <c r="L383" s="3" t="str">
        <f aca="false">IF(ISNUMBER(SEARCH(" m",I383)),"Range",IF(I383="offline","Offline",IF(I383="","Unknown","No echo / error")))</f>
        <v>Range</v>
      </c>
      <c r="M383" s="3" t="str">
        <f aca="false">IF(ISNUMBER(SEARCH(" m",J383)),"Range",IF(J383="offline","Offline",IF(J383="","Unknown","No echo / error")))</f>
        <v>Range</v>
      </c>
      <c r="N383" s="3" t="str">
        <f aca="false">IF(ISNUMBER(SEARCH(" m",K383)),"Range",IF(K383="offline","Offline",IF(K383="","Unknown","No echo / error")))</f>
        <v>Range</v>
      </c>
      <c r="O383" s="3" t="str">
        <f aca="false">TEXT(B383,"yyyy-mm-dd")</f>
        <v>2026-10-05</v>
      </c>
    </row>
    <row r="384" customFormat="false" ht="15" hidden="false" customHeight="false" outlineLevel="0" collapsed="false">
      <c r="A384" s="27" t="n">
        <v>8</v>
      </c>
      <c r="B384" s="28" t="n">
        <v>46300.1571832639</v>
      </c>
      <c r="C384" s="29" t="n">
        <f aca="false">IF(A385=A384,B385,INDEX(Rounds!$D:$D,MATCH(A384,Rounds!$A:$A,0)))</f>
        <v>46300.1571832639</v>
      </c>
      <c r="D384" s="30" t="n">
        <f aca="false">(B384-INDEX(Rounds!$C:$C,MATCH(A384,Rounds!$A:$A,0)))*86400</f>
        <v>0</v>
      </c>
      <c r="E384" s="30" t="n">
        <f aca="false">(C384-INDEX(Rounds!$C:$C,MATCH(A384,Rounds!$A:$A,0)))*86400</f>
        <v>0</v>
      </c>
      <c r="F384" s="31" t="n">
        <f aca="false">(C384-B384)*86400</f>
        <v>0</v>
      </c>
      <c r="G384" s="27" t="s">
        <v>151</v>
      </c>
      <c r="H384" s="27" t="s">
        <v>203</v>
      </c>
      <c r="I384" s="27" t="s">
        <v>382</v>
      </c>
      <c r="J384" s="27" t="s">
        <v>417</v>
      </c>
      <c r="K384" s="27" t="s">
        <v>415</v>
      </c>
      <c r="L384" s="3" t="str">
        <f aca="false">IF(ISNUMBER(SEARCH(" m",I384)),"Range",IF(I384="offline","Offline",IF(I384="","Unknown","No echo / error")))</f>
        <v>Range</v>
      </c>
      <c r="M384" s="3" t="str">
        <f aca="false">IF(ISNUMBER(SEARCH(" m",J384)),"Range",IF(J384="offline","Offline",IF(J384="","Unknown","No echo / error")))</f>
        <v>Range</v>
      </c>
      <c r="N384" s="3" t="str">
        <f aca="false">IF(ISNUMBER(SEARCH(" m",K384)),"Range",IF(K384="offline","Offline",IF(K384="","Unknown","No echo / error")))</f>
        <v>Range</v>
      </c>
      <c r="O384" s="3" t="str">
        <f aca="false">TEXT(B384,"yyyy-mm-dd")</f>
        <v>2026-10-05</v>
      </c>
    </row>
    <row r="385" customFormat="false" ht="15" hidden="false" customHeight="false" outlineLevel="0" collapsed="false">
      <c r="A385" s="27" t="n">
        <v>8</v>
      </c>
      <c r="B385" s="28" t="n">
        <v>46300.1571832639</v>
      </c>
      <c r="C385" s="29" t="n">
        <f aca="false">IF(A386=A385,B386,INDEX(Rounds!$D:$D,MATCH(A385,Rounds!$A:$A,0)))</f>
        <v>46300.157190162</v>
      </c>
      <c r="D385" s="30" t="n">
        <f aca="false">(B385-INDEX(Rounds!$C:$C,MATCH(A385,Rounds!$A:$A,0)))*86400</f>
        <v>0</v>
      </c>
      <c r="E385" s="30" t="n">
        <f aca="false">(C385-INDEX(Rounds!$C:$C,MATCH(A385,Rounds!$A:$A,0)))*86400</f>
        <v>0.595999206</v>
      </c>
      <c r="F385" s="31" t="n">
        <f aca="false">(C385-B385)*86400</f>
        <v>0.595999206</v>
      </c>
      <c r="G385" s="27" t="s">
        <v>152</v>
      </c>
      <c r="H385" s="27" t="s">
        <v>199</v>
      </c>
      <c r="I385" s="27" t="s">
        <v>382</v>
      </c>
      <c r="J385" s="27" t="s">
        <v>417</v>
      </c>
      <c r="K385" s="27" t="s">
        <v>415</v>
      </c>
      <c r="L385" s="3" t="str">
        <f aca="false">IF(ISNUMBER(SEARCH(" m",I385)),"Range",IF(I385="offline","Offline",IF(I385="","Unknown","No echo / error")))</f>
        <v>Range</v>
      </c>
      <c r="M385" s="3" t="str">
        <f aca="false">IF(ISNUMBER(SEARCH(" m",J385)),"Range",IF(J385="offline","Offline",IF(J385="","Unknown","No echo / error")))</f>
        <v>Range</v>
      </c>
      <c r="N385" s="3" t="str">
        <f aca="false">IF(ISNUMBER(SEARCH(" m",K385)),"Range",IF(K385="offline","Offline",IF(K385="","Unknown","No echo / error")))</f>
        <v>Range</v>
      </c>
      <c r="O385" s="3" t="str">
        <f aca="false">TEXT(B385,"yyyy-mm-dd")</f>
        <v>2026-10-05</v>
      </c>
    </row>
    <row r="386" customFormat="false" ht="15" hidden="false" customHeight="false" outlineLevel="0" collapsed="false">
      <c r="A386" s="27" t="n">
        <v>8</v>
      </c>
      <c r="B386" s="28" t="n">
        <v>46300.157190162</v>
      </c>
      <c r="C386" s="29" t="n">
        <f aca="false">IF(A387=A386,B387,INDEX(Rounds!$D:$D,MATCH(A386,Rounds!$A:$A,0)))</f>
        <v>46300.1571959375</v>
      </c>
      <c r="D386" s="30" t="n">
        <f aca="false">(B386-INDEX(Rounds!$C:$C,MATCH(A386,Rounds!$A:$A,0)))*86400</f>
        <v>0.595999206</v>
      </c>
      <c r="E386" s="30" t="n">
        <f aca="false">(C386-INDEX(Rounds!$C:$C,MATCH(A386,Rounds!$A:$A,0)))*86400</f>
        <v>1.095000095</v>
      </c>
      <c r="F386" s="31" t="n">
        <f aca="false">(C386-B386)*86400</f>
        <v>0.499000889</v>
      </c>
      <c r="G386" s="27" t="s">
        <v>151</v>
      </c>
      <c r="H386" s="27" t="s">
        <v>203</v>
      </c>
      <c r="I386" s="27" t="s">
        <v>204</v>
      </c>
      <c r="J386" s="27" t="s">
        <v>410</v>
      </c>
      <c r="K386" s="27" t="s">
        <v>204</v>
      </c>
      <c r="L386" s="3" t="str">
        <f aca="false">IF(ISNUMBER(SEARCH(" m",I386)),"Range",IF(I386="offline","Offline",IF(I386="","Unknown","No echo / error")))</f>
        <v>No echo / error</v>
      </c>
      <c r="M386" s="3" t="str">
        <f aca="false">IF(ISNUMBER(SEARCH(" m",J386)),"Range",IF(J386="offline","Offline",IF(J386="","Unknown","No echo / error")))</f>
        <v>Range</v>
      </c>
      <c r="N386" s="3" t="str">
        <f aca="false">IF(ISNUMBER(SEARCH(" m",K386)),"Range",IF(K386="offline","Offline",IF(K386="","Unknown","No echo / error")))</f>
        <v>No echo / error</v>
      </c>
      <c r="O386" s="3" t="str">
        <f aca="false">TEXT(B386,"yyyy-mm-dd")</f>
        <v>2026-10-05</v>
      </c>
    </row>
    <row r="387" customFormat="false" ht="15" hidden="false" customHeight="false" outlineLevel="0" collapsed="false">
      <c r="A387" s="27" t="n">
        <v>8</v>
      </c>
      <c r="B387" s="28" t="n">
        <v>46300.1571959375</v>
      </c>
      <c r="C387" s="29" t="n">
        <f aca="false">IF(A388=A387,B388,INDEX(Rounds!$D:$D,MATCH(A387,Rounds!$A:$A,0)))</f>
        <v>46300.1571976042</v>
      </c>
      <c r="D387" s="30" t="n">
        <f aca="false">(B387-INDEX(Rounds!$C:$C,MATCH(A387,Rounds!$A:$A,0)))*86400</f>
        <v>1.095000095</v>
      </c>
      <c r="E387" s="30" t="n">
        <f aca="false">(C387-INDEX(Rounds!$C:$C,MATCH(A387,Rounds!$A:$A,0)))*86400</f>
        <v>1.239000144</v>
      </c>
      <c r="F387" s="31" t="n">
        <f aca="false">(C387-B387)*86400</f>
        <v>0.144000048</v>
      </c>
      <c r="G387" s="27" t="s">
        <v>152</v>
      </c>
      <c r="H387" s="27" t="s">
        <v>208</v>
      </c>
      <c r="I387" s="27" t="s">
        <v>204</v>
      </c>
      <c r="J387" s="27" t="s">
        <v>371</v>
      </c>
      <c r="K387" s="27" t="s">
        <v>239</v>
      </c>
      <c r="L387" s="3" t="str">
        <f aca="false">IF(ISNUMBER(SEARCH(" m",I387)),"Range",IF(I387="offline","Offline",IF(I387="","Unknown","No echo / error")))</f>
        <v>No echo / error</v>
      </c>
      <c r="M387" s="3" t="str">
        <f aca="false">IF(ISNUMBER(SEARCH(" m",J387)),"Range",IF(J387="offline","Offline",IF(J387="","Unknown","No echo / error")))</f>
        <v>Range</v>
      </c>
      <c r="N387" s="3" t="str">
        <f aca="false">IF(ISNUMBER(SEARCH(" m",K387)),"Range",IF(K387="offline","Offline",IF(K387="","Unknown","No echo / error")))</f>
        <v>Range</v>
      </c>
      <c r="O387" s="3" t="str">
        <f aca="false">TEXT(B387,"yyyy-mm-dd")</f>
        <v>2026-10-05</v>
      </c>
    </row>
    <row r="388" customFormat="false" ht="15" hidden="false" customHeight="false" outlineLevel="0" collapsed="false">
      <c r="A388" s="27" t="n">
        <v>8</v>
      </c>
      <c r="B388" s="28" t="n">
        <v>46300.1571976042</v>
      </c>
      <c r="C388" s="29" t="n">
        <f aca="false">IF(A389=A388,B389,INDEX(Rounds!$D:$D,MATCH(A388,Rounds!$A:$A,0)))</f>
        <v>46300.1572031829</v>
      </c>
      <c r="D388" s="30" t="n">
        <f aca="false">(B388-INDEX(Rounds!$C:$C,MATCH(A388,Rounds!$A:$A,0)))*86400</f>
        <v>1.239000144</v>
      </c>
      <c r="E388" s="30" t="n">
        <f aca="false">(C388-INDEX(Rounds!$C:$C,MATCH(A388,Rounds!$A:$A,0)))*86400</f>
        <v>1.721000019</v>
      </c>
      <c r="F388" s="31" t="n">
        <f aca="false">(C388-B388)*86400</f>
        <v>0.481999875</v>
      </c>
      <c r="G388" s="27" t="s">
        <v>151</v>
      </c>
      <c r="H388" s="27" t="s">
        <v>203</v>
      </c>
      <c r="I388" s="27" t="s">
        <v>204</v>
      </c>
      <c r="J388" s="27" t="s">
        <v>238</v>
      </c>
      <c r="K388" s="27" t="s">
        <v>282</v>
      </c>
      <c r="L388" s="3" t="str">
        <f aca="false">IF(ISNUMBER(SEARCH(" m",I388)),"Range",IF(I388="offline","Offline",IF(I388="","Unknown","No echo / error")))</f>
        <v>No echo / error</v>
      </c>
      <c r="M388" s="3" t="str">
        <f aca="false">IF(ISNUMBER(SEARCH(" m",J388)),"Range",IF(J388="offline","Offline",IF(J388="","Unknown","No echo / error")))</f>
        <v>Range</v>
      </c>
      <c r="N388" s="3" t="str">
        <f aca="false">IF(ISNUMBER(SEARCH(" m",K388)),"Range",IF(K388="offline","Offline",IF(K388="","Unknown","No echo / error")))</f>
        <v>Range</v>
      </c>
      <c r="O388" s="3" t="str">
        <f aca="false">TEXT(B388,"yyyy-mm-dd")</f>
        <v>2026-10-05</v>
      </c>
    </row>
    <row r="389" customFormat="false" ht="15" hidden="false" customHeight="false" outlineLevel="0" collapsed="false">
      <c r="A389" s="27" t="n">
        <v>8</v>
      </c>
      <c r="B389" s="28" t="n">
        <v>46300.1572031829</v>
      </c>
      <c r="C389" s="29" t="n">
        <f aca="false">IF(A390=A389,B390,INDEX(Rounds!$D:$D,MATCH(A389,Rounds!$A:$A,0)))</f>
        <v>46300.1572054051</v>
      </c>
      <c r="D389" s="30" t="n">
        <f aca="false">(B389-INDEX(Rounds!$C:$C,MATCH(A389,Rounds!$A:$A,0)))*86400</f>
        <v>1.721000019</v>
      </c>
      <c r="E389" s="30" t="n">
        <f aca="false">(C389-INDEX(Rounds!$C:$C,MATCH(A389,Rounds!$A:$A,0)))*86400</f>
        <v>1.913000084</v>
      </c>
      <c r="F389" s="31" t="n">
        <f aca="false">(C389-B389)*86400</f>
        <v>0.192000064</v>
      </c>
      <c r="G389" s="27" t="s">
        <v>152</v>
      </c>
      <c r="H389" s="27" t="s">
        <v>208</v>
      </c>
      <c r="I389" s="27" t="s">
        <v>205</v>
      </c>
      <c r="J389" s="27" t="s">
        <v>214</v>
      </c>
      <c r="K389" s="27" t="s">
        <v>204</v>
      </c>
      <c r="L389" s="3" t="str">
        <f aca="false">IF(ISNUMBER(SEARCH(" m",I389)),"Range",IF(I389="offline","Offline",IF(I389="","Unknown","No echo / error")))</f>
        <v>Range</v>
      </c>
      <c r="M389" s="3" t="str">
        <f aca="false">IF(ISNUMBER(SEARCH(" m",J389)),"Range",IF(J389="offline","Offline",IF(J389="","Unknown","No echo / error")))</f>
        <v>Range</v>
      </c>
      <c r="N389" s="3" t="str">
        <f aca="false">IF(ISNUMBER(SEARCH(" m",K389)),"Range",IF(K389="offline","Offline",IF(K389="","Unknown","No echo / error")))</f>
        <v>No echo / error</v>
      </c>
      <c r="O389" s="3" t="str">
        <f aca="false">TEXT(B389,"yyyy-mm-dd")</f>
        <v>2026-10-05</v>
      </c>
    </row>
    <row r="390" customFormat="false" ht="15" hidden="false" customHeight="false" outlineLevel="0" collapsed="false">
      <c r="A390" s="27" t="n">
        <v>8</v>
      </c>
      <c r="B390" s="28" t="n">
        <v>46300.1572054051</v>
      </c>
      <c r="C390" s="29" t="n">
        <f aca="false">IF(A391=A390,B391,INDEX(Rounds!$D:$D,MATCH(A390,Rounds!$A:$A,0)))</f>
        <v>46300.1572078009</v>
      </c>
      <c r="D390" s="30" t="n">
        <f aca="false">(B390-INDEX(Rounds!$C:$C,MATCH(A390,Rounds!$A:$A,0)))*86400</f>
        <v>1.913000084</v>
      </c>
      <c r="E390" s="30" t="n">
        <f aca="false">(C390-INDEX(Rounds!$C:$C,MATCH(A390,Rounds!$A:$A,0)))*86400</f>
        <v>2.120000193</v>
      </c>
      <c r="F390" s="31" t="n">
        <f aca="false">(C390-B390)*86400</f>
        <v>0.207000109</v>
      </c>
      <c r="G390" s="27" t="s">
        <v>151</v>
      </c>
      <c r="H390" s="27" t="s">
        <v>203</v>
      </c>
      <c r="I390" s="27" t="s">
        <v>205</v>
      </c>
      <c r="J390" s="27" t="s">
        <v>373</v>
      </c>
      <c r="K390" s="27" t="s">
        <v>237</v>
      </c>
      <c r="L390" s="3" t="str">
        <f aca="false">IF(ISNUMBER(SEARCH(" m",I390)),"Range",IF(I390="offline","Offline",IF(I390="","Unknown","No echo / error")))</f>
        <v>Range</v>
      </c>
      <c r="M390" s="3" t="str">
        <f aca="false">IF(ISNUMBER(SEARCH(" m",J390)),"Range",IF(J390="offline","Offline",IF(J390="","Unknown","No echo / error")))</f>
        <v>Range</v>
      </c>
      <c r="N390" s="3" t="str">
        <f aca="false">IF(ISNUMBER(SEARCH(" m",K390)),"Range",IF(K390="offline","Offline",IF(K390="","Unknown","No echo / error")))</f>
        <v>Range</v>
      </c>
      <c r="O390" s="3" t="str">
        <f aca="false">TEXT(B390,"yyyy-mm-dd")</f>
        <v>2026-10-05</v>
      </c>
    </row>
    <row r="391" customFormat="false" ht="15" hidden="false" customHeight="false" outlineLevel="0" collapsed="false">
      <c r="A391" s="27" t="n">
        <v>8</v>
      </c>
      <c r="B391" s="28" t="n">
        <v>46300.1572078009</v>
      </c>
      <c r="C391" s="29" t="n">
        <f aca="false">IF(A392=A391,B392,INDEX(Rounds!$D:$D,MATCH(A391,Rounds!$A:$A,0)))</f>
        <v>46300.1572453472</v>
      </c>
      <c r="D391" s="30" t="n">
        <f aca="false">(B391-INDEX(Rounds!$C:$C,MATCH(A391,Rounds!$A:$A,0)))*86400</f>
        <v>2.120000193</v>
      </c>
      <c r="E391" s="30" t="n">
        <f aca="false">(C391-INDEX(Rounds!$C:$C,MATCH(A391,Rounds!$A:$A,0)))*86400</f>
        <v>5.36400103</v>
      </c>
      <c r="F391" s="31" t="n">
        <f aca="false">(C391-B391)*86400</f>
        <v>3.244000836</v>
      </c>
      <c r="G391" s="27" t="s">
        <v>150</v>
      </c>
      <c r="H391" s="27" t="s">
        <v>206</v>
      </c>
      <c r="I391" s="27" t="s">
        <v>205</v>
      </c>
      <c r="J391" s="27" t="s">
        <v>282</v>
      </c>
      <c r="K391" s="27" t="s">
        <v>237</v>
      </c>
      <c r="L391" s="3" t="str">
        <f aca="false">IF(ISNUMBER(SEARCH(" m",I391)),"Range",IF(I391="offline","Offline",IF(I391="","Unknown","No echo / error")))</f>
        <v>Range</v>
      </c>
      <c r="M391" s="3" t="str">
        <f aca="false">IF(ISNUMBER(SEARCH(" m",J391)),"Range",IF(J391="offline","Offline",IF(J391="","Unknown","No echo / error")))</f>
        <v>Range</v>
      </c>
      <c r="N391" s="3" t="str">
        <f aca="false">IF(ISNUMBER(SEARCH(" m",K391)),"Range",IF(K391="offline","Offline",IF(K391="","Unknown","No echo / error")))</f>
        <v>Range</v>
      </c>
      <c r="O391" s="3" t="str">
        <f aca="false">TEXT(B391,"yyyy-mm-dd")</f>
        <v>2026-10-05</v>
      </c>
    </row>
    <row r="392" customFormat="false" ht="15" hidden="false" customHeight="false" outlineLevel="0" collapsed="false">
      <c r="A392" s="27" t="n">
        <v>8</v>
      </c>
      <c r="B392" s="28" t="n">
        <v>46300.1572453472</v>
      </c>
      <c r="C392" s="29" t="n">
        <f aca="false">IF(A393=A392,B393,INDEX(Rounds!$D:$D,MATCH(A392,Rounds!$A:$A,0)))</f>
        <v>46300.1572516667</v>
      </c>
      <c r="D392" s="30" t="n">
        <f aca="false">(B392-INDEX(Rounds!$C:$C,MATCH(A392,Rounds!$A:$A,0)))*86400</f>
        <v>5.36400103</v>
      </c>
      <c r="E392" s="30" t="n">
        <f aca="false">(C392-INDEX(Rounds!$C:$C,MATCH(A392,Rounds!$A:$A,0)))*86400</f>
        <v>5.90999925</v>
      </c>
      <c r="F392" s="31" t="n">
        <f aca="false">(C392-B392)*86400</f>
        <v>0.54599822</v>
      </c>
      <c r="G392" s="27" t="s">
        <v>152</v>
      </c>
      <c r="H392" s="27" t="s">
        <v>208</v>
      </c>
      <c r="I392" s="27" t="s">
        <v>418</v>
      </c>
      <c r="J392" s="27" t="s">
        <v>315</v>
      </c>
      <c r="K392" s="27" t="s">
        <v>330</v>
      </c>
      <c r="L392" s="3" t="str">
        <f aca="false">IF(ISNUMBER(SEARCH(" m",I392)),"Range",IF(I392="offline","Offline",IF(I392="","Unknown","No echo / error")))</f>
        <v>Range</v>
      </c>
      <c r="M392" s="3" t="str">
        <f aca="false">IF(ISNUMBER(SEARCH(" m",J392)),"Range",IF(J392="offline","Offline",IF(J392="","Unknown","No echo / error")))</f>
        <v>Range</v>
      </c>
      <c r="N392" s="3" t="str">
        <f aca="false">IF(ISNUMBER(SEARCH(" m",K392)),"Range",IF(K392="offline","Offline",IF(K392="","Unknown","No echo / error")))</f>
        <v>Range</v>
      </c>
      <c r="O392" s="3" t="str">
        <f aca="false">TEXT(B392,"yyyy-mm-dd")</f>
        <v>2026-10-05</v>
      </c>
    </row>
    <row r="393" customFormat="false" ht="15" hidden="false" customHeight="false" outlineLevel="0" collapsed="false">
      <c r="A393" s="27" t="n">
        <v>8</v>
      </c>
      <c r="B393" s="28" t="n">
        <v>46300.1572516667</v>
      </c>
      <c r="C393" s="29" t="n">
        <f aca="false">IF(A394=A393,B394,INDEX(Rounds!$D:$D,MATCH(A393,Rounds!$A:$A,0)))</f>
        <v>46300.157252963</v>
      </c>
      <c r="D393" s="30" t="n">
        <f aca="false">(B393-INDEX(Rounds!$C:$C,MATCH(A393,Rounds!$A:$A,0)))*86400</f>
        <v>5.90999925</v>
      </c>
      <c r="E393" s="30" t="n">
        <f aca="false">(C393-INDEX(Rounds!$C:$C,MATCH(A393,Rounds!$A:$A,0)))*86400</f>
        <v>6.022000126</v>
      </c>
      <c r="F393" s="31" t="n">
        <f aca="false">(C393-B393)*86400</f>
        <v>0.112000876</v>
      </c>
      <c r="G393" s="27" t="s">
        <v>151</v>
      </c>
      <c r="H393" s="27" t="s">
        <v>203</v>
      </c>
      <c r="I393" s="27" t="s">
        <v>418</v>
      </c>
      <c r="J393" s="27" t="s">
        <v>211</v>
      </c>
      <c r="K393" s="27" t="s">
        <v>252</v>
      </c>
      <c r="L393" s="3" t="str">
        <f aca="false">IF(ISNUMBER(SEARCH(" m",I393)),"Range",IF(I393="offline","Offline",IF(I393="","Unknown","No echo / error")))</f>
        <v>Range</v>
      </c>
      <c r="M393" s="3" t="str">
        <f aca="false">IF(ISNUMBER(SEARCH(" m",J393)),"Range",IF(J393="offline","Offline",IF(J393="","Unknown","No echo / error")))</f>
        <v>No echo / error</v>
      </c>
      <c r="N393" s="3" t="str">
        <f aca="false">IF(ISNUMBER(SEARCH(" m",K393)),"Range",IF(K393="offline","Offline",IF(K393="","Unknown","No echo / error")))</f>
        <v>Range</v>
      </c>
      <c r="O393" s="3" t="str">
        <f aca="false">TEXT(B393,"yyyy-mm-dd")</f>
        <v>2026-10-05</v>
      </c>
    </row>
    <row r="394" customFormat="false" ht="15" hidden="false" customHeight="false" outlineLevel="0" collapsed="false">
      <c r="A394" s="27" t="n">
        <v>8</v>
      </c>
      <c r="B394" s="28" t="n">
        <v>46300.157252963</v>
      </c>
      <c r="C394" s="29" t="n">
        <f aca="false">IF(A395=A394,B395,INDEX(Rounds!$D:$D,MATCH(A394,Rounds!$A:$A,0)))</f>
        <v>46300.1573011921</v>
      </c>
      <c r="D394" s="30" t="n">
        <f aca="false">(B394-INDEX(Rounds!$C:$C,MATCH(A394,Rounds!$A:$A,0)))*86400</f>
        <v>6.022000126</v>
      </c>
      <c r="E394" s="30" t="n">
        <f aca="false">(C394-INDEX(Rounds!$C:$C,MATCH(A394,Rounds!$A:$A,0)))*86400</f>
        <v>10.189000004</v>
      </c>
      <c r="F394" s="31" t="n">
        <f aca="false">(C394-B394)*86400</f>
        <v>4.166999878</v>
      </c>
      <c r="G394" s="27" t="s">
        <v>150</v>
      </c>
      <c r="H394" s="27" t="s">
        <v>206</v>
      </c>
      <c r="I394" s="27" t="s">
        <v>418</v>
      </c>
      <c r="J394" s="27" t="s">
        <v>253</v>
      </c>
      <c r="K394" s="27" t="s">
        <v>252</v>
      </c>
      <c r="L394" s="3" t="str">
        <f aca="false">IF(ISNUMBER(SEARCH(" m",I394)),"Range",IF(I394="offline","Offline",IF(I394="","Unknown","No echo / error")))</f>
        <v>Range</v>
      </c>
      <c r="M394" s="3" t="str">
        <f aca="false">IF(ISNUMBER(SEARCH(" m",J394)),"Range",IF(J394="offline","Offline",IF(J394="","Unknown","No echo / error")))</f>
        <v>Range</v>
      </c>
      <c r="N394" s="3" t="str">
        <f aca="false">IF(ISNUMBER(SEARCH(" m",K394)),"Range",IF(K394="offline","Offline",IF(K394="","Unknown","No echo / error")))</f>
        <v>Range</v>
      </c>
      <c r="O394" s="3" t="str">
        <f aca="false">TEXT(B394,"yyyy-mm-dd")</f>
        <v>2026-10-05</v>
      </c>
    </row>
    <row r="395" customFormat="false" ht="15" hidden="false" customHeight="false" outlineLevel="0" collapsed="false">
      <c r="A395" s="27" t="n">
        <v>8</v>
      </c>
      <c r="B395" s="28" t="n">
        <v>46300.1573011921</v>
      </c>
      <c r="C395" s="29" t="n">
        <f aca="false">IF(A396=A395,B396,INDEX(Rounds!$D:$D,MATCH(A395,Rounds!$A:$A,0)))</f>
        <v>46300.1573097569</v>
      </c>
      <c r="D395" s="30" t="n">
        <f aca="false">(B395-INDEX(Rounds!$C:$C,MATCH(A395,Rounds!$A:$A,0)))*86400</f>
        <v>10.189000004</v>
      </c>
      <c r="E395" s="30" t="n">
        <f aca="false">(C395-INDEX(Rounds!$C:$C,MATCH(A395,Rounds!$A:$A,0)))*86400</f>
        <v>10.928999888</v>
      </c>
      <c r="F395" s="31" t="n">
        <f aca="false">(C395-B395)*86400</f>
        <v>0.739999883</v>
      </c>
      <c r="G395" s="27" t="s">
        <v>152</v>
      </c>
      <c r="H395" s="27" t="s">
        <v>208</v>
      </c>
      <c r="I395" s="27" t="s">
        <v>205</v>
      </c>
      <c r="J395" s="27" t="s">
        <v>215</v>
      </c>
      <c r="K395" s="27" t="s">
        <v>204</v>
      </c>
      <c r="L395" s="3" t="str">
        <f aca="false">IF(ISNUMBER(SEARCH(" m",I395)),"Range",IF(I395="offline","Offline",IF(I395="","Unknown","No echo / error")))</f>
        <v>Range</v>
      </c>
      <c r="M395" s="3" t="str">
        <f aca="false">IF(ISNUMBER(SEARCH(" m",J395)),"Range",IF(J395="offline","Offline",IF(J395="","Unknown","No echo / error")))</f>
        <v>Range</v>
      </c>
      <c r="N395" s="3" t="str">
        <f aca="false">IF(ISNUMBER(SEARCH(" m",K395)),"Range",IF(K395="offline","Offline",IF(K395="","Unknown","No echo / error")))</f>
        <v>No echo / error</v>
      </c>
      <c r="O395" s="3" t="str">
        <f aca="false">TEXT(B395,"yyyy-mm-dd")</f>
        <v>2026-10-05</v>
      </c>
    </row>
    <row r="396" customFormat="false" ht="15" hidden="false" customHeight="false" outlineLevel="0" collapsed="false">
      <c r="A396" s="27" t="n">
        <v>8</v>
      </c>
      <c r="B396" s="28" t="n">
        <v>46300.1573097569</v>
      </c>
      <c r="C396" s="29" t="n">
        <f aca="false">IF(A397=A396,B397,INDEX(Rounds!$D:$D,MATCH(A396,Rounds!$A:$A,0)))</f>
        <v>46300.1573121644</v>
      </c>
      <c r="D396" s="30" t="n">
        <f aca="false">(B396-INDEX(Rounds!$C:$C,MATCH(A396,Rounds!$A:$A,0)))*86400</f>
        <v>10.928999888</v>
      </c>
      <c r="E396" s="30" t="n">
        <f aca="false">(C396-INDEX(Rounds!$C:$C,MATCH(A396,Rounds!$A:$A,0)))*86400</f>
        <v>11.137000168</v>
      </c>
      <c r="F396" s="31" t="n">
        <f aca="false">(C396-B396)*86400</f>
        <v>0.208000279</v>
      </c>
      <c r="G396" s="27" t="s">
        <v>151</v>
      </c>
      <c r="H396" s="27" t="s">
        <v>203</v>
      </c>
      <c r="I396" s="27" t="s">
        <v>212</v>
      </c>
      <c r="J396" s="27" t="s">
        <v>419</v>
      </c>
      <c r="K396" s="27" t="s">
        <v>204</v>
      </c>
      <c r="L396" s="3" t="str">
        <f aca="false">IF(ISNUMBER(SEARCH(" m",I396)),"Range",IF(I396="offline","Offline",IF(I396="","Unknown","No echo / error")))</f>
        <v>Range</v>
      </c>
      <c r="M396" s="3" t="str">
        <f aca="false">IF(ISNUMBER(SEARCH(" m",J396)),"Range",IF(J396="offline","Offline",IF(J396="","Unknown","No echo / error")))</f>
        <v>Range</v>
      </c>
      <c r="N396" s="3" t="str">
        <f aca="false">IF(ISNUMBER(SEARCH(" m",K396)),"Range",IF(K396="offline","Offline",IF(K396="","Unknown","No echo / error")))</f>
        <v>No echo / error</v>
      </c>
      <c r="O396" s="3" t="str">
        <f aca="false">TEXT(B396,"yyyy-mm-dd")</f>
        <v>2026-10-05</v>
      </c>
    </row>
    <row r="397" customFormat="false" ht="15" hidden="false" customHeight="false" outlineLevel="0" collapsed="false">
      <c r="A397" s="27" t="n">
        <v>8</v>
      </c>
      <c r="B397" s="28" t="n">
        <v>46300.1573121644</v>
      </c>
      <c r="C397" s="29" t="n">
        <f aca="false">IF(A398=A397,B398,INDEX(Rounds!$D:$D,MATCH(A397,Rounds!$A:$A,0)))</f>
        <v>46300.1573365625</v>
      </c>
      <c r="D397" s="30" t="n">
        <f aca="false">(B397-INDEX(Rounds!$C:$C,MATCH(A397,Rounds!$A:$A,0)))*86400</f>
        <v>11.137000168</v>
      </c>
      <c r="E397" s="30" t="n">
        <f aca="false">(C397-INDEX(Rounds!$C:$C,MATCH(A397,Rounds!$A:$A,0)))*86400</f>
        <v>13.245000201</v>
      </c>
      <c r="F397" s="31" t="n">
        <f aca="false">(C397-B397)*86400</f>
        <v>2.108000032</v>
      </c>
      <c r="G397" s="27" t="s">
        <v>150</v>
      </c>
      <c r="H397" s="27" t="s">
        <v>206</v>
      </c>
      <c r="I397" s="27" t="s">
        <v>212</v>
      </c>
      <c r="J397" s="27" t="s">
        <v>217</v>
      </c>
      <c r="K397" s="27" t="s">
        <v>216</v>
      </c>
      <c r="L397" s="3" t="str">
        <f aca="false">IF(ISNUMBER(SEARCH(" m",I397)),"Range",IF(I397="offline","Offline",IF(I397="","Unknown","No echo / error")))</f>
        <v>Range</v>
      </c>
      <c r="M397" s="3" t="str">
        <f aca="false">IF(ISNUMBER(SEARCH(" m",J397)),"Range",IF(J397="offline","Offline",IF(J397="","Unknown","No echo / error")))</f>
        <v>Range</v>
      </c>
      <c r="N397" s="3" t="str">
        <f aca="false">IF(ISNUMBER(SEARCH(" m",K397)),"Range",IF(K397="offline","Offline",IF(K397="","Unknown","No echo / error")))</f>
        <v>Range</v>
      </c>
      <c r="O397" s="3" t="str">
        <f aca="false">TEXT(B397,"yyyy-mm-dd")</f>
        <v>2026-10-05</v>
      </c>
    </row>
    <row r="398" customFormat="false" ht="15" hidden="false" customHeight="false" outlineLevel="0" collapsed="false">
      <c r="A398" s="27" t="n">
        <v>8</v>
      </c>
      <c r="B398" s="28" t="n">
        <v>46300.1573365625</v>
      </c>
      <c r="C398" s="29" t="n">
        <f aca="false">IF(A399=A398,B399,INDEX(Rounds!$D:$D,MATCH(A398,Rounds!$A:$A,0)))</f>
        <v>46300.1573384144</v>
      </c>
      <c r="D398" s="30" t="n">
        <f aca="false">(B398-INDEX(Rounds!$C:$C,MATCH(A398,Rounds!$A:$A,0)))*86400</f>
        <v>13.245000201</v>
      </c>
      <c r="E398" s="30" t="n">
        <f aca="false">(C398-INDEX(Rounds!$C:$C,MATCH(A398,Rounds!$A:$A,0)))*86400</f>
        <v>13.404999836</v>
      </c>
      <c r="F398" s="31" t="n">
        <f aca="false">(C398-B398)*86400</f>
        <v>0.159999635</v>
      </c>
      <c r="G398" s="27" t="s">
        <v>152</v>
      </c>
      <c r="H398" s="27" t="s">
        <v>208</v>
      </c>
      <c r="I398" s="27" t="s">
        <v>239</v>
      </c>
      <c r="J398" s="27" t="s">
        <v>204</v>
      </c>
      <c r="K398" s="27" t="s">
        <v>259</v>
      </c>
      <c r="L398" s="3" t="str">
        <f aca="false">IF(ISNUMBER(SEARCH(" m",I398)),"Range",IF(I398="offline","Offline",IF(I398="","Unknown","No echo / error")))</f>
        <v>Range</v>
      </c>
      <c r="M398" s="3" t="str">
        <f aca="false">IF(ISNUMBER(SEARCH(" m",J398)),"Range",IF(J398="offline","Offline",IF(J398="","Unknown","No echo / error")))</f>
        <v>No echo / error</v>
      </c>
      <c r="N398" s="3" t="str">
        <f aca="false">IF(ISNUMBER(SEARCH(" m",K398)),"Range",IF(K398="offline","Offline",IF(K398="","Unknown","No echo / error")))</f>
        <v>Range</v>
      </c>
      <c r="O398" s="3" t="str">
        <f aca="false">TEXT(B398,"yyyy-mm-dd")</f>
        <v>2026-10-05</v>
      </c>
    </row>
    <row r="399" customFormat="false" ht="15" hidden="false" customHeight="false" outlineLevel="0" collapsed="false">
      <c r="A399" s="27" t="n">
        <v>8</v>
      </c>
      <c r="B399" s="28" t="n">
        <v>46300.1573384144</v>
      </c>
      <c r="C399" s="29" t="n">
        <f aca="false">IF(A400=A399,B400,INDEX(Rounds!$D:$D,MATCH(A399,Rounds!$A:$A,0)))</f>
        <v>46300.1573432523</v>
      </c>
      <c r="D399" s="30" t="n">
        <f aca="false">(B399-INDEX(Rounds!$C:$C,MATCH(A399,Rounds!$A:$A,0)))*86400</f>
        <v>13.404999836</v>
      </c>
      <c r="E399" s="30" t="n">
        <f aca="false">(C399-INDEX(Rounds!$C:$C,MATCH(A399,Rounds!$A:$A,0)))*86400</f>
        <v>13.82299948</v>
      </c>
      <c r="F399" s="31" t="n">
        <f aca="false">(C399-B399)*86400</f>
        <v>0.417999643</v>
      </c>
      <c r="G399" s="27" t="s">
        <v>151</v>
      </c>
      <c r="H399" s="27" t="s">
        <v>203</v>
      </c>
      <c r="I399" s="27" t="s">
        <v>245</v>
      </c>
      <c r="J399" s="27" t="s">
        <v>204</v>
      </c>
      <c r="K399" s="27" t="s">
        <v>213</v>
      </c>
      <c r="L399" s="3" t="str">
        <f aca="false">IF(ISNUMBER(SEARCH(" m",I399)),"Range",IF(I399="offline","Offline",IF(I399="","Unknown","No echo / error")))</f>
        <v>Range</v>
      </c>
      <c r="M399" s="3" t="str">
        <f aca="false">IF(ISNUMBER(SEARCH(" m",J399)),"Range",IF(J399="offline","Offline",IF(J399="","Unknown","No echo / error")))</f>
        <v>No echo / error</v>
      </c>
      <c r="N399" s="3" t="str">
        <f aca="false">IF(ISNUMBER(SEARCH(" m",K399)),"Range",IF(K399="offline","Offline",IF(K399="","Unknown","No echo / error")))</f>
        <v>Range</v>
      </c>
      <c r="O399" s="3" t="str">
        <f aca="false">TEXT(B399,"yyyy-mm-dd")</f>
        <v>2026-10-05</v>
      </c>
    </row>
    <row r="400" customFormat="false" ht="15" hidden="false" customHeight="false" outlineLevel="0" collapsed="false">
      <c r="A400" s="27" t="n">
        <v>8</v>
      </c>
      <c r="B400" s="28" t="n">
        <v>46300.1573432523</v>
      </c>
      <c r="C400" s="29" t="n">
        <f aca="false">IF(A401=A400,B401,INDEX(Rounds!$D:$D,MATCH(A400,Rounds!$A:$A,0)))</f>
        <v>46300.1573443866</v>
      </c>
      <c r="D400" s="30" t="n">
        <f aca="false">(B400-INDEX(Rounds!$C:$C,MATCH(A400,Rounds!$A:$A,0)))*86400</f>
        <v>13.82299948</v>
      </c>
      <c r="E400" s="30" t="n">
        <f aca="false">(C400-INDEX(Rounds!$C:$C,MATCH(A400,Rounds!$A:$A,0)))*86400</f>
        <v>13.920999853</v>
      </c>
      <c r="F400" s="31" t="n">
        <f aca="false">(C400-B400)*86400</f>
        <v>0.098000373</v>
      </c>
      <c r="G400" s="27" t="s">
        <v>150</v>
      </c>
      <c r="H400" s="27" t="s">
        <v>206</v>
      </c>
      <c r="I400" s="27" t="s">
        <v>389</v>
      </c>
      <c r="J400" s="27" t="s">
        <v>204</v>
      </c>
      <c r="K400" s="27" t="s">
        <v>207</v>
      </c>
      <c r="L400" s="3" t="str">
        <f aca="false">IF(ISNUMBER(SEARCH(" m",I400)),"Range",IF(I400="offline","Offline",IF(I400="","Unknown","No echo / error")))</f>
        <v>Range</v>
      </c>
      <c r="M400" s="3" t="str">
        <f aca="false">IF(ISNUMBER(SEARCH(" m",J400)),"Range",IF(J400="offline","Offline",IF(J400="","Unknown","No echo / error")))</f>
        <v>No echo / error</v>
      </c>
      <c r="N400" s="3" t="str">
        <f aca="false">IF(ISNUMBER(SEARCH(" m",K400)),"Range",IF(K400="offline","Offline",IF(K400="","Unknown","No echo / error")))</f>
        <v>Range</v>
      </c>
      <c r="O400" s="3" t="str">
        <f aca="false">TEXT(B400,"yyyy-mm-dd")</f>
        <v>2026-10-05</v>
      </c>
    </row>
    <row r="401" customFormat="false" ht="15" hidden="false" customHeight="false" outlineLevel="0" collapsed="false">
      <c r="A401" s="27" t="n">
        <v>8</v>
      </c>
      <c r="B401" s="28" t="n">
        <v>46300.1573443866</v>
      </c>
      <c r="C401" s="29" t="n">
        <f aca="false">IF(A402=A401,B402,INDEX(Rounds!$D:$D,MATCH(A401,Rounds!$A:$A,0)))</f>
        <v>46300.1573494097</v>
      </c>
      <c r="D401" s="30" t="n">
        <f aca="false">(B401-INDEX(Rounds!$C:$C,MATCH(A401,Rounds!$A:$A,0)))*86400</f>
        <v>13.920999853</v>
      </c>
      <c r="E401" s="30" t="n">
        <f aca="false">(C401-INDEX(Rounds!$C:$C,MATCH(A401,Rounds!$A:$A,0)))*86400</f>
        <v>14.354999712</v>
      </c>
      <c r="F401" s="31" t="n">
        <f aca="false">(C401-B401)*86400</f>
        <v>0.433999858</v>
      </c>
      <c r="G401" s="27" t="s">
        <v>151</v>
      </c>
      <c r="H401" s="27" t="s">
        <v>203</v>
      </c>
      <c r="I401" s="27" t="s">
        <v>382</v>
      </c>
      <c r="J401" s="27" t="s">
        <v>204</v>
      </c>
      <c r="K401" s="27" t="s">
        <v>207</v>
      </c>
      <c r="L401" s="3" t="str">
        <f aca="false">IF(ISNUMBER(SEARCH(" m",I401)),"Range",IF(I401="offline","Offline",IF(I401="","Unknown","No echo / error")))</f>
        <v>Range</v>
      </c>
      <c r="M401" s="3" t="str">
        <f aca="false">IF(ISNUMBER(SEARCH(" m",J401)),"Range",IF(J401="offline","Offline",IF(J401="","Unknown","No echo / error")))</f>
        <v>No echo / error</v>
      </c>
      <c r="N401" s="3" t="str">
        <f aca="false">IF(ISNUMBER(SEARCH(" m",K401)),"Range",IF(K401="offline","Offline",IF(K401="","Unknown","No echo / error")))</f>
        <v>Range</v>
      </c>
      <c r="O401" s="3" t="str">
        <f aca="false">TEXT(B401,"yyyy-mm-dd")</f>
        <v>2026-10-05</v>
      </c>
    </row>
    <row r="402" customFormat="false" ht="15" hidden="false" customHeight="false" outlineLevel="0" collapsed="false">
      <c r="A402" s="27" t="n">
        <v>8</v>
      </c>
      <c r="B402" s="28" t="n">
        <v>46300.1573494097</v>
      </c>
      <c r="C402" s="29" t="n">
        <f aca="false">IF(A403=A402,B403,INDEX(Rounds!$D:$D,MATCH(A402,Rounds!$A:$A,0)))</f>
        <v>46300.1573657639</v>
      </c>
      <c r="D402" s="30" t="n">
        <f aca="false">(B402-INDEX(Rounds!$C:$C,MATCH(A402,Rounds!$A:$A,0)))*86400</f>
        <v>14.354999712</v>
      </c>
      <c r="E402" s="30" t="n">
        <f aca="false">(C402-INDEX(Rounds!$C:$C,MATCH(A402,Rounds!$A:$A,0)))*86400</f>
        <v>15.767999994</v>
      </c>
      <c r="F402" s="31" t="n">
        <f aca="false">(C402-B402)*86400</f>
        <v>1.413000281</v>
      </c>
      <c r="G402" s="27" t="s">
        <v>150</v>
      </c>
      <c r="H402" s="27" t="s">
        <v>206</v>
      </c>
      <c r="I402" s="27" t="s">
        <v>205</v>
      </c>
      <c r="J402" s="27" t="s">
        <v>271</v>
      </c>
      <c r="K402" s="27" t="s">
        <v>213</v>
      </c>
      <c r="L402" s="3" t="str">
        <f aca="false">IF(ISNUMBER(SEARCH(" m",I402)),"Range",IF(I402="offline","Offline",IF(I402="","Unknown","No echo / error")))</f>
        <v>Range</v>
      </c>
      <c r="M402" s="3" t="str">
        <f aca="false">IF(ISNUMBER(SEARCH(" m",J402)),"Range",IF(J402="offline","Offline",IF(J402="","Unknown","No echo / error")))</f>
        <v>Range</v>
      </c>
      <c r="N402" s="3" t="str">
        <f aca="false">IF(ISNUMBER(SEARCH(" m",K402)),"Range",IF(K402="offline","Offline",IF(K402="","Unknown","No echo / error")))</f>
        <v>Range</v>
      </c>
      <c r="O402" s="3" t="str">
        <f aca="false">TEXT(B402,"yyyy-mm-dd")</f>
        <v>2026-10-05</v>
      </c>
    </row>
    <row r="403" customFormat="false" ht="15" hidden="false" customHeight="false" outlineLevel="0" collapsed="false">
      <c r="A403" s="27" t="n">
        <v>8</v>
      </c>
      <c r="B403" s="28" t="n">
        <v>46300.1573657639</v>
      </c>
      <c r="C403" s="29" t="n">
        <f aca="false">IF(A404=A403,B404,INDEX(Rounds!$D:$D,MATCH(A403,Rounds!$A:$A,0)))</f>
        <v>46300.157402257</v>
      </c>
      <c r="D403" s="30" t="n">
        <f aca="false">(B403-INDEX(Rounds!$C:$C,MATCH(A403,Rounds!$A:$A,0)))*86400</f>
        <v>15.767999994</v>
      </c>
      <c r="E403" s="30" t="n">
        <f aca="false">(C403-INDEX(Rounds!$C:$C,MATCH(A403,Rounds!$A:$A,0)))*86400</f>
        <v>18.921000394</v>
      </c>
      <c r="F403" s="31" t="n">
        <f aca="false">(C403-B403)*86400</f>
        <v>3.153000399</v>
      </c>
      <c r="G403" s="27" t="s">
        <v>153</v>
      </c>
      <c r="H403" s="27" t="s">
        <v>324</v>
      </c>
      <c r="I403" s="27" t="s">
        <v>420</v>
      </c>
      <c r="J403" s="27" t="s">
        <v>377</v>
      </c>
      <c r="K403" s="27" t="s">
        <v>373</v>
      </c>
      <c r="L403" s="3" t="str">
        <f aca="false">IF(ISNUMBER(SEARCH(" m",I403)),"Range",IF(I403="offline","Offline",IF(I403="","Unknown","No echo / error")))</f>
        <v>Range</v>
      </c>
      <c r="M403" s="3" t="str">
        <f aca="false">IF(ISNUMBER(SEARCH(" m",J403)),"Range",IF(J403="offline","Offline",IF(J403="","Unknown","No echo / error")))</f>
        <v>Range</v>
      </c>
      <c r="N403" s="3" t="str">
        <f aca="false">IF(ISNUMBER(SEARCH(" m",K403)),"Range",IF(K403="offline","Offline",IF(K403="","Unknown","No echo / error")))</f>
        <v>Range</v>
      </c>
      <c r="O403" s="3" t="str">
        <f aca="false">TEXT(B403,"yyyy-mm-dd")</f>
        <v>2026-10-05</v>
      </c>
    </row>
    <row r="404" customFormat="false" ht="15" hidden="false" customHeight="false" outlineLevel="0" collapsed="false">
      <c r="A404" s="27" t="n">
        <v>8</v>
      </c>
      <c r="B404" s="28" t="n">
        <v>46300.157402257</v>
      </c>
      <c r="C404" s="29" t="n">
        <f aca="false">IF(A405=A404,B405,INDEX(Rounds!$D:$D,MATCH(A404,Rounds!$A:$A,0)))</f>
        <v>46300.1574069213</v>
      </c>
      <c r="D404" s="30" t="n">
        <f aca="false">(B404-INDEX(Rounds!$C:$C,MATCH(A404,Rounds!$A:$A,0)))*86400</f>
        <v>18.921000394</v>
      </c>
      <c r="E404" s="30" t="n">
        <f aca="false">(C404-INDEX(Rounds!$C:$C,MATCH(A404,Rounds!$A:$A,0)))*86400</f>
        <v>19.323999364</v>
      </c>
      <c r="F404" s="31" t="n">
        <f aca="false">(C404-B404)*86400</f>
        <v>0.40299897</v>
      </c>
      <c r="G404" s="27" t="s">
        <v>151</v>
      </c>
      <c r="H404" s="27" t="s">
        <v>203</v>
      </c>
      <c r="I404" s="27" t="s">
        <v>204</v>
      </c>
      <c r="J404" s="27" t="s">
        <v>237</v>
      </c>
      <c r="K404" s="27" t="s">
        <v>204</v>
      </c>
      <c r="L404" s="3" t="str">
        <f aca="false">IF(ISNUMBER(SEARCH(" m",I404)),"Range",IF(I404="offline","Offline",IF(I404="","Unknown","No echo / error")))</f>
        <v>No echo / error</v>
      </c>
      <c r="M404" s="3" t="str">
        <f aca="false">IF(ISNUMBER(SEARCH(" m",J404)),"Range",IF(J404="offline","Offline",IF(J404="","Unknown","No echo / error")))</f>
        <v>Range</v>
      </c>
      <c r="N404" s="3" t="str">
        <f aca="false">IF(ISNUMBER(SEARCH(" m",K404)),"Range",IF(K404="offline","Offline",IF(K404="","Unknown","No echo / error")))</f>
        <v>No echo / error</v>
      </c>
      <c r="O404" s="3" t="str">
        <f aca="false">TEXT(B404,"yyyy-mm-dd")</f>
        <v>2026-10-05</v>
      </c>
    </row>
    <row r="405" customFormat="false" ht="15" hidden="false" customHeight="false" outlineLevel="0" collapsed="false">
      <c r="A405" s="27" t="n">
        <v>8</v>
      </c>
      <c r="B405" s="28" t="n">
        <v>46300.1574069213</v>
      </c>
      <c r="C405" s="29" t="n">
        <f aca="false">IF(A406=A405,B406,INDEX(Rounds!$D:$D,MATCH(A405,Rounds!$A:$A,0)))</f>
        <v>46300.1574225694</v>
      </c>
      <c r="D405" s="30" t="n">
        <f aca="false">(B405-INDEX(Rounds!$C:$C,MATCH(A405,Rounds!$A:$A,0)))*86400</f>
        <v>19.323999364</v>
      </c>
      <c r="E405" s="30" t="n">
        <f aca="false">(C405-INDEX(Rounds!$C:$C,MATCH(A405,Rounds!$A:$A,0)))*86400</f>
        <v>20.675999927</v>
      </c>
      <c r="F405" s="31" t="n">
        <f aca="false">(C405-B405)*86400</f>
        <v>1.352000562</v>
      </c>
      <c r="G405" s="27" t="s">
        <v>152</v>
      </c>
      <c r="H405" s="27" t="s">
        <v>208</v>
      </c>
      <c r="I405" s="27" t="s">
        <v>204</v>
      </c>
      <c r="J405" s="27" t="s">
        <v>204</v>
      </c>
      <c r="K405" s="27" t="s">
        <v>204</v>
      </c>
      <c r="L405" s="3" t="str">
        <f aca="false">IF(ISNUMBER(SEARCH(" m",I405)),"Range",IF(I405="offline","Offline",IF(I405="","Unknown","No echo / error")))</f>
        <v>No echo / error</v>
      </c>
      <c r="M405" s="3" t="str">
        <f aca="false">IF(ISNUMBER(SEARCH(" m",J405)),"Range",IF(J405="offline","Offline",IF(J405="","Unknown","No echo / error")))</f>
        <v>No echo / error</v>
      </c>
      <c r="N405" s="3" t="str">
        <f aca="false">IF(ISNUMBER(SEARCH(" m",K405)),"Range",IF(K405="offline","Offline",IF(K405="","Unknown","No echo / error")))</f>
        <v>No echo / error</v>
      </c>
      <c r="O405" s="3" t="str">
        <f aca="false">TEXT(B405,"yyyy-mm-dd")</f>
        <v>2026-10-05</v>
      </c>
    </row>
    <row r="406" customFormat="false" ht="15" hidden="false" customHeight="false" outlineLevel="0" collapsed="false">
      <c r="A406" s="27" t="n">
        <v>8</v>
      </c>
      <c r="B406" s="28" t="n">
        <v>46300.1574225694</v>
      </c>
      <c r="C406" s="29" t="n">
        <f aca="false">IF(A407=A406,B407,INDEX(Rounds!$D:$D,MATCH(A406,Rounds!$A:$A,0)))</f>
        <v>46300.1574236921</v>
      </c>
      <c r="D406" s="30" t="n">
        <f aca="false">(B406-INDEX(Rounds!$C:$C,MATCH(A406,Rounds!$A:$A,0)))*86400</f>
        <v>20.675999927</v>
      </c>
      <c r="E406" s="30" t="n">
        <f aca="false">(C406-INDEX(Rounds!$C:$C,MATCH(A406,Rounds!$A:$A,0)))*86400</f>
        <v>20.77300013</v>
      </c>
      <c r="F406" s="31" t="n">
        <f aca="false">(C406-B406)*86400</f>
        <v>0.097000203</v>
      </c>
      <c r="G406" s="27" t="s">
        <v>151</v>
      </c>
      <c r="H406" s="27" t="s">
        <v>203</v>
      </c>
      <c r="I406" s="27" t="s">
        <v>421</v>
      </c>
      <c r="J406" s="27" t="s">
        <v>204</v>
      </c>
      <c r="K406" s="27" t="s">
        <v>422</v>
      </c>
      <c r="L406" s="3" t="str">
        <f aca="false">IF(ISNUMBER(SEARCH(" m",I406)),"Range",IF(I406="offline","Offline",IF(I406="","Unknown","No echo / error")))</f>
        <v>Range</v>
      </c>
      <c r="M406" s="3" t="str">
        <f aca="false">IF(ISNUMBER(SEARCH(" m",J406)),"Range",IF(J406="offline","Offline",IF(J406="","Unknown","No echo / error")))</f>
        <v>No echo / error</v>
      </c>
      <c r="N406" s="3" t="str">
        <f aca="false">IF(ISNUMBER(SEARCH(" m",K406)),"Range",IF(K406="offline","Offline",IF(K406="","Unknown","No echo / error")))</f>
        <v>Range</v>
      </c>
      <c r="O406" s="3" t="str">
        <f aca="false">TEXT(B406,"yyyy-mm-dd")</f>
        <v>2026-10-05</v>
      </c>
    </row>
    <row r="407" customFormat="false" ht="15" hidden="false" customHeight="false" outlineLevel="0" collapsed="false">
      <c r="A407" s="27" t="n">
        <v>8</v>
      </c>
      <c r="B407" s="28" t="n">
        <v>46300.1574236921</v>
      </c>
      <c r="C407" s="29" t="n">
        <f aca="false">IF(A408=A407,B408,INDEX(Rounds!$D:$D,MATCH(A407,Rounds!$A:$A,0)))</f>
        <v>46300.1574773843</v>
      </c>
      <c r="D407" s="30" t="n">
        <f aca="false">(B407-INDEX(Rounds!$C:$C,MATCH(A407,Rounds!$A:$A,0)))*86400</f>
        <v>20.77300013</v>
      </c>
      <c r="E407" s="30" t="n">
        <f aca="false">(C407-INDEX(Rounds!$C:$C,MATCH(A407,Rounds!$A:$A,0)))*86400</f>
        <v>25.412000063</v>
      </c>
      <c r="F407" s="31" t="n">
        <f aca="false">(C407-B407)*86400</f>
        <v>4.638999933</v>
      </c>
      <c r="G407" s="27" t="s">
        <v>150</v>
      </c>
      <c r="H407" s="27" t="s">
        <v>206</v>
      </c>
      <c r="I407" s="27" t="s">
        <v>261</v>
      </c>
      <c r="J407" s="27" t="s">
        <v>204</v>
      </c>
      <c r="K407" s="27" t="s">
        <v>422</v>
      </c>
      <c r="L407" s="3" t="str">
        <f aca="false">IF(ISNUMBER(SEARCH(" m",I407)),"Range",IF(I407="offline","Offline",IF(I407="","Unknown","No echo / error")))</f>
        <v>Range</v>
      </c>
      <c r="M407" s="3" t="str">
        <f aca="false">IF(ISNUMBER(SEARCH(" m",J407)),"Range",IF(J407="offline","Offline",IF(J407="","Unknown","No echo / error")))</f>
        <v>No echo / error</v>
      </c>
      <c r="N407" s="3" t="str">
        <f aca="false">IF(ISNUMBER(SEARCH(" m",K407)),"Range",IF(K407="offline","Offline",IF(K407="","Unknown","No echo / error")))</f>
        <v>Range</v>
      </c>
      <c r="O407" s="3" t="str">
        <f aca="false">TEXT(B407,"yyyy-mm-dd")</f>
        <v>2026-10-05</v>
      </c>
    </row>
    <row r="408" customFormat="false" ht="15" hidden="false" customHeight="false" outlineLevel="0" collapsed="false">
      <c r="A408" s="27" t="n">
        <v>8</v>
      </c>
      <c r="B408" s="28" t="n">
        <v>46300.1574773843</v>
      </c>
      <c r="C408" s="29" t="n">
        <f aca="false">IF(A409=A408,B409,INDEX(Rounds!$D:$D,MATCH(A408,Rounds!$A:$A,0)))</f>
        <v>46300.1574818403</v>
      </c>
      <c r="D408" s="30" t="n">
        <f aca="false">(B408-INDEX(Rounds!$C:$C,MATCH(A408,Rounds!$A:$A,0)))*86400</f>
        <v>25.412000063</v>
      </c>
      <c r="E408" s="30" t="n">
        <f aca="false">(C408-INDEX(Rounds!$C:$C,MATCH(A408,Rounds!$A:$A,0)))*86400</f>
        <v>25.797000364</v>
      </c>
      <c r="F408" s="31" t="n">
        <f aca="false">(C408-B408)*86400</f>
        <v>0.3850003</v>
      </c>
      <c r="G408" s="27" t="s">
        <v>152</v>
      </c>
      <c r="H408" s="27" t="s">
        <v>208</v>
      </c>
      <c r="I408" s="27" t="s">
        <v>348</v>
      </c>
      <c r="J408" s="27" t="s">
        <v>423</v>
      </c>
      <c r="K408" s="27" t="s">
        <v>424</v>
      </c>
      <c r="L408" s="3" t="str">
        <f aca="false">IF(ISNUMBER(SEARCH(" m",I408)),"Range",IF(I408="offline","Offline",IF(I408="","Unknown","No echo / error")))</f>
        <v>Range</v>
      </c>
      <c r="M408" s="3" t="str">
        <f aca="false">IF(ISNUMBER(SEARCH(" m",J408)),"Range",IF(J408="offline","Offline",IF(J408="","Unknown","No echo / error")))</f>
        <v>Range</v>
      </c>
      <c r="N408" s="3" t="str">
        <f aca="false">IF(ISNUMBER(SEARCH(" m",K408)),"Range",IF(K408="offline","Offline",IF(K408="","Unknown","No echo / error")))</f>
        <v>Range</v>
      </c>
      <c r="O408" s="3" t="str">
        <f aca="false">TEXT(B408,"yyyy-mm-dd")</f>
        <v>2026-10-05</v>
      </c>
    </row>
    <row r="409" customFormat="false" ht="15" hidden="false" customHeight="false" outlineLevel="0" collapsed="false">
      <c r="A409" s="27" t="n">
        <v>8</v>
      </c>
      <c r="B409" s="28" t="n">
        <v>46300.1574818403</v>
      </c>
      <c r="C409" s="29" t="n">
        <f aca="false">IF(A410=A409,B410,INDEX(Rounds!$D:$D,MATCH(A409,Rounds!$A:$A,0)))</f>
        <v>46300.1574831366</v>
      </c>
      <c r="D409" s="30" t="n">
        <f aca="false">(B409-INDEX(Rounds!$C:$C,MATCH(A409,Rounds!$A:$A,0)))*86400</f>
        <v>25.797000364</v>
      </c>
      <c r="E409" s="30" t="n">
        <f aca="false">(C409-INDEX(Rounds!$C:$C,MATCH(A409,Rounds!$A:$A,0)))*86400</f>
        <v>25.908999983</v>
      </c>
      <c r="F409" s="31" t="n">
        <f aca="false">(C409-B409)*86400</f>
        <v>0.111999618</v>
      </c>
      <c r="G409" s="27" t="s">
        <v>151</v>
      </c>
      <c r="H409" s="27" t="s">
        <v>203</v>
      </c>
      <c r="I409" s="27" t="s">
        <v>340</v>
      </c>
      <c r="J409" s="27" t="s">
        <v>286</v>
      </c>
      <c r="K409" s="27" t="s">
        <v>204</v>
      </c>
      <c r="L409" s="3" t="str">
        <f aca="false">IF(ISNUMBER(SEARCH(" m",I409)),"Range",IF(I409="offline","Offline",IF(I409="","Unknown","No echo / error")))</f>
        <v>Range</v>
      </c>
      <c r="M409" s="3" t="str">
        <f aca="false">IF(ISNUMBER(SEARCH(" m",J409)),"Range",IF(J409="offline","Offline",IF(J409="","Unknown","No echo / error")))</f>
        <v>Range</v>
      </c>
      <c r="N409" s="3" t="str">
        <f aca="false">IF(ISNUMBER(SEARCH(" m",K409)),"Range",IF(K409="offline","Offline",IF(K409="","Unknown","No echo / error")))</f>
        <v>No echo / error</v>
      </c>
      <c r="O409" s="3" t="str">
        <f aca="false">TEXT(B409,"yyyy-mm-dd")</f>
        <v>2026-10-05</v>
      </c>
    </row>
    <row r="410" customFormat="false" ht="15" hidden="false" customHeight="false" outlineLevel="0" collapsed="false">
      <c r="A410" s="27" t="n">
        <v>8</v>
      </c>
      <c r="B410" s="28" t="n">
        <v>46300.1574831366</v>
      </c>
      <c r="C410" s="29" t="n">
        <f aca="false">IF(A411=A410,B411,INDEX(Rounds!$D:$D,MATCH(A410,Rounds!$A:$A,0)))</f>
        <v>46300.1575261458</v>
      </c>
      <c r="D410" s="30" t="n">
        <f aca="false">(B410-INDEX(Rounds!$C:$C,MATCH(A410,Rounds!$A:$A,0)))*86400</f>
        <v>25.908999983</v>
      </c>
      <c r="E410" s="30" t="n">
        <f aca="false">(C410-INDEX(Rounds!$C:$C,MATCH(A410,Rounds!$A:$A,0)))*86400</f>
        <v>29.624999617</v>
      </c>
      <c r="F410" s="31" t="n">
        <f aca="false">(C410-B410)*86400</f>
        <v>3.715999634</v>
      </c>
      <c r="G410" s="27" t="s">
        <v>150</v>
      </c>
      <c r="H410" s="27" t="s">
        <v>206</v>
      </c>
      <c r="I410" s="27" t="s">
        <v>425</v>
      </c>
      <c r="J410" s="27" t="s">
        <v>286</v>
      </c>
      <c r="K410" s="27" t="s">
        <v>204</v>
      </c>
      <c r="L410" s="3" t="str">
        <f aca="false">IF(ISNUMBER(SEARCH(" m",I410)),"Range",IF(I410="offline","Offline",IF(I410="","Unknown","No echo / error")))</f>
        <v>Range</v>
      </c>
      <c r="M410" s="3" t="str">
        <f aca="false">IF(ISNUMBER(SEARCH(" m",J410)),"Range",IF(J410="offline","Offline",IF(J410="","Unknown","No echo / error")))</f>
        <v>Range</v>
      </c>
      <c r="N410" s="3" t="str">
        <f aca="false">IF(ISNUMBER(SEARCH(" m",K410)),"Range",IF(K410="offline","Offline",IF(K410="","Unknown","No echo / error")))</f>
        <v>No echo / error</v>
      </c>
      <c r="O410" s="3" t="str">
        <f aca="false">TEXT(B410,"yyyy-mm-dd")</f>
        <v>2026-10-05</v>
      </c>
    </row>
    <row r="411" customFormat="false" ht="15" hidden="false" customHeight="false" outlineLevel="0" collapsed="false">
      <c r="A411" s="27" t="n">
        <v>8</v>
      </c>
      <c r="B411" s="28" t="n">
        <v>46300.1575261458</v>
      </c>
      <c r="C411" s="29" t="n">
        <f aca="false">IF(A412=A411,B412,INDEX(Rounds!$D:$D,MATCH(A411,Rounds!$A:$A,0)))</f>
        <v>46300.1575319097</v>
      </c>
      <c r="D411" s="30" t="n">
        <f aca="false">(B411-INDEX(Rounds!$C:$C,MATCH(A411,Rounds!$A:$A,0)))*86400</f>
        <v>29.624999617</v>
      </c>
      <c r="E411" s="30" t="n">
        <f aca="false">(C411-INDEX(Rounds!$C:$C,MATCH(A411,Rounds!$A:$A,0)))*86400</f>
        <v>30.122999707</v>
      </c>
      <c r="F411" s="31" t="n">
        <f aca="false">(C411-B411)*86400</f>
        <v>0.49800009</v>
      </c>
      <c r="G411" s="27" t="s">
        <v>152</v>
      </c>
      <c r="H411" s="27" t="s">
        <v>208</v>
      </c>
      <c r="I411" s="27" t="s">
        <v>211</v>
      </c>
      <c r="J411" s="27" t="s">
        <v>221</v>
      </c>
      <c r="K411" s="27" t="s">
        <v>242</v>
      </c>
      <c r="L411" s="3" t="str">
        <f aca="false">IF(ISNUMBER(SEARCH(" m",I411)),"Range",IF(I411="offline","Offline",IF(I411="","Unknown","No echo / error")))</f>
        <v>No echo / error</v>
      </c>
      <c r="M411" s="3" t="str">
        <f aca="false">IF(ISNUMBER(SEARCH(" m",J411)),"Range",IF(J411="offline","Offline",IF(J411="","Unknown","No echo / error")))</f>
        <v>Range</v>
      </c>
      <c r="N411" s="3" t="str">
        <f aca="false">IF(ISNUMBER(SEARCH(" m",K411)),"Range",IF(K411="offline","Offline",IF(K411="","Unknown","No echo / error")))</f>
        <v>Range</v>
      </c>
      <c r="O411" s="3" t="str">
        <f aca="false">TEXT(B411,"yyyy-mm-dd")</f>
        <v>2026-10-05</v>
      </c>
    </row>
    <row r="412" customFormat="false" ht="15" hidden="false" customHeight="false" outlineLevel="0" collapsed="false">
      <c r="A412" s="27" t="n">
        <v>8</v>
      </c>
      <c r="B412" s="28" t="n">
        <v>46300.1575319097</v>
      </c>
      <c r="C412" s="29" t="n">
        <f aca="false">IF(A413=A412,B413,INDEX(Rounds!$D:$D,MATCH(A412,Rounds!$A:$A,0)))</f>
        <v>46300.1575374884</v>
      </c>
      <c r="D412" s="30" t="n">
        <f aca="false">(B412-INDEX(Rounds!$C:$C,MATCH(A412,Rounds!$A:$A,0)))*86400</f>
        <v>30.122999707</v>
      </c>
      <c r="E412" s="30" t="n">
        <f aca="false">(C412-INDEX(Rounds!$C:$C,MATCH(A412,Rounds!$A:$A,0)))*86400</f>
        <v>30.60500021</v>
      </c>
      <c r="F412" s="31" t="n">
        <f aca="false">(C412-B412)*86400</f>
        <v>0.482000503</v>
      </c>
      <c r="G412" s="27" t="s">
        <v>151</v>
      </c>
      <c r="H412" s="27" t="s">
        <v>203</v>
      </c>
      <c r="I412" s="27" t="s">
        <v>211</v>
      </c>
      <c r="J412" s="27" t="s">
        <v>299</v>
      </c>
      <c r="K412" s="27" t="s">
        <v>242</v>
      </c>
      <c r="L412" s="3" t="str">
        <f aca="false">IF(ISNUMBER(SEARCH(" m",I412)),"Range",IF(I412="offline","Offline",IF(I412="","Unknown","No echo / error")))</f>
        <v>No echo / error</v>
      </c>
      <c r="M412" s="3" t="str">
        <f aca="false">IF(ISNUMBER(SEARCH(" m",J412)),"Range",IF(J412="offline","Offline",IF(J412="","Unknown","No echo / error")))</f>
        <v>Range</v>
      </c>
      <c r="N412" s="3" t="str">
        <f aca="false">IF(ISNUMBER(SEARCH(" m",K412)),"Range",IF(K412="offline","Offline",IF(K412="","Unknown","No echo / error")))</f>
        <v>Range</v>
      </c>
      <c r="O412" s="3" t="str">
        <f aca="false">TEXT(B412,"yyyy-mm-dd")</f>
        <v>2026-10-05</v>
      </c>
    </row>
    <row r="413" customFormat="false" ht="15" hidden="false" customHeight="false" outlineLevel="0" collapsed="false">
      <c r="A413" s="27" t="n">
        <v>8</v>
      </c>
      <c r="B413" s="28" t="n">
        <v>46300.1575374884</v>
      </c>
      <c r="C413" s="29" t="n">
        <f aca="false">IF(A414=A413,B414,INDEX(Rounds!$D:$D,MATCH(A413,Rounds!$A:$A,0)))</f>
        <v>46300.1575387847</v>
      </c>
      <c r="D413" s="30" t="n">
        <f aca="false">(B413-INDEX(Rounds!$C:$C,MATCH(A413,Rounds!$A:$A,0)))*86400</f>
        <v>30.60500021</v>
      </c>
      <c r="E413" s="30" t="n">
        <f aca="false">(C413-INDEX(Rounds!$C:$C,MATCH(A413,Rounds!$A:$A,0)))*86400</f>
        <v>30.716999829</v>
      </c>
      <c r="F413" s="31" t="n">
        <f aca="false">(C413-B413)*86400</f>
        <v>0.111999618</v>
      </c>
      <c r="G413" s="27" t="s">
        <v>152</v>
      </c>
      <c r="H413" s="27" t="s">
        <v>208</v>
      </c>
      <c r="I413" s="27" t="s">
        <v>204</v>
      </c>
      <c r="J413" s="27" t="s">
        <v>239</v>
      </c>
      <c r="K413" s="27" t="s">
        <v>278</v>
      </c>
      <c r="L413" s="3" t="str">
        <f aca="false">IF(ISNUMBER(SEARCH(" m",I413)),"Range",IF(I413="offline","Offline",IF(I413="","Unknown","No echo / error")))</f>
        <v>No echo / error</v>
      </c>
      <c r="M413" s="3" t="str">
        <f aca="false">IF(ISNUMBER(SEARCH(" m",J413)),"Range",IF(J413="offline","Offline",IF(J413="","Unknown","No echo / error")))</f>
        <v>Range</v>
      </c>
      <c r="N413" s="3" t="str">
        <f aca="false">IF(ISNUMBER(SEARCH(" m",K413)),"Range",IF(K413="offline","Offline",IF(K413="","Unknown","No echo / error")))</f>
        <v>Range</v>
      </c>
      <c r="O413" s="3" t="str">
        <f aca="false">TEXT(B413,"yyyy-mm-dd")</f>
        <v>2026-10-05</v>
      </c>
    </row>
    <row r="414" customFormat="false" ht="15" hidden="false" customHeight="false" outlineLevel="0" collapsed="false">
      <c r="A414" s="27" t="n">
        <v>8</v>
      </c>
      <c r="B414" s="28" t="n">
        <v>46300.1575387847</v>
      </c>
      <c r="C414" s="29" t="n">
        <f aca="false">IF(A415=A414,B415,INDEX(Rounds!$D:$D,MATCH(A414,Rounds!$A:$A,0)))</f>
        <v>46300.1575413773</v>
      </c>
      <c r="D414" s="30" t="n">
        <f aca="false">(B414-INDEX(Rounds!$C:$C,MATCH(A414,Rounds!$A:$A,0)))*86400</f>
        <v>30.716999829</v>
      </c>
      <c r="E414" s="30" t="n">
        <f aca="false">(C414-INDEX(Rounds!$C:$C,MATCH(A414,Rounds!$A:$A,0)))*86400</f>
        <v>30.941000324</v>
      </c>
      <c r="F414" s="31" t="n">
        <f aca="false">(C414-B414)*86400</f>
        <v>0.224000494</v>
      </c>
      <c r="G414" s="27" t="s">
        <v>151</v>
      </c>
      <c r="H414" s="27" t="s">
        <v>203</v>
      </c>
      <c r="I414" s="27" t="s">
        <v>426</v>
      </c>
      <c r="J414" s="27" t="s">
        <v>239</v>
      </c>
      <c r="K414" s="27" t="s">
        <v>281</v>
      </c>
      <c r="L414" s="3" t="str">
        <f aca="false">IF(ISNUMBER(SEARCH(" m",I414)),"Range",IF(I414="offline","Offline",IF(I414="","Unknown","No echo / error")))</f>
        <v>Range</v>
      </c>
      <c r="M414" s="3" t="str">
        <f aca="false">IF(ISNUMBER(SEARCH(" m",J414)),"Range",IF(J414="offline","Offline",IF(J414="","Unknown","No echo / error")))</f>
        <v>Range</v>
      </c>
      <c r="N414" s="3" t="str">
        <f aca="false">IF(ISNUMBER(SEARCH(" m",K414)),"Range",IF(K414="offline","Offline",IF(K414="","Unknown","No echo / error")))</f>
        <v>Range</v>
      </c>
      <c r="O414" s="3" t="str">
        <f aca="false">TEXT(B414,"yyyy-mm-dd")</f>
        <v>2026-10-05</v>
      </c>
    </row>
    <row r="415" customFormat="false" ht="15" hidden="false" customHeight="false" outlineLevel="0" collapsed="false">
      <c r="A415" s="27" t="n">
        <v>8</v>
      </c>
      <c r="B415" s="28" t="n">
        <v>46300.1575413773</v>
      </c>
      <c r="C415" s="29" t="n">
        <f aca="false">IF(A416=A415,B416,INDEX(Rounds!$D:$D,MATCH(A415,Rounds!$A:$A,0)))</f>
        <v>46300.1576111458</v>
      </c>
      <c r="D415" s="30" t="n">
        <f aca="false">(B415-INDEX(Rounds!$C:$C,MATCH(A415,Rounds!$A:$A,0)))*86400</f>
        <v>30.941000324</v>
      </c>
      <c r="E415" s="30" t="n">
        <f aca="false">(C415-INDEX(Rounds!$C:$C,MATCH(A415,Rounds!$A:$A,0)))*86400</f>
        <v>36.968999588</v>
      </c>
      <c r="F415" s="31" t="n">
        <f aca="false">(C415-B415)*86400</f>
        <v>6.027999264</v>
      </c>
      <c r="G415" s="27" t="s">
        <v>150</v>
      </c>
      <c r="H415" s="27" t="s">
        <v>206</v>
      </c>
      <c r="I415" s="27" t="s">
        <v>202</v>
      </c>
      <c r="J415" s="27" t="s">
        <v>389</v>
      </c>
      <c r="K415" s="27" t="s">
        <v>281</v>
      </c>
      <c r="L415" s="3" t="str">
        <f aca="false">IF(ISNUMBER(SEARCH(" m",I415)),"Range",IF(I415="offline","Offline",IF(I415="","Unknown","No echo / error")))</f>
        <v>Range</v>
      </c>
      <c r="M415" s="3" t="str">
        <f aca="false">IF(ISNUMBER(SEARCH(" m",J415)),"Range",IF(J415="offline","Offline",IF(J415="","Unknown","No echo / error")))</f>
        <v>Range</v>
      </c>
      <c r="N415" s="3" t="str">
        <f aca="false">IF(ISNUMBER(SEARCH(" m",K415)),"Range",IF(K415="offline","Offline",IF(K415="","Unknown","No echo / error")))</f>
        <v>Range</v>
      </c>
      <c r="O415" s="3" t="str">
        <f aca="false">TEXT(B415,"yyyy-mm-dd")</f>
        <v>2026-10-05</v>
      </c>
    </row>
    <row r="416" customFormat="false" ht="15" hidden="false" customHeight="false" outlineLevel="0" collapsed="false">
      <c r="A416" s="27" t="n">
        <v>8</v>
      </c>
      <c r="B416" s="28" t="n">
        <v>46300.1576111458</v>
      </c>
      <c r="C416" s="29" t="n">
        <f aca="false">IF(A417=A416,B417,INDEX(Rounds!$D:$D,MATCH(A416,Rounds!$A:$A,0)))</f>
        <v>46300.1576122685</v>
      </c>
      <c r="D416" s="30" t="n">
        <f aca="false">(B416-INDEX(Rounds!$C:$C,MATCH(A416,Rounds!$A:$A,0)))*86400</f>
        <v>36.968999588</v>
      </c>
      <c r="E416" s="30" t="n">
        <f aca="false">(C416-INDEX(Rounds!$C:$C,MATCH(A416,Rounds!$A:$A,0)))*86400</f>
        <v>37.06600042</v>
      </c>
      <c r="F416" s="31" t="n">
        <f aca="false">(C416-B416)*86400</f>
        <v>0.097000831</v>
      </c>
      <c r="G416" s="27" t="s">
        <v>152</v>
      </c>
      <c r="H416" s="27" t="s">
        <v>208</v>
      </c>
      <c r="I416" s="27" t="s">
        <v>365</v>
      </c>
      <c r="J416" s="27" t="s">
        <v>317</v>
      </c>
      <c r="K416" s="27" t="s">
        <v>285</v>
      </c>
      <c r="L416" s="3" t="str">
        <f aca="false">IF(ISNUMBER(SEARCH(" m",I416)),"Range",IF(I416="offline","Offline",IF(I416="","Unknown","No echo / error")))</f>
        <v>Range</v>
      </c>
      <c r="M416" s="3" t="str">
        <f aca="false">IF(ISNUMBER(SEARCH(" m",J416)),"Range",IF(J416="offline","Offline",IF(J416="","Unknown","No echo / error")))</f>
        <v>Range</v>
      </c>
      <c r="N416" s="3" t="str">
        <f aca="false">IF(ISNUMBER(SEARCH(" m",K416)),"Range",IF(K416="offline","Offline",IF(K416="","Unknown","No echo / error")))</f>
        <v>Range</v>
      </c>
      <c r="O416" s="3" t="str">
        <f aca="false">TEXT(B416,"yyyy-mm-dd")</f>
        <v>2026-10-05</v>
      </c>
    </row>
    <row r="417" customFormat="false" ht="15" hidden="false" customHeight="false" outlineLevel="0" collapsed="false">
      <c r="A417" s="27" t="n">
        <v>8</v>
      </c>
      <c r="B417" s="28" t="n">
        <v>46300.1576122685</v>
      </c>
      <c r="C417" s="29" t="n">
        <f aca="false">IF(A418=A417,B418,INDEX(Rounds!$D:$D,MATCH(A417,Rounds!$A:$A,0)))</f>
        <v>46300.1576135648</v>
      </c>
      <c r="D417" s="30" t="n">
        <f aca="false">(B417-INDEX(Rounds!$C:$C,MATCH(A417,Rounds!$A:$A,0)))*86400</f>
        <v>37.06600042</v>
      </c>
      <c r="E417" s="30" t="n">
        <f aca="false">(C417-INDEX(Rounds!$C:$C,MATCH(A417,Rounds!$A:$A,0)))*86400</f>
        <v>37.17799941</v>
      </c>
      <c r="F417" s="31" t="n">
        <f aca="false">(C417-B417)*86400</f>
        <v>0.11199899</v>
      </c>
      <c r="G417" s="27" t="s">
        <v>151</v>
      </c>
      <c r="H417" s="27" t="s">
        <v>203</v>
      </c>
      <c r="I417" s="27" t="s">
        <v>365</v>
      </c>
      <c r="J417" s="27" t="s">
        <v>260</v>
      </c>
      <c r="K417" s="27" t="s">
        <v>285</v>
      </c>
      <c r="L417" s="3" t="str">
        <f aca="false">IF(ISNUMBER(SEARCH(" m",I417)),"Range",IF(I417="offline","Offline",IF(I417="","Unknown","No echo / error")))</f>
        <v>Range</v>
      </c>
      <c r="M417" s="3" t="str">
        <f aca="false">IF(ISNUMBER(SEARCH(" m",J417)),"Range",IF(J417="offline","Offline",IF(J417="","Unknown","No echo / error")))</f>
        <v>Range</v>
      </c>
      <c r="N417" s="3" t="str">
        <f aca="false">IF(ISNUMBER(SEARCH(" m",K417)),"Range",IF(K417="offline","Offline",IF(K417="","Unknown","No echo / error")))</f>
        <v>Range</v>
      </c>
      <c r="O417" s="3" t="str">
        <f aca="false">TEXT(B417,"yyyy-mm-dd")</f>
        <v>2026-10-05</v>
      </c>
    </row>
    <row r="418" customFormat="false" ht="15" hidden="false" customHeight="false" outlineLevel="0" collapsed="false">
      <c r="A418" s="27" t="n">
        <v>8</v>
      </c>
      <c r="B418" s="28" t="n">
        <v>46300.1576135648</v>
      </c>
      <c r="C418" s="29" t="n">
        <f aca="false">IF(A419=A418,B419,INDEX(Rounds!$D:$D,MATCH(A418,Rounds!$A:$A,0)))</f>
        <v>46300.1576327315</v>
      </c>
      <c r="D418" s="30" t="n">
        <f aca="false">(B418-INDEX(Rounds!$C:$C,MATCH(A418,Rounds!$A:$A,0)))*86400</f>
        <v>37.17799941</v>
      </c>
      <c r="E418" s="30" t="n">
        <f aca="false">(C418-INDEX(Rounds!$C:$C,MATCH(A418,Rounds!$A:$A,0)))*86400</f>
        <v>38.834000285</v>
      </c>
      <c r="F418" s="31" t="n">
        <f aca="false">(C418-B418)*86400</f>
        <v>1.656000874</v>
      </c>
      <c r="G418" s="27" t="s">
        <v>150</v>
      </c>
      <c r="H418" s="27" t="s">
        <v>206</v>
      </c>
      <c r="I418" s="27" t="s">
        <v>274</v>
      </c>
      <c r="J418" s="27" t="s">
        <v>260</v>
      </c>
      <c r="K418" s="27" t="s">
        <v>285</v>
      </c>
      <c r="L418" s="3" t="str">
        <f aca="false">IF(ISNUMBER(SEARCH(" m",I418)),"Range",IF(I418="offline","Offline",IF(I418="","Unknown","No echo / error")))</f>
        <v>Range</v>
      </c>
      <c r="M418" s="3" t="str">
        <f aca="false">IF(ISNUMBER(SEARCH(" m",J418)),"Range",IF(J418="offline","Offline",IF(J418="","Unknown","No echo / error")))</f>
        <v>Range</v>
      </c>
      <c r="N418" s="3" t="str">
        <f aca="false">IF(ISNUMBER(SEARCH(" m",K418)),"Range",IF(K418="offline","Offline",IF(K418="","Unknown","No echo / error")))</f>
        <v>Range</v>
      </c>
      <c r="O418" s="3" t="str">
        <f aca="false">TEXT(B418,"yyyy-mm-dd")</f>
        <v>2026-10-05</v>
      </c>
    </row>
    <row r="419" customFormat="false" ht="15" hidden="false" customHeight="false" outlineLevel="0" collapsed="false">
      <c r="A419" s="27" t="n">
        <v>8</v>
      </c>
      <c r="B419" s="28" t="n">
        <v>46300.1576327315</v>
      </c>
      <c r="C419" s="29" t="n">
        <f aca="false">IF(A420=A419,B420,INDEX(Rounds!$D:$D,MATCH(A419,Rounds!$A:$A,0)))</f>
        <v>46300.1576364583</v>
      </c>
      <c r="D419" s="30" t="n">
        <f aca="false">(B419-INDEX(Rounds!$C:$C,MATCH(A419,Rounds!$A:$A,0)))*86400</f>
        <v>38.834000285</v>
      </c>
      <c r="E419" s="30" t="n">
        <f aca="false">(C419-INDEX(Rounds!$C:$C,MATCH(A419,Rounds!$A:$A,0)))*86400</f>
        <v>39.155999897</v>
      </c>
      <c r="F419" s="31" t="n">
        <f aca="false">(C419-B419)*86400</f>
        <v>0.321999611</v>
      </c>
      <c r="G419" s="27" t="s">
        <v>152</v>
      </c>
      <c r="H419" s="27" t="s">
        <v>208</v>
      </c>
      <c r="I419" s="27" t="s">
        <v>288</v>
      </c>
      <c r="J419" s="27" t="s">
        <v>311</v>
      </c>
      <c r="K419" s="27" t="s">
        <v>417</v>
      </c>
      <c r="L419" s="3" t="str">
        <f aca="false">IF(ISNUMBER(SEARCH(" m",I419)),"Range",IF(I419="offline","Offline",IF(I419="","Unknown","No echo / error")))</f>
        <v>Range</v>
      </c>
      <c r="M419" s="3" t="str">
        <f aca="false">IF(ISNUMBER(SEARCH(" m",J419)),"Range",IF(J419="offline","Offline",IF(J419="","Unknown","No echo / error")))</f>
        <v>Range</v>
      </c>
      <c r="N419" s="3" t="str">
        <f aca="false">IF(ISNUMBER(SEARCH(" m",K419)),"Range",IF(K419="offline","Offline",IF(K419="","Unknown","No echo / error")))</f>
        <v>Range</v>
      </c>
      <c r="O419" s="3" t="str">
        <f aca="false">TEXT(B419,"yyyy-mm-dd")</f>
        <v>2026-10-05</v>
      </c>
    </row>
    <row r="420" customFormat="false" ht="15" hidden="false" customHeight="false" outlineLevel="0" collapsed="false">
      <c r="A420" s="27" t="n">
        <v>8</v>
      </c>
      <c r="B420" s="28" t="n">
        <v>46300.1576364583</v>
      </c>
      <c r="C420" s="29" t="n">
        <f aca="false">IF(A421=A420,B421,INDEX(Rounds!$D:$D,MATCH(A420,Rounds!$A:$A,0)))</f>
        <v>46300.1576377431</v>
      </c>
      <c r="D420" s="30" t="n">
        <f aca="false">(B420-INDEX(Rounds!$C:$C,MATCH(A420,Rounds!$A:$A,0)))*86400</f>
        <v>39.155999897</v>
      </c>
      <c r="E420" s="30" t="n">
        <f aca="false">(C420-INDEX(Rounds!$C:$C,MATCH(A420,Rounds!$A:$A,0)))*86400</f>
        <v>39.266999345</v>
      </c>
      <c r="F420" s="31" t="n">
        <f aca="false">(C420-B420)*86400</f>
        <v>0.110999448</v>
      </c>
      <c r="G420" s="27" t="s">
        <v>151</v>
      </c>
      <c r="H420" s="27" t="s">
        <v>203</v>
      </c>
      <c r="I420" s="27" t="s">
        <v>204</v>
      </c>
      <c r="J420" s="27" t="s">
        <v>253</v>
      </c>
      <c r="K420" s="27" t="s">
        <v>427</v>
      </c>
      <c r="L420" s="3" t="str">
        <f aca="false">IF(ISNUMBER(SEARCH(" m",I420)),"Range",IF(I420="offline","Offline",IF(I420="","Unknown","No echo / error")))</f>
        <v>No echo / error</v>
      </c>
      <c r="M420" s="3" t="str">
        <f aca="false">IF(ISNUMBER(SEARCH(" m",J420)),"Range",IF(J420="offline","Offline",IF(J420="","Unknown","No echo / error")))</f>
        <v>Range</v>
      </c>
      <c r="N420" s="3" t="str">
        <f aca="false">IF(ISNUMBER(SEARCH(" m",K420)),"Range",IF(K420="offline","Offline",IF(K420="","Unknown","No echo / error")))</f>
        <v>Range</v>
      </c>
      <c r="O420" s="3" t="str">
        <f aca="false">TEXT(B420,"yyyy-mm-dd")</f>
        <v>2026-10-05</v>
      </c>
    </row>
    <row r="421" customFormat="false" ht="15" hidden="false" customHeight="false" outlineLevel="0" collapsed="false">
      <c r="A421" s="27" t="n">
        <v>8</v>
      </c>
      <c r="B421" s="28" t="n">
        <v>46300.1576377431</v>
      </c>
      <c r="C421" s="29" t="n">
        <f aca="false">IF(A422=A421,B422,INDEX(Rounds!$D:$D,MATCH(A421,Rounds!$A:$A,0)))</f>
        <v>46300.157741956</v>
      </c>
      <c r="D421" s="30" t="n">
        <f aca="false">(B421-INDEX(Rounds!$C:$C,MATCH(A421,Rounds!$A:$A,0)))*86400</f>
        <v>39.266999345</v>
      </c>
      <c r="E421" s="30" t="n">
        <f aca="false">(C421-INDEX(Rounds!$C:$C,MATCH(A421,Rounds!$A:$A,0)))*86400</f>
        <v>48.271000245</v>
      </c>
      <c r="F421" s="31" t="n">
        <f aca="false">(C421-B421)*86400</f>
        <v>9.0040009</v>
      </c>
      <c r="G421" s="27" t="s">
        <v>150</v>
      </c>
      <c r="H421" s="27" t="s">
        <v>206</v>
      </c>
      <c r="I421" s="27" t="s">
        <v>204</v>
      </c>
      <c r="J421" s="27" t="s">
        <v>253</v>
      </c>
      <c r="K421" s="27" t="s">
        <v>428</v>
      </c>
      <c r="L421" s="3" t="str">
        <f aca="false">IF(ISNUMBER(SEARCH(" m",I421)),"Range",IF(I421="offline","Offline",IF(I421="","Unknown","No echo / error")))</f>
        <v>No echo / error</v>
      </c>
      <c r="M421" s="3" t="str">
        <f aca="false">IF(ISNUMBER(SEARCH(" m",J421)),"Range",IF(J421="offline","Offline",IF(J421="","Unknown","No echo / error")))</f>
        <v>Range</v>
      </c>
      <c r="N421" s="3" t="str">
        <f aca="false">IF(ISNUMBER(SEARCH(" m",K421)),"Range",IF(K421="offline","Offline",IF(K421="","Unknown","No echo / error")))</f>
        <v>Range</v>
      </c>
      <c r="O421" s="3" t="str">
        <f aca="false">TEXT(B421,"yyyy-mm-dd")</f>
        <v>2026-10-05</v>
      </c>
    </row>
    <row r="422" customFormat="false" ht="15" hidden="false" customHeight="false" outlineLevel="0" collapsed="false">
      <c r="A422" s="27" t="n">
        <v>8</v>
      </c>
      <c r="B422" s="28" t="n">
        <v>46300.157741956</v>
      </c>
      <c r="C422" s="29" t="n">
        <f aca="false">IF(A423=A422,B423,INDEX(Rounds!$D:$D,MATCH(A422,Rounds!$A:$A,0)))</f>
        <v>46300.1577501273</v>
      </c>
      <c r="D422" s="30" t="n">
        <f aca="false">(B422-INDEX(Rounds!$C:$C,MATCH(A422,Rounds!$A:$A,0)))*86400</f>
        <v>48.271000245</v>
      </c>
      <c r="E422" s="30" t="n">
        <f aca="false">(C422-INDEX(Rounds!$C:$C,MATCH(A422,Rounds!$A:$A,0)))*86400</f>
        <v>48.976999986</v>
      </c>
      <c r="F422" s="31" t="n">
        <f aca="false">(C422-B422)*86400</f>
        <v>0.705999741</v>
      </c>
      <c r="G422" s="27" t="s">
        <v>152</v>
      </c>
      <c r="H422" s="27" t="s">
        <v>208</v>
      </c>
      <c r="I422" s="27" t="s">
        <v>204</v>
      </c>
      <c r="J422" s="27" t="s">
        <v>204</v>
      </c>
      <c r="K422" s="27" t="s">
        <v>204</v>
      </c>
      <c r="L422" s="3" t="str">
        <f aca="false">IF(ISNUMBER(SEARCH(" m",I422)),"Range",IF(I422="offline","Offline",IF(I422="","Unknown","No echo / error")))</f>
        <v>No echo / error</v>
      </c>
      <c r="M422" s="3" t="str">
        <f aca="false">IF(ISNUMBER(SEARCH(" m",J422)),"Range",IF(J422="offline","Offline",IF(J422="","Unknown","No echo / error")))</f>
        <v>No echo / error</v>
      </c>
      <c r="N422" s="3" t="str">
        <f aca="false">IF(ISNUMBER(SEARCH(" m",K422)),"Range",IF(K422="offline","Offline",IF(K422="","Unknown","No echo / error")))</f>
        <v>No echo / error</v>
      </c>
      <c r="O422" s="3" t="str">
        <f aca="false">TEXT(B422,"yyyy-mm-dd")</f>
        <v>2026-10-05</v>
      </c>
    </row>
    <row r="423" customFormat="false" ht="15" hidden="false" customHeight="false" outlineLevel="0" collapsed="false">
      <c r="A423" s="27" t="n">
        <v>8</v>
      </c>
      <c r="B423" s="28" t="n">
        <v>46300.1577501273</v>
      </c>
      <c r="C423" s="29" t="n">
        <f aca="false">IF(A424=A423,B424,INDEX(Rounds!$D:$D,MATCH(A423,Rounds!$A:$A,0)))</f>
        <v>46300.1577558912</v>
      </c>
      <c r="D423" s="30" t="n">
        <f aca="false">(B423-INDEX(Rounds!$C:$C,MATCH(A423,Rounds!$A:$A,0)))*86400</f>
        <v>48.976999986</v>
      </c>
      <c r="E423" s="30" t="n">
        <f aca="false">(C423-INDEX(Rounds!$C:$C,MATCH(A423,Rounds!$A:$A,0)))*86400</f>
        <v>49.475000076</v>
      </c>
      <c r="F423" s="31" t="n">
        <f aca="false">(C423-B423)*86400</f>
        <v>0.49800009</v>
      </c>
      <c r="G423" s="27" t="s">
        <v>151</v>
      </c>
      <c r="H423" s="27" t="s">
        <v>203</v>
      </c>
      <c r="I423" s="27" t="s">
        <v>299</v>
      </c>
      <c r="J423" s="27" t="s">
        <v>204</v>
      </c>
      <c r="K423" s="27" t="s">
        <v>204</v>
      </c>
      <c r="L423" s="3" t="str">
        <f aca="false">IF(ISNUMBER(SEARCH(" m",I423)),"Range",IF(I423="offline","Offline",IF(I423="","Unknown","No echo / error")))</f>
        <v>Range</v>
      </c>
      <c r="M423" s="3" t="str">
        <f aca="false">IF(ISNUMBER(SEARCH(" m",J423)),"Range",IF(J423="offline","Offline",IF(J423="","Unknown","No echo / error")))</f>
        <v>No echo / error</v>
      </c>
      <c r="N423" s="3" t="str">
        <f aca="false">IF(ISNUMBER(SEARCH(" m",K423)),"Range",IF(K423="offline","Offline",IF(K423="","Unknown","No echo / error")))</f>
        <v>No echo / error</v>
      </c>
      <c r="O423" s="3" t="str">
        <f aca="false">TEXT(B423,"yyyy-mm-dd")</f>
        <v>2026-10-05</v>
      </c>
    </row>
    <row r="424" customFormat="false" ht="15" hidden="false" customHeight="false" outlineLevel="0" collapsed="false">
      <c r="A424" s="27" t="n">
        <v>8</v>
      </c>
      <c r="B424" s="28" t="n">
        <v>46300.1577558912</v>
      </c>
      <c r="C424" s="29" t="n">
        <f aca="false">IF(A425=A424,B425,INDEX(Rounds!$D:$D,MATCH(A424,Rounds!$A:$A,0)))</f>
        <v>46300.1577841782</v>
      </c>
      <c r="D424" s="30" t="n">
        <f aca="false">(B424-INDEX(Rounds!$C:$C,MATCH(A424,Rounds!$A:$A,0)))*86400</f>
        <v>49.475000076</v>
      </c>
      <c r="E424" s="30" t="n">
        <f aca="false">(C424-INDEX(Rounds!$C:$C,MATCH(A424,Rounds!$A:$A,0)))*86400</f>
        <v>51.919000223</v>
      </c>
      <c r="F424" s="31" t="n">
        <f aca="false">(C424-B424)*86400</f>
        <v>2.444000146</v>
      </c>
      <c r="G424" s="27" t="s">
        <v>150</v>
      </c>
      <c r="H424" s="27" t="s">
        <v>206</v>
      </c>
      <c r="I424" s="27" t="s">
        <v>299</v>
      </c>
      <c r="J424" s="27" t="s">
        <v>286</v>
      </c>
      <c r="K424" s="27" t="s">
        <v>204</v>
      </c>
      <c r="L424" s="3" t="str">
        <f aca="false">IF(ISNUMBER(SEARCH(" m",I424)),"Range",IF(I424="offline","Offline",IF(I424="","Unknown","No echo / error")))</f>
        <v>Range</v>
      </c>
      <c r="M424" s="3" t="str">
        <f aca="false">IF(ISNUMBER(SEARCH(" m",J424)),"Range",IF(J424="offline","Offline",IF(J424="","Unknown","No echo / error")))</f>
        <v>Range</v>
      </c>
      <c r="N424" s="3" t="str">
        <f aca="false">IF(ISNUMBER(SEARCH(" m",K424)),"Range",IF(K424="offline","Offline",IF(K424="","Unknown","No echo / error")))</f>
        <v>No echo / error</v>
      </c>
      <c r="O424" s="3" t="str">
        <f aca="false">TEXT(B424,"yyyy-mm-dd")</f>
        <v>2026-10-05</v>
      </c>
    </row>
    <row r="425" customFormat="false" ht="15" hidden="false" customHeight="false" outlineLevel="0" collapsed="false">
      <c r="A425" s="27" t="n">
        <v>8</v>
      </c>
      <c r="B425" s="28" t="n">
        <v>46300.1577841782</v>
      </c>
      <c r="C425" s="29" t="n">
        <f aca="false">IF(A426=A425,B426,INDEX(Rounds!$D:$D,MATCH(A425,Rounds!$A:$A,0)))</f>
        <v>46300.1577929051</v>
      </c>
      <c r="D425" s="30" t="n">
        <f aca="false">(B425-INDEX(Rounds!$C:$C,MATCH(A425,Rounds!$A:$A,0)))*86400</f>
        <v>51.919000223</v>
      </c>
      <c r="E425" s="30" t="n">
        <f aca="false">(C425-INDEX(Rounds!$C:$C,MATCH(A425,Rounds!$A:$A,0)))*86400</f>
        <v>52.67299998</v>
      </c>
      <c r="F425" s="31" t="n">
        <f aca="false">(C425-B425)*86400</f>
        <v>0.753999757</v>
      </c>
      <c r="G425" s="27" t="s">
        <v>152</v>
      </c>
      <c r="H425" s="27" t="s">
        <v>208</v>
      </c>
      <c r="I425" s="27" t="s">
        <v>204</v>
      </c>
      <c r="J425" s="27" t="s">
        <v>204</v>
      </c>
      <c r="K425" s="27" t="s">
        <v>204</v>
      </c>
      <c r="L425" s="3" t="str">
        <f aca="false">IF(ISNUMBER(SEARCH(" m",I425)),"Range",IF(I425="offline","Offline",IF(I425="","Unknown","No echo / error")))</f>
        <v>No echo / error</v>
      </c>
      <c r="M425" s="3" t="str">
        <f aca="false">IF(ISNUMBER(SEARCH(" m",J425)),"Range",IF(J425="offline","Offline",IF(J425="","Unknown","No echo / error")))</f>
        <v>No echo / error</v>
      </c>
      <c r="N425" s="3" t="str">
        <f aca="false">IF(ISNUMBER(SEARCH(" m",K425)),"Range",IF(K425="offline","Offline",IF(K425="","Unknown","No echo / error")))</f>
        <v>No echo / error</v>
      </c>
      <c r="O425" s="3" t="str">
        <f aca="false">TEXT(B425,"yyyy-mm-dd")</f>
        <v>2026-10-05</v>
      </c>
    </row>
    <row r="426" customFormat="false" ht="15" hidden="false" customHeight="false" outlineLevel="0" collapsed="false">
      <c r="A426" s="27" t="n">
        <v>8</v>
      </c>
      <c r="B426" s="28" t="n">
        <v>46300.1577929051</v>
      </c>
      <c r="C426" s="29" t="n">
        <f aca="false">IF(A427=A426,B427,INDEX(Rounds!$D:$D,MATCH(A426,Rounds!$A:$A,0)))</f>
        <v>46300.1577981019</v>
      </c>
      <c r="D426" s="30" t="n">
        <f aca="false">(B426-INDEX(Rounds!$C:$C,MATCH(A426,Rounds!$A:$A,0)))*86400</f>
        <v>52.67299998</v>
      </c>
      <c r="E426" s="30" t="n">
        <f aca="false">(C426-INDEX(Rounds!$C:$C,MATCH(A426,Rounds!$A:$A,0)))*86400</f>
        <v>53.121999884</v>
      </c>
      <c r="F426" s="31" t="n">
        <f aca="false">(C426-B426)*86400</f>
        <v>0.448999903</v>
      </c>
      <c r="G426" s="27" t="s">
        <v>151</v>
      </c>
      <c r="H426" s="27" t="s">
        <v>203</v>
      </c>
      <c r="I426" s="27" t="s">
        <v>204</v>
      </c>
      <c r="J426" s="27" t="s">
        <v>279</v>
      </c>
      <c r="K426" s="27" t="s">
        <v>204</v>
      </c>
      <c r="L426" s="3" t="str">
        <f aca="false">IF(ISNUMBER(SEARCH(" m",I426)),"Range",IF(I426="offline","Offline",IF(I426="","Unknown","No echo / error")))</f>
        <v>No echo / error</v>
      </c>
      <c r="M426" s="3" t="str">
        <f aca="false">IF(ISNUMBER(SEARCH(" m",J426)),"Range",IF(J426="offline","Offline",IF(J426="","Unknown","No echo / error")))</f>
        <v>Range</v>
      </c>
      <c r="N426" s="3" t="str">
        <f aca="false">IF(ISNUMBER(SEARCH(" m",K426)),"Range",IF(K426="offline","Offline",IF(K426="","Unknown","No echo / error")))</f>
        <v>No echo / error</v>
      </c>
      <c r="O426" s="3" t="str">
        <f aca="false">TEXT(B426,"yyyy-mm-dd")</f>
        <v>2026-10-05</v>
      </c>
    </row>
    <row r="427" customFormat="false" ht="15" hidden="false" customHeight="false" outlineLevel="0" collapsed="false">
      <c r="A427" s="27" t="n">
        <v>8</v>
      </c>
      <c r="B427" s="28" t="n">
        <v>46300.1577981019</v>
      </c>
      <c r="C427" s="29" t="n">
        <f aca="false">IF(A428=A427,B428,INDEX(Rounds!$D:$D,MATCH(A427,Rounds!$A:$A,0)))</f>
        <v>46300.1578103357</v>
      </c>
      <c r="D427" s="30" t="n">
        <f aca="false">(B427-INDEX(Rounds!$C:$C,MATCH(A427,Rounds!$A:$A,0)))*86400</f>
        <v>53.121999884</v>
      </c>
      <c r="E427" s="30" t="n">
        <f aca="false">(C427-INDEX(Rounds!$C:$C,MATCH(A427,Rounds!$A:$A,0)))*86400</f>
        <v>54.179000412</v>
      </c>
      <c r="F427" s="31" t="n">
        <f aca="false">(C427-B427)*86400</f>
        <v>1.057000528</v>
      </c>
      <c r="G427" s="27" t="s">
        <v>150</v>
      </c>
      <c r="H427" s="27" t="s">
        <v>206</v>
      </c>
      <c r="I427" s="27" t="s">
        <v>204</v>
      </c>
      <c r="J427" s="27" t="s">
        <v>429</v>
      </c>
      <c r="K427" s="27" t="s">
        <v>407</v>
      </c>
      <c r="L427" s="3" t="str">
        <f aca="false">IF(ISNUMBER(SEARCH(" m",I427)),"Range",IF(I427="offline","Offline",IF(I427="","Unknown","No echo / error")))</f>
        <v>No echo / error</v>
      </c>
      <c r="M427" s="3" t="str">
        <f aca="false">IF(ISNUMBER(SEARCH(" m",J427)),"Range",IF(J427="offline","Offline",IF(J427="","Unknown","No echo / error")))</f>
        <v>Range</v>
      </c>
      <c r="N427" s="3" t="str">
        <f aca="false">IF(ISNUMBER(SEARCH(" m",K427)),"Range",IF(K427="offline","Offline",IF(K427="","Unknown","No echo / error")))</f>
        <v>Range</v>
      </c>
      <c r="O427" s="3" t="str">
        <f aca="false">TEXT(B427,"yyyy-mm-dd")</f>
        <v>2026-10-05</v>
      </c>
    </row>
    <row r="428" customFormat="false" ht="15" hidden="false" customHeight="false" outlineLevel="0" collapsed="false">
      <c r="A428" s="27" t="n">
        <v>8</v>
      </c>
      <c r="B428" s="28" t="n">
        <v>46300.1578103357</v>
      </c>
      <c r="C428" s="29" t="n">
        <f aca="false">IF(A429=A428,B429,INDEX(Rounds!$D:$D,MATCH(A428,Rounds!$A:$A,0)))</f>
        <v>46300.1578125694</v>
      </c>
      <c r="D428" s="30" t="n">
        <f aca="false">(B428-INDEX(Rounds!$C:$C,MATCH(A428,Rounds!$A:$A,0)))*86400</f>
        <v>54.179000412</v>
      </c>
      <c r="E428" s="30" t="n">
        <f aca="false">(C428-INDEX(Rounds!$C:$C,MATCH(A428,Rounds!$A:$A,0)))*86400</f>
        <v>54.372000019</v>
      </c>
      <c r="F428" s="31" t="n">
        <f aca="false">(C428-B428)*86400</f>
        <v>0.192999606</v>
      </c>
      <c r="G428" s="27" t="s">
        <v>152</v>
      </c>
      <c r="H428" s="27" t="s">
        <v>208</v>
      </c>
      <c r="I428" s="27" t="s">
        <v>204</v>
      </c>
      <c r="J428" s="27" t="s">
        <v>430</v>
      </c>
      <c r="K428" s="27" t="s">
        <v>431</v>
      </c>
      <c r="L428" s="3" t="str">
        <f aca="false">IF(ISNUMBER(SEARCH(" m",I428)),"Range",IF(I428="offline","Offline",IF(I428="","Unknown","No echo / error")))</f>
        <v>No echo / error</v>
      </c>
      <c r="M428" s="3" t="str">
        <f aca="false">IF(ISNUMBER(SEARCH(" m",J428)),"Range",IF(J428="offline","Offline",IF(J428="","Unknown","No echo / error")))</f>
        <v>Range</v>
      </c>
      <c r="N428" s="3" t="str">
        <f aca="false">IF(ISNUMBER(SEARCH(" m",K428)),"Range",IF(K428="offline","Offline",IF(K428="","Unknown","No echo / error")))</f>
        <v>Range</v>
      </c>
      <c r="O428" s="3" t="str">
        <f aca="false">TEXT(B428,"yyyy-mm-dd")</f>
        <v>2026-10-05</v>
      </c>
    </row>
    <row r="429" customFormat="false" ht="15" hidden="false" customHeight="false" outlineLevel="0" collapsed="false">
      <c r="A429" s="27" t="n">
        <v>8</v>
      </c>
      <c r="B429" s="28" t="n">
        <v>46300.1578125694</v>
      </c>
      <c r="C429" s="29" t="n">
        <f aca="false">IF(A430=A429,B430,INDEX(Rounds!$D:$D,MATCH(A429,Rounds!$A:$A,0)))</f>
        <v>46300.1578138542</v>
      </c>
      <c r="D429" s="30" t="n">
        <f aca="false">(B429-INDEX(Rounds!$C:$C,MATCH(A429,Rounds!$A:$A,0)))*86400</f>
        <v>54.372000019</v>
      </c>
      <c r="E429" s="30" t="n">
        <f aca="false">(C429-INDEX(Rounds!$C:$C,MATCH(A429,Rounds!$A:$A,0)))*86400</f>
        <v>54.483000724</v>
      </c>
      <c r="F429" s="31" t="n">
        <f aca="false">(C429-B429)*86400</f>
        <v>0.111000705</v>
      </c>
      <c r="G429" s="27" t="s">
        <v>151</v>
      </c>
      <c r="H429" s="27" t="s">
        <v>203</v>
      </c>
      <c r="I429" s="27" t="s">
        <v>204</v>
      </c>
      <c r="J429" s="27" t="s">
        <v>381</v>
      </c>
      <c r="K429" s="27" t="s">
        <v>282</v>
      </c>
      <c r="L429" s="3" t="str">
        <f aca="false">IF(ISNUMBER(SEARCH(" m",I429)),"Range",IF(I429="offline","Offline",IF(I429="","Unknown","No echo / error")))</f>
        <v>No echo / error</v>
      </c>
      <c r="M429" s="3" t="str">
        <f aca="false">IF(ISNUMBER(SEARCH(" m",J429)),"Range",IF(J429="offline","Offline",IF(J429="","Unknown","No echo / error")))</f>
        <v>Range</v>
      </c>
      <c r="N429" s="3" t="str">
        <f aca="false">IF(ISNUMBER(SEARCH(" m",K429)),"Range",IF(K429="offline","Offline",IF(K429="","Unknown","No echo / error")))</f>
        <v>Range</v>
      </c>
      <c r="O429" s="3" t="str">
        <f aca="false">TEXT(B429,"yyyy-mm-dd")</f>
        <v>2026-10-05</v>
      </c>
    </row>
    <row r="430" customFormat="false" ht="15" hidden="false" customHeight="false" outlineLevel="0" collapsed="false">
      <c r="A430" s="27" t="n">
        <v>8</v>
      </c>
      <c r="B430" s="28" t="n">
        <v>46300.1578138542</v>
      </c>
      <c r="C430" s="29" t="n">
        <f aca="false">IF(A431=A430,B431,INDEX(Rounds!$D:$D,MATCH(A430,Rounds!$A:$A,0)))</f>
        <v>46300.1578199769</v>
      </c>
      <c r="D430" s="30" t="n">
        <f aca="false">(B430-INDEX(Rounds!$C:$C,MATCH(A430,Rounds!$A:$A,0)))*86400</f>
        <v>54.483000724</v>
      </c>
      <c r="E430" s="30" t="n">
        <f aca="false">(C430-INDEX(Rounds!$C:$C,MATCH(A430,Rounds!$A:$A,0)))*86400</f>
        <v>55.011999816</v>
      </c>
      <c r="F430" s="31" t="n">
        <f aca="false">(C430-B430)*86400</f>
        <v>0.528999092</v>
      </c>
      <c r="G430" s="27" t="s">
        <v>150</v>
      </c>
      <c r="H430" s="27" t="s">
        <v>206</v>
      </c>
      <c r="I430" s="27" t="s">
        <v>204</v>
      </c>
      <c r="J430" s="27" t="s">
        <v>351</v>
      </c>
      <c r="K430" s="27" t="s">
        <v>282</v>
      </c>
      <c r="L430" s="3" t="str">
        <f aca="false">IF(ISNUMBER(SEARCH(" m",I430)),"Range",IF(I430="offline","Offline",IF(I430="","Unknown","No echo / error")))</f>
        <v>No echo / error</v>
      </c>
      <c r="M430" s="3" t="str">
        <f aca="false">IF(ISNUMBER(SEARCH(" m",J430)),"Range",IF(J430="offline","Offline",IF(J430="","Unknown","No echo / error")))</f>
        <v>Range</v>
      </c>
      <c r="N430" s="3" t="str">
        <f aca="false">IF(ISNUMBER(SEARCH(" m",K430)),"Range",IF(K430="offline","Offline",IF(K430="","Unknown","No echo / error")))</f>
        <v>Range</v>
      </c>
      <c r="O430" s="3" t="str">
        <f aca="false">TEXT(B430,"yyyy-mm-dd")</f>
        <v>2026-10-05</v>
      </c>
    </row>
    <row r="431" customFormat="false" ht="15" hidden="false" customHeight="false" outlineLevel="0" collapsed="false">
      <c r="A431" s="27" t="n">
        <v>8</v>
      </c>
      <c r="B431" s="28" t="n">
        <v>46300.1578199769</v>
      </c>
      <c r="C431" s="29" t="n">
        <f aca="false">IF(A432=A431,B432,INDEX(Rounds!$D:$D,MATCH(A431,Rounds!$A:$A,0)))</f>
        <v>46300.1578210995</v>
      </c>
      <c r="D431" s="30" t="n">
        <f aca="false">(B431-INDEX(Rounds!$C:$C,MATCH(A431,Rounds!$A:$A,0)))*86400</f>
        <v>55.011999816</v>
      </c>
      <c r="E431" s="30" t="n">
        <f aca="false">(C431-INDEX(Rounds!$C:$C,MATCH(A431,Rounds!$A:$A,0)))*86400</f>
        <v>55.109000648</v>
      </c>
      <c r="F431" s="31" t="n">
        <f aca="false">(C431-B431)*86400</f>
        <v>0.097000831</v>
      </c>
      <c r="G431" s="27" t="s">
        <v>151</v>
      </c>
      <c r="H431" s="27" t="s">
        <v>203</v>
      </c>
      <c r="I431" s="27" t="s">
        <v>246</v>
      </c>
      <c r="J431" s="27" t="s">
        <v>241</v>
      </c>
      <c r="K431" s="27" t="s">
        <v>393</v>
      </c>
      <c r="L431" s="3" t="str">
        <f aca="false">IF(ISNUMBER(SEARCH(" m",I431)),"Range",IF(I431="offline","Offline",IF(I431="","Unknown","No echo / error")))</f>
        <v>Range</v>
      </c>
      <c r="M431" s="3" t="str">
        <f aca="false">IF(ISNUMBER(SEARCH(" m",J431)),"Range",IF(J431="offline","Offline",IF(J431="","Unknown","No echo / error")))</f>
        <v>Range</v>
      </c>
      <c r="N431" s="3" t="str">
        <f aca="false">IF(ISNUMBER(SEARCH(" m",K431)),"Range",IF(K431="offline","Offline",IF(K431="","Unknown","No echo / error")))</f>
        <v>Range</v>
      </c>
      <c r="O431" s="3" t="str">
        <f aca="false">TEXT(B431,"yyyy-mm-dd")</f>
        <v>2026-10-05</v>
      </c>
    </row>
    <row r="432" customFormat="false" ht="15" hidden="false" customHeight="false" outlineLevel="0" collapsed="false">
      <c r="A432" s="27" t="n">
        <v>8</v>
      </c>
      <c r="B432" s="28" t="n">
        <v>46300.1578210995</v>
      </c>
      <c r="C432" s="29" t="n">
        <f aca="false">IF(A433=A432,B433,INDEX(Rounds!$D:$D,MATCH(A432,Rounds!$A:$A,0)))</f>
        <v>46300.1578268403</v>
      </c>
      <c r="D432" s="30" t="n">
        <f aca="false">(B432-INDEX(Rounds!$C:$C,MATCH(A432,Rounds!$A:$A,0)))*86400</f>
        <v>55.109000648</v>
      </c>
      <c r="E432" s="30" t="n">
        <f aca="false">(C432-INDEX(Rounds!$C:$C,MATCH(A432,Rounds!$A:$A,0)))*86400</f>
        <v>55.605000397</v>
      </c>
      <c r="F432" s="31" t="n">
        <f aca="false">(C432-B432)*86400</f>
        <v>0.495999748</v>
      </c>
      <c r="G432" s="27" t="s">
        <v>150</v>
      </c>
      <c r="H432" s="27" t="s">
        <v>206</v>
      </c>
      <c r="I432" s="27" t="s">
        <v>246</v>
      </c>
      <c r="J432" s="27" t="s">
        <v>241</v>
      </c>
      <c r="K432" s="27" t="s">
        <v>232</v>
      </c>
      <c r="L432" s="3" t="str">
        <f aca="false">IF(ISNUMBER(SEARCH(" m",I432)),"Range",IF(I432="offline","Offline",IF(I432="","Unknown","No echo / error")))</f>
        <v>Range</v>
      </c>
      <c r="M432" s="3" t="str">
        <f aca="false">IF(ISNUMBER(SEARCH(" m",J432)),"Range",IF(J432="offline","Offline",IF(J432="","Unknown","No echo / error")))</f>
        <v>Range</v>
      </c>
      <c r="N432" s="3" t="str">
        <f aca="false">IF(ISNUMBER(SEARCH(" m",K432)),"Range",IF(K432="offline","Offline",IF(K432="","Unknown","No echo / error")))</f>
        <v>Range</v>
      </c>
      <c r="O432" s="3" t="str">
        <f aca="false">TEXT(B432,"yyyy-mm-dd")</f>
        <v>2026-10-05</v>
      </c>
    </row>
    <row r="433" customFormat="false" ht="15" hidden="false" customHeight="false" outlineLevel="0" collapsed="false">
      <c r="A433" s="27" t="n">
        <v>8</v>
      </c>
      <c r="B433" s="28" t="n">
        <v>46300.1578268403</v>
      </c>
      <c r="C433" s="29" t="n">
        <f aca="false">IF(A434=A433,B434,INDEX(Rounds!$D:$D,MATCH(A433,Rounds!$A:$A,0)))</f>
        <v>46300.157831875</v>
      </c>
      <c r="D433" s="30" t="n">
        <f aca="false">(B433-INDEX(Rounds!$C:$C,MATCH(A433,Rounds!$A:$A,0)))*86400</f>
        <v>55.605000397</v>
      </c>
      <c r="E433" s="30" t="n">
        <f aca="false">(C433-INDEX(Rounds!$C:$C,MATCH(A433,Rounds!$A:$A,0)))*86400</f>
        <v>56.040000426</v>
      </c>
      <c r="F433" s="31" t="n">
        <f aca="false">(C433-B433)*86400</f>
        <v>0.435000029</v>
      </c>
      <c r="G433" s="27" t="s">
        <v>152</v>
      </c>
      <c r="H433" s="27" t="s">
        <v>208</v>
      </c>
      <c r="I433" s="27" t="s">
        <v>211</v>
      </c>
      <c r="J433" s="27" t="s">
        <v>241</v>
      </c>
      <c r="K433" s="27" t="s">
        <v>232</v>
      </c>
      <c r="L433" s="3" t="str">
        <f aca="false">IF(ISNUMBER(SEARCH(" m",I433)),"Range",IF(I433="offline","Offline",IF(I433="","Unknown","No echo / error")))</f>
        <v>No echo / error</v>
      </c>
      <c r="M433" s="3" t="str">
        <f aca="false">IF(ISNUMBER(SEARCH(" m",J433)),"Range",IF(J433="offline","Offline",IF(J433="","Unknown","No echo / error")))</f>
        <v>Range</v>
      </c>
      <c r="N433" s="3" t="str">
        <f aca="false">IF(ISNUMBER(SEARCH(" m",K433)),"Range",IF(K433="offline","Offline",IF(K433="","Unknown","No echo / error")))</f>
        <v>Range</v>
      </c>
      <c r="O433" s="3" t="str">
        <f aca="false">TEXT(B433,"yyyy-mm-dd")</f>
        <v>2026-10-05</v>
      </c>
    </row>
    <row r="434" customFormat="false" ht="15" hidden="false" customHeight="false" outlineLevel="0" collapsed="false">
      <c r="A434" s="27" t="n">
        <v>8</v>
      </c>
      <c r="B434" s="28" t="n">
        <v>46300.157831875</v>
      </c>
      <c r="C434" s="29" t="n">
        <f aca="false">IF(A435=A434,B435,INDEX(Rounds!$D:$D,MATCH(A434,Rounds!$A:$A,0)))</f>
        <v>46300.1578374421</v>
      </c>
      <c r="D434" s="30" t="n">
        <f aca="false">(B434-INDEX(Rounds!$C:$C,MATCH(A434,Rounds!$A:$A,0)))*86400</f>
        <v>56.040000426</v>
      </c>
      <c r="E434" s="30" t="n">
        <f aca="false">(C434-INDEX(Rounds!$C:$C,MATCH(A434,Rounds!$A:$A,0)))*86400</f>
        <v>56.521000131</v>
      </c>
      <c r="F434" s="31" t="n">
        <f aca="false">(C434-B434)*86400</f>
        <v>0.480999704</v>
      </c>
      <c r="G434" s="27" t="s">
        <v>151</v>
      </c>
      <c r="H434" s="27" t="s">
        <v>203</v>
      </c>
      <c r="I434" s="27" t="s">
        <v>211</v>
      </c>
      <c r="J434" s="27" t="s">
        <v>241</v>
      </c>
      <c r="K434" s="27" t="s">
        <v>265</v>
      </c>
      <c r="L434" s="3" t="str">
        <f aca="false">IF(ISNUMBER(SEARCH(" m",I434)),"Range",IF(I434="offline","Offline",IF(I434="","Unknown","No echo / error")))</f>
        <v>No echo / error</v>
      </c>
      <c r="M434" s="3" t="str">
        <f aca="false">IF(ISNUMBER(SEARCH(" m",J434)),"Range",IF(J434="offline","Offline",IF(J434="","Unknown","No echo / error")))</f>
        <v>Range</v>
      </c>
      <c r="N434" s="3" t="str">
        <f aca="false">IF(ISNUMBER(SEARCH(" m",K434)),"Range",IF(K434="offline","Offline",IF(K434="","Unknown","No echo / error")))</f>
        <v>Range</v>
      </c>
      <c r="O434" s="3" t="str">
        <f aca="false">TEXT(B434,"yyyy-mm-dd")</f>
        <v>2026-10-05</v>
      </c>
    </row>
    <row r="435" customFormat="false" ht="15" hidden="false" customHeight="false" outlineLevel="0" collapsed="false">
      <c r="A435" s="27" t="n">
        <v>8</v>
      </c>
      <c r="B435" s="28" t="n">
        <v>46300.1578374421</v>
      </c>
      <c r="C435" s="29" t="n">
        <f aca="false">IF(A436=A435,B436,INDEX(Rounds!$D:$D,MATCH(A435,Rounds!$A:$A,0)))</f>
        <v>46300.1578406134</v>
      </c>
      <c r="D435" s="30" t="n">
        <f aca="false">(B435-INDEX(Rounds!$C:$C,MATCH(A435,Rounds!$A:$A,0)))*86400</f>
        <v>56.521000131</v>
      </c>
      <c r="E435" s="30" t="n">
        <f aca="false">(C435-INDEX(Rounds!$C:$C,MATCH(A435,Rounds!$A:$A,0)))*86400</f>
        <v>56.795000354</v>
      </c>
      <c r="F435" s="31" t="n">
        <f aca="false">(C435-B435)*86400</f>
        <v>0.274000223</v>
      </c>
      <c r="G435" s="27" t="s">
        <v>152</v>
      </c>
      <c r="H435" s="27" t="s">
        <v>208</v>
      </c>
      <c r="I435" s="27" t="s">
        <v>276</v>
      </c>
      <c r="J435" s="27" t="s">
        <v>391</v>
      </c>
      <c r="K435" s="27" t="s">
        <v>393</v>
      </c>
      <c r="L435" s="3" t="str">
        <f aca="false">IF(ISNUMBER(SEARCH(" m",I435)),"Range",IF(I435="offline","Offline",IF(I435="","Unknown","No echo / error")))</f>
        <v>Range</v>
      </c>
      <c r="M435" s="3" t="str">
        <f aca="false">IF(ISNUMBER(SEARCH(" m",J435)),"Range",IF(J435="offline","Offline",IF(J435="","Unknown","No echo / error")))</f>
        <v>Range</v>
      </c>
      <c r="N435" s="3" t="str">
        <f aca="false">IF(ISNUMBER(SEARCH(" m",K435)),"Range",IF(K435="offline","Offline",IF(K435="","Unknown","No echo / error")))</f>
        <v>Range</v>
      </c>
      <c r="O435" s="3" t="str">
        <f aca="false">TEXT(B435,"yyyy-mm-dd")</f>
        <v>2026-10-05</v>
      </c>
    </row>
    <row r="436" customFormat="false" ht="15" hidden="false" customHeight="false" outlineLevel="0" collapsed="false">
      <c r="A436" s="27" t="n">
        <v>8</v>
      </c>
      <c r="B436" s="28" t="n">
        <v>46300.1578406134</v>
      </c>
      <c r="C436" s="29" t="n">
        <f aca="false">IF(A437=A436,B437,INDEX(Rounds!$D:$D,MATCH(A436,Rounds!$A:$A,0)))</f>
        <v>46300.1578419097</v>
      </c>
      <c r="D436" s="30" t="n">
        <f aca="false">(B436-INDEX(Rounds!$C:$C,MATCH(A436,Rounds!$A:$A,0)))*86400</f>
        <v>56.795000354</v>
      </c>
      <c r="E436" s="30" t="n">
        <f aca="false">(C436-INDEX(Rounds!$C:$C,MATCH(A436,Rounds!$A:$A,0)))*86400</f>
        <v>56.906999973</v>
      </c>
      <c r="F436" s="31" t="n">
        <f aca="false">(C436-B436)*86400</f>
        <v>0.111999618</v>
      </c>
      <c r="G436" s="27" t="s">
        <v>151</v>
      </c>
      <c r="H436" s="27" t="s">
        <v>203</v>
      </c>
      <c r="I436" s="27" t="s">
        <v>430</v>
      </c>
      <c r="J436" s="27" t="s">
        <v>264</v>
      </c>
      <c r="K436" s="27" t="s">
        <v>311</v>
      </c>
      <c r="L436" s="3" t="str">
        <f aca="false">IF(ISNUMBER(SEARCH(" m",I436)),"Range",IF(I436="offline","Offline",IF(I436="","Unknown","No echo / error")))</f>
        <v>Range</v>
      </c>
      <c r="M436" s="3" t="str">
        <f aca="false">IF(ISNUMBER(SEARCH(" m",J436)),"Range",IF(J436="offline","Offline",IF(J436="","Unknown","No echo / error")))</f>
        <v>Range</v>
      </c>
      <c r="N436" s="3" t="str">
        <f aca="false">IF(ISNUMBER(SEARCH(" m",K436)),"Range",IF(K436="offline","Offline",IF(K436="","Unknown","No echo / error")))</f>
        <v>Range</v>
      </c>
      <c r="O436" s="3" t="str">
        <f aca="false">TEXT(B436,"yyyy-mm-dd")</f>
        <v>2026-10-05</v>
      </c>
    </row>
    <row r="437" customFormat="false" ht="15" hidden="false" customHeight="false" outlineLevel="0" collapsed="false">
      <c r="A437" s="27" t="n">
        <v>8</v>
      </c>
      <c r="B437" s="28" t="n">
        <v>46300.1578419097</v>
      </c>
      <c r="C437" s="29" t="n">
        <f aca="false">IF(A438=A437,B438,INDEX(Rounds!$D:$D,MATCH(A437,Rounds!$A:$A,0)))</f>
        <v>46300.1578871296</v>
      </c>
      <c r="D437" s="30" t="n">
        <f aca="false">(B437-INDEX(Rounds!$C:$C,MATCH(A437,Rounds!$A:$A,0)))*86400</f>
        <v>56.906999973</v>
      </c>
      <c r="E437" s="30" t="n">
        <f aca="false">(C437-INDEX(Rounds!$C:$C,MATCH(A437,Rounds!$A:$A,0)))*86400</f>
        <v>60.81400013</v>
      </c>
      <c r="F437" s="31" t="n">
        <f aca="false">(C437-B437)*86400</f>
        <v>3.907000157</v>
      </c>
      <c r="G437" s="27" t="s">
        <v>150</v>
      </c>
      <c r="H437" s="27" t="s">
        <v>206</v>
      </c>
      <c r="I437" s="27" t="s">
        <v>283</v>
      </c>
      <c r="J437" s="27" t="s">
        <v>264</v>
      </c>
      <c r="K437" s="27" t="s">
        <v>311</v>
      </c>
      <c r="L437" s="3" t="str">
        <f aca="false">IF(ISNUMBER(SEARCH(" m",I437)),"Range",IF(I437="offline","Offline",IF(I437="","Unknown","No echo / error")))</f>
        <v>Range</v>
      </c>
      <c r="M437" s="3" t="str">
        <f aca="false">IF(ISNUMBER(SEARCH(" m",J437)),"Range",IF(J437="offline","Offline",IF(J437="","Unknown","No echo / error")))</f>
        <v>Range</v>
      </c>
      <c r="N437" s="3" t="str">
        <f aca="false">IF(ISNUMBER(SEARCH(" m",K437)),"Range",IF(K437="offline","Offline",IF(K437="","Unknown","No echo / error")))</f>
        <v>Range</v>
      </c>
      <c r="O437" s="3" t="str">
        <f aca="false">TEXT(B437,"yyyy-mm-dd")</f>
        <v>2026-10-05</v>
      </c>
    </row>
    <row r="438" customFormat="false" ht="15" hidden="false" customHeight="false" outlineLevel="0" collapsed="false">
      <c r="A438" s="27" t="n">
        <v>8</v>
      </c>
      <c r="B438" s="28" t="n">
        <v>46300.1578871296</v>
      </c>
      <c r="C438" s="29" t="n">
        <f aca="false">IF(A439=A438,B439,INDEX(Rounds!$D:$D,MATCH(A438,Rounds!$A:$A,0)))</f>
        <v>46300.1578897454</v>
      </c>
      <c r="D438" s="30" t="n">
        <f aca="false">(B438-INDEX(Rounds!$C:$C,MATCH(A438,Rounds!$A:$A,0)))*86400</f>
        <v>60.81400013</v>
      </c>
      <c r="E438" s="30" t="n">
        <f aca="false">(C438-INDEX(Rounds!$C:$C,MATCH(A438,Rounds!$A:$A,0)))*86400</f>
        <v>61.040000338</v>
      </c>
      <c r="F438" s="31" t="n">
        <f aca="false">(C438-B438)*86400</f>
        <v>0.226000207</v>
      </c>
      <c r="G438" s="27" t="s">
        <v>152</v>
      </c>
      <c r="H438" s="27" t="s">
        <v>208</v>
      </c>
      <c r="I438" s="27" t="s">
        <v>413</v>
      </c>
      <c r="J438" s="27" t="s">
        <v>397</v>
      </c>
      <c r="K438" s="27" t="s">
        <v>212</v>
      </c>
      <c r="L438" s="3" t="str">
        <f aca="false">IF(ISNUMBER(SEARCH(" m",I438)),"Range",IF(I438="offline","Offline",IF(I438="","Unknown","No echo / error")))</f>
        <v>Range</v>
      </c>
      <c r="M438" s="3" t="str">
        <f aca="false">IF(ISNUMBER(SEARCH(" m",J438)),"Range",IF(J438="offline","Offline",IF(J438="","Unknown","No echo / error")))</f>
        <v>Range</v>
      </c>
      <c r="N438" s="3" t="str">
        <f aca="false">IF(ISNUMBER(SEARCH(" m",K438)),"Range",IF(K438="offline","Offline",IF(K438="","Unknown","No echo / error")))</f>
        <v>Range</v>
      </c>
      <c r="O438" s="3" t="str">
        <f aca="false">TEXT(B438,"yyyy-mm-dd")</f>
        <v>2026-10-05</v>
      </c>
    </row>
    <row r="439" customFormat="false" ht="15" hidden="false" customHeight="false" outlineLevel="0" collapsed="false">
      <c r="A439" s="27" t="n">
        <v>8</v>
      </c>
      <c r="B439" s="28" t="n">
        <v>46300.1578897454</v>
      </c>
      <c r="C439" s="29" t="n">
        <f aca="false">IF(A440=A439,B440,INDEX(Rounds!$D:$D,MATCH(A439,Rounds!$A:$A,0)))</f>
        <v>46300.1578910532</v>
      </c>
      <c r="D439" s="30" t="n">
        <f aca="false">(B439-INDEX(Rounds!$C:$C,MATCH(A439,Rounds!$A:$A,0)))*86400</f>
        <v>61.040000338</v>
      </c>
      <c r="E439" s="30" t="n">
        <f aca="false">(C439-INDEX(Rounds!$C:$C,MATCH(A439,Rounds!$A:$A,0)))*86400</f>
        <v>61.153000127</v>
      </c>
      <c r="F439" s="31" t="n">
        <f aca="false">(C439-B439)*86400</f>
        <v>0.112999789</v>
      </c>
      <c r="G439" s="27" t="s">
        <v>151</v>
      </c>
      <c r="H439" s="27" t="s">
        <v>203</v>
      </c>
      <c r="I439" s="27" t="s">
        <v>315</v>
      </c>
      <c r="J439" s="27" t="s">
        <v>328</v>
      </c>
      <c r="K439" s="27" t="s">
        <v>314</v>
      </c>
      <c r="L439" s="3" t="str">
        <f aca="false">IF(ISNUMBER(SEARCH(" m",I439)),"Range",IF(I439="offline","Offline",IF(I439="","Unknown","No echo / error")))</f>
        <v>Range</v>
      </c>
      <c r="M439" s="3" t="str">
        <f aca="false">IF(ISNUMBER(SEARCH(" m",J439)),"Range",IF(J439="offline","Offline",IF(J439="","Unknown","No echo / error")))</f>
        <v>Range</v>
      </c>
      <c r="N439" s="3" t="str">
        <f aca="false">IF(ISNUMBER(SEARCH(" m",K439)),"Range",IF(K439="offline","Offline",IF(K439="","Unknown","No echo / error")))</f>
        <v>Range</v>
      </c>
      <c r="O439" s="3" t="str">
        <f aca="false">TEXT(B439,"yyyy-mm-dd")</f>
        <v>2026-10-05</v>
      </c>
    </row>
    <row r="440" customFormat="false" ht="15" hidden="false" customHeight="false" outlineLevel="0" collapsed="false">
      <c r="A440" s="27" t="n">
        <v>8</v>
      </c>
      <c r="B440" s="28" t="n">
        <v>46300.1578910532</v>
      </c>
      <c r="C440" s="29" t="n">
        <f aca="false">IF(A441=A440,B441,INDEX(Rounds!$D:$D,MATCH(A440,Rounds!$A:$A,0)))</f>
        <v>46300.1579404051</v>
      </c>
      <c r="D440" s="30" t="n">
        <f aca="false">(B440-INDEX(Rounds!$C:$C,MATCH(A440,Rounds!$A:$A,0)))*86400</f>
        <v>61.153000127</v>
      </c>
      <c r="E440" s="30" t="n">
        <f aca="false">(C440-INDEX(Rounds!$C:$C,MATCH(A440,Rounds!$A:$A,0)))*86400</f>
        <v>65.417000208</v>
      </c>
      <c r="F440" s="31" t="n">
        <f aca="false">(C440-B440)*86400</f>
        <v>4.264000081</v>
      </c>
      <c r="G440" s="27" t="s">
        <v>150</v>
      </c>
      <c r="H440" s="27" t="s">
        <v>206</v>
      </c>
      <c r="I440" s="27" t="s">
        <v>315</v>
      </c>
      <c r="J440" s="27" t="s">
        <v>328</v>
      </c>
      <c r="K440" s="27" t="s">
        <v>332</v>
      </c>
      <c r="L440" s="3" t="str">
        <f aca="false">IF(ISNUMBER(SEARCH(" m",I440)),"Range",IF(I440="offline","Offline",IF(I440="","Unknown","No echo / error")))</f>
        <v>Range</v>
      </c>
      <c r="M440" s="3" t="str">
        <f aca="false">IF(ISNUMBER(SEARCH(" m",J440)),"Range",IF(J440="offline","Offline",IF(J440="","Unknown","No echo / error")))</f>
        <v>Range</v>
      </c>
      <c r="N440" s="3" t="str">
        <f aca="false">IF(ISNUMBER(SEARCH(" m",K440)),"Range",IF(K440="offline","Offline",IF(K440="","Unknown","No echo / error")))</f>
        <v>Range</v>
      </c>
      <c r="O440" s="3" t="str">
        <f aca="false">TEXT(B440,"yyyy-mm-dd")</f>
        <v>2026-10-05</v>
      </c>
    </row>
    <row r="441" customFormat="false" ht="15" hidden="false" customHeight="false" outlineLevel="0" collapsed="false">
      <c r="A441" s="27" t="n">
        <v>8</v>
      </c>
      <c r="B441" s="28" t="n">
        <v>46300.1579404051</v>
      </c>
      <c r="C441" s="29" t="n">
        <f aca="false">IF(A442=A441,B442,INDEX(Rounds!$D:$D,MATCH(A441,Rounds!$A:$A,0)))</f>
        <v>46300.1579404051</v>
      </c>
      <c r="D441" s="30" t="n">
        <f aca="false">(B441-INDEX(Rounds!$C:$C,MATCH(A441,Rounds!$A:$A,0)))*86400</f>
        <v>65.417000208</v>
      </c>
      <c r="E441" s="30" t="n">
        <f aca="false">(C441-INDEX(Rounds!$C:$C,MATCH(A441,Rounds!$A:$A,0)))*86400</f>
        <v>65.417000208</v>
      </c>
      <c r="F441" s="31" t="n">
        <f aca="false">(C441-B441)*86400</f>
        <v>0</v>
      </c>
      <c r="G441" s="27" t="s">
        <v>154</v>
      </c>
      <c r="H441" s="27" t="s">
        <v>206</v>
      </c>
      <c r="I441" s="27" t="s">
        <v>315</v>
      </c>
      <c r="J441" s="27" t="s">
        <v>328</v>
      </c>
      <c r="K441" s="27" t="s">
        <v>332</v>
      </c>
      <c r="L441" s="3" t="str">
        <f aca="false">IF(ISNUMBER(SEARCH(" m",I441)),"Range",IF(I441="offline","Offline",IF(I441="","Unknown","No echo / error")))</f>
        <v>Range</v>
      </c>
      <c r="M441" s="3" t="str">
        <f aca="false">IF(ISNUMBER(SEARCH(" m",J441)),"Range",IF(J441="offline","Offline",IF(J441="","Unknown","No echo / error")))</f>
        <v>Range</v>
      </c>
      <c r="N441" s="3" t="str">
        <f aca="false">IF(ISNUMBER(SEARCH(" m",K441)),"Range",IF(K441="offline","Offline",IF(K441="","Unknown","No echo / error")))</f>
        <v>Range</v>
      </c>
      <c r="O441" s="3" t="str">
        <f aca="false">TEXT(B441,"yyyy-mm-dd")</f>
        <v>2026-10-05</v>
      </c>
    </row>
    <row r="442" customFormat="false" ht="15" hidden="false" customHeight="false" outlineLevel="0" collapsed="false">
      <c r="A442" s="27" t="n">
        <v>9</v>
      </c>
      <c r="B442" s="28" t="n">
        <v>46301.4818656829</v>
      </c>
      <c r="C442" s="29" t="n">
        <f aca="false">IF(A443=A442,B443,INDEX(Rounds!$D:$D,MATCH(A442,Rounds!$A:$A,0)))</f>
        <v>46301.4818656829</v>
      </c>
      <c r="D442" s="30" t="n">
        <f aca="false">(B442-INDEX(Rounds!$C:$C,MATCH(A442,Rounds!$A:$A,0)))*86400</f>
        <v>0</v>
      </c>
      <c r="E442" s="30" t="n">
        <f aca="false">(C442-INDEX(Rounds!$C:$C,MATCH(A442,Rounds!$A:$A,0)))*86400</f>
        <v>0</v>
      </c>
      <c r="F442" s="31" t="n">
        <f aca="false">(C442-B442)*86400</f>
        <v>0</v>
      </c>
      <c r="G442" s="27" t="s">
        <v>154</v>
      </c>
      <c r="H442" s="27" t="s">
        <v>411</v>
      </c>
      <c r="I442" s="27" t="s">
        <v>200</v>
      </c>
      <c r="J442" s="27" t="s">
        <v>200</v>
      </c>
      <c r="K442" s="27" t="s">
        <v>200</v>
      </c>
      <c r="L442" s="3" t="str">
        <f aca="false">IF(ISNUMBER(SEARCH(" m",I442)),"Range",IF(I442="offline","Offline",IF(I442="","Unknown","No echo / error")))</f>
        <v>Offline</v>
      </c>
      <c r="M442" s="3" t="str">
        <f aca="false">IF(ISNUMBER(SEARCH(" m",J442)),"Range",IF(J442="offline","Offline",IF(J442="","Unknown","No echo / error")))</f>
        <v>Offline</v>
      </c>
      <c r="N442" s="3" t="str">
        <f aca="false">IF(ISNUMBER(SEARCH(" m",K442)),"Range",IF(K442="offline","Offline",IF(K442="","Unknown","No echo / error")))</f>
        <v>Offline</v>
      </c>
      <c r="O442" s="3" t="str">
        <f aca="false">TEXT(B442,"yyyy-mm-dd")</f>
        <v>2026-10-06</v>
      </c>
    </row>
    <row r="443" customFormat="false" ht="15" hidden="false" customHeight="false" outlineLevel="0" collapsed="false">
      <c r="A443" s="27" t="n">
        <v>9</v>
      </c>
      <c r="B443" s="28" t="n">
        <v>46301.4818656829</v>
      </c>
      <c r="C443" s="29" t="n">
        <f aca="false">IF(A444=A443,B444,INDEX(Rounds!$D:$D,MATCH(A443,Rounds!$A:$A,0)))</f>
        <v>46301.4818656945</v>
      </c>
      <c r="D443" s="30" t="n">
        <f aca="false">(B443-INDEX(Rounds!$C:$C,MATCH(A443,Rounds!$A:$A,0)))*86400</f>
        <v>0</v>
      </c>
      <c r="E443" s="30" t="n">
        <f aca="false">(C443-INDEX(Rounds!$C:$C,MATCH(A443,Rounds!$A:$A,0)))*86400</f>
        <v>0.00100017</v>
      </c>
      <c r="F443" s="31" t="n">
        <f aca="false">(C443-B443)*86400</f>
        <v>0.00100017</v>
      </c>
      <c r="G443" s="27" t="s">
        <v>154</v>
      </c>
      <c r="H443" s="27" t="s">
        <v>411</v>
      </c>
      <c r="I443" s="27" t="s">
        <v>200</v>
      </c>
      <c r="J443" s="27" t="s">
        <v>200</v>
      </c>
      <c r="K443" s="27" t="s">
        <v>200</v>
      </c>
      <c r="L443" s="3" t="str">
        <f aca="false">IF(ISNUMBER(SEARCH(" m",I443)),"Range",IF(I443="offline","Offline",IF(I443="","Unknown","No echo / error")))</f>
        <v>Offline</v>
      </c>
      <c r="M443" s="3" t="str">
        <f aca="false">IF(ISNUMBER(SEARCH(" m",J443)),"Range",IF(J443="offline","Offline",IF(J443="","Unknown","No echo / error")))</f>
        <v>Offline</v>
      </c>
      <c r="N443" s="3" t="str">
        <f aca="false">IF(ISNUMBER(SEARCH(" m",K443)),"Range",IF(K443="offline","Offline",IF(K443="","Unknown","No echo / error")))</f>
        <v>Offline</v>
      </c>
      <c r="O443" s="3" t="str">
        <f aca="false">TEXT(B443,"yyyy-mm-dd")</f>
        <v>2026-10-06</v>
      </c>
    </row>
    <row r="444" customFormat="false" ht="15" hidden="false" customHeight="false" outlineLevel="0" collapsed="false">
      <c r="A444" s="27" t="n">
        <v>9</v>
      </c>
      <c r="B444" s="28" t="n">
        <v>46301.4818656945</v>
      </c>
      <c r="C444" s="29" t="n">
        <f aca="false">IF(A445=A444,B445,INDEX(Rounds!$D:$D,MATCH(A444,Rounds!$A:$A,0)))</f>
        <v>46301.4819386111</v>
      </c>
      <c r="D444" s="30" t="n">
        <f aca="false">(B444-INDEX(Rounds!$C:$C,MATCH(A444,Rounds!$A:$A,0)))*86400</f>
        <v>0.00100017</v>
      </c>
      <c r="E444" s="30" t="n">
        <f aca="false">(C444-INDEX(Rounds!$C:$C,MATCH(A444,Rounds!$A:$A,0)))*86400</f>
        <v>6.300999945</v>
      </c>
      <c r="F444" s="31" t="n">
        <f aca="false">(C444-B444)*86400</f>
        <v>6.299999775</v>
      </c>
      <c r="G444" s="27" t="s">
        <v>152</v>
      </c>
      <c r="H444" s="27" t="s">
        <v>199</v>
      </c>
      <c r="I444" s="27" t="s">
        <v>432</v>
      </c>
      <c r="J444" s="27" t="s">
        <v>204</v>
      </c>
      <c r="K444" s="27" t="s">
        <v>276</v>
      </c>
      <c r="L444" s="3" t="str">
        <f aca="false">IF(ISNUMBER(SEARCH(" m",I444)),"Range",IF(I444="offline","Offline",IF(I444="","Unknown","No echo / error")))</f>
        <v>Range</v>
      </c>
      <c r="M444" s="3" t="str">
        <f aca="false">IF(ISNUMBER(SEARCH(" m",J444)),"Range",IF(J444="offline","Offline",IF(J444="","Unknown","No echo / error")))</f>
        <v>No echo / error</v>
      </c>
      <c r="N444" s="3" t="str">
        <f aca="false">IF(ISNUMBER(SEARCH(" m",K444)),"Range",IF(K444="offline","Offline",IF(K444="","Unknown","No echo / error")))</f>
        <v>Range</v>
      </c>
      <c r="O444" s="3" t="str">
        <f aca="false">TEXT(B444,"yyyy-mm-dd")</f>
        <v>2026-10-06</v>
      </c>
    </row>
    <row r="445" customFormat="false" ht="15" hidden="false" customHeight="false" outlineLevel="0" collapsed="false">
      <c r="A445" s="27" t="n">
        <v>9</v>
      </c>
      <c r="B445" s="28" t="n">
        <v>46301.4819386111</v>
      </c>
      <c r="C445" s="29" t="n">
        <f aca="false">IF(A446=A445,B446,INDEX(Rounds!$D:$D,MATCH(A445,Rounds!$A:$A,0)))</f>
        <v>46301.4819505093</v>
      </c>
      <c r="D445" s="30" t="n">
        <f aca="false">(B445-INDEX(Rounds!$C:$C,MATCH(A445,Rounds!$A:$A,0)))*86400</f>
        <v>6.300999945</v>
      </c>
      <c r="E445" s="30" t="n">
        <f aca="false">(C445-INDEX(Rounds!$C:$C,MATCH(A445,Rounds!$A:$A,0)))*86400</f>
        <v>7.328999927</v>
      </c>
      <c r="F445" s="31" t="n">
        <f aca="false">(C445-B445)*86400</f>
        <v>1.027999981</v>
      </c>
      <c r="G445" s="27" t="s">
        <v>151</v>
      </c>
      <c r="H445" s="27" t="s">
        <v>203</v>
      </c>
      <c r="I445" s="27" t="s">
        <v>204</v>
      </c>
      <c r="J445" s="27" t="s">
        <v>312</v>
      </c>
      <c r="K445" s="27" t="s">
        <v>433</v>
      </c>
      <c r="L445" s="3" t="str">
        <f aca="false">IF(ISNUMBER(SEARCH(" m",I445)),"Range",IF(I445="offline","Offline",IF(I445="","Unknown","No echo / error")))</f>
        <v>No echo / error</v>
      </c>
      <c r="M445" s="3" t="str">
        <f aca="false">IF(ISNUMBER(SEARCH(" m",J445)),"Range",IF(J445="offline","Offline",IF(J445="","Unknown","No echo / error")))</f>
        <v>Range</v>
      </c>
      <c r="N445" s="3" t="str">
        <f aca="false">IF(ISNUMBER(SEARCH(" m",K445)),"Range",IF(K445="offline","Offline",IF(K445="","Unknown","No echo / error")))</f>
        <v>Range</v>
      </c>
      <c r="O445" s="3" t="str">
        <f aca="false">TEXT(B445,"yyyy-mm-dd")</f>
        <v>2026-10-06</v>
      </c>
    </row>
    <row r="446" customFormat="false" ht="15" hidden="false" customHeight="false" outlineLevel="0" collapsed="false">
      <c r="A446" s="27" t="n">
        <v>9</v>
      </c>
      <c r="B446" s="28" t="n">
        <v>46301.4819505093</v>
      </c>
      <c r="C446" s="29" t="n">
        <f aca="false">IF(A447=A446,B447,INDEX(Rounds!$D:$D,MATCH(A446,Rounds!$A:$A,0)))</f>
        <v>46301.4819516204</v>
      </c>
      <c r="D446" s="30" t="n">
        <f aca="false">(B446-INDEX(Rounds!$C:$C,MATCH(A446,Rounds!$A:$A,0)))*86400</f>
        <v>7.328999927</v>
      </c>
      <c r="E446" s="30" t="n">
        <f aca="false">(C446-INDEX(Rounds!$C:$C,MATCH(A446,Rounds!$A:$A,0)))*86400</f>
        <v>7.424999959</v>
      </c>
      <c r="F446" s="31" t="n">
        <f aca="false">(C446-B446)*86400</f>
        <v>0.096000032</v>
      </c>
      <c r="G446" s="27" t="s">
        <v>152</v>
      </c>
      <c r="H446" s="27" t="s">
        <v>208</v>
      </c>
      <c r="I446" s="27" t="s">
        <v>220</v>
      </c>
      <c r="J446" s="27" t="s">
        <v>217</v>
      </c>
      <c r="K446" s="27" t="s">
        <v>360</v>
      </c>
      <c r="L446" s="3" t="str">
        <f aca="false">IF(ISNUMBER(SEARCH(" m",I446)),"Range",IF(I446="offline","Offline",IF(I446="","Unknown","No echo / error")))</f>
        <v>No echo / error</v>
      </c>
      <c r="M446" s="3" t="str">
        <f aca="false">IF(ISNUMBER(SEARCH(" m",J446)),"Range",IF(J446="offline","Offline",IF(J446="","Unknown","No echo / error")))</f>
        <v>Range</v>
      </c>
      <c r="N446" s="3" t="str">
        <f aca="false">IF(ISNUMBER(SEARCH(" m",K446)),"Range",IF(K446="offline","Offline",IF(K446="","Unknown","No echo / error")))</f>
        <v>Range</v>
      </c>
      <c r="O446" s="3" t="str">
        <f aca="false">TEXT(B446,"yyyy-mm-dd")</f>
        <v>2026-10-06</v>
      </c>
    </row>
    <row r="447" customFormat="false" ht="15" hidden="false" customHeight="false" outlineLevel="0" collapsed="false">
      <c r="A447" s="27" t="n">
        <v>9</v>
      </c>
      <c r="B447" s="28" t="n">
        <v>46301.4819516204</v>
      </c>
      <c r="C447" s="29" t="n">
        <f aca="false">IF(A448=A447,B448,INDEX(Rounds!$D:$D,MATCH(A447,Rounds!$A:$A,0)))</f>
        <v>46301.4819527662</v>
      </c>
      <c r="D447" s="30" t="n">
        <f aca="false">(B447-INDEX(Rounds!$C:$C,MATCH(A447,Rounds!$A:$A,0)))*86400</f>
        <v>7.424999959</v>
      </c>
      <c r="E447" s="30" t="n">
        <f aca="false">(C447-INDEX(Rounds!$C:$C,MATCH(A447,Rounds!$A:$A,0)))*86400</f>
        <v>7.523999246</v>
      </c>
      <c r="F447" s="31" t="n">
        <f aca="false">(C447-B447)*86400</f>
        <v>0.098999287</v>
      </c>
      <c r="G447" s="27" t="s">
        <v>151</v>
      </c>
      <c r="H447" s="27" t="s">
        <v>203</v>
      </c>
      <c r="I447" s="27" t="s">
        <v>220</v>
      </c>
      <c r="J447" s="27" t="s">
        <v>212</v>
      </c>
      <c r="K447" s="27" t="s">
        <v>360</v>
      </c>
      <c r="L447" s="3" t="str">
        <f aca="false">IF(ISNUMBER(SEARCH(" m",I447)),"Range",IF(I447="offline","Offline",IF(I447="","Unknown","No echo / error")))</f>
        <v>No echo / error</v>
      </c>
      <c r="M447" s="3" t="str">
        <f aca="false">IF(ISNUMBER(SEARCH(" m",J447)),"Range",IF(J447="offline","Offline",IF(J447="","Unknown","No echo / error")))</f>
        <v>Range</v>
      </c>
      <c r="N447" s="3" t="str">
        <f aca="false">IF(ISNUMBER(SEARCH(" m",K447)),"Range",IF(K447="offline","Offline",IF(K447="","Unknown","No echo / error")))</f>
        <v>Range</v>
      </c>
      <c r="O447" s="3" t="str">
        <f aca="false">TEXT(B447,"yyyy-mm-dd")</f>
        <v>2026-10-06</v>
      </c>
    </row>
    <row r="448" customFormat="false" ht="15" hidden="false" customHeight="false" outlineLevel="0" collapsed="false">
      <c r="A448" s="27" t="n">
        <v>9</v>
      </c>
      <c r="B448" s="28" t="n">
        <v>46301.4819527662</v>
      </c>
      <c r="C448" s="29" t="n">
        <f aca="false">IF(A449=A448,B449,INDEX(Rounds!$D:$D,MATCH(A448,Rounds!$A:$A,0)))</f>
        <v>46301.4819766435</v>
      </c>
      <c r="D448" s="30" t="n">
        <f aca="false">(B448-INDEX(Rounds!$C:$C,MATCH(A448,Rounds!$A:$A,0)))*86400</f>
        <v>7.523999246</v>
      </c>
      <c r="E448" s="30" t="n">
        <f aca="false">(C448-INDEX(Rounds!$C:$C,MATCH(A448,Rounds!$A:$A,0)))*86400</f>
        <v>9.586999774</v>
      </c>
      <c r="F448" s="31" t="n">
        <f aca="false">(C448-B448)*86400</f>
        <v>2.063000528</v>
      </c>
      <c r="G448" s="27" t="s">
        <v>150</v>
      </c>
      <c r="H448" s="27" t="s">
        <v>206</v>
      </c>
      <c r="I448" s="27" t="s">
        <v>220</v>
      </c>
      <c r="J448" s="27" t="s">
        <v>212</v>
      </c>
      <c r="K448" s="27" t="s">
        <v>242</v>
      </c>
      <c r="L448" s="3" t="str">
        <f aca="false">IF(ISNUMBER(SEARCH(" m",I448)),"Range",IF(I448="offline","Offline",IF(I448="","Unknown","No echo / error")))</f>
        <v>No echo / error</v>
      </c>
      <c r="M448" s="3" t="str">
        <f aca="false">IF(ISNUMBER(SEARCH(" m",J448)),"Range",IF(J448="offline","Offline",IF(J448="","Unknown","No echo / error")))</f>
        <v>Range</v>
      </c>
      <c r="N448" s="3" t="str">
        <f aca="false">IF(ISNUMBER(SEARCH(" m",K448)),"Range",IF(K448="offline","Offline",IF(K448="","Unknown","No echo / error")))</f>
        <v>Range</v>
      </c>
      <c r="O448" s="3" t="str">
        <f aca="false">TEXT(B448,"yyyy-mm-dd")</f>
        <v>2026-10-06</v>
      </c>
    </row>
    <row r="449" customFormat="false" ht="15" hidden="false" customHeight="false" outlineLevel="0" collapsed="false">
      <c r="A449" s="27" t="n">
        <v>9</v>
      </c>
      <c r="B449" s="28" t="n">
        <v>46301.4819766435</v>
      </c>
      <c r="C449" s="29" t="n">
        <f aca="false">IF(A450=A449,B450,INDEX(Rounds!$D:$D,MATCH(A449,Rounds!$A:$A,0)))</f>
        <v>46301.4819904861</v>
      </c>
      <c r="D449" s="30" t="n">
        <f aca="false">(B449-INDEX(Rounds!$C:$C,MATCH(A449,Rounds!$A:$A,0)))*86400</f>
        <v>9.586999774</v>
      </c>
      <c r="E449" s="30" t="n">
        <f aca="false">(C449-INDEX(Rounds!$C:$C,MATCH(A449,Rounds!$A:$A,0)))*86400</f>
        <v>10.782999498</v>
      </c>
      <c r="F449" s="31" t="n">
        <f aca="false">(C449-B449)*86400</f>
        <v>1.195999723</v>
      </c>
      <c r="G449" s="27" t="s">
        <v>152</v>
      </c>
      <c r="H449" s="27" t="s">
        <v>208</v>
      </c>
      <c r="I449" s="27" t="s">
        <v>211</v>
      </c>
      <c r="J449" s="27" t="s">
        <v>205</v>
      </c>
      <c r="K449" s="27" t="s">
        <v>240</v>
      </c>
      <c r="L449" s="3" t="str">
        <f aca="false">IF(ISNUMBER(SEARCH(" m",I449)),"Range",IF(I449="offline","Offline",IF(I449="","Unknown","No echo / error")))</f>
        <v>No echo / error</v>
      </c>
      <c r="M449" s="3" t="str">
        <f aca="false">IF(ISNUMBER(SEARCH(" m",J449)),"Range",IF(J449="offline","Offline",IF(J449="","Unknown","No echo / error")))</f>
        <v>Range</v>
      </c>
      <c r="N449" s="3" t="str">
        <f aca="false">IF(ISNUMBER(SEARCH(" m",K449)),"Range",IF(K449="offline","Offline",IF(K449="","Unknown","No echo / error")))</f>
        <v>Range</v>
      </c>
      <c r="O449" s="3" t="str">
        <f aca="false">TEXT(B449,"yyyy-mm-dd")</f>
        <v>2026-10-06</v>
      </c>
    </row>
    <row r="450" customFormat="false" ht="15" hidden="false" customHeight="false" outlineLevel="0" collapsed="false">
      <c r="A450" s="27" t="n">
        <v>9</v>
      </c>
      <c r="B450" s="28" t="n">
        <v>46301.4819904861</v>
      </c>
      <c r="C450" s="29" t="n">
        <f aca="false">IF(A451=A450,B451,INDEX(Rounds!$D:$D,MATCH(A450,Rounds!$A:$A,0)))</f>
        <v>46301.4819962616</v>
      </c>
      <c r="D450" s="30" t="n">
        <f aca="false">(B450-INDEX(Rounds!$C:$C,MATCH(A450,Rounds!$A:$A,0)))*86400</f>
        <v>10.782999498</v>
      </c>
      <c r="E450" s="30" t="n">
        <f aca="false">(C450-INDEX(Rounds!$C:$C,MATCH(A450,Rounds!$A:$A,0)))*86400</f>
        <v>11.281999759</v>
      </c>
      <c r="F450" s="31" t="n">
        <f aca="false">(C450-B450)*86400</f>
        <v>0.49900026</v>
      </c>
      <c r="G450" s="27" t="s">
        <v>151</v>
      </c>
      <c r="H450" s="27" t="s">
        <v>203</v>
      </c>
      <c r="I450" s="27" t="s">
        <v>220</v>
      </c>
      <c r="J450" s="27" t="s">
        <v>434</v>
      </c>
      <c r="K450" s="27" t="s">
        <v>352</v>
      </c>
      <c r="L450" s="3" t="str">
        <f aca="false">IF(ISNUMBER(SEARCH(" m",I450)),"Range",IF(I450="offline","Offline",IF(I450="","Unknown","No echo / error")))</f>
        <v>No echo / error</v>
      </c>
      <c r="M450" s="3" t="str">
        <f aca="false">IF(ISNUMBER(SEARCH(" m",J450)),"Range",IF(J450="offline","Offline",IF(J450="","Unknown","No echo / error")))</f>
        <v>Range</v>
      </c>
      <c r="N450" s="3" t="str">
        <f aca="false">IF(ISNUMBER(SEARCH(" m",K450)),"Range",IF(K450="offline","Offline",IF(K450="","Unknown","No echo / error")))</f>
        <v>Range</v>
      </c>
      <c r="O450" s="3" t="str">
        <f aca="false">TEXT(B450,"yyyy-mm-dd")</f>
        <v>2026-10-06</v>
      </c>
    </row>
    <row r="451" customFormat="false" ht="15" hidden="false" customHeight="false" outlineLevel="0" collapsed="false">
      <c r="A451" s="27" t="n">
        <v>9</v>
      </c>
      <c r="B451" s="28" t="n">
        <v>46301.4819962616</v>
      </c>
      <c r="C451" s="29" t="n">
        <f aca="false">IF(A452=A451,B452,INDEX(Rounds!$D:$D,MATCH(A451,Rounds!$A:$A,0)))</f>
        <v>46301.4820163542</v>
      </c>
      <c r="D451" s="30" t="n">
        <f aca="false">(B451-INDEX(Rounds!$C:$C,MATCH(A451,Rounds!$A:$A,0)))*86400</f>
        <v>11.281999759</v>
      </c>
      <c r="E451" s="30" t="n">
        <f aca="false">(C451-INDEX(Rounds!$C:$C,MATCH(A451,Rounds!$A:$A,0)))*86400</f>
        <v>13.018000451</v>
      </c>
      <c r="F451" s="31" t="n">
        <f aca="false">(C451-B451)*86400</f>
        <v>1.736000692</v>
      </c>
      <c r="G451" s="27" t="s">
        <v>150</v>
      </c>
      <c r="H451" s="27" t="s">
        <v>206</v>
      </c>
      <c r="I451" s="27" t="s">
        <v>210</v>
      </c>
      <c r="J451" s="27" t="s">
        <v>435</v>
      </c>
      <c r="K451" s="27" t="s">
        <v>436</v>
      </c>
      <c r="L451" s="3" t="str">
        <f aca="false">IF(ISNUMBER(SEARCH(" m",I451)),"Range",IF(I451="offline","Offline",IF(I451="","Unknown","No echo / error")))</f>
        <v>Range</v>
      </c>
      <c r="M451" s="3" t="str">
        <f aca="false">IF(ISNUMBER(SEARCH(" m",J451)),"Range",IF(J451="offline","Offline",IF(J451="","Unknown","No echo / error")))</f>
        <v>Range</v>
      </c>
      <c r="N451" s="3" t="str">
        <f aca="false">IF(ISNUMBER(SEARCH(" m",K451)),"Range",IF(K451="offline","Offline",IF(K451="","Unknown","No echo / error")))</f>
        <v>Range</v>
      </c>
      <c r="O451" s="3" t="str">
        <f aca="false">TEXT(B451,"yyyy-mm-dd")</f>
        <v>2026-10-06</v>
      </c>
    </row>
    <row r="452" customFormat="false" ht="15" hidden="false" customHeight="false" outlineLevel="0" collapsed="false">
      <c r="A452" s="27" t="n">
        <v>9</v>
      </c>
      <c r="B452" s="28" t="n">
        <v>46301.4820163542</v>
      </c>
      <c r="C452" s="29" t="n">
        <f aca="false">IF(A453=A452,B453,INDEX(Rounds!$D:$D,MATCH(A452,Rounds!$A:$A,0)))</f>
        <v>46301.4820251157</v>
      </c>
      <c r="D452" s="30" t="n">
        <f aca="false">(B452-INDEX(Rounds!$C:$C,MATCH(A452,Rounds!$A:$A,0)))*86400</f>
        <v>13.018000451</v>
      </c>
      <c r="E452" s="30" t="n">
        <f aca="false">(C452-INDEX(Rounds!$C:$C,MATCH(A452,Rounds!$A:$A,0)))*86400</f>
        <v>13.775000092</v>
      </c>
      <c r="F452" s="31" t="n">
        <f aca="false">(C452-B452)*86400</f>
        <v>0.75699964</v>
      </c>
      <c r="G452" s="27" t="s">
        <v>152</v>
      </c>
      <c r="H452" s="27" t="s">
        <v>208</v>
      </c>
      <c r="I452" s="27" t="s">
        <v>211</v>
      </c>
      <c r="J452" s="27" t="s">
        <v>282</v>
      </c>
      <c r="K452" s="27" t="s">
        <v>310</v>
      </c>
      <c r="L452" s="3" t="str">
        <f aca="false">IF(ISNUMBER(SEARCH(" m",I452)),"Range",IF(I452="offline","Offline",IF(I452="","Unknown","No echo / error")))</f>
        <v>No echo / error</v>
      </c>
      <c r="M452" s="3" t="str">
        <f aca="false">IF(ISNUMBER(SEARCH(" m",J452)),"Range",IF(J452="offline","Offline",IF(J452="","Unknown","No echo / error")))</f>
        <v>Range</v>
      </c>
      <c r="N452" s="3" t="str">
        <f aca="false">IF(ISNUMBER(SEARCH(" m",K452)),"Range",IF(K452="offline","Offline",IF(K452="","Unknown","No echo / error")))</f>
        <v>Range</v>
      </c>
      <c r="O452" s="3" t="str">
        <f aca="false">TEXT(B452,"yyyy-mm-dd")</f>
        <v>2026-10-06</v>
      </c>
    </row>
    <row r="453" customFormat="false" ht="15" hidden="false" customHeight="false" outlineLevel="0" collapsed="false">
      <c r="A453" s="27" t="n">
        <v>9</v>
      </c>
      <c r="B453" s="28" t="n">
        <v>46301.4820251157</v>
      </c>
      <c r="C453" s="29" t="n">
        <f aca="false">IF(A454=A453,B454,INDEX(Rounds!$D:$D,MATCH(A453,Rounds!$A:$A,0)))</f>
        <v>46301.4820348032</v>
      </c>
      <c r="D453" s="30" t="n">
        <f aca="false">(B453-INDEX(Rounds!$C:$C,MATCH(A453,Rounds!$A:$A,0)))*86400</f>
        <v>13.775000092</v>
      </c>
      <c r="E453" s="30" t="n">
        <f aca="false">(C453-INDEX(Rounds!$C:$C,MATCH(A453,Rounds!$A:$A,0)))*86400</f>
        <v>14.61199955</v>
      </c>
      <c r="F453" s="31" t="n">
        <f aca="false">(C453-B453)*86400</f>
        <v>0.836999458</v>
      </c>
      <c r="G453" s="27" t="s">
        <v>151</v>
      </c>
      <c r="H453" s="27" t="s">
        <v>203</v>
      </c>
      <c r="I453" s="27" t="s">
        <v>244</v>
      </c>
      <c r="J453" s="27" t="s">
        <v>272</v>
      </c>
      <c r="K453" s="27" t="s">
        <v>310</v>
      </c>
      <c r="L453" s="3" t="str">
        <f aca="false">IF(ISNUMBER(SEARCH(" m",I453)),"Range",IF(I453="offline","Offline",IF(I453="","Unknown","No echo / error")))</f>
        <v>Range</v>
      </c>
      <c r="M453" s="3" t="str">
        <f aca="false">IF(ISNUMBER(SEARCH(" m",J453)),"Range",IF(J453="offline","Offline",IF(J453="","Unknown","No echo / error")))</f>
        <v>Range</v>
      </c>
      <c r="N453" s="3" t="str">
        <f aca="false">IF(ISNUMBER(SEARCH(" m",K453)),"Range",IF(K453="offline","Offline",IF(K453="","Unknown","No echo / error")))</f>
        <v>Range</v>
      </c>
      <c r="O453" s="3" t="str">
        <f aca="false">TEXT(B453,"yyyy-mm-dd")</f>
        <v>2026-10-06</v>
      </c>
    </row>
    <row r="454" customFormat="false" ht="15" hidden="false" customHeight="false" outlineLevel="0" collapsed="false">
      <c r="A454" s="27" t="n">
        <v>9</v>
      </c>
      <c r="B454" s="28" t="n">
        <v>46301.4820348032</v>
      </c>
      <c r="C454" s="29" t="n">
        <f aca="false">IF(A455=A454,B455,INDEX(Rounds!$D:$D,MATCH(A454,Rounds!$A:$A,0)))</f>
        <v>46301.4820478704</v>
      </c>
      <c r="D454" s="30" t="n">
        <f aca="false">(B454-INDEX(Rounds!$C:$C,MATCH(A454,Rounds!$A:$A,0)))*86400</f>
        <v>14.61199955</v>
      </c>
      <c r="E454" s="30" t="n">
        <f aca="false">(C454-INDEX(Rounds!$C:$C,MATCH(A454,Rounds!$A:$A,0)))*86400</f>
        <v>15.740999788</v>
      </c>
      <c r="F454" s="31" t="n">
        <f aca="false">(C454-B454)*86400</f>
        <v>1.129000238</v>
      </c>
      <c r="G454" s="27" t="s">
        <v>152</v>
      </c>
      <c r="H454" s="27" t="s">
        <v>208</v>
      </c>
      <c r="I454" s="27" t="s">
        <v>432</v>
      </c>
      <c r="J454" s="27" t="s">
        <v>204</v>
      </c>
      <c r="K454" s="27" t="s">
        <v>264</v>
      </c>
      <c r="L454" s="3" t="str">
        <f aca="false">IF(ISNUMBER(SEARCH(" m",I454)),"Range",IF(I454="offline","Offline",IF(I454="","Unknown","No echo / error")))</f>
        <v>Range</v>
      </c>
      <c r="M454" s="3" t="str">
        <f aca="false">IF(ISNUMBER(SEARCH(" m",J454)),"Range",IF(J454="offline","Offline",IF(J454="","Unknown","No echo / error")))</f>
        <v>No echo / error</v>
      </c>
      <c r="N454" s="3" t="str">
        <f aca="false">IF(ISNUMBER(SEARCH(" m",K454)),"Range",IF(K454="offline","Offline",IF(K454="","Unknown","No echo / error")))</f>
        <v>Range</v>
      </c>
      <c r="O454" s="3" t="str">
        <f aca="false">TEXT(B454,"yyyy-mm-dd")</f>
        <v>2026-10-06</v>
      </c>
    </row>
    <row r="455" customFormat="false" ht="15" hidden="false" customHeight="false" outlineLevel="0" collapsed="false">
      <c r="A455" s="27" t="n">
        <v>9</v>
      </c>
      <c r="B455" s="28" t="n">
        <v>46301.4820478704</v>
      </c>
      <c r="C455" s="29" t="n">
        <f aca="false">IF(A456=A455,B456,INDEX(Rounds!$D:$D,MATCH(A455,Rounds!$A:$A,0)))</f>
        <v>46301.482049537</v>
      </c>
      <c r="D455" s="30" t="n">
        <f aca="false">(B455-INDEX(Rounds!$C:$C,MATCH(A455,Rounds!$A:$A,0)))*86400</f>
        <v>15.740999788</v>
      </c>
      <c r="E455" s="30" t="n">
        <f aca="false">(C455-INDEX(Rounds!$C:$C,MATCH(A455,Rounds!$A:$A,0)))*86400</f>
        <v>15.884999837</v>
      </c>
      <c r="F455" s="31" t="n">
        <f aca="false">(C455-B455)*86400</f>
        <v>0.144000048</v>
      </c>
      <c r="G455" s="27" t="s">
        <v>151</v>
      </c>
      <c r="H455" s="27" t="s">
        <v>203</v>
      </c>
      <c r="I455" s="27" t="s">
        <v>393</v>
      </c>
      <c r="J455" s="27" t="s">
        <v>437</v>
      </c>
      <c r="K455" s="27" t="s">
        <v>210</v>
      </c>
      <c r="L455" s="3" t="str">
        <f aca="false">IF(ISNUMBER(SEARCH(" m",I455)),"Range",IF(I455="offline","Offline",IF(I455="","Unknown","No echo / error")))</f>
        <v>Range</v>
      </c>
      <c r="M455" s="3" t="str">
        <f aca="false">IF(ISNUMBER(SEARCH(" m",J455)),"Range",IF(J455="offline","Offline",IF(J455="","Unknown","No echo / error")))</f>
        <v>Range</v>
      </c>
      <c r="N455" s="3" t="str">
        <f aca="false">IF(ISNUMBER(SEARCH(" m",K455)),"Range",IF(K455="offline","Offline",IF(K455="","Unknown","No echo / error")))</f>
        <v>Range</v>
      </c>
      <c r="O455" s="3" t="str">
        <f aca="false">TEXT(B455,"yyyy-mm-dd")</f>
        <v>2026-10-06</v>
      </c>
    </row>
    <row r="456" customFormat="false" ht="15" hidden="false" customHeight="false" outlineLevel="0" collapsed="false">
      <c r="A456" s="27" t="n">
        <v>9</v>
      </c>
      <c r="B456" s="28" t="n">
        <v>46301.482049537</v>
      </c>
      <c r="C456" s="29" t="n">
        <f aca="false">IF(A457=A456,B457,INDEX(Rounds!$D:$D,MATCH(A456,Rounds!$A:$A,0)))</f>
        <v>46301.4820687732</v>
      </c>
      <c r="D456" s="30" t="n">
        <f aca="false">(B456-INDEX(Rounds!$C:$C,MATCH(A456,Rounds!$A:$A,0)))*86400</f>
        <v>15.884999837</v>
      </c>
      <c r="E456" s="30" t="n">
        <f aca="false">(C456-INDEX(Rounds!$C:$C,MATCH(A456,Rounds!$A:$A,0)))*86400</f>
        <v>17.54699985</v>
      </c>
      <c r="F456" s="31" t="n">
        <f aca="false">(C456-B456)*86400</f>
        <v>1.662000012</v>
      </c>
      <c r="G456" s="27" t="s">
        <v>150</v>
      </c>
      <c r="H456" s="27" t="s">
        <v>206</v>
      </c>
      <c r="I456" s="27" t="s">
        <v>393</v>
      </c>
      <c r="J456" s="27" t="s">
        <v>379</v>
      </c>
      <c r="K456" s="27" t="s">
        <v>210</v>
      </c>
      <c r="L456" s="3" t="str">
        <f aca="false">IF(ISNUMBER(SEARCH(" m",I456)),"Range",IF(I456="offline","Offline",IF(I456="","Unknown","No echo / error")))</f>
        <v>Range</v>
      </c>
      <c r="M456" s="3" t="str">
        <f aca="false">IF(ISNUMBER(SEARCH(" m",J456)),"Range",IF(J456="offline","Offline",IF(J456="","Unknown","No echo / error")))</f>
        <v>Range</v>
      </c>
      <c r="N456" s="3" t="str">
        <f aca="false">IF(ISNUMBER(SEARCH(" m",K456)),"Range",IF(K456="offline","Offline",IF(K456="","Unknown","No echo / error")))</f>
        <v>Range</v>
      </c>
      <c r="O456" s="3" t="str">
        <f aca="false">TEXT(B456,"yyyy-mm-dd")</f>
        <v>2026-10-06</v>
      </c>
    </row>
    <row r="457" customFormat="false" ht="15" hidden="false" customHeight="false" outlineLevel="0" collapsed="false">
      <c r="A457" s="27" t="n">
        <v>9</v>
      </c>
      <c r="B457" s="28" t="n">
        <v>46301.4820687732</v>
      </c>
      <c r="C457" s="29" t="n">
        <f aca="false">IF(A458=A457,B458,INDEX(Rounds!$D:$D,MATCH(A457,Rounds!$A:$A,0)))</f>
        <v>46301.482074375</v>
      </c>
      <c r="D457" s="30" t="n">
        <f aca="false">(B457-INDEX(Rounds!$C:$C,MATCH(A457,Rounds!$A:$A,0)))*86400</f>
        <v>17.54699985</v>
      </c>
      <c r="E457" s="30" t="n">
        <f aca="false">(C457-INDEX(Rounds!$C:$C,MATCH(A457,Rounds!$A:$A,0)))*86400</f>
        <v>18.031000066</v>
      </c>
      <c r="F457" s="31" t="n">
        <f aca="false">(C457-B457)*86400</f>
        <v>0.484000216</v>
      </c>
      <c r="G457" s="27" t="s">
        <v>151</v>
      </c>
      <c r="H457" s="27" t="s">
        <v>203</v>
      </c>
      <c r="I457" s="27" t="s">
        <v>207</v>
      </c>
      <c r="J457" s="27" t="s">
        <v>396</v>
      </c>
      <c r="K457" s="27" t="s">
        <v>346</v>
      </c>
      <c r="L457" s="3" t="str">
        <f aca="false">IF(ISNUMBER(SEARCH(" m",I457)),"Range",IF(I457="offline","Offline",IF(I457="","Unknown","No echo / error")))</f>
        <v>Range</v>
      </c>
      <c r="M457" s="3" t="str">
        <f aca="false">IF(ISNUMBER(SEARCH(" m",J457)),"Range",IF(J457="offline","Offline",IF(J457="","Unknown","No echo / error")))</f>
        <v>Range</v>
      </c>
      <c r="N457" s="3" t="str">
        <f aca="false">IF(ISNUMBER(SEARCH(" m",K457)),"Range",IF(K457="offline","Offline",IF(K457="","Unknown","No echo / error")))</f>
        <v>Range</v>
      </c>
      <c r="O457" s="3" t="str">
        <f aca="false">TEXT(B457,"yyyy-mm-dd")</f>
        <v>2026-10-06</v>
      </c>
    </row>
    <row r="458" customFormat="false" ht="15" hidden="false" customHeight="false" outlineLevel="0" collapsed="false">
      <c r="A458" s="27" t="n">
        <v>9</v>
      </c>
      <c r="B458" s="28" t="n">
        <v>46301.482074375</v>
      </c>
      <c r="C458" s="29" t="n">
        <f aca="false">IF(A459=A458,B459,INDEX(Rounds!$D:$D,MATCH(A458,Rounds!$A:$A,0)))</f>
        <v>46301.4820896065</v>
      </c>
      <c r="D458" s="30" t="n">
        <f aca="false">(B458-INDEX(Rounds!$C:$C,MATCH(A458,Rounds!$A:$A,0)))*86400</f>
        <v>18.031000066</v>
      </c>
      <c r="E458" s="30" t="n">
        <f aca="false">(C458-INDEX(Rounds!$C:$C,MATCH(A458,Rounds!$A:$A,0)))*86400</f>
        <v>19.346999516</v>
      </c>
      <c r="F458" s="31" t="n">
        <f aca="false">(C458-B458)*86400</f>
        <v>1.31599945</v>
      </c>
      <c r="G458" s="27" t="s">
        <v>152</v>
      </c>
      <c r="H458" s="27" t="s">
        <v>208</v>
      </c>
      <c r="I458" s="27" t="s">
        <v>211</v>
      </c>
      <c r="J458" s="27" t="s">
        <v>396</v>
      </c>
      <c r="K458" s="27" t="s">
        <v>346</v>
      </c>
      <c r="L458" s="3" t="str">
        <f aca="false">IF(ISNUMBER(SEARCH(" m",I458)),"Range",IF(I458="offline","Offline",IF(I458="","Unknown","No echo / error")))</f>
        <v>No echo / error</v>
      </c>
      <c r="M458" s="3" t="str">
        <f aca="false">IF(ISNUMBER(SEARCH(" m",J458)),"Range",IF(J458="offline","Offline",IF(J458="","Unknown","No echo / error")))</f>
        <v>Range</v>
      </c>
      <c r="N458" s="3" t="str">
        <f aca="false">IF(ISNUMBER(SEARCH(" m",K458)),"Range",IF(K458="offline","Offline",IF(K458="","Unknown","No echo / error")))</f>
        <v>Range</v>
      </c>
      <c r="O458" s="3" t="str">
        <f aca="false">TEXT(B458,"yyyy-mm-dd")</f>
        <v>2026-10-06</v>
      </c>
    </row>
    <row r="459" customFormat="false" ht="15" hidden="false" customHeight="false" outlineLevel="0" collapsed="false">
      <c r="A459" s="27" t="n">
        <v>9</v>
      </c>
      <c r="B459" s="28" t="n">
        <v>46301.4820896065</v>
      </c>
      <c r="C459" s="29" t="n">
        <f aca="false">IF(A460=A459,B460,INDEX(Rounds!$D:$D,MATCH(A459,Rounds!$A:$A,0)))</f>
        <v>46301.4820912847</v>
      </c>
      <c r="D459" s="30" t="n">
        <f aca="false">(B459-INDEX(Rounds!$C:$C,MATCH(A459,Rounds!$A:$A,0)))*86400</f>
        <v>19.346999516</v>
      </c>
      <c r="E459" s="30" t="n">
        <f aca="false">(C459-INDEX(Rounds!$C:$C,MATCH(A459,Rounds!$A:$A,0)))*86400</f>
        <v>19.491999736</v>
      </c>
      <c r="F459" s="31" t="n">
        <f aca="false">(C459-B459)*86400</f>
        <v>0.145000219</v>
      </c>
      <c r="G459" s="27" t="s">
        <v>151</v>
      </c>
      <c r="H459" s="27" t="s">
        <v>203</v>
      </c>
      <c r="I459" s="27" t="s">
        <v>220</v>
      </c>
      <c r="J459" s="27" t="s">
        <v>362</v>
      </c>
      <c r="K459" s="27" t="s">
        <v>349</v>
      </c>
      <c r="L459" s="3" t="str">
        <f aca="false">IF(ISNUMBER(SEARCH(" m",I459)),"Range",IF(I459="offline","Offline",IF(I459="","Unknown","No echo / error")))</f>
        <v>No echo / error</v>
      </c>
      <c r="M459" s="3" t="str">
        <f aca="false">IF(ISNUMBER(SEARCH(" m",J459)),"Range",IF(J459="offline","Offline",IF(J459="","Unknown","No echo / error")))</f>
        <v>Range</v>
      </c>
      <c r="N459" s="3" t="str">
        <f aca="false">IF(ISNUMBER(SEARCH(" m",K459)),"Range",IF(K459="offline","Offline",IF(K459="","Unknown","No echo / error")))</f>
        <v>Range</v>
      </c>
      <c r="O459" s="3" t="str">
        <f aca="false">TEXT(B459,"yyyy-mm-dd")</f>
        <v>2026-10-06</v>
      </c>
    </row>
    <row r="460" customFormat="false" ht="15" hidden="false" customHeight="false" outlineLevel="0" collapsed="false">
      <c r="A460" s="27" t="n">
        <v>9</v>
      </c>
      <c r="B460" s="28" t="n">
        <v>46301.4820912847</v>
      </c>
      <c r="C460" s="29" t="n">
        <f aca="false">IF(A461=A460,B461,INDEX(Rounds!$D:$D,MATCH(A460,Rounds!$A:$A,0)))</f>
        <v>46301.4821035648</v>
      </c>
      <c r="D460" s="30" t="n">
        <f aca="false">(B460-INDEX(Rounds!$C:$C,MATCH(A460,Rounds!$A:$A,0)))*86400</f>
        <v>19.491999736</v>
      </c>
      <c r="E460" s="30" t="n">
        <f aca="false">(C460-INDEX(Rounds!$C:$C,MATCH(A460,Rounds!$A:$A,0)))*86400</f>
        <v>20.552999689</v>
      </c>
      <c r="F460" s="31" t="n">
        <f aca="false">(C460-B460)*86400</f>
        <v>1.060999953</v>
      </c>
      <c r="G460" s="27" t="s">
        <v>150</v>
      </c>
      <c r="H460" s="27" t="s">
        <v>206</v>
      </c>
      <c r="I460" s="27" t="s">
        <v>220</v>
      </c>
      <c r="J460" s="27" t="s">
        <v>243</v>
      </c>
      <c r="K460" s="27" t="s">
        <v>349</v>
      </c>
      <c r="L460" s="3" t="str">
        <f aca="false">IF(ISNUMBER(SEARCH(" m",I460)),"Range",IF(I460="offline","Offline",IF(I460="","Unknown","No echo / error")))</f>
        <v>No echo / error</v>
      </c>
      <c r="M460" s="3" t="str">
        <f aca="false">IF(ISNUMBER(SEARCH(" m",J460)),"Range",IF(J460="offline","Offline",IF(J460="","Unknown","No echo / error")))</f>
        <v>Range</v>
      </c>
      <c r="N460" s="3" t="str">
        <f aca="false">IF(ISNUMBER(SEARCH(" m",K460)),"Range",IF(K460="offline","Offline",IF(K460="","Unknown","No echo / error")))</f>
        <v>Range</v>
      </c>
      <c r="O460" s="3" t="str">
        <f aca="false">TEXT(B460,"yyyy-mm-dd")</f>
        <v>2026-10-06</v>
      </c>
    </row>
    <row r="461" customFormat="false" ht="15" hidden="false" customHeight="false" outlineLevel="0" collapsed="false">
      <c r="A461" s="27" t="n">
        <v>9</v>
      </c>
      <c r="B461" s="28" t="n">
        <v>46301.4821035648</v>
      </c>
      <c r="C461" s="29" t="n">
        <f aca="false">IF(A462=A461,B462,INDEX(Rounds!$D:$D,MATCH(A461,Rounds!$A:$A,0)))</f>
        <v>46301.4821098611</v>
      </c>
      <c r="D461" s="30" t="n">
        <f aca="false">(B461-INDEX(Rounds!$C:$C,MATCH(A461,Rounds!$A:$A,0)))*86400</f>
        <v>20.552999689</v>
      </c>
      <c r="E461" s="30" t="n">
        <f aca="false">(C461-INDEX(Rounds!$C:$C,MATCH(A461,Rounds!$A:$A,0)))*86400</f>
        <v>21.096999454</v>
      </c>
      <c r="F461" s="31" t="n">
        <f aca="false">(C461-B461)*86400</f>
        <v>0.543999765</v>
      </c>
      <c r="G461" s="27" t="s">
        <v>152</v>
      </c>
      <c r="H461" s="27" t="s">
        <v>208</v>
      </c>
      <c r="I461" s="27" t="s">
        <v>220</v>
      </c>
      <c r="J461" s="27" t="s">
        <v>351</v>
      </c>
      <c r="K461" s="27" t="s">
        <v>349</v>
      </c>
      <c r="L461" s="3" t="str">
        <f aca="false">IF(ISNUMBER(SEARCH(" m",I461)),"Range",IF(I461="offline","Offline",IF(I461="","Unknown","No echo / error")))</f>
        <v>No echo / error</v>
      </c>
      <c r="M461" s="3" t="str">
        <f aca="false">IF(ISNUMBER(SEARCH(" m",J461)),"Range",IF(J461="offline","Offline",IF(J461="","Unknown","No echo / error")))</f>
        <v>Range</v>
      </c>
      <c r="N461" s="3" t="str">
        <f aca="false">IF(ISNUMBER(SEARCH(" m",K461)),"Range",IF(K461="offline","Offline",IF(K461="","Unknown","No echo / error")))</f>
        <v>Range</v>
      </c>
      <c r="O461" s="3" t="str">
        <f aca="false">TEXT(B461,"yyyy-mm-dd")</f>
        <v>2026-10-06</v>
      </c>
    </row>
    <row r="462" customFormat="false" ht="15" hidden="false" customHeight="false" outlineLevel="0" collapsed="false">
      <c r="A462" s="27" t="n">
        <v>9</v>
      </c>
      <c r="B462" s="28" t="n">
        <v>46301.4821098611</v>
      </c>
      <c r="C462" s="29" t="n">
        <f aca="false">IF(A463=A462,B463,INDEX(Rounds!$D:$D,MATCH(A462,Rounds!$A:$A,0)))</f>
        <v>46301.4821187963</v>
      </c>
      <c r="D462" s="30" t="n">
        <f aca="false">(B462-INDEX(Rounds!$C:$C,MATCH(A462,Rounds!$A:$A,0)))*86400</f>
        <v>21.096999454</v>
      </c>
      <c r="E462" s="30" t="n">
        <f aca="false">(C462-INDEX(Rounds!$C:$C,MATCH(A462,Rounds!$A:$A,0)))*86400</f>
        <v>21.869000396</v>
      </c>
      <c r="F462" s="31" t="n">
        <f aca="false">(C462-B462)*86400</f>
        <v>0.772000942</v>
      </c>
      <c r="G462" s="27" t="s">
        <v>151</v>
      </c>
      <c r="H462" s="27" t="s">
        <v>203</v>
      </c>
      <c r="I462" s="27" t="s">
        <v>211</v>
      </c>
      <c r="J462" s="27" t="s">
        <v>261</v>
      </c>
      <c r="K462" s="27" t="s">
        <v>349</v>
      </c>
      <c r="L462" s="3" t="str">
        <f aca="false">IF(ISNUMBER(SEARCH(" m",I462)),"Range",IF(I462="offline","Offline",IF(I462="","Unknown","No echo / error")))</f>
        <v>No echo / error</v>
      </c>
      <c r="M462" s="3" t="str">
        <f aca="false">IF(ISNUMBER(SEARCH(" m",J462)),"Range",IF(J462="offline","Offline",IF(J462="","Unknown","No echo / error")))</f>
        <v>Range</v>
      </c>
      <c r="N462" s="3" t="str">
        <f aca="false">IF(ISNUMBER(SEARCH(" m",K462)),"Range",IF(K462="offline","Offline",IF(K462="","Unknown","No echo / error")))</f>
        <v>Range</v>
      </c>
      <c r="O462" s="3" t="str">
        <f aca="false">TEXT(B462,"yyyy-mm-dd")</f>
        <v>2026-10-06</v>
      </c>
    </row>
    <row r="463" customFormat="false" ht="15" hidden="false" customHeight="false" outlineLevel="0" collapsed="false">
      <c r="A463" s="27" t="n">
        <v>9</v>
      </c>
      <c r="B463" s="28" t="n">
        <v>46301.4821187963</v>
      </c>
      <c r="C463" s="29" t="n">
        <f aca="false">IF(A464=A463,B464,INDEX(Rounds!$D:$D,MATCH(A463,Rounds!$A:$A,0)))</f>
        <v>46301.4821376042</v>
      </c>
      <c r="D463" s="30" t="n">
        <f aca="false">(B463-INDEX(Rounds!$C:$C,MATCH(A463,Rounds!$A:$A,0)))*86400</f>
        <v>21.869000396</v>
      </c>
      <c r="E463" s="30" t="n">
        <f aca="false">(C463-INDEX(Rounds!$C:$C,MATCH(A463,Rounds!$A:$A,0)))*86400</f>
        <v>23.494000383</v>
      </c>
      <c r="F463" s="31" t="n">
        <f aca="false">(C463-B463)*86400</f>
        <v>1.624999986</v>
      </c>
      <c r="G463" s="27" t="s">
        <v>152</v>
      </c>
      <c r="H463" s="27" t="s">
        <v>208</v>
      </c>
      <c r="I463" s="27" t="s">
        <v>381</v>
      </c>
      <c r="J463" s="27" t="s">
        <v>433</v>
      </c>
      <c r="K463" s="27" t="s">
        <v>292</v>
      </c>
      <c r="L463" s="3" t="str">
        <f aca="false">IF(ISNUMBER(SEARCH(" m",I463)),"Range",IF(I463="offline","Offline",IF(I463="","Unknown","No echo / error")))</f>
        <v>Range</v>
      </c>
      <c r="M463" s="3" t="str">
        <f aca="false">IF(ISNUMBER(SEARCH(" m",J463)),"Range",IF(J463="offline","Offline",IF(J463="","Unknown","No echo / error")))</f>
        <v>Range</v>
      </c>
      <c r="N463" s="3" t="str">
        <f aca="false">IF(ISNUMBER(SEARCH(" m",K463)),"Range",IF(K463="offline","Offline",IF(K463="","Unknown","No echo / error")))</f>
        <v>Range</v>
      </c>
      <c r="O463" s="3" t="str">
        <f aca="false">TEXT(B463,"yyyy-mm-dd")</f>
        <v>2026-10-06</v>
      </c>
    </row>
    <row r="464" customFormat="false" ht="15" hidden="false" customHeight="false" outlineLevel="0" collapsed="false">
      <c r="A464" s="27" t="n">
        <v>9</v>
      </c>
      <c r="B464" s="28" t="n">
        <v>46301.4821376042</v>
      </c>
      <c r="C464" s="29" t="n">
        <f aca="false">IF(A465=A464,B465,INDEX(Rounds!$D:$D,MATCH(A464,Rounds!$A:$A,0)))</f>
        <v>46301.4821439352</v>
      </c>
      <c r="D464" s="30" t="n">
        <f aca="false">(B464-INDEX(Rounds!$C:$C,MATCH(A464,Rounds!$A:$A,0)))*86400</f>
        <v>23.494000383</v>
      </c>
      <c r="E464" s="30" t="n">
        <f aca="false">(C464-INDEX(Rounds!$C:$C,MATCH(A464,Rounds!$A:$A,0)))*86400</f>
        <v>24.041000031</v>
      </c>
      <c r="F464" s="31" t="n">
        <f aca="false">(C464-B464)*86400</f>
        <v>0.546999648</v>
      </c>
      <c r="G464" s="27" t="s">
        <v>151</v>
      </c>
      <c r="H464" s="27" t="s">
        <v>203</v>
      </c>
      <c r="I464" s="27" t="s">
        <v>204</v>
      </c>
      <c r="J464" s="27" t="s">
        <v>438</v>
      </c>
      <c r="K464" s="27" t="s">
        <v>212</v>
      </c>
      <c r="L464" s="3" t="str">
        <f aca="false">IF(ISNUMBER(SEARCH(" m",I464)),"Range",IF(I464="offline","Offline",IF(I464="","Unknown","No echo / error")))</f>
        <v>No echo / error</v>
      </c>
      <c r="M464" s="3" t="str">
        <f aca="false">IF(ISNUMBER(SEARCH(" m",J464)),"Range",IF(J464="offline","Offline",IF(J464="","Unknown","No echo / error")))</f>
        <v>Range</v>
      </c>
      <c r="N464" s="3" t="str">
        <f aca="false">IF(ISNUMBER(SEARCH(" m",K464)),"Range",IF(K464="offline","Offline",IF(K464="","Unknown","No echo / error")))</f>
        <v>Range</v>
      </c>
      <c r="O464" s="3" t="str">
        <f aca="false">TEXT(B464,"yyyy-mm-dd")</f>
        <v>2026-10-06</v>
      </c>
    </row>
    <row r="465" customFormat="false" ht="15" hidden="false" customHeight="false" outlineLevel="0" collapsed="false">
      <c r="A465" s="27" t="n">
        <v>9</v>
      </c>
      <c r="B465" s="28" t="n">
        <v>46301.4821439352</v>
      </c>
      <c r="C465" s="29" t="n">
        <f aca="false">IF(A466=A465,B466,INDEX(Rounds!$D:$D,MATCH(A465,Rounds!$A:$A,0)))</f>
        <v>46301.4821528935</v>
      </c>
      <c r="D465" s="30" t="n">
        <f aca="false">(B465-INDEX(Rounds!$C:$C,MATCH(A465,Rounds!$A:$A,0)))*86400</f>
        <v>24.041000031</v>
      </c>
      <c r="E465" s="30" t="n">
        <f aca="false">(C465-INDEX(Rounds!$C:$C,MATCH(A465,Rounds!$A:$A,0)))*86400</f>
        <v>24.815000058</v>
      </c>
      <c r="F465" s="31" t="n">
        <f aca="false">(C465-B465)*86400</f>
        <v>0.774000026</v>
      </c>
      <c r="G465" s="27" t="s">
        <v>150</v>
      </c>
      <c r="H465" s="27" t="s">
        <v>206</v>
      </c>
      <c r="I465" s="27" t="s">
        <v>432</v>
      </c>
      <c r="J465" s="27" t="s">
        <v>269</v>
      </c>
      <c r="K465" s="27" t="s">
        <v>212</v>
      </c>
      <c r="L465" s="3" t="str">
        <f aca="false">IF(ISNUMBER(SEARCH(" m",I465)),"Range",IF(I465="offline","Offline",IF(I465="","Unknown","No echo / error")))</f>
        <v>Range</v>
      </c>
      <c r="M465" s="3" t="str">
        <f aca="false">IF(ISNUMBER(SEARCH(" m",J465)),"Range",IF(J465="offline","Offline",IF(J465="","Unknown","No echo / error")))</f>
        <v>Range</v>
      </c>
      <c r="N465" s="3" t="str">
        <f aca="false">IF(ISNUMBER(SEARCH(" m",K465)),"Range",IF(K465="offline","Offline",IF(K465="","Unknown","No echo / error")))</f>
        <v>Range</v>
      </c>
      <c r="O465" s="3" t="str">
        <f aca="false">TEXT(B465,"yyyy-mm-dd")</f>
        <v>2026-10-06</v>
      </c>
    </row>
    <row r="466" customFormat="false" ht="15" hidden="false" customHeight="false" outlineLevel="0" collapsed="false">
      <c r="A466" s="27" t="n">
        <v>9</v>
      </c>
      <c r="B466" s="28" t="n">
        <v>46301.4821528935</v>
      </c>
      <c r="C466" s="29" t="n">
        <f aca="false">IF(A467=A466,B467,INDEX(Rounds!$D:$D,MATCH(A466,Rounds!$A:$A,0)))</f>
        <v>46301.482172963</v>
      </c>
      <c r="D466" s="30" t="n">
        <f aca="false">(B466-INDEX(Rounds!$C:$C,MATCH(A466,Rounds!$A:$A,0)))*86400</f>
        <v>24.815000058</v>
      </c>
      <c r="E466" s="30" t="n">
        <f aca="false">(C466-INDEX(Rounds!$C:$C,MATCH(A466,Rounds!$A:$A,0)))*86400</f>
        <v>26.54899978</v>
      </c>
      <c r="F466" s="31" t="n">
        <f aca="false">(C466-B466)*86400</f>
        <v>1.733999722</v>
      </c>
      <c r="G466" s="27" t="s">
        <v>152</v>
      </c>
      <c r="H466" s="27" t="s">
        <v>208</v>
      </c>
      <c r="I466" s="27" t="s">
        <v>210</v>
      </c>
      <c r="J466" s="27" t="s">
        <v>402</v>
      </c>
      <c r="K466" s="27" t="s">
        <v>213</v>
      </c>
      <c r="L466" s="3" t="str">
        <f aca="false">IF(ISNUMBER(SEARCH(" m",I466)),"Range",IF(I466="offline","Offline",IF(I466="","Unknown","No echo / error")))</f>
        <v>Range</v>
      </c>
      <c r="M466" s="3" t="str">
        <f aca="false">IF(ISNUMBER(SEARCH(" m",J466)),"Range",IF(J466="offline","Offline",IF(J466="","Unknown","No echo / error")))</f>
        <v>Range</v>
      </c>
      <c r="N466" s="3" t="str">
        <f aca="false">IF(ISNUMBER(SEARCH(" m",K466)),"Range",IF(K466="offline","Offline",IF(K466="","Unknown","No echo / error")))</f>
        <v>Range</v>
      </c>
      <c r="O466" s="3" t="str">
        <f aca="false">TEXT(B466,"yyyy-mm-dd")</f>
        <v>2026-10-06</v>
      </c>
    </row>
    <row r="467" customFormat="false" ht="15" hidden="false" customHeight="false" outlineLevel="0" collapsed="false">
      <c r="A467" s="27" t="n">
        <v>9</v>
      </c>
      <c r="B467" s="28" t="n">
        <v>46301.482172963</v>
      </c>
      <c r="C467" s="29" t="n">
        <f aca="false">IF(A468=A467,B468,INDEX(Rounds!$D:$D,MATCH(A467,Rounds!$A:$A,0)))</f>
        <v>46301.4821835764</v>
      </c>
      <c r="D467" s="30" t="n">
        <f aca="false">(B467-INDEX(Rounds!$C:$C,MATCH(A467,Rounds!$A:$A,0)))*86400</f>
        <v>26.54899978</v>
      </c>
      <c r="E467" s="30" t="n">
        <f aca="false">(C467-INDEX(Rounds!$C:$C,MATCH(A467,Rounds!$A:$A,0)))*86400</f>
        <v>27.465999685</v>
      </c>
      <c r="F467" s="31" t="n">
        <f aca="false">(C467-B467)*86400</f>
        <v>0.916999904</v>
      </c>
      <c r="G467" s="27" t="s">
        <v>151</v>
      </c>
      <c r="H467" s="27" t="s">
        <v>203</v>
      </c>
      <c r="I467" s="27" t="s">
        <v>278</v>
      </c>
      <c r="J467" s="27" t="s">
        <v>439</v>
      </c>
      <c r="K467" s="27" t="s">
        <v>272</v>
      </c>
      <c r="L467" s="3" t="str">
        <f aca="false">IF(ISNUMBER(SEARCH(" m",I467)),"Range",IF(I467="offline","Offline",IF(I467="","Unknown","No echo / error")))</f>
        <v>Range</v>
      </c>
      <c r="M467" s="3" t="str">
        <f aca="false">IF(ISNUMBER(SEARCH(" m",J467)),"Range",IF(J467="offline","Offline",IF(J467="","Unknown","No echo / error")))</f>
        <v>Range</v>
      </c>
      <c r="N467" s="3" t="str">
        <f aca="false">IF(ISNUMBER(SEARCH(" m",K467)),"Range",IF(K467="offline","Offline",IF(K467="","Unknown","No echo / error")))</f>
        <v>Range</v>
      </c>
      <c r="O467" s="3" t="str">
        <f aca="false">TEXT(B467,"yyyy-mm-dd")</f>
        <v>2026-10-06</v>
      </c>
    </row>
    <row r="468" customFormat="false" ht="15" hidden="false" customHeight="false" outlineLevel="0" collapsed="false">
      <c r="A468" s="27" t="n">
        <v>9</v>
      </c>
      <c r="B468" s="28" t="n">
        <v>46301.4821835764</v>
      </c>
      <c r="C468" s="29" t="n">
        <f aca="false">IF(A469=A468,B469,INDEX(Rounds!$D:$D,MATCH(A468,Rounds!$A:$A,0)))</f>
        <v>46301.4821889583</v>
      </c>
      <c r="D468" s="30" t="n">
        <f aca="false">(B468-INDEX(Rounds!$C:$C,MATCH(A468,Rounds!$A:$A,0)))*86400</f>
        <v>27.465999685</v>
      </c>
      <c r="E468" s="30" t="n">
        <f aca="false">(C468-INDEX(Rounds!$C:$C,MATCH(A468,Rounds!$A:$A,0)))*86400</f>
        <v>27.930999803</v>
      </c>
      <c r="F468" s="31" t="n">
        <f aca="false">(C468-B468)*86400</f>
        <v>0.465000118</v>
      </c>
      <c r="G468" s="27" t="s">
        <v>152</v>
      </c>
      <c r="H468" s="27" t="s">
        <v>208</v>
      </c>
      <c r="I468" s="27" t="s">
        <v>204</v>
      </c>
      <c r="J468" s="27" t="s">
        <v>239</v>
      </c>
      <c r="K468" s="27" t="s">
        <v>249</v>
      </c>
      <c r="L468" s="3" t="str">
        <f aca="false">IF(ISNUMBER(SEARCH(" m",I468)),"Range",IF(I468="offline","Offline",IF(I468="","Unknown","No echo / error")))</f>
        <v>No echo / error</v>
      </c>
      <c r="M468" s="3" t="str">
        <f aca="false">IF(ISNUMBER(SEARCH(" m",J468)),"Range",IF(J468="offline","Offline",IF(J468="","Unknown","No echo / error")))</f>
        <v>Range</v>
      </c>
      <c r="N468" s="3" t="str">
        <f aca="false">IF(ISNUMBER(SEARCH(" m",K468)),"Range",IF(K468="offline","Offline",IF(K468="","Unknown","No echo / error")))</f>
        <v>Range</v>
      </c>
      <c r="O468" s="3" t="str">
        <f aca="false">TEXT(B468,"yyyy-mm-dd")</f>
        <v>2026-10-06</v>
      </c>
    </row>
    <row r="469" customFormat="false" ht="15" hidden="false" customHeight="false" outlineLevel="0" collapsed="false">
      <c r="A469" s="27" t="n">
        <v>9</v>
      </c>
      <c r="B469" s="28" t="n">
        <v>46301.4821889583</v>
      </c>
      <c r="C469" s="29" t="n">
        <f aca="false">IF(A470=A469,B470,INDEX(Rounds!$D:$D,MATCH(A469,Rounds!$A:$A,0)))</f>
        <v>46301.482191956</v>
      </c>
      <c r="D469" s="30" t="n">
        <f aca="false">(B469-INDEX(Rounds!$C:$C,MATCH(A469,Rounds!$A:$A,0)))*86400</f>
        <v>27.930999803</v>
      </c>
      <c r="E469" s="30" t="n">
        <f aca="false">(C469-INDEX(Rounds!$C:$C,MATCH(A469,Rounds!$A:$A,0)))*86400</f>
        <v>28.189999982</v>
      </c>
      <c r="F469" s="31" t="n">
        <f aca="false">(C469-B469)*86400</f>
        <v>0.259000179</v>
      </c>
      <c r="G469" s="27" t="s">
        <v>151</v>
      </c>
      <c r="H469" s="27" t="s">
        <v>203</v>
      </c>
      <c r="I469" s="27" t="s">
        <v>440</v>
      </c>
      <c r="J469" s="27" t="s">
        <v>258</v>
      </c>
      <c r="K469" s="27" t="s">
        <v>244</v>
      </c>
      <c r="L469" s="3" t="str">
        <f aca="false">IF(ISNUMBER(SEARCH(" m",I469)),"Range",IF(I469="offline","Offline",IF(I469="","Unknown","No echo / error")))</f>
        <v>Range</v>
      </c>
      <c r="M469" s="3" t="str">
        <f aca="false">IF(ISNUMBER(SEARCH(" m",J469)),"Range",IF(J469="offline","Offline",IF(J469="","Unknown","No echo / error")))</f>
        <v>Range</v>
      </c>
      <c r="N469" s="3" t="str">
        <f aca="false">IF(ISNUMBER(SEARCH(" m",K469)),"Range",IF(K469="offline","Offline",IF(K469="","Unknown","No echo / error")))</f>
        <v>Range</v>
      </c>
      <c r="O469" s="3" t="str">
        <f aca="false">TEXT(B469,"yyyy-mm-dd")</f>
        <v>2026-10-06</v>
      </c>
    </row>
    <row r="470" customFormat="false" ht="15" hidden="false" customHeight="false" outlineLevel="0" collapsed="false">
      <c r="A470" s="27" t="n">
        <v>9</v>
      </c>
      <c r="B470" s="28" t="n">
        <v>46301.482191956</v>
      </c>
      <c r="C470" s="29" t="n">
        <f aca="false">IF(A471=A470,B471,INDEX(Rounds!$D:$D,MATCH(A470,Rounds!$A:$A,0)))</f>
        <v>46301.4821975579</v>
      </c>
      <c r="D470" s="30" t="n">
        <f aca="false">(B470-INDEX(Rounds!$C:$C,MATCH(A470,Rounds!$A:$A,0)))*86400</f>
        <v>28.189999982</v>
      </c>
      <c r="E470" s="30" t="n">
        <f aca="false">(C470-INDEX(Rounds!$C:$C,MATCH(A470,Rounds!$A:$A,0)))*86400</f>
        <v>28.67399957</v>
      </c>
      <c r="F470" s="31" t="n">
        <f aca="false">(C470-B470)*86400</f>
        <v>0.483999587</v>
      </c>
      <c r="G470" s="27" t="s">
        <v>150</v>
      </c>
      <c r="H470" s="27" t="s">
        <v>206</v>
      </c>
      <c r="I470" s="27" t="s">
        <v>440</v>
      </c>
      <c r="J470" s="27" t="s">
        <v>441</v>
      </c>
      <c r="K470" s="27" t="s">
        <v>204</v>
      </c>
      <c r="L470" s="3" t="str">
        <f aca="false">IF(ISNUMBER(SEARCH(" m",I470)),"Range",IF(I470="offline","Offline",IF(I470="","Unknown","No echo / error")))</f>
        <v>Range</v>
      </c>
      <c r="M470" s="3" t="str">
        <f aca="false">IF(ISNUMBER(SEARCH(" m",J470)),"Range",IF(J470="offline","Offline",IF(J470="","Unknown","No echo / error")))</f>
        <v>Range</v>
      </c>
      <c r="N470" s="3" t="str">
        <f aca="false">IF(ISNUMBER(SEARCH(" m",K470)),"Range",IF(K470="offline","Offline",IF(K470="","Unknown","No echo / error")))</f>
        <v>No echo / error</v>
      </c>
      <c r="O470" s="3" t="str">
        <f aca="false">TEXT(B470,"yyyy-mm-dd")</f>
        <v>2026-10-06</v>
      </c>
    </row>
    <row r="471" customFormat="false" ht="15" hidden="false" customHeight="false" outlineLevel="0" collapsed="false">
      <c r="A471" s="27" t="n">
        <v>9</v>
      </c>
      <c r="B471" s="28" t="n">
        <v>46301.4821975579</v>
      </c>
      <c r="C471" s="29" t="n">
        <f aca="false">IF(A472=A471,B472,INDEX(Rounds!$D:$D,MATCH(A471,Rounds!$A:$A,0)))</f>
        <v>46301.4822070949</v>
      </c>
      <c r="D471" s="30" t="n">
        <f aca="false">(B471-INDEX(Rounds!$C:$C,MATCH(A471,Rounds!$A:$A,0)))*86400</f>
        <v>28.67399957</v>
      </c>
      <c r="E471" s="30" t="n">
        <f aca="false">(C471-INDEX(Rounds!$C:$C,MATCH(A471,Rounds!$A:$A,0)))*86400</f>
        <v>29.497999954</v>
      </c>
      <c r="F471" s="31" t="n">
        <f aca="false">(C471-B471)*86400</f>
        <v>0.824000383</v>
      </c>
      <c r="G471" s="27" t="s">
        <v>152</v>
      </c>
      <c r="H471" s="27" t="s">
        <v>208</v>
      </c>
      <c r="I471" s="27" t="s">
        <v>204</v>
      </c>
      <c r="J471" s="27" t="s">
        <v>395</v>
      </c>
      <c r="K471" s="27" t="s">
        <v>381</v>
      </c>
      <c r="L471" s="3" t="str">
        <f aca="false">IF(ISNUMBER(SEARCH(" m",I471)),"Range",IF(I471="offline","Offline",IF(I471="","Unknown","No echo / error")))</f>
        <v>No echo / error</v>
      </c>
      <c r="M471" s="3" t="str">
        <f aca="false">IF(ISNUMBER(SEARCH(" m",J471)),"Range",IF(J471="offline","Offline",IF(J471="","Unknown","No echo / error")))</f>
        <v>Range</v>
      </c>
      <c r="N471" s="3" t="str">
        <f aca="false">IF(ISNUMBER(SEARCH(" m",K471)),"Range",IF(K471="offline","Offline",IF(K471="","Unknown","No echo / error")))</f>
        <v>Range</v>
      </c>
      <c r="O471" s="3" t="str">
        <f aca="false">TEXT(B471,"yyyy-mm-dd")</f>
        <v>2026-10-06</v>
      </c>
    </row>
    <row r="472" customFormat="false" ht="15" hidden="false" customHeight="false" outlineLevel="0" collapsed="false">
      <c r="A472" s="27" t="n">
        <v>9</v>
      </c>
      <c r="B472" s="28" t="n">
        <v>46301.4822070949</v>
      </c>
      <c r="C472" s="29" t="n">
        <f aca="false">IF(A473=A472,B473,INDEX(Rounds!$D:$D,MATCH(A472,Rounds!$A:$A,0)))</f>
        <v>46301.4822100694</v>
      </c>
      <c r="D472" s="30" t="n">
        <f aca="false">(B472-INDEX(Rounds!$C:$C,MATCH(A472,Rounds!$A:$A,0)))*86400</f>
        <v>29.497999954</v>
      </c>
      <c r="E472" s="30" t="n">
        <f aca="false">(C472-INDEX(Rounds!$C:$C,MATCH(A472,Rounds!$A:$A,0)))*86400</f>
        <v>29.754999163</v>
      </c>
      <c r="F472" s="31" t="n">
        <f aca="false">(C472-B472)*86400</f>
        <v>0.256999209</v>
      </c>
      <c r="G472" s="27" t="s">
        <v>151</v>
      </c>
      <c r="H472" s="27" t="s">
        <v>203</v>
      </c>
      <c r="I472" s="27" t="s">
        <v>442</v>
      </c>
      <c r="J472" s="27" t="s">
        <v>220</v>
      </c>
      <c r="K472" s="27" t="s">
        <v>284</v>
      </c>
      <c r="L472" s="3" t="str">
        <f aca="false">IF(ISNUMBER(SEARCH(" m",I472)),"Range",IF(I472="offline","Offline",IF(I472="","Unknown","No echo / error")))</f>
        <v>Range</v>
      </c>
      <c r="M472" s="3" t="str">
        <f aca="false">IF(ISNUMBER(SEARCH(" m",J472)),"Range",IF(J472="offline","Offline",IF(J472="","Unknown","No echo / error")))</f>
        <v>No echo / error</v>
      </c>
      <c r="N472" s="3" t="str">
        <f aca="false">IF(ISNUMBER(SEARCH(" m",K472)),"Range",IF(K472="offline","Offline",IF(K472="","Unknown","No echo / error")))</f>
        <v>Range</v>
      </c>
      <c r="O472" s="3" t="str">
        <f aca="false">TEXT(B472,"yyyy-mm-dd")</f>
        <v>2026-10-06</v>
      </c>
    </row>
    <row r="473" customFormat="false" ht="15" hidden="false" customHeight="false" outlineLevel="0" collapsed="false">
      <c r="A473" s="27" t="n">
        <v>9</v>
      </c>
      <c r="B473" s="28" t="n">
        <v>46301.4822100694</v>
      </c>
      <c r="C473" s="29" t="n">
        <f aca="false">IF(A474=A473,B474,INDEX(Rounds!$D:$D,MATCH(A473,Rounds!$A:$A,0)))</f>
        <v>46301.4822189815</v>
      </c>
      <c r="D473" s="30" t="n">
        <f aca="false">(B473-INDEX(Rounds!$C:$C,MATCH(A473,Rounds!$A:$A,0)))*86400</f>
        <v>29.754999163</v>
      </c>
      <c r="E473" s="30" t="n">
        <f aca="false">(C473-INDEX(Rounds!$C:$C,MATCH(A473,Rounds!$A:$A,0)))*86400</f>
        <v>30.524999764</v>
      </c>
      <c r="F473" s="31" t="n">
        <f aca="false">(C473-B473)*86400</f>
        <v>0.770000601</v>
      </c>
      <c r="G473" s="27" t="s">
        <v>150</v>
      </c>
      <c r="H473" s="27" t="s">
        <v>206</v>
      </c>
      <c r="I473" s="27" t="s">
        <v>204</v>
      </c>
      <c r="J473" s="27" t="s">
        <v>330</v>
      </c>
      <c r="K473" s="27" t="s">
        <v>284</v>
      </c>
      <c r="L473" s="3" t="str">
        <f aca="false">IF(ISNUMBER(SEARCH(" m",I473)),"Range",IF(I473="offline","Offline",IF(I473="","Unknown","No echo / error")))</f>
        <v>No echo / error</v>
      </c>
      <c r="M473" s="3" t="str">
        <f aca="false">IF(ISNUMBER(SEARCH(" m",J473)),"Range",IF(J473="offline","Offline",IF(J473="","Unknown","No echo / error")))</f>
        <v>Range</v>
      </c>
      <c r="N473" s="3" t="str">
        <f aca="false">IF(ISNUMBER(SEARCH(" m",K473)),"Range",IF(K473="offline","Offline",IF(K473="","Unknown","No echo / error")))</f>
        <v>Range</v>
      </c>
      <c r="O473" s="3" t="str">
        <f aca="false">TEXT(B473,"yyyy-mm-dd")</f>
        <v>2026-10-06</v>
      </c>
    </row>
    <row r="474" customFormat="false" ht="15" hidden="false" customHeight="false" outlineLevel="0" collapsed="false">
      <c r="A474" s="27" t="n">
        <v>9</v>
      </c>
      <c r="B474" s="28" t="n">
        <v>46301.4822189815</v>
      </c>
      <c r="C474" s="29" t="n">
        <f aca="false">IF(A475=A474,B475,INDEX(Rounds!$D:$D,MATCH(A474,Rounds!$A:$A,0)))</f>
        <v>46301.4822273264</v>
      </c>
      <c r="D474" s="30" t="n">
        <f aca="false">(B474-INDEX(Rounds!$C:$C,MATCH(A474,Rounds!$A:$A,0)))*86400</f>
        <v>30.524999764</v>
      </c>
      <c r="E474" s="30" t="n">
        <f aca="false">(C474-INDEX(Rounds!$C:$C,MATCH(A474,Rounds!$A:$A,0)))*86400</f>
        <v>31.246000179</v>
      </c>
      <c r="F474" s="31" t="n">
        <f aca="false">(C474-B474)*86400</f>
        <v>0.721000414</v>
      </c>
      <c r="G474" s="27" t="s">
        <v>151</v>
      </c>
      <c r="H474" s="27" t="s">
        <v>203</v>
      </c>
      <c r="I474" s="27" t="s">
        <v>443</v>
      </c>
      <c r="J474" s="27" t="s">
        <v>202</v>
      </c>
      <c r="K474" s="27" t="s">
        <v>402</v>
      </c>
      <c r="L474" s="3" t="str">
        <f aca="false">IF(ISNUMBER(SEARCH(" m",I474)),"Range",IF(I474="offline","Offline",IF(I474="","Unknown","No echo / error")))</f>
        <v>Range</v>
      </c>
      <c r="M474" s="3" t="str">
        <f aca="false">IF(ISNUMBER(SEARCH(" m",J474)),"Range",IF(J474="offline","Offline",IF(J474="","Unknown","No echo / error")))</f>
        <v>Range</v>
      </c>
      <c r="N474" s="3" t="str">
        <f aca="false">IF(ISNUMBER(SEARCH(" m",K474)),"Range",IF(K474="offline","Offline",IF(K474="","Unknown","No echo / error")))</f>
        <v>Range</v>
      </c>
      <c r="O474" s="3" t="str">
        <f aca="false">TEXT(B474,"yyyy-mm-dd")</f>
        <v>2026-10-06</v>
      </c>
    </row>
    <row r="475" customFormat="false" ht="15" hidden="false" customHeight="false" outlineLevel="0" collapsed="false">
      <c r="A475" s="27" t="n">
        <v>9</v>
      </c>
      <c r="B475" s="28" t="n">
        <v>46301.4822273264</v>
      </c>
      <c r="C475" s="29" t="n">
        <f aca="false">IF(A476=A475,B476,INDEX(Rounds!$D:$D,MATCH(A475,Rounds!$A:$A,0)))</f>
        <v>46301.4822778472</v>
      </c>
      <c r="D475" s="30" t="n">
        <f aca="false">(B475-INDEX(Rounds!$C:$C,MATCH(A475,Rounds!$A:$A,0)))*86400</f>
        <v>31.246000179</v>
      </c>
      <c r="E475" s="30" t="n">
        <f aca="false">(C475-INDEX(Rounds!$C:$C,MATCH(A475,Rounds!$A:$A,0)))*86400</f>
        <v>35.610999888</v>
      </c>
      <c r="F475" s="31" t="n">
        <f aca="false">(C475-B475)*86400</f>
        <v>4.364999709</v>
      </c>
      <c r="G475" s="27" t="s">
        <v>152</v>
      </c>
      <c r="H475" s="27" t="s">
        <v>208</v>
      </c>
      <c r="I475" s="27" t="s">
        <v>443</v>
      </c>
      <c r="J475" s="27" t="s">
        <v>204</v>
      </c>
      <c r="K475" s="27" t="s">
        <v>444</v>
      </c>
      <c r="L475" s="3" t="str">
        <f aca="false">IF(ISNUMBER(SEARCH(" m",I475)),"Range",IF(I475="offline","Offline",IF(I475="","Unknown","No echo / error")))</f>
        <v>Range</v>
      </c>
      <c r="M475" s="3" t="str">
        <f aca="false">IF(ISNUMBER(SEARCH(" m",J475)),"Range",IF(J475="offline","Offline",IF(J475="","Unknown","No echo / error")))</f>
        <v>No echo / error</v>
      </c>
      <c r="N475" s="3" t="str">
        <f aca="false">IF(ISNUMBER(SEARCH(" m",K475)),"Range",IF(K475="offline","Offline",IF(K475="","Unknown","No echo / error")))</f>
        <v>Range</v>
      </c>
      <c r="O475" s="3" t="str">
        <f aca="false">TEXT(B475,"yyyy-mm-dd")</f>
        <v>2026-10-06</v>
      </c>
    </row>
    <row r="476" customFormat="false" ht="15" hidden="false" customHeight="false" outlineLevel="0" collapsed="false">
      <c r="A476" s="27" t="n">
        <v>9</v>
      </c>
      <c r="B476" s="28" t="n">
        <v>46301.4822778472</v>
      </c>
      <c r="C476" s="29" t="n">
        <f aca="false">IF(A477=A476,B477,INDEX(Rounds!$D:$D,MATCH(A476,Rounds!$A:$A,0)))</f>
        <v>46301.4822985648</v>
      </c>
      <c r="D476" s="30" t="n">
        <f aca="false">(B476-INDEX(Rounds!$C:$C,MATCH(A476,Rounds!$A:$A,0)))*86400</f>
        <v>35.610999888</v>
      </c>
      <c r="E476" s="30" t="n">
        <f aca="false">(C476-INDEX(Rounds!$C:$C,MATCH(A476,Rounds!$A:$A,0)))*86400</f>
        <v>37.400999735</v>
      </c>
      <c r="F476" s="31" t="n">
        <f aca="false">(C476-B476)*86400</f>
        <v>1.789999846</v>
      </c>
      <c r="G476" s="27" t="s">
        <v>151</v>
      </c>
      <c r="H476" s="27" t="s">
        <v>203</v>
      </c>
      <c r="I476" s="27" t="s">
        <v>352</v>
      </c>
      <c r="J476" s="27" t="s">
        <v>445</v>
      </c>
      <c r="K476" s="27" t="s">
        <v>444</v>
      </c>
      <c r="L476" s="3" t="str">
        <f aca="false">IF(ISNUMBER(SEARCH(" m",I476)),"Range",IF(I476="offline","Offline",IF(I476="","Unknown","No echo / error")))</f>
        <v>Range</v>
      </c>
      <c r="M476" s="3" t="str">
        <f aca="false">IF(ISNUMBER(SEARCH(" m",J476)),"Range",IF(J476="offline","Offline",IF(J476="","Unknown","No echo / error")))</f>
        <v>Range</v>
      </c>
      <c r="N476" s="3" t="str">
        <f aca="false">IF(ISNUMBER(SEARCH(" m",K476)),"Range",IF(K476="offline","Offline",IF(K476="","Unknown","No echo / error")))</f>
        <v>Range</v>
      </c>
      <c r="O476" s="3" t="str">
        <f aca="false">TEXT(B476,"yyyy-mm-dd")</f>
        <v>2026-10-06</v>
      </c>
    </row>
    <row r="477" customFormat="false" ht="15" hidden="false" customHeight="false" outlineLevel="0" collapsed="false">
      <c r="A477" s="27" t="n">
        <v>9</v>
      </c>
      <c r="B477" s="28" t="n">
        <v>46301.4822985648</v>
      </c>
      <c r="C477" s="29" t="n">
        <f aca="false">IF(A478=A477,B478,INDEX(Rounds!$D:$D,MATCH(A477,Rounds!$A:$A,0)))</f>
        <v>46301.482304132</v>
      </c>
      <c r="D477" s="30" t="n">
        <f aca="false">(B477-INDEX(Rounds!$C:$C,MATCH(A477,Rounds!$A:$A,0)))*86400</f>
        <v>37.400999735</v>
      </c>
      <c r="E477" s="30" t="n">
        <f aca="false">(C477-INDEX(Rounds!$C:$C,MATCH(A477,Rounds!$A:$A,0)))*86400</f>
        <v>37.882000068</v>
      </c>
      <c r="F477" s="31" t="n">
        <f aca="false">(C477-B477)*86400</f>
        <v>0.481000333</v>
      </c>
      <c r="G477" s="27" t="s">
        <v>150</v>
      </c>
      <c r="H477" s="27" t="s">
        <v>206</v>
      </c>
      <c r="I477" s="27" t="s">
        <v>398</v>
      </c>
      <c r="J477" s="27" t="s">
        <v>204</v>
      </c>
      <c r="K477" s="27" t="s">
        <v>446</v>
      </c>
      <c r="L477" s="3" t="str">
        <f aca="false">IF(ISNUMBER(SEARCH(" m",I477)),"Range",IF(I477="offline","Offline",IF(I477="","Unknown","No echo / error")))</f>
        <v>Range</v>
      </c>
      <c r="M477" s="3" t="str">
        <f aca="false">IF(ISNUMBER(SEARCH(" m",J477)),"Range",IF(J477="offline","Offline",IF(J477="","Unknown","No echo / error")))</f>
        <v>No echo / error</v>
      </c>
      <c r="N477" s="3" t="str">
        <f aca="false">IF(ISNUMBER(SEARCH(" m",K477)),"Range",IF(K477="offline","Offline",IF(K477="","Unknown","No echo / error")))</f>
        <v>Range</v>
      </c>
      <c r="O477" s="3" t="str">
        <f aca="false">TEXT(B477,"yyyy-mm-dd")</f>
        <v>2026-10-06</v>
      </c>
    </row>
    <row r="478" customFormat="false" ht="15" hidden="false" customHeight="false" outlineLevel="0" collapsed="false">
      <c r="A478" s="27" t="n">
        <v>9</v>
      </c>
      <c r="B478" s="28" t="n">
        <v>46301.482304132</v>
      </c>
      <c r="C478" s="29" t="n">
        <f aca="false">IF(A479=A478,B479,INDEX(Rounds!$D:$D,MATCH(A478,Rounds!$A:$A,0)))</f>
        <v>46301.4823115509</v>
      </c>
      <c r="D478" s="30" t="n">
        <f aca="false">(B478-INDEX(Rounds!$C:$C,MATCH(A478,Rounds!$A:$A,0)))*86400</f>
        <v>37.882000068</v>
      </c>
      <c r="E478" s="30" t="n">
        <f aca="false">(C478-INDEX(Rounds!$C:$C,MATCH(A478,Rounds!$A:$A,0)))*86400</f>
        <v>38.523000036</v>
      </c>
      <c r="F478" s="31" t="n">
        <f aca="false">(C478-B478)*86400</f>
        <v>0.640999968</v>
      </c>
      <c r="G478" s="27" t="s">
        <v>152</v>
      </c>
      <c r="H478" s="27" t="s">
        <v>208</v>
      </c>
      <c r="I478" s="27" t="s">
        <v>348</v>
      </c>
      <c r="J478" s="27" t="s">
        <v>220</v>
      </c>
      <c r="K478" s="27" t="s">
        <v>446</v>
      </c>
      <c r="L478" s="3" t="str">
        <f aca="false">IF(ISNUMBER(SEARCH(" m",I478)),"Range",IF(I478="offline","Offline",IF(I478="","Unknown","No echo / error")))</f>
        <v>Range</v>
      </c>
      <c r="M478" s="3" t="str">
        <f aca="false">IF(ISNUMBER(SEARCH(" m",J478)),"Range",IF(J478="offline","Offline",IF(J478="","Unknown","No echo / error")))</f>
        <v>No echo / error</v>
      </c>
      <c r="N478" s="3" t="str">
        <f aca="false">IF(ISNUMBER(SEARCH(" m",K478)),"Range",IF(K478="offline","Offline",IF(K478="","Unknown","No echo / error")))</f>
        <v>Range</v>
      </c>
      <c r="O478" s="3" t="str">
        <f aca="false">TEXT(B478,"yyyy-mm-dd")</f>
        <v>2026-10-06</v>
      </c>
    </row>
    <row r="479" customFormat="false" ht="15" hidden="false" customHeight="false" outlineLevel="0" collapsed="false">
      <c r="A479" s="27" t="n">
        <v>9</v>
      </c>
      <c r="B479" s="28" t="n">
        <v>46301.4823115509</v>
      </c>
      <c r="C479" s="29" t="n">
        <f aca="false">IF(A480=A479,B480,INDEX(Rounds!$D:$D,MATCH(A479,Rounds!$A:$A,0)))</f>
        <v>46301.4823169792</v>
      </c>
      <c r="D479" s="30" t="n">
        <f aca="false">(B479-INDEX(Rounds!$C:$C,MATCH(A479,Rounds!$A:$A,0)))*86400</f>
        <v>38.523000036</v>
      </c>
      <c r="E479" s="30" t="n">
        <f aca="false">(C479-INDEX(Rounds!$C:$C,MATCH(A479,Rounds!$A:$A,0)))*86400</f>
        <v>38.991999579</v>
      </c>
      <c r="F479" s="31" t="n">
        <f aca="false">(C479-B479)*86400</f>
        <v>0.468999543</v>
      </c>
      <c r="G479" s="27" t="s">
        <v>151</v>
      </c>
      <c r="H479" s="27" t="s">
        <v>203</v>
      </c>
      <c r="I479" s="27" t="s">
        <v>246</v>
      </c>
      <c r="J479" s="27" t="s">
        <v>407</v>
      </c>
      <c r="K479" s="27" t="s">
        <v>204</v>
      </c>
      <c r="L479" s="3" t="str">
        <f aca="false">IF(ISNUMBER(SEARCH(" m",I479)),"Range",IF(I479="offline","Offline",IF(I479="","Unknown","No echo / error")))</f>
        <v>Range</v>
      </c>
      <c r="M479" s="3" t="str">
        <f aca="false">IF(ISNUMBER(SEARCH(" m",J479)),"Range",IF(J479="offline","Offline",IF(J479="","Unknown","No echo / error")))</f>
        <v>Range</v>
      </c>
      <c r="N479" s="3" t="str">
        <f aca="false">IF(ISNUMBER(SEARCH(" m",K479)),"Range",IF(K479="offline","Offline",IF(K479="","Unknown","No echo / error")))</f>
        <v>No echo / error</v>
      </c>
      <c r="O479" s="3" t="str">
        <f aca="false">TEXT(B479,"yyyy-mm-dd")</f>
        <v>2026-10-06</v>
      </c>
    </row>
    <row r="480" customFormat="false" ht="15" hidden="false" customHeight="false" outlineLevel="0" collapsed="false">
      <c r="A480" s="27" t="n">
        <v>9</v>
      </c>
      <c r="B480" s="28" t="n">
        <v>46301.4823169792</v>
      </c>
      <c r="C480" s="29" t="n">
        <f aca="false">IF(A481=A480,B481,INDEX(Rounds!$D:$D,MATCH(A480,Rounds!$A:$A,0)))</f>
        <v>46301.4823188426</v>
      </c>
      <c r="D480" s="30" t="n">
        <f aca="false">(B480-INDEX(Rounds!$C:$C,MATCH(A480,Rounds!$A:$A,0)))*86400</f>
        <v>38.991999579</v>
      </c>
      <c r="E480" s="30" t="n">
        <f aca="false">(C480-INDEX(Rounds!$C:$C,MATCH(A480,Rounds!$A:$A,0)))*86400</f>
        <v>39.152999385</v>
      </c>
      <c r="F480" s="31" t="n">
        <f aca="false">(C480-B480)*86400</f>
        <v>0.160999805</v>
      </c>
      <c r="G480" s="27" t="s">
        <v>152</v>
      </c>
      <c r="H480" s="27" t="s">
        <v>208</v>
      </c>
      <c r="I480" s="27" t="s">
        <v>393</v>
      </c>
      <c r="J480" s="27" t="s">
        <v>267</v>
      </c>
      <c r="K480" s="27" t="s">
        <v>447</v>
      </c>
      <c r="L480" s="3" t="str">
        <f aca="false">IF(ISNUMBER(SEARCH(" m",I480)),"Range",IF(I480="offline","Offline",IF(I480="","Unknown","No echo / error")))</f>
        <v>Range</v>
      </c>
      <c r="M480" s="3" t="str">
        <f aca="false">IF(ISNUMBER(SEARCH(" m",J480)),"Range",IF(J480="offline","Offline",IF(J480="","Unknown","No echo / error")))</f>
        <v>Range</v>
      </c>
      <c r="N480" s="3" t="str">
        <f aca="false">IF(ISNUMBER(SEARCH(" m",K480)),"Range",IF(K480="offline","Offline",IF(K480="","Unknown","No echo / error")))</f>
        <v>Range</v>
      </c>
      <c r="O480" s="3" t="str">
        <f aca="false">TEXT(B480,"yyyy-mm-dd")</f>
        <v>2026-10-06</v>
      </c>
    </row>
    <row r="481" customFormat="false" ht="15" hidden="false" customHeight="false" outlineLevel="0" collapsed="false">
      <c r="A481" s="27" t="n">
        <v>9</v>
      </c>
      <c r="B481" s="28" t="n">
        <v>46301.4823188426</v>
      </c>
      <c r="C481" s="29" t="n">
        <f aca="false">IF(A482=A481,B482,INDEX(Rounds!$D:$D,MATCH(A481,Rounds!$A:$A,0)))</f>
        <v>46301.4823218287</v>
      </c>
      <c r="D481" s="30" t="n">
        <f aca="false">(B481-INDEX(Rounds!$C:$C,MATCH(A481,Rounds!$A:$A,0)))*86400</f>
        <v>39.152999385</v>
      </c>
      <c r="E481" s="30" t="n">
        <f aca="false">(C481-INDEX(Rounds!$C:$C,MATCH(A481,Rounds!$A:$A,0)))*86400</f>
        <v>39.411000651</v>
      </c>
      <c r="F481" s="31" t="n">
        <f aca="false">(C481-B481)*86400</f>
        <v>0.258001266</v>
      </c>
      <c r="G481" s="27" t="s">
        <v>151</v>
      </c>
      <c r="H481" s="27" t="s">
        <v>203</v>
      </c>
      <c r="I481" s="27" t="s">
        <v>277</v>
      </c>
      <c r="J481" s="27" t="s">
        <v>244</v>
      </c>
      <c r="K481" s="27" t="s">
        <v>447</v>
      </c>
      <c r="L481" s="3" t="str">
        <f aca="false">IF(ISNUMBER(SEARCH(" m",I481)),"Range",IF(I481="offline","Offline",IF(I481="","Unknown","No echo / error")))</f>
        <v>Range</v>
      </c>
      <c r="M481" s="3" t="str">
        <f aca="false">IF(ISNUMBER(SEARCH(" m",J481)),"Range",IF(J481="offline","Offline",IF(J481="","Unknown","No echo / error")))</f>
        <v>Range</v>
      </c>
      <c r="N481" s="3" t="str">
        <f aca="false">IF(ISNUMBER(SEARCH(" m",K481)),"Range",IF(K481="offline","Offline",IF(K481="","Unknown","No echo / error")))</f>
        <v>Range</v>
      </c>
      <c r="O481" s="3" t="str">
        <f aca="false">TEXT(B481,"yyyy-mm-dd")</f>
        <v>2026-10-06</v>
      </c>
    </row>
    <row r="482" customFormat="false" ht="15" hidden="false" customHeight="false" outlineLevel="0" collapsed="false">
      <c r="A482" s="27" t="n">
        <v>9</v>
      </c>
      <c r="B482" s="28" t="n">
        <v>46301.4823218287</v>
      </c>
      <c r="C482" s="29" t="n">
        <f aca="false">IF(A483=A482,B483,INDEX(Rounds!$D:$D,MATCH(A482,Rounds!$A:$A,0)))</f>
        <v>46301.482323125</v>
      </c>
      <c r="D482" s="30" t="n">
        <f aca="false">(B482-INDEX(Rounds!$C:$C,MATCH(A482,Rounds!$A:$A,0)))*86400</f>
        <v>39.411000651</v>
      </c>
      <c r="E482" s="30" t="n">
        <f aca="false">(C482-INDEX(Rounds!$C:$C,MATCH(A482,Rounds!$A:$A,0)))*86400</f>
        <v>39.522999641</v>
      </c>
      <c r="F482" s="31" t="n">
        <f aca="false">(C482-B482)*86400</f>
        <v>0.11199899</v>
      </c>
      <c r="G482" s="27" t="s">
        <v>150</v>
      </c>
      <c r="H482" s="27" t="s">
        <v>206</v>
      </c>
      <c r="I482" s="27" t="s">
        <v>277</v>
      </c>
      <c r="J482" s="27" t="s">
        <v>243</v>
      </c>
      <c r="K482" s="27" t="s">
        <v>204</v>
      </c>
      <c r="L482" s="3" t="str">
        <f aca="false">IF(ISNUMBER(SEARCH(" m",I482)),"Range",IF(I482="offline","Offline",IF(I482="","Unknown","No echo / error")))</f>
        <v>Range</v>
      </c>
      <c r="M482" s="3" t="str">
        <f aca="false">IF(ISNUMBER(SEARCH(" m",J482)),"Range",IF(J482="offline","Offline",IF(J482="","Unknown","No echo / error")))</f>
        <v>Range</v>
      </c>
      <c r="N482" s="3" t="str">
        <f aca="false">IF(ISNUMBER(SEARCH(" m",K482)),"Range",IF(K482="offline","Offline",IF(K482="","Unknown","No echo / error")))</f>
        <v>No echo / error</v>
      </c>
      <c r="O482" s="3" t="str">
        <f aca="false">TEXT(B482,"yyyy-mm-dd")</f>
        <v>2026-10-06</v>
      </c>
    </row>
    <row r="483" customFormat="false" ht="15" hidden="false" customHeight="false" outlineLevel="0" collapsed="false">
      <c r="A483" s="27" t="n">
        <v>9</v>
      </c>
      <c r="B483" s="28" t="n">
        <v>46301.482323125</v>
      </c>
      <c r="C483" s="29" t="n">
        <f aca="false">IF(A484=A483,B484,INDEX(Rounds!$D:$D,MATCH(A483,Rounds!$A:$A,0)))</f>
        <v>46301.4823324537</v>
      </c>
      <c r="D483" s="30" t="n">
        <f aca="false">(B483-INDEX(Rounds!$C:$C,MATCH(A483,Rounds!$A:$A,0)))*86400</f>
        <v>39.522999641</v>
      </c>
      <c r="E483" s="30" t="n">
        <f aca="false">(C483-INDEX(Rounds!$C:$C,MATCH(A483,Rounds!$A:$A,0)))*86400</f>
        <v>40.329000097</v>
      </c>
      <c r="F483" s="31" t="n">
        <f aca="false">(C483-B483)*86400</f>
        <v>0.806000456</v>
      </c>
      <c r="G483" s="27" t="s">
        <v>151</v>
      </c>
      <c r="H483" s="27" t="s">
        <v>203</v>
      </c>
      <c r="I483" s="27" t="s">
        <v>276</v>
      </c>
      <c r="J483" s="27" t="s">
        <v>243</v>
      </c>
      <c r="K483" s="27" t="s">
        <v>204</v>
      </c>
      <c r="L483" s="3" t="str">
        <f aca="false">IF(ISNUMBER(SEARCH(" m",I483)),"Range",IF(I483="offline","Offline",IF(I483="","Unknown","No echo / error")))</f>
        <v>Range</v>
      </c>
      <c r="M483" s="3" t="str">
        <f aca="false">IF(ISNUMBER(SEARCH(" m",J483)),"Range",IF(J483="offline","Offline",IF(J483="","Unknown","No echo / error")))</f>
        <v>Range</v>
      </c>
      <c r="N483" s="3" t="str">
        <f aca="false">IF(ISNUMBER(SEARCH(" m",K483)),"Range",IF(K483="offline","Offline",IF(K483="","Unknown","No echo / error")))</f>
        <v>No echo / error</v>
      </c>
      <c r="O483" s="3" t="str">
        <f aca="false">TEXT(B483,"yyyy-mm-dd")</f>
        <v>2026-10-06</v>
      </c>
    </row>
    <row r="484" customFormat="false" ht="15" hidden="false" customHeight="false" outlineLevel="0" collapsed="false">
      <c r="A484" s="27" t="n">
        <v>9</v>
      </c>
      <c r="B484" s="28" t="n">
        <v>46301.4823324537</v>
      </c>
      <c r="C484" s="29" t="n">
        <f aca="false">IF(A485=A484,B485,INDEX(Rounds!$D:$D,MATCH(A484,Rounds!$A:$A,0)))</f>
        <v>46301.4823506829</v>
      </c>
      <c r="D484" s="30" t="n">
        <f aca="false">(B484-INDEX(Rounds!$C:$C,MATCH(A484,Rounds!$A:$A,0)))*86400</f>
        <v>40.329000097</v>
      </c>
      <c r="E484" s="30" t="n">
        <f aca="false">(C484-INDEX(Rounds!$C:$C,MATCH(A484,Rounds!$A:$A,0)))*86400</f>
        <v>41.903999727</v>
      </c>
      <c r="F484" s="31" t="n">
        <f aca="false">(C484-B484)*86400</f>
        <v>1.574999629</v>
      </c>
      <c r="G484" s="27" t="s">
        <v>150</v>
      </c>
      <c r="H484" s="27" t="s">
        <v>206</v>
      </c>
      <c r="I484" s="27" t="s">
        <v>271</v>
      </c>
      <c r="J484" s="27" t="s">
        <v>241</v>
      </c>
      <c r="K484" s="27" t="s">
        <v>276</v>
      </c>
      <c r="L484" s="3" t="str">
        <f aca="false">IF(ISNUMBER(SEARCH(" m",I484)),"Range",IF(I484="offline","Offline",IF(I484="","Unknown","No echo / error")))</f>
        <v>Range</v>
      </c>
      <c r="M484" s="3" t="str">
        <f aca="false">IF(ISNUMBER(SEARCH(" m",J484)),"Range",IF(J484="offline","Offline",IF(J484="","Unknown","No echo / error")))</f>
        <v>Range</v>
      </c>
      <c r="N484" s="3" t="str">
        <f aca="false">IF(ISNUMBER(SEARCH(" m",K484)),"Range",IF(K484="offline","Offline",IF(K484="","Unknown","No echo / error")))</f>
        <v>Range</v>
      </c>
      <c r="O484" s="3" t="str">
        <f aca="false">TEXT(B484,"yyyy-mm-dd")</f>
        <v>2026-10-06</v>
      </c>
    </row>
    <row r="485" customFormat="false" ht="15" hidden="false" customHeight="false" outlineLevel="0" collapsed="false">
      <c r="A485" s="27" t="n">
        <v>9</v>
      </c>
      <c r="B485" s="28" t="n">
        <v>46301.4823506829</v>
      </c>
      <c r="C485" s="29" t="n">
        <f aca="false">IF(A486=A485,B486,INDEX(Rounds!$D:$D,MATCH(A485,Rounds!$A:$A,0)))</f>
        <v>46301.4823581134</v>
      </c>
      <c r="D485" s="30" t="n">
        <f aca="false">(B485-INDEX(Rounds!$C:$C,MATCH(A485,Rounds!$A:$A,0)))*86400</f>
        <v>41.903999727</v>
      </c>
      <c r="E485" s="30" t="n">
        <f aca="false">(C485-INDEX(Rounds!$C:$C,MATCH(A485,Rounds!$A:$A,0)))*86400</f>
        <v>42.546000494</v>
      </c>
      <c r="F485" s="31" t="n">
        <f aca="false">(C485-B485)*86400</f>
        <v>0.642000767</v>
      </c>
      <c r="G485" s="27" t="s">
        <v>152</v>
      </c>
      <c r="H485" s="27" t="s">
        <v>208</v>
      </c>
      <c r="I485" s="27" t="s">
        <v>432</v>
      </c>
      <c r="J485" s="27" t="s">
        <v>413</v>
      </c>
      <c r="K485" s="27" t="s">
        <v>448</v>
      </c>
      <c r="L485" s="3" t="str">
        <f aca="false">IF(ISNUMBER(SEARCH(" m",I485)),"Range",IF(I485="offline","Offline",IF(I485="","Unknown","No echo / error")))</f>
        <v>Range</v>
      </c>
      <c r="M485" s="3" t="str">
        <f aca="false">IF(ISNUMBER(SEARCH(" m",J485)),"Range",IF(J485="offline","Offline",IF(J485="","Unknown","No echo / error")))</f>
        <v>Range</v>
      </c>
      <c r="N485" s="3" t="str">
        <f aca="false">IF(ISNUMBER(SEARCH(" m",K485)),"Range",IF(K485="offline","Offline",IF(K485="","Unknown","No echo / error")))</f>
        <v>Range</v>
      </c>
      <c r="O485" s="3" t="str">
        <f aca="false">TEXT(B485,"yyyy-mm-dd")</f>
        <v>2026-10-06</v>
      </c>
    </row>
    <row r="486" customFormat="false" ht="15" hidden="false" customHeight="false" outlineLevel="0" collapsed="false">
      <c r="A486" s="27" t="n">
        <v>9</v>
      </c>
      <c r="B486" s="28" t="n">
        <v>46301.4823581134</v>
      </c>
      <c r="C486" s="29" t="n">
        <f aca="false">IF(A487=A486,B487,INDEX(Rounds!$D:$D,MATCH(A486,Rounds!$A:$A,0)))</f>
        <v>46301.482363507</v>
      </c>
      <c r="D486" s="30" t="n">
        <f aca="false">(B486-INDEX(Rounds!$C:$C,MATCH(A486,Rounds!$A:$A,0)))*86400</f>
        <v>42.546000494</v>
      </c>
      <c r="E486" s="30" t="n">
        <f aca="false">(C486-INDEX(Rounds!$C:$C,MATCH(A486,Rounds!$A:$A,0)))*86400</f>
        <v>43.012000154</v>
      </c>
      <c r="F486" s="31" t="n">
        <f aca="false">(C486-B486)*86400</f>
        <v>0.46599966</v>
      </c>
      <c r="G486" s="27" t="s">
        <v>151</v>
      </c>
      <c r="H486" s="27" t="s">
        <v>203</v>
      </c>
      <c r="I486" s="27" t="s">
        <v>432</v>
      </c>
      <c r="J486" s="27" t="s">
        <v>204</v>
      </c>
      <c r="K486" s="27" t="s">
        <v>425</v>
      </c>
      <c r="L486" s="3" t="str">
        <f aca="false">IF(ISNUMBER(SEARCH(" m",I486)),"Range",IF(I486="offline","Offline",IF(I486="","Unknown","No echo / error")))</f>
        <v>Range</v>
      </c>
      <c r="M486" s="3" t="str">
        <f aca="false">IF(ISNUMBER(SEARCH(" m",J486)),"Range",IF(J486="offline","Offline",IF(J486="","Unknown","No echo / error")))</f>
        <v>No echo / error</v>
      </c>
      <c r="N486" s="3" t="str">
        <f aca="false">IF(ISNUMBER(SEARCH(" m",K486)),"Range",IF(K486="offline","Offline",IF(K486="","Unknown","No echo / error")))</f>
        <v>Range</v>
      </c>
      <c r="O486" s="3" t="str">
        <f aca="false">TEXT(B486,"yyyy-mm-dd")</f>
        <v>2026-10-06</v>
      </c>
    </row>
    <row r="487" customFormat="false" ht="15" hidden="false" customHeight="false" outlineLevel="0" collapsed="false">
      <c r="A487" s="27" t="n">
        <v>9</v>
      </c>
      <c r="B487" s="28" t="n">
        <v>46301.482363507</v>
      </c>
      <c r="C487" s="29" t="n">
        <f aca="false">IF(A488=A487,B488,INDEX(Rounds!$D:$D,MATCH(A487,Rounds!$A:$A,0)))</f>
        <v>46301.4823694676</v>
      </c>
      <c r="D487" s="30" t="n">
        <f aca="false">(B487-INDEX(Rounds!$C:$C,MATCH(A487,Rounds!$A:$A,0)))*86400</f>
        <v>43.012000154</v>
      </c>
      <c r="E487" s="30" t="n">
        <f aca="false">(C487-INDEX(Rounds!$C:$C,MATCH(A487,Rounds!$A:$A,0)))*86400</f>
        <v>43.526999372</v>
      </c>
      <c r="F487" s="31" t="n">
        <f aca="false">(C487-B487)*86400</f>
        <v>0.514999218</v>
      </c>
      <c r="G487" s="27" t="s">
        <v>150</v>
      </c>
      <c r="H487" s="27" t="s">
        <v>206</v>
      </c>
      <c r="I487" s="27" t="s">
        <v>449</v>
      </c>
      <c r="J487" s="27" t="s">
        <v>450</v>
      </c>
      <c r="K487" s="27" t="s">
        <v>425</v>
      </c>
      <c r="L487" s="3" t="str">
        <f aca="false">IF(ISNUMBER(SEARCH(" m",I487)),"Range",IF(I487="offline","Offline",IF(I487="","Unknown","No echo / error")))</f>
        <v>Range</v>
      </c>
      <c r="M487" s="3" t="str">
        <f aca="false">IF(ISNUMBER(SEARCH(" m",J487)),"Range",IF(J487="offline","Offline",IF(J487="","Unknown","No echo / error")))</f>
        <v>Range</v>
      </c>
      <c r="N487" s="3" t="str">
        <f aca="false">IF(ISNUMBER(SEARCH(" m",K487)),"Range",IF(K487="offline","Offline",IF(K487="","Unknown","No echo / error")))</f>
        <v>Range</v>
      </c>
      <c r="O487" s="3" t="str">
        <f aca="false">TEXT(B487,"yyyy-mm-dd")</f>
        <v>2026-10-06</v>
      </c>
    </row>
    <row r="488" customFormat="false" ht="15" hidden="false" customHeight="false" outlineLevel="0" collapsed="false">
      <c r="A488" s="27" t="n">
        <v>9</v>
      </c>
      <c r="B488" s="28" t="n">
        <v>46301.4823694676</v>
      </c>
      <c r="C488" s="29" t="n">
        <f aca="false">IF(A489=A488,B489,INDEX(Rounds!$D:$D,MATCH(A488,Rounds!$A:$A,0)))</f>
        <v>46301.4823945486</v>
      </c>
      <c r="D488" s="30" t="n">
        <f aca="false">(B488-INDEX(Rounds!$C:$C,MATCH(A488,Rounds!$A:$A,0)))*86400</f>
        <v>43.526999372</v>
      </c>
      <c r="E488" s="30" t="n">
        <f aca="false">(C488-INDEX(Rounds!$C:$C,MATCH(A488,Rounds!$A:$A,0)))*86400</f>
        <v>45.694000041</v>
      </c>
      <c r="F488" s="31" t="n">
        <f aca="false">(C488-B488)*86400</f>
        <v>2.167000668</v>
      </c>
      <c r="G488" s="27" t="s">
        <v>153</v>
      </c>
      <c r="H488" s="27" t="s">
        <v>451</v>
      </c>
      <c r="I488" s="27" t="s">
        <v>204</v>
      </c>
      <c r="J488" s="27" t="s">
        <v>428</v>
      </c>
      <c r="K488" s="27" t="s">
        <v>447</v>
      </c>
      <c r="L488" s="3" t="str">
        <f aca="false">IF(ISNUMBER(SEARCH(" m",I488)),"Range",IF(I488="offline","Offline",IF(I488="","Unknown","No echo / error")))</f>
        <v>No echo / error</v>
      </c>
      <c r="M488" s="3" t="str">
        <f aca="false">IF(ISNUMBER(SEARCH(" m",J488)),"Range",IF(J488="offline","Offline",IF(J488="","Unknown","No echo / error")))</f>
        <v>Range</v>
      </c>
      <c r="N488" s="3" t="str">
        <f aca="false">IF(ISNUMBER(SEARCH(" m",K488)),"Range",IF(K488="offline","Offline",IF(K488="","Unknown","No echo / error")))</f>
        <v>Range</v>
      </c>
      <c r="O488" s="3" t="str">
        <f aca="false">TEXT(B488,"yyyy-mm-dd")</f>
        <v>2026-10-06</v>
      </c>
    </row>
    <row r="489" customFormat="false" ht="15" hidden="false" customHeight="false" outlineLevel="0" collapsed="false">
      <c r="A489" s="27" t="n">
        <v>9</v>
      </c>
      <c r="B489" s="28" t="n">
        <v>46301.4823945486</v>
      </c>
      <c r="C489" s="29" t="n">
        <f aca="false">IF(A490=A489,B490,INDEX(Rounds!$D:$D,MATCH(A489,Rounds!$A:$A,0)))</f>
        <v>46301.4824005208</v>
      </c>
      <c r="D489" s="30" t="n">
        <f aca="false">(B489-INDEX(Rounds!$C:$C,MATCH(A489,Rounds!$A:$A,0)))*86400</f>
        <v>45.694000041</v>
      </c>
      <c r="E489" s="30" t="n">
        <f aca="false">(C489-INDEX(Rounds!$C:$C,MATCH(A489,Rounds!$A:$A,0)))*86400</f>
        <v>46.210000687</v>
      </c>
      <c r="F489" s="31" t="n">
        <f aca="false">(C489-B489)*86400</f>
        <v>0.516000646</v>
      </c>
      <c r="G489" s="27" t="s">
        <v>152</v>
      </c>
      <c r="H489" s="27" t="s">
        <v>208</v>
      </c>
      <c r="I489" s="27" t="s">
        <v>204</v>
      </c>
      <c r="J489" s="27" t="s">
        <v>452</v>
      </c>
      <c r="K489" s="27" t="s">
        <v>334</v>
      </c>
      <c r="L489" s="3" t="str">
        <f aca="false">IF(ISNUMBER(SEARCH(" m",I489)),"Range",IF(I489="offline","Offline",IF(I489="","Unknown","No echo / error")))</f>
        <v>No echo / error</v>
      </c>
      <c r="M489" s="3" t="str">
        <f aca="false">IF(ISNUMBER(SEARCH(" m",J489)),"Range",IF(J489="offline","Offline",IF(J489="","Unknown","No echo / error")))</f>
        <v>Range</v>
      </c>
      <c r="N489" s="3" t="str">
        <f aca="false">IF(ISNUMBER(SEARCH(" m",K489)),"Range",IF(K489="offline","Offline",IF(K489="","Unknown","No echo / error")))</f>
        <v>Range</v>
      </c>
      <c r="O489" s="3" t="str">
        <f aca="false">TEXT(B489,"yyyy-mm-dd")</f>
        <v>2026-10-06</v>
      </c>
    </row>
    <row r="490" customFormat="false" ht="15" hidden="false" customHeight="false" outlineLevel="0" collapsed="false">
      <c r="A490" s="27" t="n">
        <v>9</v>
      </c>
      <c r="B490" s="28" t="n">
        <v>46301.4824005208</v>
      </c>
      <c r="C490" s="29" t="n">
        <f aca="false">IF(A491=A490,B491,INDEX(Rounds!$D:$D,MATCH(A490,Rounds!$A:$A,0)))</f>
        <v>46301.4824060995</v>
      </c>
      <c r="D490" s="30" t="n">
        <f aca="false">(B490-INDEX(Rounds!$C:$C,MATCH(A490,Rounds!$A:$A,0)))*86400</f>
        <v>46.210000687</v>
      </c>
      <c r="E490" s="30" t="n">
        <f aca="false">(C490-INDEX(Rounds!$C:$C,MATCH(A490,Rounds!$A:$A,0)))*86400</f>
        <v>46.691999933</v>
      </c>
      <c r="F490" s="31" t="n">
        <f aca="false">(C490-B490)*86400</f>
        <v>0.481999246</v>
      </c>
      <c r="G490" s="27" t="s">
        <v>151</v>
      </c>
      <c r="H490" s="27" t="s">
        <v>203</v>
      </c>
      <c r="I490" s="27" t="s">
        <v>204</v>
      </c>
      <c r="J490" s="27" t="s">
        <v>415</v>
      </c>
      <c r="K490" s="27" t="s">
        <v>204</v>
      </c>
      <c r="L490" s="3" t="str">
        <f aca="false">IF(ISNUMBER(SEARCH(" m",I490)),"Range",IF(I490="offline","Offline",IF(I490="","Unknown","No echo / error")))</f>
        <v>No echo / error</v>
      </c>
      <c r="M490" s="3" t="str">
        <f aca="false">IF(ISNUMBER(SEARCH(" m",J490)),"Range",IF(J490="offline","Offline",IF(J490="","Unknown","No echo / error")))</f>
        <v>Range</v>
      </c>
      <c r="N490" s="3" t="str">
        <f aca="false">IF(ISNUMBER(SEARCH(" m",K490)),"Range",IF(K490="offline","Offline",IF(K490="","Unknown","No echo / error")))</f>
        <v>No echo / error</v>
      </c>
      <c r="O490" s="3" t="str">
        <f aca="false">TEXT(B490,"yyyy-mm-dd")</f>
        <v>2026-10-06</v>
      </c>
    </row>
    <row r="491" customFormat="false" ht="15" hidden="false" customHeight="false" outlineLevel="0" collapsed="false">
      <c r="A491" s="27" t="n">
        <v>9</v>
      </c>
      <c r="B491" s="28" t="n">
        <v>46301.4824060995</v>
      </c>
      <c r="C491" s="29" t="n">
        <f aca="false">IF(A492=A491,B492,INDEX(Rounds!$D:$D,MATCH(A491,Rounds!$A:$A,0)))</f>
        <v>46301.4824077662</v>
      </c>
      <c r="D491" s="30" t="n">
        <f aca="false">(B491-INDEX(Rounds!$C:$C,MATCH(A491,Rounds!$A:$A,0)))*86400</f>
        <v>46.691999933</v>
      </c>
      <c r="E491" s="30" t="n">
        <f aca="false">(C491-INDEX(Rounds!$C:$C,MATCH(A491,Rounds!$A:$A,0)))*86400</f>
        <v>46.836000611</v>
      </c>
      <c r="F491" s="31" t="n">
        <f aca="false">(C491-B491)*86400</f>
        <v>0.144000677</v>
      </c>
      <c r="G491" s="27" t="s">
        <v>152</v>
      </c>
      <c r="H491" s="27" t="s">
        <v>208</v>
      </c>
      <c r="I491" s="27" t="s">
        <v>204</v>
      </c>
      <c r="J491" s="27" t="s">
        <v>374</v>
      </c>
      <c r="K491" s="27" t="s">
        <v>216</v>
      </c>
      <c r="L491" s="3" t="str">
        <f aca="false">IF(ISNUMBER(SEARCH(" m",I491)),"Range",IF(I491="offline","Offline",IF(I491="","Unknown","No echo / error")))</f>
        <v>No echo / error</v>
      </c>
      <c r="M491" s="3" t="str">
        <f aca="false">IF(ISNUMBER(SEARCH(" m",J491)),"Range",IF(J491="offline","Offline",IF(J491="","Unknown","No echo / error")))</f>
        <v>Range</v>
      </c>
      <c r="N491" s="3" t="str">
        <f aca="false">IF(ISNUMBER(SEARCH(" m",K491)),"Range",IF(K491="offline","Offline",IF(K491="","Unknown","No echo / error")))</f>
        <v>Range</v>
      </c>
      <c r="O491" s="3" t="str">
        <f aca="false">TEXT(B491,"yyyy-mm-dd")</f>
        <v>2026-10-06</v>
      </c>
    </row>
    <row r="492" customFormat="false" ht="15" hidden="false" customHeight="false" outlineLevel="0" collapsed="false">
      <c r="A492" s="27" t="n">
        <v>9</v>
      </c>
      <c r="B492" s="28" t="n">
        <v>46301.4824077662</v>
      </c>
      <c r="C492" s="29" t="n">
        <f aca="false">IF(A493=A492,B493,INDEX(Rounds!$D:$D,MATCH(A492,Rounds!$A:$A,0)))</f>
        <v>46301.4824133681</v>
      </c>
      <c r="D492" s="30" t="n">
        <f aca="false">(B492-INDEX(Rounds!$C:$C,MATCH(A492,Rounds!$A:$A,0)))*86400</f>
        <v>46.836000611</v>
      </c>
      <c r="E492" s="30" t="n">
        <f aca="false">(C492-INDEX(Rounds!$C:$C,MATCH(A492,Rounds!$A:$A,0)))*86400</f>
        <v>47.31999957</v>
      </c>
      <c r="F492" s="31" t="n">
        <f aca="false">(C492-B492)*86400</f>
        <v>0.483998958</v>
      </c>
      <c r="G492" s="27" t="s">
        <v>151</v>
      </c>
      <c r="H492" s="27" t="s">
        <v>203</v>
      </c>
      <c r="I492" s="27" t="s">
        <v>204</v>
      </c>
      <c r="J492" s="27" t="s">
        <v>315</v>
      </c>
      <c r="K492" s="27" t="s">
        <v>204</v>
      </c>
      <c r="L492" s="3" t="str">
        <f aca="false">IF(ISNUMBER(SEARCH(" m",I492)),"Range",IF(I492="offline","Offline",IF(I492="","Unknown","No echo / error")))</f>
        <v>No echo / error</v>
      </c>
      <c r="M492" s="3" t="str">
        <f aca="false">IF(ISNUMBER(SEARCH(" m",J492)),"Range",IF(J492="offline","Offline",IF(J492="","Unknown","No echo / error")))</f>
        <v>Range</v>
      </c>
      <c r="N492" s="3" t="str">
        <f aca="false">IF(ISNUMBER(SEARCH(" m",K492)),"Range",IF(K492="offline","Offline",IF(K492="","Unknown","No echo / error")))</f>
        <v>No echo / error</v>
      </c>
      <c r="O492" s="3" t="str">
        <f aca="false">TEXT(B492,"yyyy-mm-dd")</f>
        <v>2026-10-06</v>
      </c>
    </row>
    <row r="493" customFormat="false" ht="15" hidden="false" customHeight="false" outlineLevel="0" collapsed="false">
      <c r="A493" s="27" t="n">
        <v>9</v>
      </c>
      <c r="B493" s="28" t="n">
        <v>46301.4824133681</v>
      </c>
      <c r="C493" s="29" t="n">
        <f aca="false">IF(A494=A493,B494,INDEX(Rounds!$D:$D,MATCH(A493,Rounds!$A:$A,0)))</f>
        <v>46301.4824135532</v>
      </c>
      <c r="D493" s="30" t="n">
        <f aca="false">(B493-INDEX(Rounds!$C:$C,MATCH(A493,Rounds!$A:$A,0)))*86400</f>
        <v>47.31999957</v>
      </c>
      <c r="E493" s="30" t="n">
        <f aca="false">(C493-INDEX(Rounds!$C:$C,MATCH(A493,Rounds!$A:$A,0)))*86400</f>
        <v>47.335999784</v>
      </c>
      <c r="F493" s="31" t="n">
        <f aca="false">(C493-B493)*86400</f>
        <v>0.016000214</v>
      </c>
      <c r="G493" s="27" t="s">
        <v>152</v>
      </c>
      <c r="H493" s="27" t="s">
        <v>208</v>
      </c>
      <c r="I493" s="27" t="s">
        <v>204</v>
      </c>
      <c r="J493" s="27" t="s">
        <v>426</v>
      </c>
      <c r="K493" s="27" t="s">
        <v>385</v>
      </c>
      <c r="L493" s="3" t="str">
        <f aca="false">IF(ISNUMBER(SEARCH(" m",I493)),"Range",IF(I493="offline","Offline",IF(I493="","Unknown","No echo / error")))</f>
        <v>No echo / error</v>
      </c>
      <c r="M493" s="3" t="str">
        <f aca="false">IF(ISNUMBER(SEARCH(" m",J493)),"Range",IF(J493="offline","Offline",IF(J493="","Unknown","No echo / error")))</f>
        <v>Range</v>
      </c>
      <c r="N493" s="3" t="str">
        <f aca="false">IF(ISNUMBER(SEARCH(" m",K493)),"Range",IF(K493="offline","Offline",IF(K493="","Unknown","No echo / error")))</f>
        <v>Range</v>
      </c>
      <c r="O493" s="3" t="str">
        <f aca="false">TEXT(B493,"yyyy-mm-dd")</f>
        <v>2026-10-06</v>
      </c>
    </row>
    <row r="494" customFormat="false" ht="15" hidden="false" customHeight="false" outlineLevel="0" collapsed="false">
      <c r="A494" s="27" t="n">
        <v>9</v>
      </c>
      <c r="B494" s="28" t="n">
        <v>46301.4824135532</v>
      </c>
      <c r="C494" s="29" t="n">
        <f aca="false">IF(A495=A494,B495,INDEX(Rounds!$D:$D,MATCH(A494,Rounds!$A:$A,0)))</f>
        <v>46301.4824170833</v>
      </c>
      <c r="D494" s="30" t="n">
        <f aca="false">(B494-INDEX(Rounds!$C:$C,MATCH(A494,Rounds!$A:$A,0)))*86400</f>
        <v>47.335999784</v>
      </c>
      <c r="E494" s="30" t="n">
        <f aca="false">(C494-INDEX(Rounds!$C:$C,MATCH(A494,Rounds!$A:$A,0)))*86400</f>
        <v>47.640999639</v>
      </c>
      <c r="F494" s="31" t="n">
        <f aca="false">(C494-B494)*86400</f>
        <v>0.304999854</v>
      </c>
      <c r="G494" s="27" t="s">
        <v>151</v>
      </c>
      <c r="H494" s="27" t="s">
        <v>203</v>
      </c>
      <c r="I494" s="27" t="s">
        <v>204</v>
      </c>
      <c r="J494" s="27" t="s">
        <v>426</v>
      </c>
      <c r="K494" s="27" t="s">
        <v>201</v>
      </c>
      <c r="L494" s="3" t="str">
        <f aca="false">IF(ISNUMBER(SEARCH(" m",I494)),"Range",IF(I494="offline","Offline",IF(I494="","Unknown","No echo / error")))</f>
        <v>No echo / error</v>
      </c>
      <c r="M494" s="3" t="str">
        <f aca="false">IF(ISNUMBER(SEARCH(" m",J494)),"Range",IF(J494="offline","Offline",IF(J494="","Unknown","No echo / error")))</f>
        <v>Range</v>
      </c>
      <c r="N494" s="3" t="str">
        <f aca="false">IF(ISNUMBER(SEARCH(" m",K494)),"Range",IF(K494="offline","Offline",IF(K494="","Unknown","No echo / error")))</f>
        <v>Range</v>
      </c>
      <c r="O494" s="3" t="str">
        <f aca="false">TEXT(B494,"yyyy-mm-dd")</f>
        <v>2026-10-06</v>
      </c>
    </row>
    <row r="495" customFormat="false" ht="15" hidden="false" customHeight="false" outlineLevel="0" collapsed="false">
      <c r="A495" s="27" t="n">
        <v>9</v>
      </c>
      <c r="B495" s="28" t="n">
        <v>46301.4824170833</v>
      </c>
      <c r="C495" s="29" t="n">
        <f aca="false">IF(A496=A495,B496,INDEX(Rounds!$D:$D,MATCH(A495,Rounds!$A:$A,0)))</f>
        <v>46301.4824217477</v>
      </c>
      <c r="D495" s="30" t="n">
        <f aca="false">(B495-INDEX(Rounds!$C:$C,MATCH(A495,Rounds!$A:$A,0)))*86400</f>
        <v>47.640999639</v>
      </c>
      <c r="E495" s="30" t="n">
        <f aca="false">(C495-INDEX(Rounds!$C:$C,MATCH(A495,Rounds!$A:$A,0)))*86400</f>
        <v>48.044000496</v>
      </c>
      <c r="F495" s="31" t="n">
        <f aca="false">(C495-B495)*86400</f>
        <v>0.403000856</v>
      </c>
      <c r="G495" s="27" t="s">
        <v>150</v>
      </c>
      <c r="H495" s="27" t="s">
        <v>206</v>
      </c>
      <c r="I495" s="27" t="s">
        <v>204</v>
      </c>
      <c r="J495" s="27" t="s">
        <v>407</v>
      </c>
      <c r="K495" s="27" t="s">
        <v>201</v>
      </c>
      <c r="L495" s="3" t="str">
        <f aca="false">IF(ISNUMBER(SEARCH(" m",I495)),"Range",IF(I495="offline","Offline",IF(I495="","Unknown","No echo / error")))</f>
        <v>No echo / error</v>
      </c>
      <c r="M495" s="3" t="str">
        <f aca="false">IF(ISNUMBER(SEARCH(" m",J495)),"Range",IF(J495="offline","Offline",IF(J495="","Unknown","No echo / error")))</f>
        <v>Range</v>
      </c>
      <c r="N495" s="3" t="str">
        <f aca="false">IF(ISNUMBER(SEARCH(" m",K495)),"Range",IF(K495="offline","Offline",IF(K495="","Unknown","No echo / error")))</f>
        <v>Range</v>
      </c>
      <c r="O495" s="3" t="str">
        <f aca="false">TEXT(B495,"yyyy-mm-dd")</f>
        <v>2026-10-06</v>
      </c>
    </row>
    <row r="496" customFormat="false" ht="15" hidden="false" customHeight="false" outlineLevel="0" collapsed="false">
      <c r="A496" s="27" t="n">
        <v>9</v>
      </c>
      <c r="B496" s="28" t="n">
        <v>46301.4824217477</v>
      </c>
      <c r="C496" s="29" t="n">
        <f aca="false">IF(A497=A496,B497,INDEX(Rounds!$D:$D,MATCH(A496,Rounds!$A:$A,0)))</f>
        <v>46301.4824273495</v>
      </c>
      <c r="D496" s="30" t="n">
        <f aca="false">(B496-INDEX(Rounds!$C:$C,MATCH(A496,Rounds!$A:$A,0)))*86400</f>
        <v>48.044000496</v>
      </c>
      <c r="E496" s="30" t="n">
        <f aca="false">(C496-INDEX(Rounds!$C:$C,MATCH(A496,Rounds!$A:$A,0)))*86400</f>
        <v>48.528000083</v>
      </c>
      <c r="F496" s="31" t="n">
        <f aca="false">(C496-B496)*86400</f>
        <v>0.483999587</v>
      </c>
      <c r="G496" s="27" t="s">
        <v>151</v>
      </c>
      <c r="H496" s="27" t="s">
        <v>203</v>
      </c>
      <c r="I496" s="27" t="s">
        <v>204</v>
      </c>
      <c r="J496" s="27" t="s">
        <v>394</v>
      </c>
      <c r="K496" s="27" t="s">
        <v>204</v>
      </c>
      <c r="L496" s="3" t="str">
        <f aca="false">IF(ISNUMBER(SEARCH(" m",I496)),"Range",IF(I496="offline","Offline",IF(I496="","Unknown","No echo / error")))</f>
        <v>No echo / error</v>
      </c>
      <c r="M496" s="3" t="str">
        <f aca="false">IF(ISNUMBER(SEARCH(" m",J496)),"Range",IF(J496="offline","Offline",IF(J496="","Unknown","No echo / error")))</f>
        <v>Range</v>
      </c>
      <c r="N496" s="3" t="str">
        <f aca="false">IF(ISNUMBER(SEARCH(" m",K496)),"Range",IF(K496="offline","Offline",IF(K496="","Unknown","No echo / error")))</f>
        <v>No echo / error</v>
      </c>
      <c r="O496" s="3" t="str">
        <f aca="false">TEXT(B496,"yyyy-mm-dd")</f>
        <v>2026-10-06</v>
      </c>
    </row>
    <row r="497" customFormat="false" ht="15" hidden="false" customHeight="false" outlineLevel="0" collapsed="false">
      <c r="A497" s="27" t="n">
        <v>9</v>
      </c>
      <c r="B497" s="28" t="n">
        <v>46301.4824273495</v>
      </c>
      <c r="C497" s="29" t="n">
        <f aca="false">IF(A498=A497,B498,INDEX(Rounds!$D:$D,MATCH(A497,Rounds!$A:$A,0)))</f>
        <v>46301.4824753819</v>
      </c>
      <c r="D497" s="30" t="n">
        <f aca="false">(B497-INDEX(Rounds!$C:$C,MATCH(A497,Rounds!$A:$A,0)))*86400</f>
        <v>48.528000083</v>
      </c>
      <c r="E497" s="30" t="n">
        <f aca="false">(C497-INDEX(Rounds!$C:$C,MATCH(A497,Rounds!$A:$A,0)))*86400</f>
        <v>52.677999576</v>
      </c>
      <c r="F497" s="31" t="n">
        <f aca="false">(C497-B497)*86400</f>
        <v>4.149999492</v>
      </c>
      <c r="G497" s="27" t="s">
        <v>152</v>
      </c>
      <c r="H497" s="27" t="s">
        <v>208</v>
      </c>
      <c r="I497" s="27" t="s">
        <v>204</v>
      </c>
      <c r="J497" s="27" t="s">
        <v>394</v>
      </c>
      <c r="K497" s="27" t="s">
        <v>365</v>
      </c>
      <c r="L497" s="3" t="str">
        <f aca="false">IF(ISNUMBER(SEARCH(" m",I497)),"Range",IF(I497="offline","Offline",IF(I497="","Unknown","No echo / error")))</f>
        <v>No echo / error</v>
      </c>
      <c r="M497" s="3" t="str">
        <f aca="false">IF(ISNUMBER(SEARCH(" m",J497)),"Range",IF(J497="offline","Offline",IF(J497="","Unknown","No echo / error")))</f>
        <v>Range</v>
      </c>
      <c r="N497" s="3" t="str">
        <f aca="false">IF(ISNUMBER(SEARCH(" m",K497)),"Range",IF(K497="offline","Offline",IF(K497="","Unknown","No echo / error")))</f>
        <v>Range</v>
      </c>
      <c r="O497" s="3" t="str">
        <f aca="false">TEXT(B497,"yyyy-mm-dd")</f>
        <v>2026-10-06</v>
      </c>
    </row>
    <row r="498" customFormat="false" ht="15" hidden="false" customHeight="false" outlineLevel="0" collapsed="false">
      <c r="A498" s="27" t="n">
        <v>9</v>
      </c>
      <c r="B498" s="28" t="n">
        <v>46301.4824753819</v>
      </c>
      <c r="C498" s="29" t="n">
        <f aca="false">IF(A499=A498,B499,INDEX(Rounds!$D:$D,MATCH(A498,Rounds!$A:$A,0)))</f>
        <v>46301.4824854745</v>
      </c>
      <c r="D498" s="30" t="n">
        <f aca="false">(B498-INDEX(Rounds!$C:$C,MATCH(A498,Rounds!$A:$A,0)))*86400</f>
        <v>52.677999576</v>
      </c>
      <c r="E498" s="30" t="n">
        <f aca="false">(C498-INDEX(Rounds!$C:$C,MATCH(A498,Rounds!$A:$A,0)))*86400</f>
        <v>53.549999976</v>
      </c>
      <c r="F498" s="31" t="n">
        <f aca="false">(C498-B498)*86400</f>
        <v>0.872000399</v>
      </c>
      <c r="G498" s="27" t="s">
        <v>151</v>
      </c>
      <c r="H498" s="27" t="s">
        <v>203</v>
      </c>
      <c r="I498" s="27" t="s">
        <v>453</v>
      </c>
      <c r="J498" s="27" t="s">
        <v>435</v>
      </c>
      <c r="K498" s="27" t="s">
        <v>281</v>
      </c>
      <c r="L498" s="3" t="str">
        <f aca="false">IF(ISNUMBER(SEARCH(" m",I498)),"Range",IF(I498="offline","Offline",IF(I498="","Unknown","No echo / error")))</f>
        <v>Range</v>
      </c>
      <c r="M498" s="3" t="str">
        <f aca="false">IF(ISNUMBER(SEARCH(" m",J498)),"Range",IF(J498="offline","Offline",IF(J498="","Unknown","No echo / error")))</f>
        <v>Range</v>
      </c>
      <c r="N498" s="3" t="str">
        <f aca="false">IF(ISNUMBER(SEARCH(" m",K498)),"Range",IF(K498="offline","Offline",IF(K498="","Unknown","No echo / error")))</f>
        <v>Range</v>
      </c>
      <c r="O498" s="3" t="str">
        <f aca="false">TEXT(B498,"yyyy-mm-dd")</f>
        <v>2026-10-06</v>
      </c>
    </row>
    <row r="499" customFormat="false" ht="15" hidden="false" customHeight="false" outlineLevel="0" collapsed="false">
      <c r="A499" s="27" t="n">
        <v>9</v>
      </c>
      <c r="B499" s="28" t="n">
        <v>46301.4824854745</v>
      </c>
      <c r="C499" s="29" t="n">
        <f aca="false">IF(A500=A499,B500,INDEX(Rounds!$D:$D,MATCH(A499,Rounds!$A:$A,0)))</f>
        <v>46301.4824910764</v>
      </c>
      <c r="D499" s="30" t="n">
        <f aca="false">(B499-INDEX(Rounds!$C:$C,MATCH(A499,Rounds!$A:$A,0)))*86400</f>
        <v>53.549999976</v>
      </c>
      <c r="E499" s="30" t="n">
        <f aca="false">(C499-INDEX(Rounds!$C:$C,MATCH(A499,Rounds!$A:$A,0)))*86400</f>
        <v>54.034000192</v>
      </c>
      <c r="F499" s="31" t="n">
        <f aca="false">(C499-B499)*86400</f>
        <v>0.484000216</v>
      </c>
      <c r="G499" s="27" t="s">
        <v>150</v>
      </c>
      <c r="H499" s="27" t="s">
        <v>206</v>
      </c>
      <c r="I499" s="27" t="s">
        <v>204</v>
      </c>
      <c r="J499" s="27" t="s">
        <v>218</v>
      </c>
      <c r="K499" s="27" t="s">
        <v>259</v>
      </c>
      <c r="L499" s="3" t="str">
        <f aca="false">IF(ISNUMBER(SEARCH(" m",I499)),"Range",IF(I499="offline","Offline",IF(I499="","Unknown","No echo / error")))</f>
        <v>No echo / error</v>
      </c>
      <c r="M499" s="3" t="str">
        <f aca="false">IF(ISNUMBER(SEARCH(" m",J499)),"Range",IF(J499="offline","Offline",IF(J499="","Unknown","No echo / error")))</f>
        <v>Range</v>
      </c>
      <c r="N499" s="3" t="str">
        <f aca="false">IF(ISNUMBER(SEARCH(" m",K499)),"Range",IF(K499="offline","Offline",IF(K499="","Unknown","No echo / error")))</f>
        <v>Range</v>
      </c>
      <c r="O499" s="3" t="str">
        <f aca="false">TEXT(B499,"yyyy-mm-dd")</f>
        <v>2026-10-06</v>
      </c>
    </row>
    <row r="500" customFormat="false" ht="15" hidden="false" customHeight="false" outlineLevel="0" collapsed="false">
      <c r="A500" s="27" t="n">
        <v>9</v>
      </c>
      <c r="B500" s="28" t="n">
        <v>46301.4824910764</v>
      </c>
      <c r="C500" s="29" t="n">
        <f aca="false">IF(A501=A500,B501,INDEX(Rounds!$D:$D,MATCH(A500,Rounds!$A:$A,0)))</f>
        <v>46301.4824945949</v>
      </c>
      <c r="D500" s="30" t="n">
        <f aca="false">(B500-INDEX(Rounds!$C:$C,MATCH(A500,Rounds!$A:$A,0)))*86400</f>
        <v>54.034000192</v>
      </c>
      <c r="E500" s="30" t="n">
        <f aca="false">(C500-INDEX(Rounds!$C:$C,MATCH(A500,Rounds!$A:$A,0)))*86400</f>
        <v>54.337999876</v>
      </c>
      <c r="F500" s="31" t="n">
        <f aca="false">(C500-B500)*86400</f>
        <v>0.303999683</v>
      </c>
      <c r="G500" s="27" t="s">
        <v>152</v>
      </c>
      <c r="H500" s="27" t="s">
        <v>208</v>
      </c>
      <c r="I500" s="27" t="s">
        <v>204</v>
      </c>
      <c r="J500" s="27" t="s">
        <v>278</v>
      </c>
      <c r="K500" s="27" t="s">
        <v>222</v>
      </c>
      <c r="L500" s="3" t="str">
        <f aca="false">IF(ISNUMBER(SEARCH(" m",I500)),"Range",IF(I500="offline","Offline",IF(I500="","Unknown","No echo / error")))</f>
        <v>No echo / error</v>
      </c>
      <c r="M500" s="3" t="str">
        <f aca="false">IF(ISNUMBER(SEARCH(" m",J500)),"Range",IF(J500="offline","Offline",IF(J500="","Unknown","No echo / error")))</f>
        <v>Range</v>
      </c>
      <c r="N500" s="3" t="str">
        <f aca="false">IF(ISNUMBER(SEARCH(" m",K500)),"Range",IF(K500="offline","Offline",IF(K500="","Unknown","No echo / error")))</f>
        <v>Range</v>
      </c>
      <c r="O500" s="3" t="str">
        <f aca="false">TEXT(B500,"yyyy-mm-dd")</f>
        <v>2026-10-06</v>
      </c>
    </row>
    <row r="501" customFormat="false" ht="15" hidden="false" customHeight="false" outlineLevel="0" collapsed="false">
      <c r="A501" s="27" t="n">
        <v>9</v>
      </c>
      <c r="B501" s="28" t="n">
        <v>46301.4824945949</v>
      </c>
      <c r="C501" s="29" t="n">
        <f aca="false">IF(A502=A501,B502,INDEX(Rounds!$D:$D,MATCH(A501,Rounds!$A:$A,0)))</f>
        <v>46301.4825049306</v>
      </c>
      <c r="D501" s="30" t="n">
        <f aca="false">(B501-INDEX(Rounds!$C:$C,MATCH(A501,Rounds!$A:$A,0)))*86400</f>
        <v>54.337999876</v>
      </c>
      <c r="E501" s="30" t="n">
        <f aca="false">(C501-INDEX(Rounds!$C:$C,MATCH(A501,Rounds!$A:$A,0)))*86400</f>
        <v>55.231000087</v>
      </c>
      <c r="F501" s="31" t="n">
        <f aca="false">(C501-B501)*86400</f>
        <v>0.89300021</v>
      </c>
      <c r="G501" s="27" t="s">
        <v>151</v>
      </c>
      <c r="H501" s="27" t="s">
        <v>203</v>
      </c>
      <c r="I501" s="27" t="s">
        <v>204</v>
      </c>
      <c r="J501" s="27" t="s">
        <v>259</v>
      </c>
      <c r="K501" s="27" t="s">
        <v>220</v>
      </c>
      <c r="L501" s="3" t="str">
        <f aca="false">IF(ISNUMBER(SEARCH(" m",I501)),"Range",IF(I501="offline","Offline",IF(I501="","Unknown","No echo / error")))</f>
        <v>No echo / error</v>
      </c>
      <c r="M501" s="3" t="str">
        <f aca="false">IF(ISNUMBER(SEARCH(" m",J501)),"Range",IF(J501="offline","Offline",IF(J501="","Unknown","No echo / error")))</f>
        <v>Range</v>
      </c>
      <c r="N501" s="3" t="str">
        <f aca="false">IF(ISNUMBER(SEARCH(" m",K501)),"Range",IF(K501="offline","Offline",IF(K501="","Unknown","No echo / error")))</f>
        <v>No echo / error</v>
      </c>
      <c r="O501" s="3" t="str">
        <f aca="false">TEXT(B501,"yyyy-mm-dd")</f>
        <v>2026-10-06</v>
      </c>
    </row>
    <row r="502" customFormat="false" ht="15" hidden="false" customHeight="false" outlineLevel="0" collapsed="false">
      <c r="A502" s="27" t="n">
        <v>9</v>
      </c>
      <c r="B502" s="28" t="n">
        <v>46301.4825049306</v>
      </c>
      <c r="C502" s="29" t="n">
        <f aca="false">IF(A503=A502,B503,INDEX(Rounds!$D:$D,MATCH(A502,Rounds!$A:$A,0)))</f>
        <v>46301.4825168634</v>
      </c>
      <c r="D502" s="30" t="n">
        <f aca="false">(B502-INDEX(Rounds!$C:$C,MATCH(A502,Rounds!$A:$A,0)))*86400</f>
        <v>55.231000087</v>
      </c>
      <c r="E502" s="30" t="n">
        <f aca="false">(C502-INDEX(Rounds!$C:$C,MATCH(A502,Rounds!$A:$A,0)))*86400</f>
        <v>56.261999951</v>
      </c>
      <c r="F502" s="31" t="n">
        <f aca="false">(C502-B502)*86400</f>
        <v>1.030999864</v>
      </c>
      <c r="G502" s="27" t="s">
        <v>152</v>
      </c>
      <c r="H502" s="27" t="s">
        <v>208</v>
      </c>
      <c r="I502" s="27" t="s">
        <v>204</v>
      </c>
      <c r="J502" s="27" t="s">
        <v>244</v>
      </c>
      <c r="K502" s="27" t="s">
        <v>405</v>
      </c>
      <c r="L502" s="3" t="str">
        <f aca="false">IF(ISNUMBER(SEARCH(" m",I502)),"Range",IF(I502="offline","Offline",IF(I502="","Unknown","No echo / error")))</f>
        <v>No echo / error</v>
      </c>
      <c r="M502" s="3" t="str">
        <f aca="false">IF(ISNUMBER(SEARCH(" m",J502)),"Range",IF(J502="offline","Offline",IF(J502="","Unknown","No echo / error")))</f>
        <v>Range</v>
      </c>
      <c r="N502" s="3" t="str">
        <f aca="false">IF(ISNUMBER(SEARCH(" m",K502)),"Range",IF(K502="offline","Offline",IF(K502="","Unknown","No echo / error")))</f>
        <v>Range</v>
      </c>
      <c r="O502" s="3" t="str">
        <f aca="false">TEXT(B502,"yyyy-mm-dd")</f>
        <v>2026-10-06</v>
      </c>
    </row>
    <row r="503" customFormat="false" ht="15" hidden="false" customHeight="false" outlineLevel="0" collapsed="false">
      <c r="A503" s="27" t="n">
        <v>9</v>
      </c>
      <c r="B503" s="28" t="n">
        <v>46301.4825168634</v>
      </c>
      <c r="C503" s="29" t="n">
        <f aca="false">IF(A504=A503,B504,INDEX(Rounds!$D:$D,MATCH(A503,Rounds!$A:$A,0)))</f>
        <v>46301.4825226273</v>
      </c>
      <c r="D503" s="30" t="n">
        <f aca="false">(B503-INDEX(Rounds!$C:$C,MATCH(A503,Rounds!$A:$A,0)))*86400</f>
        <v>56.261999951</v>
      </c>
      <c r="E503" s="30" t="n">
        <f aca="false">(C503-INDEX(Rounds!$C:$C,MATCH(A503,Rounds!$A:$A,0)))*86400</f>
        <v>56.760000041</v>
      </c>
      <c r="F503" s="31" t="n">
        <f aca="false">(C503-B503)*86400</f>
        <v>0.49800009</v>
      </c>
      <c r="G503" s="27" t="s">
        <v>151</v>
      </c>
      <c r="H503" s="27" t="s">
        <v>203</v>
      </c>
      <c r="I503" s="27" t="s">
        <v>361</v>
      </c>
      <c r="J503" s="27" t="s">
        <v>390</v>
      </c>
      <c r="K503" s="27" t="s">
        <v>454</v>
      </c>
      <c r="L503" s="3" t="str">
        <f aca="false">IF(ISNUMBER(SEARCH(" m",I503)),"Range",IF(I503="offline","Offline",IF(I503="","Unknown","No echo / error")))</f>
        <v>Range</v>
      </c>
      <c r="M503" s="3" t="str">
        <f aca="false">IF(ISNUMBER(SEARCH(" m",J503)),"Range",IF(J503="offline","Offline",IF(J503="","Unknown","No echo / error")))</f>
        <v>Range</v>
      </c>
      <c r="N503" s="3" t="str">
        <f aca="false">IF(ISNUMBER(SEARCH(" m",K503)),"Range",IF(K503="offline","Offline",IF(K503="","Unknown","No echo / error")))</f>
        <v>Range</v>
      </c>
      <c r="O503" s="3" t="str">
        <f aca="false">TEXT(B503,"yyyy-mm-dd")</f>
        <v>2026-10-06</v>
      </c>
    </row>
    <row r="504" customFormat="false" ht="15" hidden="false" customHeight="false" outlineLevel="0" collapsed="false">
      <c r="A504" s="27" t="n">
        <v>9</v>
      </c>
      <c r="B504" s="28" t="n">
        <v>46301.4825226273</v>
      </c>
      <c r="C504" s="29" t="n">
        <f aca="false">IF(A505=A504,B505,INDEX(Rounds!$D:$D,MATCH(A504,Rounds!$A:$A,0)))</f>
        <v>46301.4825585301</v>
      </c>
      <c r="D504" s="30" t="n">
        <f aca="false">(B504-INDEX(Rounds!$C:$C,MATCH(A504,Rounds!$A:$A,0)))*86400</f>
        <v>56.760000041</v>
      </c>
      <c r="E504" s="30" t="n">
        <f aca="false">(C504-INDEX(Rounds!$C:$C,MATCH(A504,Rounds!$A:$A,0)))*86400</f>
        <v>59.861999913</v>
      </c>
      <c r="F504" s="31" t="n">
        <f aca="false">(C504-B504)*86400</f>
        <v>3.101999871</v>
      </c>
      <c r="G504" s="27" t="s">
        <v>150</v>
      </c>
      <c r="H504" s="27" t="s">
        <v>206</v>
      </c>
      <c r="I504" s="27" t="s">
        <v>315</v>
      </c>
      <c r="J504" s="27" t="s">
        <v>209</v>
      </c>
      <c r="K504" s="27" t="s">
        <v>332</v>
      </c>
      <c r="L504" s="3" t="str">
        <f aca="false">IF(ISNUMBER(SEARCH(" m",I504)),"Range",IF(I504="offline","Offline",IF(I504="","Unknown","No echo / error")))</f>
        <v>Range</v>
      </c>
      <c r="M504" s="3" t="str">
        <f aca="false">IF(ISNUMBER(SEARCH(" m",J504)),"Range",IF(J504="offline","Offline",IF(J504="","Unknown","No echo / error")))</f>
        <v>Range</v>
      </c>
      <c r="N504" s="3" t="str">
        <f aca="false">IF(ISNUMBER(SEARCH(" m",K504)),"Range",IF(K504="offline","Offline",IF(K504="","Unknown","No echo / error")))</f>
        <v>Range</v>
      </c>
      <c r="O504" s="3" t="str">
        <f aca="false">TEXT(B504,"yyyy-mm-dd")</f>
        <v>2026-10-06</v>
      </c>
    </row>
    <row r="505" customFormat="false" ht="15" hidden="false" customHeight="false" outlineLevel="0" collapsed="false">
      <c r="A505" s="27" t="n">
        <v>9</v>
      </c>
      <c r="B505" s="28" t="n">
        <v>46301.4825585301</v>
      </c>
      <c r="C505" s="29" t="n">
        <f aca="false">IF(A506=A505,B506,INDEX(Rounds!$D:$D,MATCH(A505,Rounds!$A:$A,0)))</f>
        <v>46301.4825671065</v>
      </c>
      <c r="D505" s="30" t="n">
        <f aca="false">(B505-INDEX(Rounds!$C:$C,MATCH(A505,Rounds!$A:$A,0)))*86400</f>
        <v>59.861999913</v>
      </c>
      <c r="E505" s="30" t="n">
        <f aca="false">(C505-INDEX(Rounds!$C:$C,MATCH(A505,Rounds!$A:$A,0)))*86400</f>
        <v>60.602999967</v>
      </c>
      <c r="F505" s="31" t="n">
        <f aca="false">(C505-B505)*86400</f>
        <v>0.741000054</v>
      </c>
      <c r="G505" s="27" t="s">
        <v>152</v>
      </c>
      <c r="H505" s="27" t="s">
        <v>208</v>
      </c>
      <c r="I505" s="27" t="s">
        <v>211</v>
      </c>
      <c r="J505" s="27" t="s">
        <v>287</v>
      </c>
      <c r="K505" s="27" t="s">
        <v>218</v>
      </c>
      <c r="L505" s="3" t="str">
        <f aca="false">IF(ISNUMBER(SEARCH(" m",I505)),"Range",IF(I505="offline","Offline",IF(I505="","Unknown","No echo / error")))</f>
        <v>No echo / error</v>
      </c>
      <c r="M505" s="3" t="str">
        <f aca="false">IF(ISNUMBER(SEARCH(" m",J505)),"Range",IF(J505="offline","Offline",IF(J505="","Unknown","No echo / error")))</f>
        <v>Range</v>
      </c>
      <c r="N505" s="3" t="str">
        <f aca="false">IF(ISNUMBER(SEARCH(" m",K505)),"Range",IF(K505="offline","Offline",IF(K505="","Unknown","No echo / error")))</f>
        <v>Range</v>
      </c>
      <c r="O505" s="3" t="str">
        <f aca="false">TEXT(B505,"yyyy-mm-dd")</f>
        <v>2026-10-06</v>
      </c>
    </row>
    <row r="506" customFormat="false" ht="15" hidden="false" customHeight="false" outlineLevel="0" collapsed="false">
      <c r="A506" s="27" t="n">
        <v>9</v>
      </c>
      <c r="B506" s="28" t="n">
        <v>46301.4825671065</v>
      </c>
      <c r="C506" s="29" t="n">
        <f aca="false">IF(A507=A506,B507,INDEX(Rounds!$D:$D,MATCH(A506,Rounds!$A:$A,0)))</f>
        <v>46301.4825728819</v>
      </c>
      <c r="D506" s="30" t="n">
        <f aca="false">(B506-INDEX(Rounds!$C:$C,MATCH(A506,Rounds!$A:$A,0)))*86400</f>
        <v>60.602999967</v>
      </c>
      <c r="E506" s="30" t="n">
        <f aca="false">(C506-INDEX(Rounds!$C:$C,MATCH(A506,Rounds!$A:$A,0)))*86400</f>
        <v>61.101999599</v>
      </c>
      <c r="F506" s="31" t="n">
        <f aca="false">(C506-B506)*86400</f>
        <v>0.498999631</v>
      </c>
      <c r="G506" s="27" t="s">
        <v>151</v>
      </c>
      <c r="H506" s="27" t="s">
        <v>203</v>
      </c>
      <c r="I506" s="27" t="s">
        <v>204</v>
      </c>
      <c r="J506" s="27" t="s">
        <v>287</v>
      </c>
      <c r="K506" s="27" t="s">
        <v>219</v>
      </c>
      <c r="L506" s="3" t="str">
        <f aca="false">IF(ISNUMBER(SEARCH(" m",I506)),"Range",IF(I506="offline","Offline",IF(I506="","Unknown","No echo / error")))</f>
        <v>No echo / error</v>
      </c>
      <c r="M506" s="3" t="str">
        <f aca="false">IF(ISNUMBER(SEARCH(" m",J506)),"Range",IF(J506="offline","Offline",IF(J506="","Unknown","No echo / error")))</f>
        <v>Range</v>
      </c>
      <c r="N506" s="3" t="str">
        <f aca="false">IF(ISNUMBER(SEARCH(" m",K506)),"Range",IF(K506="offline","Offline",IF(K506="","Unknown","No echo / error")))</f>
        <v>Range</v>
      </c>
      <c r="O506" s="3" t="str">
        <f aca="false">TEXT(B506,"yyyy-mm-dd")</f>
        <v>2026-10-06</v>
      </c>
    </row>
    <row r="507" customFormat="false" ht="15" hidden="false" customHeight="false" outlineLevel="0" collapsed="false">
      <c r="A507" s="27" t="n">
        <v>9</v>
      </c>
      <c r="B507" s="28" t="n">
        <v>46301.4825728819</v>
      </c>
      <c r="C507" s="29" t="n">
        <f aca="false">IF(A508=A507,B508,INDEX(Rounds!$D:$D,MATCH(A507,Rounds!$A:$A,0)))</f>
        <v>46301.4825767824</v>
      </c>
      <c r="D507" s="30" t="n">
        <f aca="false">(B507-INDEX(Rounds!$C:$C,MATCH(A507,Rounds!$A:$A,0)))*86400</f>
        <v>61.101999599</v>
      </c>
      <c r="E507" s="30" t="n">
        <f aca="false">(C507-INDEX(Rounds!$C:$C,MATCH(A507,Rounds!$A:$A,0)))*86400</f>
        <v>61.438999883</v>
      </c>
      <c r="F507" s="31" t="n">
        <f aca="false">(C507-B507)*86400</f>
        <v>0.337000284</v>
      </c>
      <c r="G507" s="27" t="s">
        <v>152</v>
      </c>
      <c r="H507" s="27" t="s">
        <v>208</v>
      </c>
      <c r="I507" s="27" t="s">
        <v>204</v>
      </c>
      <c r="J507" s="27" t="s">
        <v>402</v>
      </c>
      <c r="K507" s="27" t="s">
        <v>204</v>
      </c>
      <c r="L507" s="3" t="str">
        <f aca="false">IF(ISNUMBER(SEARCH(" m",I507)),"Range",IF(I507="offline","Offline",IF(I507="","Unknown","No echo / error")))</f>
        <v>No echo / error</v>
      </c>
      <c r="M507" s="3" t="str">
        <f aca="false">IF(ISNUMBER(SEARCH(" m",J507)),"Range",IF(J507="offline","Offline",IF(J507="","Unknown","No echo / error")))</f>
        <v>Range</v>
      </c>
      <c r="N507" s="3" t="str">
        <f aca="false">IF(ISNUMBER(SEARCH(" m",K507)),"Range",IF(K507="offline","Offline",IF(K507="","Unknown","No echo / error")))</f>
        <v>No echo / error</v>
      </c>
      <c r="O507" s="3" t="str">
        <f aca="false">TEXT(B507,"yyyy-mm-dd")</f>
        <v>2026-10-06</v>
      </c>
    </row>
    <row r="508" customFormat="false" ht="15" hidden="false" customHeight="false" outlineLevel="0" collapsed="false">
      <c r="A508" s="27" t="n">
        <v>9</v>
      </c>
      <c r="B508" s="28" t="n">
        <v>46301.4825767824</v>
      </c>
      <c r="C508" s="29" t="n">
        <f aca="false">IF(A509=A508,B509,INDEX(Rounds!$D:$D,MATCH(A508,Rounds!$A:$A,0)))</f>
        <v>46301.4825821644</v>
      </c>
      <c r="D508" s="30" t="n">
        <f aca="false">(B508-INDEX(Rounds!$C:$C,MATCH(A508,Rounds!$A:$A,0)))*86400</f>
        <v>61.438999883</v>
      </c>
      <c r="E508" s="30" t="n">
        <f aca="false">(C508-INDEX(Rounds!$C:$C,MATCH(A508,Rounds!$A:$A,0)))*86400</f>
        <v>61.904000001</v>
      </c>
      <c r="F508" s="31" t="n">
        <f aca="false">(C508-B508)*86400</f>
        <v>0.465000118</v>
      </c>
      <c r="G508" s="27" t="s">
        <v>151</v>
      </c>
      <c r="H508" s="27" t="s">
        <v>203</v>
      </c>
      <c r="I508" s="27" t="s">
        <v>204</v>
      </c>
      <c r="J508" s="27" t="s">
        <v>253</v>
      </c>
      <c r="K508" s="27" t="s">
        <v>204</v>
      </c>
      <c r="L508" s="3" t="str">
        <f aca="false">IF(ISNUMBER(SEARCH(" m",I508)),"Range",IF(I508="offline","Offline",IF(I508="","Unknown","No echo / error")))</f>
        <v>No echo / error</v>
      </c>
      <c r="M508" s="3" t="str">
        <f aca="false">IF(ISNUMBER(SEARCH(" m",J508)),"Range",IF(J508="offline","Offline",IF(J508="","Unknown","No echo / error")))</f>
        <v>Range</v>
      </c>
      <c r="N508" s="3" t="str">
        <f aca="false">IF(ISNUMBER(SEARCH(" m",K508)),"Range",IF(K508="offline","Offline",IF(K508="","Unknown","No echo / error")))</f>
        <v>No echo / error</v>
      </c>
      <c r="O508" s="3" t="str">
        <f aca="false">TEXT(B508,"yyyy-mm-dd")</f>
        <v>2026-10-06</v>
      </c>
    </row>
    <row r="509" customFormat="false" ht="15" hidden="false" customHeight="false" outlineLevel="0" collapsed="false">
      <c r="A509" s="27" t="n">
        <v>9</v>
      </c>
      <c r="B509" s="28" t="n">
        <v>46301.4825821644</v>
      </c>
      <c r="C509" s="29" t="n">
        <f aca="false">IF(A510=A509,B510,INDEX(Rounds!$D:$D,MATCH(A509,Rounds!$A:$A,0)))</f>
        <v>46301.4825877662</v>
      </c>
      <c r="D509" s="30" t="n">
        <f aca="false">(B509-INDEX(Rounds!$C:$C,MATCH(A509,Rounds!$A:$A,0)))*86400</f>
        <v>61.904000001</v>
      </c>
      <c r="E509" s="30" t="n">
        <f aca="false">(C509-INDEX(Rounds!$C:$C,MATCH(A509,Rounds!$A:$A,0)))*86400</f>
        <v>62.387999589</v>
      </c>
      <c r="F509" s="31" t="n">
        <f aca="false">(C509-B509)*86400</f>
        <v>0.483999587</v>
      </c>
      <c r="G509" s="27" t="s">
        <v>150</v>
      </c>
      <c r="H509" s="27" t="s">
        <v>206</v>
      </c>
      <c r="I509" s="27" t="s">
        <v>204</v>
      </c>
      <c r="J509" s="27" t="s">
        <v>455</v>
      </c>
      <c r="K509" s="27" t="s">
        <v>259</v>
      </c>
      <c r="L509" s="3" t="str">
        <f aca="false">IF(ISNUMBER(SEARCH(" m",I509)),"Range",IF(I509="offline","Offline",IF(I509="","Unknown","No echo / error")))</f>
        <v>No echo / error</v>
      </c>
      <c r="M509" s="3" t="str">
        <f aca="false">IF(ISNUMBER(SEARCH(" m",J509)),"Range",IF(J509="offline","Offline",IF(J509="","Unknown","No echo / error")))</f>
        <v>Range</v>
      </c>
      <c r="N509" s="3" t="str">
        <f aca="false">IF(ISNUMBER(SEARCH(" m",K509)),"Range",IF(K509="offline","Offline",IF(K509="","Unknown","No echo / error")))</f>
        <v>Range</v>
      </c>
      <c r="O509" s="3" t="str">
        <f aca="false">TEXT(B509,"yyyy-mm-dd")</f>
        <v>2026-10-06</v>
      </c>
    </row>
    <row r="510" customFormat="false" ht="15" hidden="false" customHeight="false" outlineLevel="0" collapsed="false">
      <c r="A510" s="27" t="n">
        <v>9</v>
      </c>
      <c r="B510" s="28" t="n">
        <v>46301.4825877662</v>
      </c>
      <c r="C510" s="29" t="n">
        <f aca="false">IF(A511=A510,B511,INDEX(Rounds!$D:$D,MATCH(A510,Rounds!$A:$A,0)))</f>
        <v>46301.4825892477</v>
      </c>
      <c r="D510" s="30" t="n">
        <f aca="false">(B510-INDEX(Rounds!$C:$C,MATCH(A510,Rounds!$A:$A,0)))*86400</f>
        <v>62.387999589</v>
      </c>
      <c r="E510" s="30" t="n">
        <f aca="false">(C510-INDEX(Rounds!$C:$C,MATCH(A510,Rounds!$A:$A,0)))*86400</f>
        <v>62.516000051</v>
      </c>
      <c r="F510" s="31" t="n">
        <f aca="false">(C510-B510)*86400</f>
        <v>0.128000462</v>
      </c>
      <c r="G510" s="27" t="s">
        <v>152</v>
      </c>
      <c r="H510" s="27" t="s">
        <v>208</v>
      </c>
      <c r="I510" s="27" t="s">
        <v>456</v>
      </c>
      <c r="J510" s="27" t="s">
        <v>435</v>
      </c>
      <c r="K510" s="27" t="s">
        <v>345</v>
      </c>
      <c r="L510" s="3" t="str">
        <f aca="false">IF(ISNUMBER(SEARCH(" m",I510)),"Range",IF(I510="offline","Offline",IF(I510="","Unknown","No echo / error")))</f>
        <v>Range</v>
      </c>
      <c r="M510" s="3" t="str">
        <f aca="false">IF(ISNUMBER(SEARCH(" m",J510)),"Range",IF(J510="offline","Offline",IF(J510="","Unknown","No echo / error")))</f>
        <v>Range</v>
      </c>
      <c r="N510" s="3" t="str">
        <f aca="false">IF(ISNUMBER(SEARCH(" m",K510)),"Range",IF(K510="offline","Offline",IF(K510="","Unknown","No echo / error")))</f>
        <v>Range</v>
      </c>
      <c r="O510" s="3" t="str">
        <f aca="false">TEXT(B510,"yyyy-mm-dd")</f>
        <v>2026-10-06</v>
      </c>
    </row>
    <row r="511" customFormat="false" ht="15" hidden="false" customHeight="false" outlineLevel="0" collapsed="false">
      <c r="A511" s="27" t="n">
        <v>9</v>
      </c>
      <c r="B511" s="28" t="n">
        <v>46301.4825892477</v>
      </c>
      <c r="C511" s="29" t="n">
        <f aca="false">IF(A512=A511,B512,INDEX(Rounds!$D:$D,MATCH(A511,Rounds!$A:$A,0)))</f>
        <v>46301.4825948264</v>
      </c>
      <c r="D511" s="30" t="n">
        <f aca="false">(B511-INDEX(Rounds!$C:$C,MATCH(A511,Rounds!$A:$A,0)))*86400</f>
        <v>62.516000051</v>
      </c>
      <c r="E511" s="30" t="n">
        <f aca="false">(C511-INDEX(Rounds!$C:$C,MATCH(A511,Rounds!$A:$A,0)))*86400</f>
        <v>62.997999927</v>
      </c>
      <c r="F511" s="31" t="n">
        <f aca="false">(C511-B511)*86400</f>
        <v>0.481999875</v>
      </c>
      <c r="G511" s="27" t="s">
        <v>151</v>
      </c>
      <c r="H511" s="27" t="s">
        <v>203</v>
      </c>
      <c r="I511" s="27" t="s">
        <v>456</v>
      </c>
      <c r="J511" s="27" t="s">
        <v>405</v>
      </c>
      <c r="K511" s="27" t="s">
        <v>345</v>
      </c>
      <c r="L511" s="3" t="str">
        <f aca="false">IF(ISNUMBER(SEARCH(" m",I511)),"Range",IF(I511="offline","Offline",IF(I511="","Unknown","No echo / error")))</f>
        <v>Range</v>
      </c>
      <c r="M511" s="3" t="str">
        <f aca="false">IF(ISNUMBER(SEARCH(" m",J511)),"Range",IF(J511="offline","Offline",IF(J511="","Unknown","No echo / error")))</f>
        <v>Range</v>
      </c>
      <c r="N511" s="3" t="str">
        <f aca="false">IF(ISNUMBER(SEARCH(" m",K511)),"Range",IF(K511="offline","Offline",IF(K511="","Unknown","No echo / error")))</f>
        <v>Range</v>
      </c>
      <c r="O511" s="3" t="str">
        <f aca="false">TEXT(B511,"yyyy-mm-dd")</f>
        <v>2026-10-06</v>
      </c>
    </row>
    <row r="512" customFormat="false" ht="15" hidden="false" customHeight="false" outlineLevel="0" collapsed="false">
      <c r="A512" s="27" t="n">
        <v>9</v>
      </c>
      <c r="B512" s="28" t="n">
        <v>46301.4825948264</v>
      </c>
      <c r="C512" s="29" t="n">
        <f aca="false">IF(A513=A512,B513,INDEX(Rounds!$D:$D,MATCH(A512,Rounds!$A:$A,0)))</f>
        <v>46301.4826087963</v>
      </c>
      <c r="D512" s="30" t="n">
        <f aca="false">(B512-INDEX(Rounds!$C:$C,MATCH(A512,Rounds!$A:$A,0)))*86400</f>
        <v>62.997999927</v>
      </c>
      <c r="E512" s="30" t="n">
        <f aca="false">(C512-INDEX(Rounds!$C:$C,MATCH(A512,Rounds!$A:$A,0)))*86400</f>
        <v>64.204999012</v>
      </c>
      <c r="F512" s="31" t="n">
        <f aca="false">(C512-B512)*86400</f>
        <v>1.206999085</v>
      </c>
      <c r="G512" s="27" t="s">
        <v>152</v>
      </c>
      <c r="H512" s="27" t="s">
        <v>208</v>
      </c>
      <c r="I512" s="27" t="s">
        <v>204</v>
      </c>
      <c r="J512" s="27" t="s">
        <v>405</v>
      </c>
      <c r="K512" s="27" t="s">
        <v>345</v>
      </c>
      <c r="L512" s="3" t="str">
        <f aca="false">IF(ISNUMBER(SEARCH(" m",I512)),"Range",IF(I512="offline","Offline",IF(I512="","Unknown","No echo / error")))</f>
        <v>No echo / error</v>
      </c>
      <c r="M512" s="3" t="str">
        <f aca="false">IF(ISNUMBER(SEARCH(" m",J512)),"Range",IF(J512="offline","Offline",IF(J512="","Unknown","No echo / error")))</f>
        <v>Range</v>
      </c>
      <c r="N512" s="3" t="str">
        <f aca="false">IF(ISNUMBER(SEARCH(" m",K512)),"Range",IF(K512="offline","Offline",IF(K512="","Unknown","No echo / error")))</f>
        <v>Range</v>
      </c>
      <c r="O512" s="3" t="str">
        <f aca="false">TEXT(B512,"yyyy-mm-dd")</f>
        <v>2026-10-06</v>
      </c>
    </row>
    <row r="513" customFormat="false" ht="15" hidden="false" customHeight="false" outlineLevel="0" collapsed="false">
      <c r="A513" s="27" t="n">
        <v>9</v>
      </c>
      <c r="B513" s="28" t="n">
        <v>46301.4826087963</v>
      </c>
      <c r="C513" s="29" t="n">
        <f aca="false">IF(A514=A513,B514,INDEX(Rounds!$D:$D,MATCH(A513,Rounds!$A:$A,0)))</f>
        <v>46301.4826087963</v>
      </c>
      <c r="D513" s="30" t="n">
        <f aca="false">(B513-INDEX(Rounds!$C:$C,MATCH(A513,Rounds!$A:$A,0)))*86400</f>
        <v>64.204999012</v>
      </c>
      <c r="E513" s="30" t="n">
        <f aca="false">(C513-INDEX(Rounds!$C:$C,MATCH(A513,Rounds!$A:$A,0)))*86400</f>
        <v>64.204999012</v>
      </c>
      <c r="F513" s="31" t="n">
        <f aca="false">(C513-B513)*86400</f>
        <v>0</v>
      </c>
      <c r="G513" s="27" t="s">
        <v>154</v>
      </c>
      <c r="H513" s="27" t="s">
        <v>208</v>
      </c>
      <c r="I513" s="27" t="s">
        <v>204</v>
      </c>
      <c r="J513" s="27" t="s">
        <v>405</v>
      </c>
      <c r="K513" s="27" t="s">
        <v>345</v>
      </c>
      <c r="L513" s="3" t="str">
        <f aca="false">IF(ISNUMBER(SEARCH(" m",I513)),"Range",IF(I513="offline","Offline",IF(I513="","Unknown","No echo / error")))</f>
        <v>No echo / error</v>
      </c>
      <c r="M513" s="3" t="str">
        <f aca="false">IF(ISNUMBER(SEARCH(" m",J513)),"Range",IF(J513="offline","Offline",IF(J513="","Unknown","No echo / error")))</f>
        <v>Range</v>
      </c>
      <c r="N513" s="3" t="str">
        <f aca="false">IF(ISNUMBER(SEARCH(" m",K513)),"Range",IF(K513="offline","Offline",IF(K513="","Unknown","No echo / error")))</f>
        <v>Range</v>
      </c>
      <c r="O513" s="3" t="str">
        <f aca="false">TEXT(B513,"yyyy-mm-dd")</f>
        <v>2026-10-06</v>
      </c>
    </row>
    <row r="514" customFormat="false" ht="15" hidden="false" customHeight="false" outlineLevel="0" collapsed="false">
      <c r="A514" s="27" t="n">
        <v>10</v>
      </c>
      <c r="B514" s="28" t="n">
        <v>46301.4830999884</v>
      </c>
      <c r="C514" s="29" t="n">
        <f aca="false">IF(A515=A514,B515,INDEX(Rounds!$D:$D,MATCH(A514,Rounds!$A:$A,0)))</f>
        <v>46301.4830999884</v>
      </c>
      <c r="D514" s="30" t="n">
        <f aca="false">(B514-INDEX(Rounds!$C:$C,MATCH(A514,Rounds!$A:$A,0)))*86400</f>
        <v>0</v>
      </c>
      <c r="E514" s="30" t="n">
        <f aca="false">(C514-INDEX(Rounds!$C:$C,MATCH(A514,Rounds!$A:$A,0)))*86400</f>
        <v>0</v>
      </c>
      <c r="F514" s="31" t="n">
        <f aca="false">(C514-B514)*86400</f>
        <v>0</v>
      </c>
      <c r="G514" s="27" t="s">
        <v>152</v>
      </c>
      <c r="H514" s="27" t="s">
        <v>208</v>
      </c>
      <c r="I514" s="27" t="s">
        <v>204</v>
      </c>
      <c r="J514" s="27" t="s">
        <v>405</v>
      </c>
      <c r="K514" s="27" t="s">
        <v>345</v>
      </c>
      <c r="L514" s="3" t="str">
        <f aca="false">IF(ISNUMBER(SEARCH(" m",I514)),"Range",IF(I514="offline","Offline",IF(I514="","Unknown","No echo / error")))</f>
        <v>No echo / error</v>
      </c>
      <c r="M514" s="3" t="str">
        <f aca="false">IF(ISNUMBER(SEARCH(" m",J514)),"Range",IF(J514="offline","Offline",IF(J514="","Unknown","No echo / error")))</f>
        <v>Range</v>
      </c>
      <c r="N514" s="3" t="str">
        <f aca="false">IF(ISNUMBER(SEARCH(" m",K514)),"Range",IF(K514="offline","Offline",IF(K514="","Unknown","No echo / error")))</f>
        <v>Range</v>
      </c>
      <c r="O514" s="3" t="str">
        <f aca="false">TEXT(B514,"yyyy-mm-dd")</f>
        <v>2026-10-06</v>
      </c>
    </row>
    <row r="515" customFormat="false" ht="15" hidden="false" customHeight="false" outlineLevel="0" collapsed="false">
      <c r="A515" s="27" t="n">
        <v>10</v>
      </c>
      <c r="B515" s="28" t="n">
        <v>46301.4830999884</v>
      </c>
      <c r="C515" s="29" t="n">
        <f aca="false">IF(A516=A515,B516,INDEX(Rounds!$D:$D,MATCH(A515,Rounds!$A:$A,0)))</f>
        <v>46301.4830999884</v>
      </c>
      <c r="D515" s="30" t="n">
        <f aca="false">(B515-INDEX(Rounds!$C:$C,MATCH(A515,Rounds!$A:$A,0)))*86400</f>
        <v>0</v>
      </c>
      <c r="E515" s="30" t="n">
        <f aca="false">(C515-INDEX(Rounds!$C:$C,MATCH(A515,Rounds!$A:$A,0)))*86400</f>
        <v>0</v>
      </c>
      <c r="F515" s="31" t="n">
        <f aca="false">(C515-B515)*86400</f>
        <v>0</v>
      </c>
      <c r="G515" s="27" t="s">
        <v>152</v>
      </c>
      <c r="H515" s="27" t="s">
        <v>208</v>
      </c>
      <c r="I515" s="27" t="s">
        <v>204</v>
      </c>
      <c r="J515" s="27" t="s">
        <v>405</v>
      </c>
      <c r="K515" s="27" t="s">
        <v>345</v>
      </c>
      <c r="L515" s="3" t="str">
        <f aca="false">IF(ISNUMBER(SEARCH(" m",I515)),"Range",IF(I515="offline","Offline",IF(I515="","Unknown","No echo / error")))</f>
        <v>No echo / error</v>
      </c>
      <c r="M515" s="3" t="str">
        <f aca="false">IF(ISNUMBER(SEARCH(" m",J515)),"Range",IF(J515="offline","Offline",IF(J515="","Unknown","No echo / error")))</f>
        <v>Range</v>
      </c>
      <c r="N515" s="3" t="str">
        <f aca="false">IF(ISNUMBER(SEARCH(" m",K515)),"Range",IF(K515="offline","Offline",IF(K515="","Unknown","No echo / error")))</f>
        <v>Range</v>
      </c>
      <c r="O515" s="3" t="str">
        <f aca="false">TEXT(B515,"yyyy-mm-dd")</f>
        <v>2026-10-06</v>
      </c>
    </row>
    <row r="516" customFormat="false" ht="15" hidden="false" customHeight="false" outlineLevel="0" collapsed="false">
      <c r="A516" s="27" t="n">
        <v>10</v>
      </c>
      <c r="B516" s="28" t="n">
        <v>46301.4830999884</v>
      </c>
      <c r="C516" s="29" t="n">
        <f aca="false">IF(A517=A516,B517,INDEX(Rounds!$D:$D,MATCH(A516,Rounds!$A:$A,0)))</f>
        <v>46301.4831106019</v>
      </c>
      <c r="D516" s="30" t="n">
        <f aca="false">(B516-INDEX(Rounds!$C:$C,MATCH(A516,Rounds!$A:$A,0)))*86400</f>
        <v>0</v>
      </c>
      <c r="E516" s="30" t="n">
        <f aca="false">(C516-INDEX(Rounds!$C:$C,MATCH(A516,Rounds!$A:$A,0)))*86400</f>
        <v>0.916999275</v>
      </c>
      <c r="F516" s="31" t="n">
        <f aca="false">(C516-B516)*86400</f>
        <v>0.916999275</v>
      </c>
      <c r="G516" s="27" t="s">
        <v>152</v>
      </c>
      <c r="H516" s="27" t="s">
        <v>199</v>
      </c>
      <c r="I516" s="27" t="s">
        <v>204</v>
      </c>
      <c r="J516" s="27" t="s">
        <v>305</v>
      </c>
      <c r="K516" s="27" t="s">
        <v>365</v>
      </c>
      <c r="L516" s="3" t="str">
        <f aca="false">IF(ISNUMBER(SEARCH(" m",I516)),"Range",IF(I516="offline","Offline",IF(I516="","Unknown","No echo / error")))</f>
        <v>No echo / error</v>
      </c>
      <c r="M516" s="3" t="str">
        <f aca="false">IF(ISNUMBER(SEARCH(" m",J516)),"Range",IF(J516="offline","Offline",IF(J516="","Unknown","No echo / error")))</f>
        <v>Range</v>
      </c>
      <c r="N516" s="3" t="str">
        <f aca="false">IF(ISNUMBER(SEARCH(" m",K516)),"Range",IF(K516="offline","Offline",IF(K516="","Unknown","No echo / error")))</f>
        <v>Range</v>
      </c>
      <c r="O516" s="3" t="str">
        <f aca="false">TEXT(B516,"yyyy-mm-dd")</f>
        <v>2026-10-06</v>
      </c>
    </row>
    <row r="517" customFormat="false" ht="15" hidden="false" customHeight="false" outlineLevel="0" collapsed="false">
      <c r="A517" s="27" t="n">
        <v>10</v>
      </c>
      <c r="B517" s="28" t="n">
        <v>46301.4831106019</v>
      </c>
      <c r="C517" s="29" t="n">
        <f aca="false">IF(A518=A517,B518,INDEX(Rounds!$D:$D,MATCH(A517,Rounds!$A:$A,0)))</f>
        <v>46301.483119132</v>
      </c>
      <c r="D517" s="30" t="n">
        <f aca="false">(B517-INDEX(Rounds!$C:$C,MATCH(A517,Rounds!$A:$A,0)))*86400</f>
        <v>0.916999275</v>
      </c>
      <c r="E517" s="30" t="n">
        <f aca="false">(C517-INDEX(Rounds!$C:$C,MATCH(A517,Rounds!$A:$A,0)))*86400</f>
        <v>1.654000533</v>
      </c>
      <c r="F517" s="31" t="n">
        <f aca="false">(C517-B517)*86400</f>
        <v>0.737001257</v>
      </c>
      <c r="G517" s="27" t="s">
        <v>151</v>
      </c>
      <c r="H517" s="27" t="s">
        <v>203</v>
      </c>
      <c r="I517" s="27" t="s">
        <v>457</v>
      </c>
      <c r="J517" s="27" t="s">
        <v>305</v>
      </c>
      <c r="K517" s="27" t="s">
        <v>259</v>
      </c>
      <c r="L517" s="3" t="str">
        <f aca="false">IF(ISNUMBER(SEARCH(" m",I517)),"Range",IF(I517="offline","Offline",IF(I517="","Unknown","No echo / error")))</f>
        <v>Range</v>
      </c>
      <c r="M517" s="3" t="str">
        <f aca="false">IF(ISNUMBER(SEARCH(" m",J517)),"Range",IF(J517="offline","Offline",IF(J517="","Unknown","No echo / error")))</f>
        <v>Range</v>
      </c>
      <c r="N517" s="3" t="str">
        <f aca="false">IF(ISNUMBER(SEARCH(" m",K517)),"Range",IF(K517="offline","Offline",IF(K517="","Unknown","No echo / error")))</f>
        <v>Range</v>
      </c>
      <c r="O517" s="3" t="str">
        <f aca="false">TEXT(B517,"yyyy-mm-dd")</f>
        <v>2026-10-06</v>
      </c>
    </row>
    <row r="518" customFormat="false" ht="15" hidden="false" customHeight="false" outlineLevel="0" collapsed="false">
      <c r="A518" s="27" t="n">
        <v>10</v>
      </c>
      <c r="B518" s="28" t="n">
        <v>46301.483119132</v>
      </c>
      <c r="C518" s="29" t="n">
        <f aca="false">IF(A519=A518,B519,INDEX(Rounds!$D:$D,MATCH(A518,Rounds!$A:$A,0)))</f>
        <v>46301.4831235995</v>
      </c>
      <c r="D518" s="30" t="n">
        <f aca="false">(B518-INDEX(Rounds!$C:$C,MATCH(A518,Rounds!$A:$A,0)))*86400</f>
        <v>1.654000533</v>
      </c>
      <c r="E518" s="30" t="n">
        <f aca="false">(C518-INDEX(Rounds!$C:$C,MATCH(A518,Rounds!$A:$A,0)))*86400</f>
        <v>2.039999747</v>
      </c>
      <c r="F518" s="31" t="n">
        <f aca="false">(C518-B518)*86400</f>
        <v>0.385999213</v>
      </c>
      <c r="G518" s="27" t="s">
        <v>152</v>
      </c>
      <c r="H518" s="27" t="s">
        <v>208</v>
      </c>
      <c r="I518" s="27" t="s">
        <v>419</v>
      </c>
      <c r="J518" s="27" t="s">
        <v>458</v>
      </c>
      <c r="K518" s="27" t="s">
        <v>444</v>
      </c>
      <c r="L518" s="3" t="str">
        <f aca="false">IF(ISNUMBER(SEARCH(" m",I518)),"Range",IF(I518="offline","Offline",IF(I518="","Unknown","No echo / error")))</f>
        <v>Range</v>
      </c>
      <c r="M518" s="3" t="str">
        <f aca="false">IF(ISNUMBER(SEARCH(" m",J518)),"Range",IF(J518="offline","Offline",IF(J518="","Unknown","No echo / error")))</f>
        <v>Range</v>
      </c>
      <c r="N518" s="3" t="str">
        <f aca="false">IF(ISNUMBER(SEARCH(" m",K518)),"Range",IF(K518="offline","Offline",IF(K518="","Unknown","No echo / error")))</f>
        <v>Range</v>
      </c>
      <c r="O518" s="3" t="str">
        <f aca="false">TEXT(B518,"yyyy-mm-dd")</f>
        <v>2026-10-06</v>
      </c>
    </row>
    <row r="519" customFormat="false" ht="15" hidden="false" customHeight="false" outlineLevel="0" collapsed="false">
      <c r="A519" s="27" t="n">
        <v>10</v>
      </c>
      <c r="B519" s="28" t="n">
        <v>46301.4831235995</v>
      </c>
      <c r="C519" s="29" t="n">
        <f aca="false">IF(A520=A519,B520,INDEX(Rounds!$D:$D,MATCH(A519,Rounds!$A:$A,0)))</f>
        <v>46301.4831318056</v>
      </c>
      <c r="D519" s="30" t="n">
        <f aca="false">(B519-INDEX(Rounds!$C:$C,MATCH(A519,Rounds!$A:$A,0)))*86400</f>
        <v>2.039999747</v>
      </c>
      <c r="E519" s="30" t="n">
        <f aca="false">(C519-INDEX(Rounds!$C:$C,MATCH(A519,Rounds!$A:$A,0)))*86400</f>
        <v>2.749</v>
      </c>
      <c r="F519" s="31" t="n">
        <f aca="false">(C519-B519)*86400</f>
        <v>0.709000253</v>
      </c>
      <c r="G519" s="27" t="s">
        <v>151</v>
      </c>
      <c r="H519" s="27" t="s">
        <v>203</v>
      </c>
      <c r="I519" s="27" t="s">
        <v>220</v>
      </c>
      <c r="J519" s="27" t="s">
        <v>259</v>
      </c>
      <c r="K519" s="27" t="s">
        <v>444</v>
      </c>
      <c r="L519" s="3" t="str">
        <f aca="false">IF(ISNUMBER(SEARCH(" m",I519)),"Range",IF(I519="offline","Offline",IF(I519="","Unknown","No echo / error")))</f>
        <v>No echo / error</v>
      </c>
      <c r="M519" s="3" t="str">
        <f aca="false">IF(ISNUMBER(SEARCH(" m",J519)),"Range",IF(J519="offline","Offline",IF(J519="","Unknown","No echo / error")))</f>
        <v>Range</v>
      </c>
      <c r="N519" s="3" t="str">
        <f aca="false">IF(ISNUMBER(SEARCH(" m",K519)),"Range",IF(K519="offline","Offline",IF(K519="","Unknown","No echo / error")))</f>
        <v>Range</v>
      </c>
      <c r="O519" s="3" t="str">
        <f aca="false">TEXT(B519,"yyyy-mm-dd")</f>
        <v>2026-10-06</v>
      </c>
    </row>
    <row r="520" customFormat="false" ht="15" hidden="false" customHeight="false" outlineLevel="0" collapsed="false">
      <c r="A520" s="27" t="n">
        <v>10</v>
      </c>
      <c r="B520" s="28" t="n">
        <v>46301.4831318056</v>
      </c>
      <c r="C520" s="29" t="n">
        <f aca="false">IF(A521=A520,B521,INDEX(Rounds!$D:$D,MATCH(A520,Rounds!$A:$A,0)))</f>
        <v>46301.4831325463</v>
      </c>
      <c r="D520" s="30" t="n">
        <f aca="false">(B520-INDEX(Rounds!$C:$C,MATCH(A520,Rounds!$A:$A,0)))*86400</f>
        <v>2.749</v>
      </c>
      <c r="E520" s="30" t="n">
        <f aca="false">(C520-INDEX(Rounds!$C:$C,MATCH(A520,Rounds!$A:$A,0)))*86400</f>
        <v>2.812998974</v>
      </c>
      <c r="F520" s="31" t="n">
        <f aca="false">(C520-B520)*86400</f>
        <v>0.063998973</v>
      </c>
      <c r="G520" s="27" t="s">
        <v>152</v>
      </c>
      <c r="H520" s="27" t="s">
        <v>208</v>
      </c>
      <c r="I520" s="27" t="s">
        <v>258</v>
      </c>
      <c r="J520" s="27" t="s">
        <v>459</v>
      </c>
      <c r="K520" s="27" t="s">
        <v>444</v>
      </c>
      <c r="L520" s="3" t="str">
        <f aca="false">IF(ISNUMBER(SEARCH(" m",I520)),"Range",IF(I520="offline","Offline",IF(I520="","Unknown","No echo / error")))</f>
        <v>Range</v>
      </c>
      <c r="M520" s="3" t="str">
        <f aca="false">IF(ISNUMBER(SEARCH(" m",J520)),"Range",IF(J520="offline","Offline",IF(J520="","Unknown","No echo / error")))</f>
        <v>Range</v>
      </c>
      <c r="N520" s="3" t="str">
        <f aca="false">IF(ISNUMBER(SEARCH(" m",K520)),"Range",IF(K520="offline","Offline",IF(K520="","Unknown","No echo / error")))</f>
        <v>Range</v>
      </c>
      <c r="O520" s="3" t="str">
        <f aca="false">TEXT(B520,"yyyy-mm-dd")</f>
        <v>2026-10-06</v>
      </c>
    </row>
    <row r="521" customFormat="false" ht="15" hidden="false" customHeight="false" outlineLevel="0" collapsed="false">
      <c r="A521" s="27" t="n">
        <v>10</v>
      </c>
      <c r="B521" s="28" t="n">
        <v>46301.4831325463</v>
      </c>
      <c r="C521" s="29" t="n">
        <f aca="false">IF(A522=A521,B522,INDEX(Rounds!$D:$D,MATCH(A521,Rounds!$A:$A,0)))</f>
        <v>46301.4831381482</v>
      </c>
      <c r="D521" s="30" t="n">
        <f aca="false">(B521-INDEX(Rounds!$C:$C,MATCH(A521,Rounds!$A:$A,0)))*86400</f>
        <v>2.812998974</v>
      </c>
      <c r="E521" s="30" t="n">
        <f aca="false">(C521-INDEX(Rounds!$C:$C,MATCH(A521,Rounds!$A:$A,0)))*86400</f>
        <v>3.296999819</v>
      </c>
      <c r="F521" s="31" t="n">
        <f aca="false">(C521-B521)*86400</f>
        <v>0.484000844</v>
      </c>
      <c r="G521" s="27" t="s">
        <v>151</v>
      </c>
      <c r="H521" s="27" t="s">
        <v>203</v>
      </c>
      <c r="I521" s="27" t="s">
        <v>255</v>
      </c>
      <c r="J521" s="27" t="s">
        <v>459</v>
      </c>
      <c r="K521" s="27" t="s">
        <v>444</v>
      </c>
      <c r="L521" s="3" t="str">
        <f aca="false">IF(ISNUMBER(SEARCH(" m",I521)),"Range",IF(I521="offline","Offline",IF(I521="","Unknown","No echo / error")))</f>
        <v>Range</v>
      </c>
      <c r="M521" s="3" t="str">
        <f aca="false">IF(ISNUMBER(SEARCH(" m",J521)),"Range",IF(J521="offline","Offline",IF(J521="","Unknown","No echo / error")))</f>
        <v>Range</v>
      </c>
      <c r="N521" s="3" t="str">
        <f aca="false">IF(ISNUMBER(SEARCH(" m",K521)),"Range",IF(K521="offline","Offline",IF(K521="","Unknown","No echo / error")))</f>
        <v>Range</v>
      </c>
      <c r="O521" s="3" t="str">
        <f aca="false">TEXT(B521,"yyyy-mm-dd")</f>
        <v>2026-10-06</v>
      </c>
    </row>
    <row r="522" customFormat="false" ht="15" hidden="false" customHeight="false" outlineLevel="0" collapsed="false">
      <c r="A522" s="27" t="n">
        <v>10</v>
      </c>
      <c r="B522" s="28" t="n">
        <v>46301.4831381482</v>
      </c>
      <c r="C522" s="29" t="n">
        <f aca="false">IF(A523=A522,B523,INDEX(Rounds!$D:$D,MATCH(A522,Rounds!$A:$A,0)))</f>
        <v>46301.4831532523</v>
      </c>
      <c r="D522" s="30" t="n">
        <f aca="false">(B522-INDEX(Rounds!$C:$C,MATCH(A522,Rounds!$A:$A,0)))*86400</f>
        <v>3.296999819</v>
      </c>
      <c r="E522" s="30" t="n">
        <f aca="false">(C522-INDEX(Rounds!$C:$C,MATCH(A522,Rounds!$A:$A,0)))*86400</f>
        <v>4.601999907</v>
      </c>
      <c r="F522" s="31" t="n">
        <f aca="false">(C522-B522)*86400</f>
        <v>1.305000088</v>
      </c>
      <c r="G522" s="27" t="s">
        <v>150</v>
      </c>
      <c r="H522" s="27" t="s">
        <v>206</v>
      </c>
      <c r="I522" s="27" t="s">
        <v>255</v>
      </c>
      <c r="J522" s="27" t="s">
        <v>280</v>
      </c>
      <c r="K522" s="27" t="s">
        <v>216</v>
      </c>
      <c r="L522" s="3" t="str">
        <f aca="false">IF(ISNUMBER(SEARCH(" m",I522)),"Range",IF(I522="offline","Offline",IF(I522="","Unknown","No echo / error")))</f>
        <v>Range</v>
      </c>
      <c r="M522" s="3" t="str">
        <f aca="false">IF(ISNUMBER(SEARCH(" m",J522)),"Range",IF(J522="offline","Offline",IF(J522="","Unknown","No echo / error")))</f>
        <v>Range</v>
      </c>
      <c r="N522" s="3" t="str">
        <f aca="false">IF(ISNUMBER(SEARCH(" m",K522)),"Range",IF(K522="offline","Offline",IF(K522="","Unknown","No echo / error")))</f>
        <v>Range</v>
      </c>
      <c r="O522" s="3" t="str">
        <f aca="false">TEXT(B522,"yyyy-mm-dd")</f>
        <v>2026-10-06</v>
      </c>
    </row>
    <row r="523" customFormat="false" ht="15" hidden="false" customHeight="false" outlineLevel="0" collapsed="false">
      <c r="A523" s="27" t="n">
        <v>10</v>
      </c>
      <c r="B523" s="28" t="n">
        <v>46301.4831532523</v>
      </c>
      <c r="C523" s="29" t="n">
        <f aca="false">IF(A524=A523,B524,INDEX(Rounds!$D:$D,MATCH(A523,Rounds!$A:$A,0)))</f>
        <v>46301.4831666667</v>
      </c>
      <c r="D523" s="30" t="n">
        <f aca="false">(B523-INDEX(Rounds!$C:$C,MATCH(A523,Rounds!$A:$A,0)))*86400</f>
        <v>4.601999907</v>
      </c>
      <c r="E523" s="30" t="n">
        <f aca="false">(C523-INDEX(Rounds!$C:$C,MATCH(A523,Rounds!$A:$A,0)))*86400</f>
        <v>5.761000234</v>
      </c>
      <c r="F523" s="31" t="n">
        <f aca="false">(C523-B523)*86400</f>
        <v>1.159000326</v>
      </c>
      <c r="G523" s="27" t="s">
        <v>152</v>
      </c>
      <c r="H523" s="27" t="s">
        <v>208</v>
      </c>
      <c r="I523" s="27" t="s">
        <v>299</v>
      </c>
      <c r="J523" s="27" t="s">
        <v>251</v>
      </c>
      <c r="K523" s="27" t="s">
        <v>460</v>
      </c>
      <c r="L523" s="3" t="str">
        <f aca="false">IF(ISNUMBER(SEARCH(" m",I523)),"Range",IF(I523="offline","Offline",IF(I523="","Unknown","No echo / error")))</f>
        <v>Range</v>
      </c>
      <c r="M523" s="3" t="str">
        <f aca="false">IF(ISNUMBER(SEARCH(" m",J523)),"Range",IF(J523="offline","Offline",IF(J523="","Unknown","No echo / error")))</f>
        <v>Range</v>
      </c>
      <c r="N523" s="3" t="str">
        <f aca="false">IF(ISNUMBER(SEARCH(" m",K523)),"Range",IF(K523="offline","Offline",IF(K523="","Unknown","No echo / error")))</f>
        <v>Range</v>
      </c>
      <c r="O523" s="3" t="str">
        <f aca="false">TEXT(B523,"yyyy-mm-dd")</f>
        <v>2026-10-06</v>
      </c>
    </row>
    <row r="524" customFormat="false" ht="15" hidden="false" customHeight="false" outlineLevel="0" collapsed="false">
      <c r="A524" s="27" t="n">
        <v>10</v>
      </c>
      <c r="B524" s="28" t="n">
        <v>46301.4831666667</v>
      </c>
      <c r="C524" s="29" t="n">
        <f aca="false">IF(A525=A524,B525,INDEX(Rounds!$D:$D,MATCH(A524,Rounds!$A:$A,0)))</f>
        <v>46301.4831728241</v>
      </c>
      <c r="D524" s="30" t="n">
        <f aca="false">(B524-INDEX(Rounds!$C:$C,MATCH(A524,Rounds!$A:$A,0)))*86400</f>
        <v>5.761000234</v>
      </c>
      <c r="E524" s="30" t="n">
        <f aca="false">(C524-INDEX(Rounds!$C:$C,MATCH(A524,Rounds!$A:$A,0)))*86400</f>
        <v>6.293000467</v>
      </c>
      <c r="F524" s="31" t="n">
        <f aca="false">(C524-B524)*86400</f>
        <v>0.532000232</v>
      </c>
      <c r="G524" s="27" t="s">
        <v>151</v>
      </c>
      <c r="H524" s="27" t="s">
        <v>203</v>
      </c>
      <c r="I524" s="27" t="s">
        <v>211</v>
      </c>
      <c r="J524" s="27" t="s">
        <v>218</v>
      </c>
      <c r="K524" s="27" t="s">
        <v>204</v>
      </c>
      <c r="L524" s="3" t="str">
        <f aca="false">IF(ISNUMBER(SEARCH(" m",I524)),"Range",IF(I524="offline","Offline",IF(I524="","Unknown","No echo / error")))</f>
        <v>No echo / error</v>
      </c>
      <c r="M524" s="3" t="str">
        <f aca="false">IF(ISNUMBER(SEARCH(" m",J524)),"Range",IF(J524="offline","Offline",IF(J524="","Unknown","No echo / error")))</f>
        <v>Range</v>
      </c>
      <c r="N524" s="3" t="str">
        <f aca="false">IF(ISNUMBER(SEARCH(" m",K524)),"Range",IF(K524="offline","Offline",IF(K524="","Unknown","No echo / error")))</f>
        <v>No echo / error</v>
      </c>
      <c r="O524" s="3" t="str">
        <f aca="false">TEXT(B524,"yyyy-mm-dd")</f>
        <v>2026-10-06</v>
      </c>
    </row>
    <row r="525" customFormat="false" ht="15" hidden="false" customHeight="false" outlineLevel="0" collapsed="false">
      <c r="A525" s="27" t="n">
        <v>10</v>
      </c>
      <c r="B525" s="28" t="n">
        <v>46301.4831728241</v>
      </c>
      <c r="C525" s="29" t="n">
        <f aca="false">IF(A526=A525,B526,INDEX(Rounds!$D:$D,MATCH(A525,Rounds!$A:$A,0)))</f>
        <v>46301.4831885648</v>
      </c>
      <c r="D525" s="30" t="n">
        <f aca="false">(B525-INDEX(Rounds!$C:$C,MATCH(A525,Rounds!$A:$A,0)))*86400</f>
        <v>6.293000467</v>
      </c>
      <c r="E525" s="30" t="n">
        <f aca="false">(C525-INDEX(Rounds!$C:$C,MATCH(A525,Rounds!$A:$A,0)))*86400</f>
        <v>7.652999879</v>
      </c>
      <c r="F525" s="31" t="n">
        <f aca="false">(C525-B525)*86400</f>
        <v>1.359999412</v>
      </c>
      <c r="G525" s="27" t="s">
        <v>150</v>
      </c>
      <c r="H525" s="27" t="s">
        <v>206</v>
      </c>
      <c r="I525" s="27" t="s">
        <v>237</v>
      </c>
      <c r="J525" s="27" t="s">
        <v>405</v>
      </c>
      <c r="K525" s="27" t="s">
        <v>204</v>
      </c>
      <c r="L525" s="3" t="str">
        <f aca="false">IF(ISNUMBER(SEARCH(" m",I525)),"Range",IF(I525="offline","Offline",IF(I525="","Unknown","No echo / error")))</f>
        <v>Range</v>
      </c>
      <c r="M525" s="3" t="str">
        <f aca="false">IF(ISNUMBER(SEARCH(" m",J525)),"Range",IF(J525="offline","Offline",IF(J525="","Unknown","No echo / error")))</f>
        <v>Range</v>
      </c>
      <c r="N525" s="3" t="str">
        <f aca="false">IF(ISNUMBER(SEARCH(" m",K525)),"Range",IF(K525="offline","Offline",IF(K525="","Unknown","No echo / error")))</f>
        <v>No echo / error</v>
      </c>
      <c r="O525" s="3" t="str">
        <f aca="false">TEXT(B525,"yyyy-mm-dd")</f>
        <v>2026-10-06</v>
      </c>
    </row>
    <row r="526" customFormat="false" ht="15" hidden="false" customHeight="false" outlineLevel="0" collapsed="false">
      <c r="A526" s="27" t="n">
        <v>10</v>
      </c>
      <c r="B526" s="28" t="n">
        <v>46301.4831885648</v>
      </c>
      <c r="C526" s="29" t="n">
        <f aca="false">IF(A527=A526,B527,INDEX(Rounds!$D:$D,MATCH(A526,Rounds!$A:$A,0)))</f>
        <v>46301.4832016204</v>
      </c>
      <c r="D526" s="30" t="n">
        <f aca="false">(B526-INDEX(Rounds!$C:$C,MATCH(A526,Rounds!$A:$A,0)))*86400</f>
        <v>7.652999879</v>
      </c>
      <c r="E526" s="30" t="n">
        <f aca="false">(C526-INDEX(Rounds!$C:$C,MATCH(A526,Rounds!$A:$A,0)))*86400</f>
        <v>8.780999947</v>
      </c>
      <c r="F526" s="31" t="n">
        <f aca="false">(C526-B526)*86400</f>
        <v>1.128000067</v>
      </c>
      <c r="G526" s="27" t="s">
        <v>152</v>
      </c>
      <c r="H526" s="27" t="s">
        <v>208</v>
      </c>
      <c r="I526" s="27" t="s">
        <v>201</v>
      </c>
      <c r="J526" s="27" t="s">
        <v>313</v>
      </c>
      <c r="K526" s="27" t="s">
        <v>212</v>
      </c>
      <c r="L526" s="3" t="str">
        <f aca="false">IF(ISNUMBER(SEARCH(" m",I526)),"Range",IF(I526="offline","Offline",IF(I526="","Unknown","No echo / error")))</f>
        <v>Range</v>
      </c>
      <c r="M526" s="3" t="str">
        <f aca="false">IF(ISNUMBER(SEARCH(" m",J526)),"Range",IF(J526="offline","Offline",IF(J526="","Unknown","No echo / error")))</f>
        <v>Range</v>
      </c>
      <c r="N526" s="3" t="str">
        <f aca="false">IF(ISNUMBER(SEARCH(" m",K526)),"Range",IF(K526="offline","Offline",IF(K526="","Unknown","No echo / error")))</f>
        <v>Range</v>
      </c>
      <c r="O526" s="3" t="str">
        <f aca="false">TEXT(B526,"yyyy-mm-dd")</f>
        <v>2026-10-06</v>
      </c>
    </row>
    <row r="527" customFormat="false" ht="15" hidden="false" customHeight="false" outlineLevel="0" collapsed="false">
      <c r="A527" s="27" t="n">
        <v>10</v>
      </c>
      <c r="B527" s="28" t="n">
        <v>46301.4832016204</v>
      </c>
      <c r="C527" s="29" t="n">
        <f aca="false">IF(A528=A527,B528,INDEX(Rounds!$D:$D,MATCH(A527,Rounds!$A:$A,0)))</f>
        <v>46301.4832115278</v>
      </c>
      <c r="D527" s="30" t="n">
        <f aca="false">(B527-INDEX(Rounds!$C:$C,MATCH(A527,Rounds!$A:$A,0)))*86400</f>
        <v>8.780999947</v>
      </c>
      <c r="E527" s="30" t="n">
        <f aca="false">(C527-INDEX(Rounds!$C:$C,MATCH(A527,Rounds!$A:$A,0)))*86400</f>
        <v>9.636998875</v>
      </c>
      <c r="F527" s="31" t="n">
        <f aca="false">(C527-B527)*86400</f>
        <v>0.855998927</v>
      </c>
      <c r="G527" s="27" t="s">
        <v>151</v>
      </c>
      <c r="H527" s="27" t="s">
        <v>203</v>
      </c>
      <c r="I527" s="27" t="s">
        <v>211</v>
      </c>
      <c r="J527" s="27" t="s">
        <v>286</v>
      </c>
      <c r="K527" s="27" t="s">
        <v>204</v>
      </c>
      <c r="L527" s="3" t="str">
        <f aca="false">IF(ISNUMBER(SEARCH(" m",I527)),"Range",IF(I527="offline","Offline",IF(I527="","Unknown","No echo / error")))</f>
        <v>No echo / error</v>
      </c>
      <c r="M527" s="3" t="str">
        <f aca="false">IF(ISNUMBER(SEARCH(" m",J527)),"Range",IF(J527="offline","Offline",IF(J527="","Unknown","No echo / error")))</f>
        <v>Range</v>
      </c>
      <c r="N527" s="3" t="str">
        <f aca="false">IF(ISNUMBER(SEARCH(" m",K527)),"Range",IF(K527="offline","Offline",IF(K527="","Unknown","No echo / error")))</f>
        <v>No echo / error</v>
      </c>
      <c r="O527" s="3" t="str">
        <f aca="false">TEXT(B527,"yyyy-mm-dd")</f>
        <v>2026-10-06</v>
      </c>
    </row>
    <row r="528" customFormat="false" ht="15" hidden="false" customHeight="false" outlineLevel="0" collapsed="false">
      <c r="A528" s="27" t="n">
        <v>10</v>
      </c>
      <c r="B528" s="28" t="n">
        <v>46301.4832115278</v>
      </c>
      <c r="C528" s="29" t="n">
        <f aca="false">IF(A529=A528,B529,INDEX(Rounds!$D:$D,MATCH(A528,Rounds!$A:$A,0)))</f>
        <v>46301.4832238426</v>
      </c>
      <c r="D528" s="30" t="n">
        <f aca="false">(B528-INDEX(Rounds!$C:$C,MATCH(A528,Rounds!$A:$A,0)))*86400</f>
        <v>9.636998875</v>
      </c>
      <c r="E528" s="30" t="n">
        <f aca="false">(C528-INDEX(Rounds!$C:$C,MATCH(A528,Rounds!$A:$A,0)))*86400</f>
        <v>10.701000597</v>
      </c>
      <c r="F528" s="31" t="n">
        <f aca="false">(C528-B528)*86400</f>
        <v>1.064001722</v>
      </c>
      <c r="G528" s="27" t="s">
        <v>152</v>
      </c>
      <c r="H528" s="27" t="s">
        <v>208</v>
      </c>
      <c r="I528" s="27" t="s">
        <v>413</v>
      </c>
      <c r="J528" s="27" t="s">
        <v>220</v>
      </c>
      <c r="K528" s="27" t="s">
        <v>204</v>
      </c>
      <c r="L528" s="3" t="str">
        <f aca="false">IF(ISNUMBER(SEARCH(" m",I528)),"Range",IF(I528="offline","Offline",IF(I528="","Unknown","No echo / error")))</f>
        <v>Range</v>
      </c>
      <c r="M528" s="3" t="str">
        <f aca="false">IF(ISNUMBER(SEARCH(" m",J528)),"Range",IF(J528="offline","Offline",IF(J528="","Unknown","No echo / error")))</f>
        <v>No echo / error</v>
      </c>
      <c r="N528" s="3" t="str">
        <f aca="false">IF(ISNUMBER(SEARCH(" m",K528)),"Range",IF(K528="offline","Offline",IF(K528="","Unknown","No echo / error")))</f>
        <v>No echo / error</v>
      </c>
      <c r="O528" s="3" t="str">
        <f aca="false">TEXT(B528,"yyyy-mm-dd")</f>
        <v>2026-10-06</v>
      </c>
    </row>
    <row r="529" customFormat="false" ht="15" hidden="false" customHeight="false" outlineLevel="0" collapsed="false">
      <c r="A529" s="27" t="n">
        <v>10</v>
      </c>
      <c r="B529" s="28" t="n">
        <v>46301.4832238426</v>
      </c>
      <c r="C529" s="29" t="n">
        <f aca="false">IF(A530=A529,B530,INDEX(Rounds!$D:$D,MATCH(A529,Rounds!$A:$A,0)))</f>
        <v>46301.4832251389</v>
      </c>
      <c r="D529" s="30" t="n">
        <f aca="false">(B529-INDEX(Rounds!$C:$C,MATCH(A529,Rounds!$A:$A,0)))*86400</f>
        <v>10.701000597</v>
      </c>
      <c r="E529" s="30" t="n">
        <f aca="false">(C529-INDEX(Rounds!$C:$C,MATCH(A529,Rounds!$A:$A,0)))*86400</f>
        <v>10.812999587</v>
      </c>
      <c r="F529" s="31" t="n">
        <f aca="false">(C529-B529)*86400</f>
        <v>0.11199899</v>
      </c>
      <c r="G529" s="27" t="s">
        <v>151</v>
      </c>
      <c r="H529" s="27" t="s">
        <v>203</v>
      </c>
      <c r="I529" s="27" t="s">
        <v>211</v>
      </c>
      <c r="J529" s="27" t="s">
        <v>357</v>
      </c>
      <c r="K529" s="27" t="s">
        <v>412</v>
      </c>
      <c r="L529" s="3" t="str">
        <f aca="false">IF(ISNUMBER(SEARCH(" m",I529)),"Range",IF(I529="offline","Offline",IF(I529="","Unknown","No echo / error")))</f>
        <v>No echo / error</v>
      </c>
      <c r="M529" s="3" t="str">
        <f aca="false">IF(ISNUMBER(SEARCH(" m",J529)),"Range",IF(J529="offline","Offline",IF(J529="","Unknown","No echo / error")))</f>
        <v>Range</v>
      </c>
      <c r="N529" s="3" t="str">
        <f aca="false">IF(ISNUMBER(SEARCH(" m",K529)),"Range",IF(K529="offline","Offline",IF(K529="","Unknown","No echo / error")))</f>
        <v>Range</v>
      </c>
      <c r="O529" s="3" t="str">
        <f aca="false">TEXT(B529,"yyyy-mm-dd")</f>
        <v>2026-10-06</v>
      </c>
    </row>
    <row r="530" customFormat="false" ht="15" hidden="false" customHeight="false" outlineLevel="0" collapsed="false">
      <c r="A530" s="27" t="n">
        <v>10</v>
      </c>
      <c r="B530" s="28" t="n">
        <v>46301.4832251389</v>
      </c>
      <c r="C530" s="29" t="n">
        <f aca="false">IF(A531=A530,B531,INDEX(Rounds!$D:$D,MATCH(A530,Rounds!$A:$A,0)))</f>
        <v>46301.4832279051</v>
      </c>
      <c r="D530" s="30" t="n">
        <f aca="false">(B530-INDEX(Rounds!$C:$C,MATCH(A530,Rounds!$A:$A,0)))*86400</f>
        <v>10.812999587</v>
      </c>
      <c r="E530" s="30" t="n">
        <f aca="false">(C530-INDEX(Rounds!$C:$C,MATCH(A530,Rounds!$A:$A,0)))*86400</f>
        <v>11.051999498</v>
      </c>
      <c r="F530" s="31" t="n">
        <f aca="false">(C530-B530)*86400</f>
        <v>0.23899991</v>
      </c>
      <c r="G530" s="27" t="s">
        <v>150</v>
      </c>
      <c r="H530" s="27" t="s">
        <v>206</v>
      </c>
      <c r="I530" s="27" t="s">
        <v>211</v>
      </c>
      <c r="J530" s="27" t="s">
        <v>357</v>
      </c>
      <c r="K530" s="27" t="s">
        <v>349</v>
      </c>
      <c r="L530" s="3" t="str">
        <f aca="false">IF(ISNUMBER(SEARCH(" m",I530)),"Range",IF(I530="offline","Offline",IF(I530="","Unknown","No echo / error")))</f>
        <v>No echo / error</v>
      </c>
      <c r="M530" s="3" t="str">
        <f aca="false">IF(ISNUMBER(SEARCH(" m",J530)),"Range",IF(J530="offline","Offline",IF(J530="","Unknown","No echo / error")))</f>
        <v>Range</v>
      </c>
      <c r="N530" s="3" t="str">
        <f aca="false">IF(ISNUMBER(SEARCH(" m",K530)),"Range",IF(K530="offline","Offline",IF(K530="","Unknown","No echo / error")))</f>
        <v>Range</v>
      </c>
      <c r="O530" s="3" t="str">
        <f aca="false">TEXT(B530,"yyyy-mm-dd")</f>
        <v>2026-10-06</v>
      </c>
    </row>
    <row r="531" customFormat="false" ht="15" hidden="false" customHeight="false" outlineLevel="0" collapsed="false">
      <c r="A531" s="27" t="n">
        <v>10</v>
      </c>
      <c r="B531" s="28" t="n">
        <v>46301.4832279051</v>
      </c>
      <c r="C531" s="29" t="n">
        <f aca="false">IF(A532=A531,B532,INDEX(Rounds!$D:$D,MATCH(A531,Rounds!$A:$A,0)))</f>
        <v>46301.4832303588</v>
      </c>
      <c r="D531" s="30" t="n">
        <f aca="false">(B531-INDEX(Rounds!$C:$C,MATCH(A531,Rounds!$A:$A,0)))*86400</f>
        <v>11.051999498</v>
      </c>
      <c r="E531" s="30" t="n">
        <f aca="false">(C531-INDEX(Rounds!$C:$C,MATCH(A531,Rounds!$A:$A,0)))*86400</f>
        <v>11.263999831</v>
      </c>
      <c r="F531" s="31" t="n">
        <f aca="false">(C531-B531)*86400</f>
        <v>0.212000333</v>
      </c>
      <c r="G531" s="27" t="s">
        <v>151</v>
      </c>
      <c r="H531" s="27" t="s">
        <v>203</v>
      </c>
      <c r="I531" s="27" t="s">
        <v>413</v>
      </c>
      <c r="J531" s="27" t="s">
        <v>255</v>
      </c>
      <c r="K531" s="27" t="s">
        <v>349</v>
      </c>
      <c r="L531" s="3" t="str">
        <f aca="false">IF(ISNUMBER(SEARCH(" m",I531)),"Range",IF(I531="offline","Offline",IF(I531="","Unknown","No echo / error")))</f>
        <v>Range</v>
      </c>
      <c r="M531" s="3" t="str">
        <f aca="false">IF(ISNUMBER(SEARCH(" m",J531)),"Range",IF(J531="offline","Offline",IF(J531="","Unknown","No echo / error")))</f>
        <v>Range</v>
      </c>
      <c r="N531" s="3" t="str">
        <f aca="false">IF(ISNUMBER(SEARCH(" m",K531)),"Range",IF(K531="offline","Offline",IF(K531="","Unknown","No echo / error")))</f>
        <v>Range</v>
      </c>
      <c r="O531" s="3" t="str">
        <f aca="false">TEXT(B531,"yyyy-mm-dd")</f>
        <v>2026-10-06</v>
      </c>
    </row>
    <row r="532" customFormat="false" ht="15" hidden="false" customHeight="false" outlineLevel="0" collapsed="false">
      <c r="A532" s="27" t="n">
        <v>10</v>
      </c>
      <c r="B532" s="28" t="n">
        <v>46301.4832303588</v>
      </c>
      <c r="C532" s="29" t="n">
        <f aca="false">IF(A533=A532,B533,INDEX(Rounds!$D:$D,MATCH(A532,Rounds!$A:$A,0)))</f>
        <v>46301.4832804861</v>
      </c>
      <c r="D532" s="30" t="n">
        <f aca="false">(B532-INDEX(Rounds!$C:$C,MATCH(A532,Rounds!$A:$A,0)))*86400</f>
        <v>11.263999831</v>
      </c>
      <c r="E532" s="30" t="n">
        <f aca="false">(C532-INDEX(Rounds!$C:$C,MATCH(A532,Rounds!$A:$A,0)))*86400</f>
        <v>15.594999399</v>
      </c>
      <c r="F532" s="31" t="n">
        <f aca="false">(C532-B532)*86400</f>
        <v>4.330999567</v>
      </c>
      <c r="G532" s="27" t="s">
        <v>150</v>
      </c>
      <c r="H532" s="27" t="s">
        <v>206</v>
      </c>
      <c r="I532" s="27" t="s">
        <v>335</v>
      </c>
      <c r="J532" s="27" t="s">
        <v>255</v>
      </c>
      <c r="K532" s="27" t="s">
        <v>347</v>
      </c>
      <c r="L532" s="3" t="str">
        <f aca="false">IF(ISNUMBER(SEARCH(" m",I532)),"Range",IF(I532="offline","Offline",IF(I532="","Unknown","No echo / error")))</f>
        <v>Range</v>
      </c>
      <c r="M532" s="3" t="str">
        <f aca="false">IF(ISNUMBER(SEARCH(" m",J532)),"Range",IF(J532="offline","Offline",IF(J532="","Unknown","No echo / error")))</f>
        <v>Range</v>
      </c>
      <c r="N532" s="3" t="str">
        <f aca="false">IF(ISNUMBER(SEARCH(" m",K532)),"Range",IF(K532="offline","Offline",IF(K532="","Unknown","No echo / error")))</f>
        <v>Range</v>
      </c>
      <c r="O532" s="3" t="str">
        <f aca="false">TEXT(B532,"yyyy-mm-dd")</f>
        <v>2026-10-06</v>
      </c>
    </row>
    <row r="533" customFormat="false" ht="15" hidden="false" customHeight="false" outlineLevel="0" collapsed="false">
      <c r="A533" s="27" t="n">
        <v>10</v>
      </c>
      <c r="B533" s="28" t="n">
        <v>46301.4832804861</v>
      </c>
      <c r="C533" s="29" t="n">
        <f aca="false">IF(A534=A533,B534,INDEX(Rounds!$D:$D,MATCH(A533,Rounds!$A:$A,0)))</f>
        <v>46301.4832907176</v>
      </c>
      <c r="D533" s="30" t="n">
        <f aca="false">(B533-INDEX(Rounds!$C:$C,MATCH(A533,Rounds!$A:$A,0)))*86400</f>
        <v>15.594999399</v>
      </c>
      <c r="E533" s="30" t="n">
        <f aca="false">(C533-INDEX(Rounds!$C:$C,MATCH(A533,Rounds!$A:$A,0)))*86400</f>
        <v>16.479000588</v>
      </c>
      <c r="F533" s="31" t="n">
        <f aca="false">(C533-B533)*86400</f>
        <v>0.884001189</v>
      </c>
      <c r="G533" s="27" t="s">
        <v>151</v>
      </c>
      <c r="H533" s="27" t="s">
        <v>203</v>
      </c>
      <c r="I533" s="27" t="s">
        <v>461</v>
      </c>
      <c r="J533" s="27" t="s">
        <v>448</v>
      </c>
      <c r="K533" s="27" t="s">
        <v>336</v>
      </c>
      <c r="L533" s="3" t="str">
        <f aca="false">IF(ISNUMBER(SEARCH(" m",I533)),"Range",IF(I533="offline","Offline",IF(I533="","Unknown","No echo / error")))</f>
        <v>Range</v>
      </c>
      <c r="M533" s="3" t="str">
        <f aca="false">IF(ISNUMBER(SEARCH(" m",J533)),"Range",IF(J533="offline","Offline",IF(J533="","Unknown","No echo / error")))</f>
        <v>Range</v>
      </c>
      <c r="N533" s="3" t="str">
        <f aca="false">IF(ISNUMBER(SEARCH(" m",K533)),"Range",IF(K533="offline","Offline",IF(K533="","Unknown","No echo / error")))</f>
        <v>Range</v>
      </c>
      <c r="O533" s="3" t="str">
        <f aca="false">TEXT(B533,"yyyy-mm-dd")</f>
        <v>2026-10-06</v>
      </c>
    </row>
    <row r="534" customFormat="false" ht="15" hidden="false" customHeight="false" outlineLevel="0" collapsed="false">
      <c r="A534" s="27" t="n">
        <v>10</v>
      </c>
      <c r="B534" s="28" t="n">
        <v>46301.4832907176</v>
      </c>
      <c r="C534" s="29" t="n">
        <f aca="false">IF(A535=A534,B535,INDEX(Rounds!$D:$D,MATCH(A534,Rounds!$A:$A,0)))</f>
        <v>46301.4832974421</v>
      </c>
      <c r="D534" s="30" t="n">
        <f aca="false">(B534-INDEX(Rounds!$C:$C,MATCH(A534,Rounds!$A:$A,0)))*86400</f>
        <v>16.479000588</v>
      </c>
      <c r="E534" s="30" t="n">
        <f aca="false">(C534-INDEX(Rounds!$C:$C,MATCH(A534,Rounds!$A:$A,0)))*86400</f>
        <v>17.05999975</v>
      </c>
      <c r="F534" s="31" t="n">
        <f aca="false">(C534-B534)*86400</f>
        <v>0.580999162</v>
      </c>
      <c r="G534" s="27" t="s">
        <v>150</v>
      </c>
      <c r="H534" s="27" t="s">
        <v>206</v>
      </c>
      <c r="I534" s="27" t="s">
        <v>204</v>
      </c>
      <c r="J534" s="27" t="s">
        <v>293</v>
      </c>
      <c r="K534" s="27" t="s">
        <v>286</v>
      </c>
      <c r="L534" s="3" t="str">
        <f aca="false">IF(ISNUMBER(SEARCH(" m",I534)),"Range",IF(I534="offline","Offline",IF(I534="","Unknown","No echo / error")))</f>
        <v>No echo / error</v>
      </c>
      <c r="M534" s="3" t="str">
        <f aca="false">IF(ISNUMBER(SEARCH(" m",J534)),"Range",IF(J534="offline","Offline",IF(J534="","Unknown","No echo / error")))</f>
        <v>Range</v>
      </c>
      <c r="N534" s="3" t="str">
        <f aca="false">IF(ISNUMBER(SEARCH(" m",K534)),"Range",IF(K534="offline","Offline",IF(K534="","Unknown","No echo / error")))</f>
        <v>Range</v>
      </c>
      <c r="O534" s="3" t="str">
        <f aca="false">TEXT(B534,"yyyy-mm-dd")</f>
        <v>2026-10-06</v>
      </c>
    </row>
    <row r="535" customFormat="false" ht="15" hidden="false" customHeight="false" outlineLevel="0" collapsed="false">
      <c r="A535" s="27" t="n">
        <v>10</v>
      </c>
      <c r="B535" s="28" t="n">
        <v>46301.4832974421</v>
      </c>
      <c r="C535" s="29" t="n">
        <f aca="false">IF(A536=A535,B536,INDEX(Rounds!$D:$D,MATCH(A535,Rounds!$A:$A,0)))</f>
        <v>46301.4832985532</v>
      </c>
      <c r="D535" s="30" t="n">
        <f aca="false">(B535-INDEX(Rounds!$C:$C,MATCH(A535,Rounds!$A:$A,0)))*86400</f>
        <v>17.05999975</v>
      </c>
      <c r="E535" s="30" t="n">
        <f aca="false">(C535-INDEX(Rounds!$C:$C,MATCH(A535,Rounds!$A:$A,0)))*86400</f>
        <v>17.155999783</v>
      </c>
      <c r="F535" s="31" t="n">
        <f aca="false">(C535-B535)*86400</f>
        <v>0.096000032</v>
      </c>
      <c r="G535" s="27" t="s">
        <v>152</v>
      </c>
      <c r="H535" s="27" t="s">
        <v>208</v>
      </c>
      <c r="I535" s="27" t="s">
        <v>204</v>
      </c>
      <c r="J535" s="27" t="s">
        <v>417</v>
      </c>
      <c r="K535" s="27" t="s">
        <v>329</v>
      </c>
      <c r="L535" s="3" t="str">
        <f aca="false">IF(ISNUMBER(SEARCH(" m",I535)),"Range",IF(I535="offline","Offline",IF(I535="","Unknown","No echo / error")))</f>
        <v>No echo / error</v>
      </c>
      <c r="M535" s="3" t="str">
        <f aca="false">IF(ISNUMBER(SEARCH(" m",J535)),"Range",IF(J535="offline","Offline",IF(J535="","Unknown","No echo / error")))</f>
        <v>Range</v>
      </c>
      <c r="N535" s="3" t="str">
        <f aca="false">IF(ISNUMBER(SEARCH(" m",K535)),"Range",IF(K535="offline","Offline",IF(K535="","Unknown","No echo / error")))</f>
        <v>Range</v>
      </c>
      <c r="O535" s="3" t="str">
        <f aca="false">TEXT(B535,"yyyy-mm-dd")</f>
        <v>2026-10-06</v>
      </c>
    </row>
    <row r="536" customFormat="false" ht="15" hidden="false" customHeight="false" outlineLevel="0" collapsed="false">
      <c r="A536" s="27" t="n">
        <v>10</v>
      </c>
      <c r="B536" s="28" t="n">
        <v>46301.4832985532</v>
      </c>
      <c r="C536" s="29" t="n">
        <f aca="false">IF(A537=A536,B537,INDEX(Rounds!$D:$D,MATCH(A536,Rounds!$A:$A,0)))</f>
        <v>46301.483301169</v>
      </c>
      <c r="D536" s="30" t="n">
        <f aca="false">(B536-INDEX(Rounds!$C:$C,MATCH(A536,Rounds!$A:$A,0)))*86400</f>
        <v>17.155999783</v>
      </c>
      <c r="E536" s="30" t="n">
        <f aca="false">(C536-INDEX(Rounds!$C:$C,MATCH(A536,Rounds!$A:$A,0)))*86400</f>
        <v>17.381999362</v>
      </c>
      <c r="F536" s="31" t="n">
        <f aca="false">(C536-B536)*86400</f>
        <v>0.225999578</v>
      </c>
      <c r="G536" s="27" t="s">
        <v>151</v>
      </c>
      <c r="H536" s="27" t="s">
        <v>203</v>
      </c>
      <c r="I536" s="27" t="s">
        <v>204</v>
      </c>
      <c r="J536" s="27" t="s">
        <v>429</v>
      </c>
      <c r="K536" s="27" t="s">
        <v>329</v>
      </c>
      <c r="L536" s="3" t="str">
        <f aca="false">IF(ISNUMBER(SEARCH(" m",I536)),"Range",IF(I536="offline","Offline",IF(I536="","Unknown","No echo / error")))</f>
        <v>No echo / error</v>
      </c>
      <c r="M536" s="3" t="str">
        <f aca="false">IF(ISNUMBER(SEARCH(" m",J536)),"Range",IF(J536="offline","Offline",IF(J536="","Unknown","No echo / error")))</f>
        <v>Range</v>
      </c>
      <c r="N536" s="3" t="str">
        <f aca="false">IF(ISNUMBER(SEARCH(" m",K536)),"Range",IF(K536="offline","Offline",IF(K536="","Unknown","No echo / error")))</f>
        <v>Range</v>
      </c>
      <c r="O536" s="3" t="str">
        <f aca="false">TEXT(B536,"yyyy-mm-dd")</f>
        <v>2026-10-06</v>
      </c>
    </row>
    <row r="537" customFormat="false" ht="15" hidden="false" customHeight="false" outlineLevel="0" collapsed="false">
      <c r="A537" s="27" t="n">
        <v>10</v>
      </c>
      <c r="B537" s="28" t="n">
        <v>46301.483301169</v>
      </c>
      <c r="C537" s="29" t="n">
        <f aca="false">IF(A538=A537,B538,INDEX(Rounds!$D:$D,MATCH(A537,Rounds!$A:$A,0)))</f>
        <v>46301.4833164699</v>
      </c>
      <c r="D537" s="30" t="n">
        <f aca="false">(B537-INDEX(Rounds!$C:$C,MATCH(A537,Rounds!$A:$A,0)))*86400</f>
        <v>17.381999362</v>
      </c>
      <c r="E537" s="30" t="n">
        <f aca="false">(C537-INDEX(Rounds!$C:$C,MATCH(A537,Rounds!$A:$A,0)))*86400</f>
        <v>18.703999835</v>
      </c>
      <c r="F537" s="31" t="n">
        <f aca="false">(C537-B537)*86400</f>
        <v>1.322000473</v>
      </c>
      <c r="G537" s="27" t="s">
        <v>150</v>
      </c>
      <c r="H537" s="27" t="s">
        <v>206</v>
      </c>
      <c r="I537" s="27" t="s">
        <v>456</v>
      </c>
      <c r="J537" s="27" t="s">
        <v>429</v>
      </c>
      <c r="K537" s="27" t="s">
        <v>394</v>
      </c>
      <c r="L537" s="3" t="str">
        <f aca="false">IF(ISNUMBER(SEARCH(" m",I537)),"Range",IF(I537="offline","Offline",IF(I537="","Unknown","No echo / error")))</f>
        <v>Range</v>
      </c>
      <c r="M537" s="3" t="str">
        <f aca="false">IF(ISNUMBER(SEARCH(" m",J537)),"Range",IF(J537="offline","Offline",IF(J537="","Unknown","No echo / error")))</f>
        <v>Range</v>
      </c>
      <c r="N537" s="3" t="str">
        <f aca="false">IF(ISNUMBER(SEARCH(" m",K537)),"Range",IF(K537="offline","Offline",IF(K537="","Unknown","No echo / error")))</f>
        <v>Range</v>
      </c>
      <c r="O537" s="3" t="str">
        <f aca="false">TEXT(B537,"yyyy-mm-dd")</f>
        <v>2026-10-06</v>
      </c>
    </row>
    <row r="538" customFormat="false" ht="15" hidden="false" customHeight="false" outlineLevel="0" collapsed="false">
      <c r="A538" s="27" t="n">
        <v>10</v>
      </c>
      <c r="B538" s="28" t="n">
        <v>46301.4833164699</v>
      </c>
      <c r="C538" s="29" t="n">
        <f aca="false">IF(A539=A538,B539,INDEX(Rounds!$D:$D,MATCH(A538,Rounds!$A:$A,0)))</f>
        <v>46301.4833252778</v>
      </c>
      <c r="D538" s="30" t="n">
        <f aca="false">(B538-INDEX(Rounds!$C:$C,MATCH(A538,Rounds!$A:$A,0)))*86400</f>
        <v>18.703999835</v>
      </c>
      <c r="E538" s="30" t="n">
        <f aca="false">(C538-INDEX(Rounds!$C:$C,MATCH(A538,Rounds!$A:$A,0)))*86400</f>
        <v>19.465000159</v>
      </c>
      <c r="F538" s="31" t="n">
        <f aca="false">(C538-B538)*86400</f>
        <v>0.761000323</v>
      </c>
      <c r="G538" s="27" t="s">
        <v>152</v>
      </c>
      <c r="H538" s="27" t="s">
        <v>208</v>
      </c>
      <c r="I538" s="27" t="s">
        <v>204</v>
      </c>
      <c r="J538" s="27" t="s">
        <v>352</v>
      </c>
      <c r="K538" s="27" t="s">
        <v>349</v>
      </c>
      <c r="L538" s="3" t="str">
        <f aca="false">IF(ISNUMBER(SEARCH(" m",I538)),"Range",IF(I538="offline","Offline",IF(I538="","Unknown","No echo / error")))</f>
        <v>No echo / error</v>
      </c>
      <c r="M538" s="3" t="str">
        <f aca="false">IF(ISNUMBER(SEARCH(" m",J538)),"Range",IF(J538="offline","Offline",IF(J538="","Unknown","No echo / error")))</f>
        <v>Range</v>
      </c>
      <c r="N538" s="3" t="str">
        <f aca="false">IF(ISNUMBER(SEARCH(" m",K538)),"Range",IF(K538="offline","Offline",IF(K538="","Unknown","No echo / error")))</f>
        <v>Range</v>
      </c>
      <c r="O538" s="3" t="str">
        <f aca="false">TEXT(B538,"yyyy-mm-dd")</f>
        <v>2026-10-06</v>
      </c>
    </row>
    <row r="539" customFormat="false" ht="15" hidden="false" customHeight="false" outlineLevel="0" collapsed="false">
      <c r="A539" s="27" t="n">
        <v>10</v>
      </c>
      <c r="B539" s="28" t="n">
        <v>46301.4833252778</v>
      </c>
      <c r="C539" s="29" t="n">
        <f aca="false">IF(A540=A539,B540,INDEX(Rounds!$D:$D,MATCH(A539,Rounds!$A:$A,0)))</f>
        <v>46301.4833271528</v>
      </c>
      <c r="D539" s="30" t="n">
        <f aca="false">(B539-INDEX(Rounds!$C:$C,MATCH(A539,Rounds!$A:$A,0)))*86400</f>
        <v>19.465000159</v>
      </c>
      <c r="E539" s="30" t="n">
        <f aca="false">(C539-INDEX(Rounds!$C:$C,MATCH(A539,Rounds!$A:$A,0)))*86400</f>
        <v>19.627000135</v>
      </c>
      <c r="F539" s="31" t="n">
        <f aca="false">(C539-B539)*86400</f>
        <v>0.161999976</v>
      </c>
      <c r="G539" s="27" t="s">
        <v>151</v>
      </c>
      <c r="H539" s="27" t="s">
        <v>203</v>
      </c>
      <c r="I539" s="27" t="s">
        <v>207</v>
      </c>
      <c r="J539" s="27" t="s">
        <v>210</v>
      </c>
      <c r="K539" s="27" t="s">
        <v>462</v>
      </c>
      <c r="L539" s="3" t="str">
        <f aca="false">IF(ISNUMBER(SEARCH(" m",I539)),"Range",IF(I539="offline","Offline",IF(I539="","Unknown","No echo / error")))</f>
        <v>Range</v>
      </c>
      <c r="M539" s="3" t="str">
        <f aca="false">IF(ISNUMBER(SEARCH(" m",J539)),"Range",IF(J539="offline","Offline",IF(J539="","Unknown","No echo / error")))</f>
        <v>Range</v>
      </c>
      <c r="N539" s="3" t="str">
        <f aca="false">IF(ISNUMBER(SEARCH(" m",K539)),"Range",IF(K539="offline","Offline",IF(K539="","Unknown","No echo / error")))</f>
        <v>Range</v>
      </c>
      <c r="O539" s="3" t="str">
        <f aca="false">TEXT(B539,"yyyy-mm-dd")</f>
        <v>2026-10-06</v>
      </c>
    </row>
    <row r="540" customFormat="false" ht="15" hidden="false" customHeight="false" outlineLevel="0" collapsed="false">
      <c r="A540" s="27" t="n">
        <v>10</v>
      </c>
      <c r="B540" s="28" t="n">
        <v>46301.4833271528</v>
      </c>
      <c r="C540" s="29" t="n">
        <f aca="false">IF(A541=A540,B541,INDEX(Rounds!$D:$D,MATCH(A540,Rounds!$A:$A,0)))</f>
        <v>46301.4833404167</v>
      </c>
      <c r="D540" s="30" t="n">
        <f aca="false">(B540-INDEX(Rounds!$C:$C,MATCH(A540,Rounds!$A:$A,0)))*86400</f>
        <v>19.627000135</v>
      </c>
      <c r="E540" s="30" t="n">
        <f aca="false">(C540-INDEX(Rounds!$C:$C,MATCH(A540,Rounds!$A:$A,0)))*86400</f>
        <v>20.772998873</v>
      </c>
      <c r="F540" s="31" t="n">
        <f aca="false">(C540-B540)*86400</f>
        <v>1.145998737</v>
      </c>
      <c r="G540" s="27" t="s">
        <v>150</v>
      </c>
      <c r="H540" s="27" t="s">
        <v>206</v>
      </c>
      <c r="I540" s="27" t="s">
        <v>207</v>
      </c>
      <c r="J540" s="27" t="s">
        <v>210</v>
      </c>
      <c r="K540" s="27" t="s">
        <v>409</v>
      </c>
      <c r="L540" s="3" t="str">
        <f aca="false">IF(ISNUMBER(SEARCH(" m",I540)),"Range",IF(I540="offline","Offline",IF(I540="","Unknown","No echo / error")))</f>
        <v>Range</v>
      </c>
      <c r="M540" s="3" t="str">
        <f aca="false">IF(ISNUMBER(SEARCH(" m",J540)),"Range",IF(J540="offline","Offline",IF(J540="","Unknown","No echo / error")))</f>
        <v>Range</v>
      </c>
      <c r="N540" s="3" t="str">
        <f aca="false">IF(ISNUMBER(SEARCH(" m",K540)),"Range",IF(K540="offline","Offline",IF(K540="","Unknown","No echo / error")))</f>
        <v>Range</v>
      </c>
      <c r="O540" s="3" t="str">
        <f aca="false">TEXT(B540,"yyyy-mm-dd")</f>
        <v>2026-10-06</v>
      </c>
    </row>
    <row r="541" customFormat="false" ht="15" hidden="false" customHeight="false" outlineLevel="0" collapsed="false">
      <c r="A541" s="27" t="n">
        <v>10</v>
      </c>
      <c r="B541" s="28" t="n">
        <v>46301.4833404167</v>
      </c>
      <c r="C541" s="29" t="n">
        <f aca="false">IF(A542=A541,B542,INDEX(Rounds!$D:$D,MATCH(A541,Rounds!$A:$A,0)))</f>
        <v>46301.483349213</v>
      </c>
      <c r="D541" s="30" t="n">
        <f aca="false">(B541-INDEX(Rounds!$C:$C,MATCH(A541,Rounds!$A:$A,0)))*86400</f>
        <v>20.772998873</v>
      </c>
      <c r="E541" s="30" t="n">
        <f aca="false">(C541-INDEX(Rounds!$C:$C,MATCH(A541,Rounds!$A:$A,0)))*86400</f>
        <v>21.532999654</v>
      </c>
      <c r="F541" s="31" t="n">
        <f aca="false">(C541-B541)*86400</f>
        <v>0.760000781</v>
      </c>
      <c r="G541" s="27" t="s">
        <v>151</v>
      </c>
      <c r="H541" s="27" t="s">
        <v>203</v>
      </c>
      <c r="I541" s="27" t="s">
        <v>207</v>
      </c>
      <c r="J541" s="27" t="s">
        <v>220</v>
      </c>
      <c r="K541" s="27" t="s">
        <v>269</v>
      </c>
      <c r="L541" s="3" t="str">
        <f aca="false">IF(ISNUMBER(SEARCH(" m",I541)),"Range",IF(I541="offline","Offline",IF(I541="","Unknown","No echo / error")))</f>
        <v>Range</v>
      </c>
      <c r="M541" s="3" t="str">
        <f aca="false">IF(ISNUMBER(SEARCH(" m",J541)),"Range",IF(J541="offline","Offline",IF(J541="","Unknown","No echo / error")))</f>
        <v>No echo / error</v>
      </c>
      <c r="N541" s="3" t="str">
        <f aca="false">IF(ISNUMBER(SEARCH(" m",K541)),"Range",IF(K541="offline","Offline",IF(K541="","Unknown","No echo / error")))</f>
        <v>Range</v>
      </c>
      <c r="O541" s="3" t="str">
        <f aca="false">TEXT(B541,"yyyy-mm-dd")</f>
        <v>2026-10-06</v>
      </c>
    </row>
    <row r="542" customFormat="false" ht="15" hidden="false" customHeight="false" outlineLevel="0" collapsed="false">
      <c r="A542" s="27" t="n">
        <v>10</v>
      </c>
      <c r="B542" s="28" t="n">
        <v>46301.483349213</v>
      </c>
      <c r="C542" s="29" t="n">
        <f aca="false">IF(A543=A542,B543,INDEX(Rounds!$D:$D,MATCH(A542,Rounds!$A:$A,0)))</f>
        <v>46301.4833560995</v>
      </c>
      <c r="D542" s="30" t="n">
        <f aca="false">(B542-INDEX(Rounds!$C:$C,MATCH(A542,Rounds!$A:$A,0)))*86400</f>
        <v>21.532999654</v>
      </c>
      <c r="E542" s="30" t="n">
        <f aca="false">(C542-INDEX(Rounds!$C:$C,MATCH(A542,Rounds!$A:$A,0)))*86400</f>
        <v>22.127999947</v>
      </c>
      <c r="F542" s="31" t="n">
        <f aca="false">(C542-B542)*86400</f>
        <v>0.595000293</v>
      </c>
      <c r="G542" s="27" t="s">
        <v>150</v>
      </c>
      <c r="H542" s="27" t="s">
        <v>206</v>
      </c>
      <c r="I542" s="27" t="s">
        <v>207</v>
      </c>
      <c r="J542" s="27" t="s">
        <v>277</v>
      </c>
      <c r="K542" s="27" t="s">
        <v>269</v>
      </c>
      <c r="L542" s="3" t="str">
        <f aca="false">IF(ISNUMBER(SEARCH(" m",I542)),"Range",IF(I542="offline","Offline",IF(I542="","Unknown","No echo / error")))</f>
        <v>Range</v>
      </c>
      <c r="M542" s="3" t="str">
        <f aca="false">IF(ISNUMBER(SEARCH(" m",J542)),"Range",IF(J542="offline","Offline",IF(J542="","Unknown","No echo / error")))</f>
        <v>Range</v>
      </c>
      <c r="N542" s="3" t="str">
        <f aca="false">IF(ISNUMBER(SEARCH(" m",K542)),"Range",IF(K542="offline","Offline",IF(K542="","Unknown","No echo / error")))</f>
        <v>Range</v>
      </c>
      <c r="O542" s="3" t="str">
        <f aca="false">TEXT(B542,"yyyy-mm-dd")</f>
        <v>2026-10-06</v>
      </c>
    </row>
    <row r="543" customFormat="false" ht="15" hidden="false" customHeight="false" outlineLevel="0" collapsed="false">
      <c r="A543" s="27" t="n">
        <v>10</v>
      </c>
      <c r="B543" s="28" t="n">
        <v>46301.4833560995</v>
      </c>
      <c r="C543" s="29" t="n">
        <f aca="false">IF(A544=A543,B544,INDEX(Rounds!$D:$D,MATCH(A543,Rounds!$A:$A,0)))</f>
        <v>46301.4833627894</v>
      </c>
      <c r="D543" s="30" t="n">
        <f aca="false">(B543-INDEX(Rounds!$C:$C,MATCH(A543,Rounds!$A:$A,0)))*86400</f>
        <v>22.127999947</v>
      </c>
      <c r="E543" s="30" t="n">
        <f aca="false">(C543-INDEX(Rounds!$C:$C,MATCH(A543,Rounds!$A:$A,0)))*86400</f>
        <v>22.705999854</v>
      </c>
      <c r="F543" s="31" t="n">
        <f aca="false">(C543-B543)*86400</f>
        <v>0.577999907</v>
      </c>
      <c r="G543" s="27" t="s">
        <v>152</v>
      </c>
      <c r="H543" s="27" t="s">
        <v>208</v>
      </c>
      <c r="I543" s="27" t="s">
        <v>207</v>
      </c>
      <c r="J543" s="27" t="s">
        <v>276</v>
      </c>
      <c r="K543" s="27" t="s">
        <v>222</v>
      </c>
      <c r="L543" s="3" t="str">
        <f aca="false">IF(ISNUMBER(SEARCH(" m",I543)),"Range",IF(I543="offline","Offline",IF(I543="","Unknown","No echo / error")))</f>
        <v>Range</v>
      </c>
      <c r="M543" s="3" t="str">
        <f aca="false">IF(ISNUMBER(SEARCH(" m",J543)),"Range",IF(J543="offline","Offline",IF(J543="","Unknown","No echo / error")))</f>
        <v>Range</v>
      </c>
      <c r="N543" s="3" t="str">
        <f aca="false">IF(ISNUMBER(SEARCH(" m",K543)),"Range",IF(K543="offline","Offline",IF(K543="","Unknown","No echo / error")))</f>
        <v>Range</v>
      </c>
      <c r="O543" s="3" t="str">
        <f aca="false">TEXT(B543,"yyyy-mm-dd")</f>
        <v>2026-10-06</v>
      </c>
    </row>
    <row r="544" customFormat="false" ht="15" hidden="false" customHeight="false" outlineLevel="0" collapsed="false">
      <c r="A544" s="27" t="n">
        <v>10</v>
      </c>
      <c r="B544" s="28" t="n">
        <v>46301.4833627894</v>
      </c>
      <c r="C544" s="29" t="n">
        <f aca="false">IF(A545=A544,B545,INDEX(Rounds!$D:$D,MATCH(A544,Rounds!$A:$A,0)))</f>
        <v>46301.4833680671</v>
      </c>
      <c r="D544" s="30" t="n">
        <f aca="false">(B544-INDEX(Rounds!$C:$C,MATCH(A544,Rounds!$A:$A,0)))*86400</f>
        <v>22.705999854</v>
      </c>
      <c r="E544" s="30" t="n">
        <f aca="false">(C544-INDEX(Rounds!$C:$C,MATCH(A544,Rounds!$A:$A,0)))*86400</f>
        <v>23.161999695</v>
      </c>
      <c r="F544" s="31" t="n">
        <f aca="false">(C544-B544)*86400</f>
        <v>0.45599984</v>
      </c>
      <c r="G544" s="27" t="s">
        <v>151</v>
      </c>
      <c r="H544" s="27" t="s">
        <v>203</v>
      </c>
      <c r="I544" s="27" t="s">
        <v>384</v>
      </c>
      <c r="J544" s="27" t="s">
        <v>204</v>
      </c>
      <c r="K544" s="27" t="s">
        <v>235</v>
      </c>
      <c r="L544" s="3" t="str">
        <f aca="false">IF(ISNUMBER(SEARCH(" m",I544)),"Range",IF(I544="offline","Offline",IF(I544="","Unknown","No echo / error")))</f>
        <v>Range</v>
      </c>
      <c r="M544" s="3" t="str">
        <f aca="false">IF(ISNUMBER(SEARCH(" m",J544)),"Range",IF(J544="offline","Offline",IF(J544="","Unknown","No echo / error")))</f>
        <v>No echo / error</v>
      </c>
      <c r="N544" s="3" t="str">
        <f aca="false">IF(ISNUMBER(SEARCH(" m",K544)),"Range",IF(K544="offline","Offline",IF(K544="","Unknown","No echo / error")))</f>
        <v>Range</v>
      </c>
      <c r="O544" s="3" t="str">
        <f aca="false">TEXT(B544,"yyyy-mm-dd")</f>
        <v>2026-10-06</v>
      </c>
    </row>
    <row r="545" customFormat="false" ht="15" hidden="false" customHeight="false" outlineLevel="0" collapsed="false">
      <c r="A545" s="27" t="n">
        <v>10</v>
      </c>
      <c r="B545" s="28" t="n">
        <v>46301.4833680671</v>
      </c>
      <c r="C545" s="29" t="n">
        <f aca="false">IF(A546=A545,B546,INDEX(Rounds!$D:$D,MATCH(A545,Rounds!$A:$A,0)))</f>
        <v>46301.4833886458</v>
      </c>
      <c r="D545" s="30" t="n">
        <f aca="false">(B545-INDEX(Rounds!$C:$C,MATCH(A545,Rounds!$A:$A,0)))*86400</f>
        <v>23.161999695</v>
      </c>
      <c r="E545" s="30" t="n">
        <f aca="false">(C545-INDEX(Rounds!$C:$C,MATCH(A545,Rounds!$A:$A,0)))*86400</f>
        <v>24.940000008</v>
      </c>
      <c r="F545" s="31" t="n">
        <f aca="false">(C545-B545)*86400</f>
        <v>1.778000313</v>
      </c>
      <c r="G545" s="27" t="s">
        <v>152</v>
      </c>
      <c r="H545" s="27" t="s">
        <v>208</v>
      </c>
      <c r="I545" s="27" t="s">
        <v>384</v>
      </c>
      <c r="J545" s="27" t="s">
        <v>204</v>
      </c>
      <c r="K545" s="27" t="s">
        <v>235</v>
      </c>
      <c r="L545" s="3" t="str">
        <f aca="false">IF(ISNUMBER(SEARCH(" m",I545)),"Range",IF(I545="offline","Offline",IF(I545="","Unknown","No echo / error")))</f>
        <v>Range</v>
      </c>
      <c r="M545" s="3" t="str">
        <f aca="false">IF(ISNUMBER(SEARCH(" m",J545)),"Range",IF(J545="offline","Offline",IF(J545="","Unknown","No echo / error")))</f>
        <v>No echo / error</v>
      </c>
      <c r="N545" s="3" t="str">
        <f aca="false">IF(ISNUMBER(SEARCH(" m",K545)),"Range",IF(K545="offline","Offline",IF(K545="","Unknown","No echo / error")))</f>
        <v>Range</v>
      </c>
      <c r="O545" s="3" t="str">
        <f aca="false">TEXT(B545,"yyyy-mm-dd")</f>
        <v>2026-10-06</v>
      </c>
    </row>
    <row r="546" customFormat="false" ht="15" hidden="false" customHeight="false" outlineLevel="0" collapsed="false">
      <c r="A546" s="27" t="n">
        <v>10</v>
      </c>
      <c r="B546" s="28" t="n">
        <v>46301.4833886458</v>
      </c>
      <c r="C546" s="29" t="n">
        <f aca="false">IF(A547=A546,B547,INDEX(Rounds!$D:$D,MATCH(A546,Rounds!$A:$A,0)))</f>
        <v>46301.4833899537</v>
      </c>
      <c r="D546" s="30" t="n">
        <f aca="false">(B546-INDEX(Rounds!$C:$C,MATCH(A546,Rounds!$A:$A,0)))*86400</f>
        <v>24.940000008</v>
      </c>
      <c r="E546" s="30" t="n">
        <f aca="false">(C546-INDEX(Rounds!$C:$C,MATCH(A546,Rounds!$A:$A,0)))*86400</f>
        <v>25.052999169</v>
      </c>
      <c r="F546" s="31" t="n">
        <f aca="false">(C546-B546)*86400</f>
        <v>0.11299916</v>
      </c>
      <c r="G546" s="27" t="s">
        <v>151</v>
      </c>
      <c r="H546" s="27" t="s">
        <v>203</v>
      </c>
      <c r="I546" s="27" t="s">
        <v>381</v>
      </c>
      <c r="J546" s="27" t="s">
        <v>220</v>
      </c>
      <c r="K546" s="27" t="s">
        <v>241</v>
      </c>
      <c r="L546" s="3" t="str">
        <f aca="false">IF(ISNUMBER(SEARCH(" m",I546)),"Range",IF(I546="offline","Offline",IF(I546="","Unknown","No echo / error")))</f>
        <v>Range</v>
      </c>
      <c r="M546" s="3" t="str">
        <f aca="false">IF(ISNUMBER(SEARCH(" m",J546)),"Range",IF(J546="offline","Offline",IF(J546="","Unknown","No echo / error")))</f>
        <v>No echo / error</v>
      </c>
      <c r="N546" s="3" t="str">
        <f aca="false">IF(ISNUMBER(SEARCH(" m",K546)),"Range",IF(K546="offline","Offline",IF(K546="","Unknown","No echo / error")))</f>
        <v>Range</v>
      </c>
      <c r="O546" s="3" t="str">
        <f aca="false">TEXT(B546,"yyyy-mm-dd")</f>
        <v>2026-10-06</v>
      </c>
    </row>
    <row r="547" customFormat="false" ht="15" hidden="false" customHeight="false" outlineLevel="0" collapsed="false">
      <c r="A547" s="27" t="n">
        <v>10</v>
      </c>
      <c r="B547" s="28" t="n">
        <v>46301.4833899537</v>
      </c>
      <c r="C547" s="29" t="n">
        <f aca="false">IF(A548=A547,B548,INDEX(Rounds!$D:$D,MATCH(A547,Rounds!$A:$A,0)))</f>
        <v>46301.4834177662</v>
      </c>
      <c r="D547" s="30" t="n">
        <f aca="false">(B547-INDEX(Rounds!$C:$C,MATCH(A547,Rounds!$A:$A,0)))*86400</f>
        <v>25.052999169</v>
      </c>
      <c r="E547" s="30" t="n">
        <f aca="false">(C547-INDEX(Rounds!$C:$C,MATCH(A547,Rounds!$A:$A,0)))*86400</f>
        <v>27.456000493</v>
      </c>
      <c r="F547" s="31" t="n">
        <f aca="false">(C547-B547)*86400</f>
        <v>2.403001324</v>
      </c>
      <c r="G547" s="27" t="s">
        <v>150</v>
      </c>
      <c r="H547" s="27" t="s">
        <v>206</v>
      </c>
      <c r="I547" s="27" t="s">
        <v>351</v>
      </c>
      <c r="J547" s="27" t="s">
        <v>220</v>
      </c>
      <c r="K547" s="27" t="s">
        <v>241</v>
      </c>
      <c r="L547" s="3" t="str">
        <f aca="false">IF(ISNUMBER(SEARCH(" m",I547)),"Range",IF(I547="offline","Offline",IF(I547="","Unknown","No echo / error")))</f>
        <v>Range</v>
      </c>
      <c r="M547" s="3" t="str">
        <f aca="false">IF(ISNUMBER(SEARCH(" m",J547)),"Range",IF(J547="offline","Offline",IF(J547="","Unknown","No echo / error")))</f>
        <v>No echo / error</v>
      </c>
      <c r="N547" s="3" t="str">
        <f aca="false">IF(ISNUMBER(SEARCH(" m",K547)),"Range",IF(K547="offline","Offline",IF(K547="","Unknown","No echo / error")))</f>
        <v>Range</v>
      </c>
      <c r="O547" s="3" t="str">
        <f aca="false">TEXT(B547,"yyyy-mm-dd")</f>
        <v>2026-10-06</v>
      </c>
    </row>
    <row r="548" customFormat="false" ht="15" hidden="false" customHeight="false" outlineLevel="0" collapsed="false">
      <c r="A548" s="27" t="n">
        <v>10</v>
      </c>
      <c r="B548" s="28" t="n">
        <v>46301.4834177662</v>
      </c>
      <c r="C548" s="29" t="n">
        <f aca="false">IF(A549=A548,B549,INDEX(Rounds!$D:$D,MATCH(A548,Rounds!$A:$A,0)))</f>
        <v>46301.4834323727</v>
      </c>
      <c r="D548" s="30" t="n">
        <f aca="false">(B548-INDEX(Rounds!$C:$C,MATCH(A548,Rounds!$A:$A,0)))*86400</f>
        <v>27.456000493</v>
      </c>
      <c r="E548" s="30" t="n">
        <f aca="false">(C548-INDEX(Rounds!$C:$C,MATCH(A548,Rounds!$A:$A,0)))*86400</f>
        <v>28.717999532</v>
      </c>
      <c r="F548" s="31" t="n">
        <f aca="false">(C548-B548)*86400</f>
        <v>1.261999038</v>
      </c>
      <c r="G548" s="27" t="s">
        <v>152</v>
      </c>
      <c r="H548" s="27" t="s">
        <v>208</v>
      </c>
      <c r="I548" s="27" t="s">
        <v>417</v>
      </c>
      <c r="J548" s="27" t="s">
        <v>259</v>
      </c>
      <c r="K548" s="27" t="s">
        <v>255</v>
      </c>
      <c r="L548" s="3" t="str">
        <f aca="false">IF(ISNUMBER(SEARCH(" m",I548)),"Range",IF(I548="offline","Offline",IF(I548="","Unknown","No echo / error")))</f>
        <v>Range</v>
      </c>
      <c r="M548" s="3" t="str">
        <f aca="false">IF(ISNUMBER(SEARCH(" m",J548)),"Range",IF(J548="offline","Offline",IF(J548="","Unknown","No echo / error")))</f>
        <v>Range</v>
      </c>
      <c r="N548" s="3" t="str">
        <f aca="false">IF(ISNUMBER(SEARCH(" m",K548)),"Range",IF(K548="offline","Offline",IF(K548="","Unknown","No echo / error")))</f>
        <v>Range</v>
      </c>
      <c r="O548" s="3" t="str">
        <f aca="false">TEXT(B548,"yyyy-mm-dd")</f>
        <v>2026-10-06</v>
      </c>
    </row>
    <row r="549" customFormat="false" ht="15" hidden="false" customHeight="false" outlineLevel="0" collapsed="false">
      <c r="A549" s="27" t="n">
        <v>10</v>
      </c>
      <c r="B549" s="28" t="n">
        <v>46301.4834323727</v>
      </c>
      <c r="C549" s="29" t="n">
        <f aca="false">IF(A550=A549,B550,INDEX(Rounds!$D:$D,MATCH(A549,Rounds!$A:$A,0)))</f>
        <v>46301.4834372338</v>
      </c>
      <c r="D549" s="30" t="n">
        <f aca="false">(B549-INDEX(Rounds!$C:$C,MATCH(A549,Rounds!$A:$A,0)))*86400</f>
        <v>28.717999532</v>
      </c>
      <c r="E549" s="30" t="n">
        <f aca="false">(C549-INDEX(Rounds!$C:$C,MATCH(A549,Rounds!$A:$A,0)))*86400</f>
        <v>29.137998889</v>
      </c>
      <c r="F549" s="31" t="n">
        <f aca="false">(C549-B549)*86400</f>
        <v>0.419999356</v>
      </c>
      <c r="G549" s="27" t="s">
        <v>151</v>
      </c>
      <c r="H549" s="27" t="s">
        <v>203</v>
      </c>
      <c r="I549" s="27" t="s">
        <v>220</v>
      </c>
      <c r="J549" s="27" t="s">
        <v>435</v>
      </c>
      <c r="K549" s="27" t="s">
        <v>295</v>
      </c>
      <c r="L549" s="3" t="str">
        <f aca="false">IF(ISNUMBER(SEARCH(" m",I549)),"Range",IF(I549="offline","Offline",IF(I549="","Unknown","No echo / error")))</f>
        <v>No echo / error</v>
      </c>
      <c r="M549" s="3" t="str">
        <f aca="false">IF(ISNUMBER(SEARCH(" m",J549)),"Range",IF(J549="offline","Offline",IF(J549="","Unknown","No echo / error")))</f>
        <v>Range</v>
      </c>
      <c r="N549" s="3" t="str">
        <f aca="false">IF(ISNUMBER(SEARCH(" m",K549)),"Range",IF(K549="offline","Offline",IF(K549="","Unknown","No echo / error")))</f>
        <v>Range</v>
      </c>
      <c r="O549" s="3" t="str">
        <f aca="false">TEXT(B549,"yyyy-mm-dd")</f>
        <v>2026-10-06</v>
      </c>
    </row>
    <row r="550" customFormat="false" ht="15" hidden="false" customHeight="false" outlineLevel="0" collapsed="false">
      <c r="A550" s="27" t="n">
        <v>10</v>
      </c>
      <c r="B550" s="28" t="n">
        <v>46301.4834372338</v>
      </c>
      <c r="C550" s="29" t="n">
        <f aca="false">IF(A551=A550,B551,INDEX(Rounds!$D:$D,MATCH(A550,Rounds!$A:$A,0)))</f>
        <v>46301.4834663194</v>
      </c>
      <c r="D550" s="30" t="n">
        <f aca="false">(B550-INDEX(Rounds!$C:$C,MATCH(A550,Rounds!$A:$A,0)))*86400</f>
        <v>29.137998889</v>
      </c>
      <c r="E550" s="30" t="n">
        <f aca="false">(C550-INDEX(Rounds!$C:$C,MATCH(A550,Rounds!$A:$A,0)))*86400</f>
        <v>31.650999491</v>
      </c>
      <c r="F550" s="31" t="n">
        <f aca="false">(C550-B550)*86400</f>
        <v>2.513000601</v>
      </c>
      <c r="G550" s="27" t="s">
        <v>150</v>
      </c>
      <c r="H550" s="27" t="s">
        <v>206</v>
      </c>
      <c r="I550" s="27" t="s">
        <v>242</v>
      </c>
      <c r="J550" s="27" t="s">
        <v>292</v>
      </c>
      <c r="K550" s="27" t="s">
        <v>204</v>
      </c>
      <c r="L550" s="3" t="str">
        <f aca="false">IF(ISNUMBER(SEARCH(" m",I550)),"Range",IF(I550="offline","Offline",IF(I550="","Unknown","No echo / error")))</f>
        <v>Range</v>
      </c>
      <c r="M550" s="3" t="str">
        <f aca="false">IF(ISNUMBER(SEARCH(" m",J550)),"Range",IF(J550="offline","Offline",IF(J550="","Unknown","No echo / error")))</f>
        <v>Range</v>
      </c>
      <c r="N550" s="3" t="str">
        <f aca="false">IF(ISNUMBER(SEARCH(" m",K550)),"Range",IF(K550="offline","Offline",IF(K550="","Unknown","No echo / error")))</f>
        <v>No echo / error</v>
      </c>
      <c r="O550" s="3" t="str">
        <f aca="false">TEXT(B550,"yyyy-mm-dd")</f>
        <v>2026-10-06</v>
      </c>
    </row>
    <row r="551" customFormat="false" ht="15" hidden="false" customHeight="false" outlineLevel="0" collapsed="false">
      <c r="A551" s="27" t="n">
        <v>10</v>
      </c>
      <c r="B551" s="28" t="n">
        <v>46301.4834663194</v>
      </c>
      <c r="C551" s="29" t="n">
        <f aca="false">IF(A552=A551,B552,INDEX(Rounds!$D:$D,MATCH(A551,Rounds!$A:$A,0)))</f>
        <v>46301.4834687616</v>
      </c>
      <c r="D551" s="30" t="n">
        <f aca="false">(B551-INDEX(Rounds!$C:$C,MATCH(A551,Rounds!$A:$A,0)))*86400</f>
        <v>31.650999491</v>
      </c>
      <c r="E551" s="30" t="n">
        <f aca="false">(C551-INDEX(Rounds!$C:$C,MATCH(A551,Rounds!$A:$A,0)))*86400</f>
        <v>31.861999654</v>
      </c>
      <c r="F551" s="31" t="n">
        <f aca="false">(C551-B551)*86400</f>
        <v>0.211000163</v>
      </c>
      <c r="G551" s="27" t="s">
        <v>151</v>
      </c>
      <c r="H551" s="27" t="s">
        <v>203</v>
      </c>
      <c r="I551" s="27" t="s">
        <v>351</v>
      </c>
      <c r="J551" s="27" t="s">
        <v>259</v>
      </c>
      <c r="K551" s="27" t="s">
        <v>245</v>
      </c>
      <c r="L551" s="3" t="str">
        <f aca="false">IF(ISNUMBER(SEARCH(" m",I551)),"Range",IF(I551="offline","Offline",IF(I551="","Unknown","No echo / error")))</f>
        <v>Range</v>
      </c>
      <c r="M551" s="3" t="str">
        <f aca="false">IF(ISNUMBER(SEARCH(" m",J551)),"Range",IF(J551="offline","Offline",IF(J551="","Unknown","No echo / error")))</f>
        <v>Range</v>
      </c>
      <c r="N551" s="3" t="str">
        <f aca="false">IF(ISNUMBER(SEARCH(" m",K551)),"Range",IF(K551="offline","Offline",IF(K551="","Unknown","No echo / error")))</f>
        <v>Range</v>
      </c>
      <c r="O551" s="3" t="str">
        <f aca="false">TEXT(B551,"yyyy-mm-dd")</f>
        <v>2026-10-06</v>
      </c>
    </row>
    <row r="552" customFormat="false" ht="15" hidden="false" customHeight="false" outlineLevel="0" collapsed="false">
      <c r="A552" s="27" t="n">
        <v>10</v>
      </c>
      <c r="B552" s="28" t="n">
        <v>46301.4834687616</v>
      </c>
      <c r="C552" s="29" t="n">
        <f aca="false">IF(A553=A552,B553,INDEX(Rounds!$D:$D,MATCH(A552,Rounds!$A:$A,0)))</f>
        <v>46301.4834881713</v>
      </c>
      <c r="D552" s="30" t="n">
        <f aca="false">(B552-INDEX(Rounds!$C:$C,MATCH(A552,Rounds!$A:$A,0)))*86400</f>
        <v>31.861999654</v>
      </c>
      <c r="E552" s="30" t="n">
        <f aca="false">(C552-INDEX(Rounds!$C:$C,MATCH(A552,Rounds!$A:$A,0)))*86400</f>
        <v>33.539000339</v>
      </c>
      <c r="F552" s="31" t="n">
        <f aca="false">(C552-B552)*86400</f>
        <v>1.677000685</v>
      </c>
      <c r="G552" s="27" t="s">
        <v>150</v>
      </c>
      <c r="H552" s="27" t="s">
        <v>206</v>
      </c>
      <c r="I552" s="27" t="s">
        <v>370</v>
      </c>
      <c r="J552" s="27" t="s">
        <v>274</v>
      </c>
      <c r="K552" s="27" t="s">
        <v>245</v>
      </c>
      <c r="L552" s="3" t="str">
        <f aca="false">IF(ISNUMBER(SEARCH(" m",I552)),"Range",IF(I552="offline","Offline",IF(I552="","Unknown","No echo / error")))</f>
        <v>Range</v>
      </c>
      <c r="M552" s="3" t="str">
        <f aca="false">IF(ISNUMBER(SEARCH(" m",J552)),"Range",IF(J552="offline","Offline",IF(J552="","Unknown","No echo / error")))</f>
        <v>Range</v>
      </c>
      <c r="N552" s="3" t="str">
        <f aca="false">IF(ISNUMBER(SEARCH(" m",K552)),"Range",IF(K552="offline","Offline",IF(K552="","Unknown","No echo / error")))</f>
        <v>Range</v>
      </c>
      <c r="O552" s="3" t="str">
        <f aca="false">TEXT(B552,"yyyy-mm-dd")</f>
        <v>2026-10-06</v>
      </c>
    </row>
    <row r="553" customFormat="false" ht="15" hidden="false" customHeight="false" outlineLevel="0" collapsed="false">
      <c r="A553" s="27" t="n">
        <v>10</v>
      </c>
      <c r="B553" s="28" t="n">
        <v>46301.4834881713</v>
      </c>
      <c r="C553" s="29" t="n">
        <f aca="false">IF(A554=A553,B554,INDEX(Rounds!$D:$D,MATCH(A553,Rounds!$A:$A,0)))</f>
        <v>46301.4835001273</v>
      </c>
      <c r="D553" s="30" t="n">
        <f aca="false">(B553-INDEX(Rounds!$C:$C,MATCH(A553,Rounds!$A:$A,0)))*86400</f>
        <v>33.539000339</v>
      </c>
      <c r="E553" s="30" t="n">
        <f aca="false">(C553-INDEX(Rounds!$C:$C,MATCH(A553,Rounds!$A:$A,0)))*86400</f>
        <v>34.571999916</v>
      </c>
      <c r="F553" s="31" t="n">
        <f aca="false">(C553-B553)*86400</f>
        <v>1.032999577</v>
      </c>
      <c r="G553" s="27" t="s">
        <v>152</v>
      </c>
      <c r="H553" s="27" t="s">
        <v>208</v>
      </c>
      <c r="I553" s="27" t="s">
        <v>201</v>
      </c>
      <c r="J553" s="27" t="s">
        <v>232</v>
      </c>
      <c r="K553" s="27" t="s">
        <v>282</v>
      </c>
      <c r="L553" s="3" t="str">
        <f aca="false">IF(ISNUMBER(SEARCH(" m",I553)),"Range",IF(I553="offline","Offline",IF(I553="","Unknown","No echo / error")))</f>
        <v>Range</v>
      </c>
      <c r="M553" s="3" t="str">
        <f aca="false">IF(ISNUMBER(SEARCH(" m",J553)),"Range",IF(J553="offline","Offline",IF(J553="","Unknown","No echo / error")))</f>
        <v>Range</v>
      </c>
      <c r="N553" s="3" t="str">
        <f aca="false">IF(ISNUMBER(SEARCH(" m",K553)),"Range",IF(K553="offline","Offline",IF(K553="","Unknown","No echo / error")))</f>
        <v>Range</v>
      </c>
      <c r="O553" s="3" t="str">
        <f aca="false">TEXT(B553,"yyyy-mm-dd")</f>
        <v>2026-10-06</v>
      </c>
    </row>
    <row r="554" customFormat="false" ht="15" hidden="false" customHeight="false" outlineLevel="0" collapsed="false">
      <c r="A554" s="27" t="n">
        <v>10</v>
      </c>
      <c r="B554" s="28" t="n">
        <v>46301.4835001273</v>
      </c>
      <c r="C554" s="29" t="n">
        <f aca="false">IF(A555=A554,B555,INDEX(Rounds!$D:$D,MATCH(A554,Rounds!$A:$A,0)))</f>
        <v>46301.4835014583</v>
      </c>
      <c r="D554" s="30" t="n">
        <f aca="false">(B554-INDEX(Rounds!$C:$C,MATCH(A554,Rounds!$A:$A,0)))*86400</f>
        <v>34.571999916</v>
      </c>
      <c r="E554" s="30" t="n">
        <f aca="false">(C554-INDEX(Rounds!$C:$C,MATCH(A554,Rounds!$A:$A,0)))*86400</f>
        <v>34.687000047</v>
      </c>
      <c r="F554" s="31" t="n">
        <f aca="false">(C554-B554)*86400</f>
        <v>0.11500013</v>
      </c>
      <c r="G554" s="27" t="s">
        <v>151</v>
      </c>
      <c r="H554" s="27" t="s">
        <v>203</v>
      </c>
      <c r="I554" s="27" t="s">
        <v>463</v>
      </c>
      <c r="J554" s="27" t="s">
        <v>435</v>
      </c>
      <c r="K554" s="27" t="s">
        <v>464</v>
      </c>
      <c r="L554" s="3" t="str">
        <f aca="false">IF(ISNUMBER(SEARCH(" m",I554)),"Range",IF(I554="offline","Offline",IF(I554="","Unknown","No echo / error")))</f>
        <v>Range</v>
      </c>
      <c r="M554" s="3" t="str">
        <f aca="false">IF(ISNUMBER(SEARCH(" m",J554)),"Range",IF(J554="offline","Offline",IF(J554="","Unknown","No echo / error")))</f>
        <v>Range</v>
      </c>
      <c r="N554" s="3" t="str">
        <f aca="false">IF(ISNUMBER(SEARCH(" m",K554)),"Range",IF(K554="offline","Offline",IF(K554="","Unknown","No echo / error")))</f>
        <v>Range</v>
      </c>
      <c r="O554" s="3" t="str">
        <f aca="false">TEXT(B554,"yyyy-mm-dd")</f>
        <v>2026-10-06</v>
      </c>
    </row>
    <row r="555" customFormat="false" ht="15" hidden="false" customHeight="false" outlineLevel="0" collapsed="false">
      <c r="A555" s="27" t="n">
        <v>10</v>
      </c>
      <c r="B555" s="28" t="n">
        <v>46301.4835014583</v>
      </c>
      <c r="C555" s="29" t="n">
        <f aca="false">IF(A556=A555,B556,INDEX(Rounds!$D:$D,MATCH(A555,Rounds!$A:$A,0)))</f>
        <v>46301.4835328125</v>
      </c>
      <c r="D555" s="30" t="n">
        <f aca="false">(B555-INDEX(Rounds!$C:$C,MATCH(A555,Rounds!$A:$A,0)))*86400</f>
        <v>34.687000047</v>
      </c>
      <c r="E555" s="30" t="n">
        <f aca="false">(C555-INDEX(Rounds!$C:$C,MATCH(A555,Rounds!$A:$A,0)))*86400</f>
        <v>37.39599951</v>
      </c>
      <c r="F555" s="31" t="n">
        <f aca="false">(C555-B555)*86400</f>
        <v>2.708999463</v>
      </c>
      <c r="G555" s="27" t="s">
        <v>150</v>
      </c>
      <c r="H555" s="27" t="s">
        <v>206</v>
      </c>
      <c r="I555" s="27" t="s">
        <v>463</v>
      </c>
      <c r="J555" s="27" t="s">
        <v>435</v>
      </c>
      <c r="K555" s="27" t="s">
        <v>399</v>
      </c>
      <c r="L555" s="3" t="str">
        <f aca="false">IF(ISNUMBER(SEARCH(" m",I555)),"Range",IF(I555="offline","Offline",IF(I555="","Unknown","No echo / error")))</f>
        <v>Range</v>
      </c>
      <c r="M555" s="3" t="str">
        <f aca="false">IF(ISNUMBER(SEARCH(" m",J555)),"Range",IF(J555="offline","Offline",IF(J555="","Unknown","No echo / error")))</f>
        <v>Range</v>
      </c>
      <c r="N555" s="3" t="str">
        <f aca="false">IF(ISNUMBER(SEARCH(" m",K555)),"Range",IF(K555="offline","Offline",IF(K555="","Unknown","No echo / error")))</f>
        <v>Range</v>
      </c>
      <c r="O555" s="3" t="str">
        <f aca="false">TEXT(B555,"yyyy-mm-dd")</f>
        <v>2026-10-06</v>
      </c>
    </row>
    <row r="556" customFormat="false" ht="15" hidden="false" customHeight="false" outlineLevel="0" collapsed="false">
      <c r="A556" s="27" t="n">
        <v>10</v>
      </c>
      <c r="B556" s="28" t="n">
        <v>46301.4835328125</v>
      </c>
      <c r="C556" s="29" t="n">
        <f aca="false">IF(A557=A556,B557,INDEX(Rounds!$D:$D,MATCH(A556,Rounds!$A:$A,0)))</f>
        <v>46301.4835383796</v>
      </c>
      <c r="D556" s="30" t="n">
        <f aca="false">(B556-INDEX(Rounds!$C:$C,MATCH(A556,Rounds!$A:$A,0)))*86400</f>
        <v>37.39599951</v>
      </c>
      <c r="E556" s="30" t="n">
        <f aca="false">(C556-INDEX(Rounds!$C:$C,MATCH(A556,Rounds!$A:$A,0)))*86400</f>
        <v>37.876999843</v>
      </c>
      <c r="F556" s="31" t="n">
        <f aca="false">(C556-B556)*86400</f>
        <v>0.481000333</v>
      </c>
      <c r="G556" s="27" t="s">
        <v>151</v>
      </c>
      <c r="H556" s="27" t="s">
        <v>203</v>
      </c>
      <c r="I556" s="27" t="s">
        <v>453</v>
      </c>
      <c r="J556" s="27" t="s">
        <v>201</v>
      </c>
      <c r="K556" s="27" t="s">
        <v>239</v>
      </c>
      <c r="L556" s="3" t="str">
        <f aca="false">IF(ISNUMBER(SEARCH(" m",I556)),"Range",IF(I556="offline","Offline",IF(I556="","Unknown","No echo / error")))</f>
        <v>Range</v>
      </c>
      <c r="M556" s="3" t="str">
        <f aca="false">IF(ISNUMBER(SEARCH(" m",J556)),"Range",IF(J556="offline","Offline",IF(J556="","Unknown","No echo / error")))</f>
        <v>Range</v>
      </c>
      <c r="N556" s="3" t="str">
        <f aca="false">IF(ISNUMBER(SEARCH(" m",K556)),"Range",IF(K556="offline","Offline",IF(K556="","Unknown","No echo / error")))</f>
        <v>Range</v>
      </c>
      <c r="O556" s="3" t="str">
        <f aca="false">TEXT(B556,"yyyy-mm-dd")</f>
        <v>2026-10-06</v>
      </c>
    </row>
    <row r="557" customFormat="false" ht="15" hidden="false" customHeight="false" outlineLevel="0" collapsed="false">
      <c r="A557" s="27" t="n">
        <v>10</v>
      </c>
      <c r="B557" s="28" t="n">
        <v>46301.4835383796</v>
      </c>
      <c r="C557" s="29" t="n">
        <f aca="false">IF(A558=A557,B558,INDEX(Rounds!$D:$D,MATCH(A557,Rounds!$A:$A,0)))</f>
        <v>46301.4835453241</v>
      </c>
      <c r="D557" s="30" t="n">
        <f aca="false">(B557-INDEX(Rounds!$C:$C,MATCH(A557,Rounds!$A:$A,0)))*86400</f>
        <v>37.876999843</v>
      </c>
      <c r="E557" s="30" t="n">
        <f aca="false">(C557-INDEX(Rounds!$C:$C,MATCH(A557,Rounds!$A:$A,0)))*86400</f>
        <v>38.476999104</v>
      </c>
      <c r="F557" s="31" t="n">
        <f aca="false">(C557-B557)*86400</f>
        <v>0.59999926</v>
      </c>
      <c r="G557" s="27" t="s">
        <v>152</v>
      </c>
      <c r="H557" s="27" t="s">
        <v>208</v>
      </c>
      <c r="I557" s="27" t="s">
        <v>465</v>
      </c>
      <c r="J557" s="27" t="s">
        <v>435</v>
      </c>
      <c r="K557" s="27" t="s">
        <v>204</v>
      </c>
      <c r="L557" s="3" t="str">
        <f aca="false">IF(ISNUMBER(SEARCH(" m",I557)),"Range",IF(I557="offline","Offline",IF(I557="","Unknown","No echo / error")))</f>
        <v>Range</v>
      </c>
      <c r="M557" s="3" t="str">
        <f aca="false">IF(ISNUMBER(SEARCH(" m",J557)),"Range",IF(J557="offline","Offline",IF(J557="","Unknown","No echo / error")))</f>
        <v>Range</v>
      </c>
      <c r="N557" s="3" t="str">
        <f aca="false">IF(ISNUMBER(SEARCH(" m",K557)),"Range",IF(K557="offline","Offline",IF(K557="","Unknown","No echo / error")))</f>
        <v>No echo / error</v>
      </c>
      <c r="O557" s="3" t="str">
        <f aca="false">TEXT(B557,"yyyy-mm-dd")</f>
        <v>2026-10-06</v>
      </c>
    </row>
    <row r="558" customFormat="false" ht="15" hidden="false" customHeight="false" outlineLevel="0" collapsed="false">
      <c r="A558" s="27" t="n">
        <v>10</v>
      </c>
      <c r="B558" s="28" t="n">
        <v>46301.4835453241</v>
      </c>
      <c r="C558" s="29" t="n">
        <f aca="false">IF(A559=A558,B559,INDEX(Rounds!$D:$D,MATCH(A558,Rounds!$A:$A,0)))</f>
        <v>46301.483551875</v>
      </c>
      <c r="D558" s="30" t="n">
        <f aca="false">(B558-INDEX(Rounds!$C:$C,MATCH(A558,Rounds!$A:$A,0)))*86400</f>
        <v>38.476999104</v>
      </c>
      <c r="E558" s="30" t="n">
        <f aca="false">(C558-INDEX(Rounds!$C:$C,MATCH(A558,Rounds!$A:$A,0)))*86400</f>
        <v>39.042999478</v>
      </c>
      <c r="F558" s="31" t="n">
        <f aca="false">(C558-B558)*86400</f>
        <v>0.566000374</v>
      </c>
      <c r="G558" s="27" t="s">
        <v>151</v>
      </c>
      <c r="H558" s="27" t="s">
        <v>203</v>
      </c>
      <c r="I558" s="27" t="s">
        <v>277</v>
      </c>
      <c r="J558" s="27" t="s">
        <v>435</v>
      </c>
      <c r="K558" s="27" t="s">
        <v>250</v>
      </c>
      <c r="L558" s="3" t="str">
        <f aca="false">IF(ISNUMBER(SEARCH(" m",I558)),"Range",IF(I558="offline","Offline",IF(I558="","Unknown","No echo / error")))</f>
        <v>Range</v>
      </c>
      <c r="M558" s="3" t="str">
        <f aca="false">IF(ISNUMBER(SEARCH(" m",J558)),"Range",IF(J558="offline","Offline",IF(J558="","Unknown","No echo / error")))</f>
        <v>Range</v>
      </c>
      <c r="N558" s="3" t="str">
        <f aca="false">IF(ISNUMBER(SEARCH(" m",K558)),"Range",IF(K558="offline","Offline",IF(K558="","Unknown","No echo / error")))</f>
        <v>Range</v>
      </c>
      <c r="O558" s="3" t="str">
        <f aca="false">TEXT(B558,"yyyy-mm-dd")</f>
        <v>2026-10-06</v>
      </c>
    </row>
    <row r="559" customFormat="false" ht="15" hidden="false" customHeight="false" outlineLevel="0" collapsed="false">
      <c r="A559" s="27" t="n">
        <v>10</v>
      </c>
      <c r="B559" s="28" t="n">
        <v>46301.483551875</v>
      </c>
      <c r="C559" s="29" t="n">
        <f aca="false">IF(A560=A559,B560,INDEX(Rounds!$D:$D,MATCH(A559,Rounds!$A:$A,0)))</f>
        <v>46301.4836273032</v>
      </c>
      <c r="D559" s="30" t="n">
        <f aca="false">(B559-INDEX(Rounds!$C:$C,MATCH(A559,Rounds!$A:$A,0)))*86400</f>
        <v>39.042999478</v>
      </c>
      <c r="E559" s="30" t="n">
        <f aca="false">(C559-INDEX(Rounds!$C:$C,MATCH(A559,Rounds!$A:$A,0)))*86400</f>
        <v>45.559999812</v>
      </c>
      <c r="F559" s="31" t="n">
        <f aca="false">(C559-B559)*86400</f>
        <v>6.517000333</v>
      </c>
      <c r="G559" s="27" t="s">
        <v>150</v>
      </c>
      <c r="H559" s="27" t="s">
        <v>206</v>
      </c>
      <c r="I559" s="27" t="s">
        <v>204</v>
      </c>
      <c r="J559" s="27" t="s">
        <v>283</v>
      </c>
      <c r="K559" s="27" t="s">
        <v>250</v>
      </c>
      <c r="L559" s="3" t="str">
        <f aca="false">IF(ISNUMBER(SEARCH(" m",I559)),"Range",IF(I559="offline","Offline",IF(I559="","Unknown","No echo / error")))</f>
        <v>No echo / error</v>
      </c>
      <c r="M559" s="3" t="str">
        <f aca="false">IF(ISNUMBER(SEARCH(" m",J559)),"Range",IF(J559="offline","Offline",IF(J559="","Unknown","No echo / error")))</f>
        <v>Range</v>
      </c>
      <c r="N559" s="3" t="str">
        <f aca="false">IF(ISNUMBER(SEARCH(" m",K559)),"Range",IF(K559="offline","Offline",IF(K559="","Unknown","No echo / error")))</f>
        <v>Range</v>
      </c>
      <c r="O559" s="3" t="str">
        <f aca="false">TEXT(B559,"yyyy-mm-dd")</f>
        <v>2026-10-06</v>
      </c>
    </row>
    <row r="560" customFormat="false" ht="15" hidden="false" customHeight="false" outlineLevel="0" collapsed="false">
      <c r="A560" s="27" t="n">
        <v>10</v>
      </c>
      <c r="B560" s="28" t="n">
        <v>46301.4836273032</v>
      </c>
      <c r="C560" s="29" t="n">
        <f aca="false">IF(A561=A560,B561,INDEX(Rounds!$D:$D,MATCH(A560,Rounds!$A:$A,0)))</f>
        <v>46301.4836479745</v>
      </c>
      <c r="D560" s="30" t="n">
        <f aca="false">(B560-INDEX(Rounds!$C:$C,MATCH(A560,Rounds!$A:$A,0)))*86400</f>
        <v>45.559999812</v>
      </c>
      <c r="E560" s="30" t="n">
        <f aca="false">(C560-INDEX(Rounds!$C:$C,MATCH(A560,Rounds!$A:$A,0)))*86400</f>
        <v>47.346000233</v>
      </c>
      <c r="F560" s="31" t="n">
        <f aca="false">(C560-B560)*86400</f>
        <v>1.786000421</v>
      </c>
      <c r="G560" s="27" t="s">
        <v>152</v>
      </c>
      <c r="H560" s="27" t="s">
        <v>208</v>
      </c>
      <c r="I560" s="27" t="s">
        <v>204</v>
      </c>
      <c r="J560" s="27" t="s">
        <v>423</v>
      </c>
      <c r="K560" s="27" t="s">
        <v>256</v>
      </c>
      <c r="L560" s="3" t="str">
        <f aca="false">IF(ISNUMBER(SEARCH(" m",I560)),"Range",IF(I560="offline","Offline",IF(I560="","Unknown","No echo / error")))</f>
        <v>No echo / error</v>
      </c>
      <c r="M560" s="3" t="str">
        <f aca="false">IF(ISNUMBER(SEARCH(" m",J560)),"Range",IF(J560="offline","Offline",IF(J560="","Unknown","No echo / error")))</f>
        <v>Range</v>
      </c>
      <c r="N560" s="3" t="str">
        <f aca="false">IF(ISNUMBER(SEARCH(" m",K560)),"Range",IF(K560="offline","Offline",IF(K560="","Unknown","No echo / error")))</f>
        <v>Range</v>
      </c>
      <c r="O560" s="3" t="str">
        <f aca="false">TEXT(B560,"yyyy-mm-dd")</f>
        <v>2026-10-06</v>
      </c>
    </row>
    <row r="561" customFormat="false" ht="15" hidden="false" customHeight="false" outlineLevel="0" collapsed="false">
      <c r="A561" s="27" t="n">
        <v>10</v>
      </c>
      <c r="B561" s="28" t="n">
        <v>46301.4836479745</v>
      </c>
      <c r="C561" s="29" t="n">
        <f aca="false">IF(A562=A561,B562,INDEX(Rounds!$D:$D,MATCH(A561,Rounds!$A:$A,0)))</f>
        <v>46301.4836684607</v>
      </c>
      <c r="D561" s="30" t="n">
        <f aca="false">(B561-INDEX(Rounds!$C:$C,MATCH(A561,Rounds!$A:$A,0)))*86400</f>
        <v>47.346000233</v>
      </c>
      <c r="E561" s="30" t="n">
        <f aca="false">(C561-INDEX(Rounds!$C:$C,MATCH(A561,Rounds!$A:$A,0)))*86400</f>
        <v>49.115999811</v>
      </c>
      <c r="F561" s="31" t="n">
        <f aca="false">(C561-B561)*86400</f>
        <v>1.769999577</v>
      </c>
      <c r="G561" s="27" t="s">
        <v>151</v>
      </c>
      <c r="H561" s="27" t="s">
        <v>203</v>
      </c>
      <c r="I561" s="27" t="s">
        <v>347</v>
      </c>
      <c r="J561" s="27" t="s">
        <v>435</v>
      </c>
      <c r="K561" s="27" t="s">
        <v>466</v>
      </c>
      <c r="L561" s="3" t="str">
        <f aca="false">IF(ISNUMBER(SEARCH(" m",I561)),"Range",IF(I561="offline","Offline",IF(I561="","Unknown","No echo / error")))</f>
        <v>Range</v>
      </c>
      <c r="M561" s="3" t="str">
        <f aca="false">IF(ISNUMBER(SEARCH(" m",J561)),"Range",IF(J561="offline","Offline",IF(J561="","Unknown","No echo / error")))</f>
        <v>Range</v>
      </c>
      <c r="N561" s="3" t="str">
        <f aca="false">IF(ISNUMBER(SEARCH(" m",K561)),"Range",IF(K561="offline","Offline",IF(K561="","Unknown","No echo / error")))</f>
        <v>Range</v>
      </c>
      <c r="O561" s="3" t="str">
        <f aca="false">TEXT(B561,"yyyy-mm-dd")</f>
        <v>2026-10-06</v>
      </c>
    </row>
    <row r="562" customFormat="false" ht="15" hidden="false" customHeight="false" outlineLevel="0" collapsed="false">
      <c r="A562" s="27" t="n">
        <v>10</v>
      </c>
      <c r="B562" s="28" t="n">
        <v>46301.4836684607</v>
      </c>
      <c r="C562" s="29" t="n">
        <f aca="false">IF(A563=A562,B563,INDEX(Rounds!$D:$D,MATCH(A562,Rounds!$A:$A,0)))</f>
        <v>46301.4836818866</v>
      </c>
      <c r="D562" s="30" t="n">
        <f aca="false">(B562-INDEX(Rounds!$C:$C,MATCH(A562,Rounds!$A:$A,0)))*86400</f>
        <v>49.115999811</v>
      </c>
      <c r="E562" s="30" t="n">
        <f aca="false">(C562-INDEX(Rounds!$C:$C,MATCH(A562,Rounds!$A:$A,0)))*86400</f>
        <v>50.27599968</v>
      </c>
      <c r="F562" s="31" t="n">
        <f aca="false">(C562-B562)*86400</f>
        <v>1.159999868</v>
      </c>
      <c r="G562" s="27" t="s">
        <v>152</v>
      </c>
      <c r="H562" s="27" t="s">
        <v>208</v>
      </c>
      <c r="I562" s="27" t="s">
        <v>315</v>
      </c>
      <c r="J562" s="27" t="s">
        <v>435</v>
      </c>
      <c r="K562" s="27" t="s">
        <v>204</v>
      </c>
      <c r="L562" s="3" t="str">
        <f aca="false">IF(ISNUMBER(SEARCH(" m",I562)),"Range",IF(I562="offline","Offline",IF(I562="","Unknown","No echo / error")))</f>
        <v>Range</v>
      </c>
      <c r="M562" s="3" t="str">
        <f aca="false">IF(ISNUMBER(SEARCH(" m",J562)),"Range",IF(J562="offline","Offline",IF(J562="","Unknown","No echo / error")))</f>
        <v>Range</v>
      </c>
      <c r="N562" s="3" t="str">
        <f aca="false">IF(ISNUMBER(SEARCH(" m",K562)),"Range",IF(K562="offline","Offline",IF(K562="","Unknown","No echo / error")))</f>
        <v>No echo / error</v>
      </c>
      <c r="O562" s="3" t="str">
        <f aca="false">TEXT(B562,"yyyy-mm-dd")</f>
        <v>2026-10-06</v>
      </c>
    </row>
    <row r="563" customFormat="false" ht="15" hidden="false" customHeight="false" outlineLevel="0" collapsed="false">
      <c r="A563" s="27" t="n">
        <v>10</v>
      </c>
      <c r="B563" s="28" t="n">
        <v>46301.4836818866</v>
      </c>
      <c r="C563" s="29" t="n">
        <f aca="false">IF(A564=A563,B564,INDEX(Rounds!$D:$D,MATCH(A563,Rounds!$A:$A,0)))</f>
        <v>46301.4836874884</v>
      </c>
      <c r="D563" s="30" t="n">
        <f aca="false">(B563-INDEX(Rounds!$C:$C,MATCH(A563,Rounds!$A:$A,0)))*86400</f>
        <v>50.27599968</v>
      </c>
      <c r="E563" s="30" t="n">
        <f aca="false">(C563-INDEX(Rounds!$C:$C,MATCH(A563,Rounds!$A:$A,0)))*86400</f>
        <v>50.759999896</v>
      </c>
      <c r="F563" s="31" t="n">
        <f aca="false">(C563-B563)*86400</f>
        <v>0.484000216</v>
      </c>
      <c r="G563" s="27" t="s">
        <v>151</v>
      </c>
      <c r="H563" s="27" t="s">
        <v>203</v>
      </c>
      <c r="I563" s="27" t="s">
        <v>346</v>
      </c>
      <c r="J563" s="27" t="s">
        <v>234</v>
      </c>
      <c r="K563" s="27" t="s">
        <v>431</v>
      </c>
      <c r="L563" s="3" t="str">
        <f aca="false">IF(ISNUMBER(SEARCH(" m",I563)),"Range",IF(I563="offline","Offline",IF(I563="","Unknown","No echo / error")))</f>
        <v>Range</v>
      </c>
      <c r="M563" s="3" t="str">
        <f aca="false">IF(ISNUMBER(SEARCH(" m",J563)),"Range",IF(J563="offline","Offline",IF(J563="","Unknown","No echo / error")))</f>
        <v>Range</v>
      </c>
      <c r="N563" s="3" t="str">
        <f aca="false">IF(ISNUMBER(SEARCH(" m",K563)),"Range",IF(K563="offline","Offline",IF(K563="","Unknown","No echo / error")))</f>
        <v>Range</v>
      </c>
      <c r="O563" s="3" t="str">
        <f aca="false">TEXT(B563,"yyyy-mm-dd")</f>
        <v>2026-10-06</v>
      </c>
    </row>
    <row r="564" customFormat="false" ht="15" hidden="false" customHeight="false" outlineLevel="0" collapsed="false">
      <c r="A564" s="27" t="n">
        <v>10</v>
      </c>
      <c r="B564" s="28" t="n">
        <v>46301.4836874884</v>
      </c>
      <c r="C564" s="29" t="n">
        <f aca="false">IF(A565=A564,B565,INDEX(Rounds!$D:$D,MATCH(A564,Rounds!$A:$A,0)))</f>
        <v>46301.4836945833</v>
      </c>
      <c r="D564" s="30" t="n">
        <f aca="false">(B564-INDEX(Rounds!$C:$C,MATCH(A564,Rounds!$A:$A,0)))*86400</f>
        <v>50.759999896</v>
      </c>
      <c r="E564" s="30" t="n">
        <f aca="false">(C564-INDEX(Rounds!$C:$C,MATCH(A564,Rounds!$A:$A,0)))*86400</f>
        <v>51.372999488</v>
      </c>
      <c r="F564" s="31" t="n">
        <f aca="false">(C564-B564)*86400</f>
        <v>0.612999591</v>
      </c>
      <c r="G564" s="27" t="s">
        <v>152</v>
      </c>
      <c r="H564" s="27" t="s">
        <v>208</v>
      </c>
      <c r="I564" s="27" t="s">
        <v>285</v>
      </c>
      <c r="J564" s="27" t="s">
        <v>317</v>
      </c>
      <c r="K564" s="27" t="s">
        <v>209</v>
      </c>
      <c r="L564" s="3" t="str">
        <f aca="false">IF(ISNUMBER(SEARCH(" m",I564)),"Range",IF(I564="offline","Offline",IF(I564="","Unknown","No echo / error")))</f>
        <v>Range</v>
      </c>
      <c r="M564" s="3" t="str">
        <f aca="false">IF(ISNUMBER(SEARCH(" m",J564)),"Range",IF(J564="offline","Offline",IF(J564="","Unknown","No echo / error")))</f>
        <v>Range</v>
      </c>
      <c r="N564" s="3" t="str">
        <f aca="false">IF(ISNUMBER(SEARCH(" m",K564)),"Range",IF(K564="offline","Offline",IF(K564="","Unknown","No echo / error")))</f>
        <v>Range</v>
      </c>
      <c r="O564" s="3" t="str">
        <f aca="false">TEXT(B564,"yyyy-mm-dd")</f>
        <v>2026-10-06</v>
      </c>
    </row>
    <row r="565" customFormat="false" ht="15" hidden="false" customHeight="false" outlineLevel="0" collapsed="false">
      <c r="A565" s="27" t="n">
        <v>10</v>
      </c>
      <c r="B565" s="28" t="n">
        <v>46301.4836945833</v>
      </c>
      <c r="C565" s="29" t="n">
        <f aca="false">IF(A566=A565,B566,INDEX(Rounds!$D:$D,MATCH(A565,Rounds!$A:$A,0)))</f>
        <v>46301.4837013194</v>
      </c>
      <c r="D565" s="30" t="n">
        <f aca="false">(B565-INDEX(Rounds!$C:$C,MATCH(A565,Rounds!$A:$A,0)))*86400</f>
        <v>51.372999488</v>
      </c>
      <c r="E565" s="30" t="n">
        <f aca="false">(C565-INDEX(Rounds!$C:$C,MATCH(A565,Rounds!$A:$A,0)))*86400</f>
        <v>51.954999449</v>
      </c>
      <c r="F565" s="31" t="n">
        <f aca="false">(C565-B565)*86400</f>
        <v>0.581999961</v>
      </c>
      <c r="G565" s="27" t="s">
        <v>151</v>
      </c>
      <c r="H565" s="27" t="s">
        <v>203</v>
      </c>
      <c r="I565" s="27" t="s">
        <v>204</v>
      </c>
      <c r="J565" s="27" t="s">
        <v>434</v>
      </c>
      <c r="K565" s="27" t="s">
        <v>217</v>
      </c>
      <c r="L565" s="3" t="str">
        <f aca="false">IF(ISNUMBER(SEARCH(" m",I565)),"Range",IF(I565="offline","Offline",IF(I565="","Unknown","No echo / error")))</f>
        <v>No echo / error</v>
      </c>
      <c r="M565" s="3" t="str">
        <f aca="false">IF(ISNUMBER(SEARCH(" m",J565)),"Range",IF(J565="offline","Offline",IF(J565="","Unknown","No echo / error")))</f>
        <v>Range</v>
      </c>
      <c r="N565" s="3" t="str">
        <f aca="false">IF(ISNUMBER(SEARCH(" m",K565)),"Range",IF(K565="offline","Offline",IF(K565="","Unknown","No echo / error")))</f>
        <v>Range</v>
      </c>
      <c r="O565" s="3" t="str">
        <f aca="false">TEXT(B565,"yyyy-mm-dd")</f>
        <v>2026-10-06</v>
      </c>
    </row>
    <row r="566" customFormat="false" ht="15" hidden="false" customHeight="false" outlineLevel="0" collapsed="false">
      <c r="A566" s="27" t="n">
        <v>10</v>
      </c>
      <c r="B566" s="28" t="n">
        <v>46301.4837013194</v>
      </c>
      <c r="C566" s="29" t="n">
        <f aca="false">IF(A567=A566,B567,INDEX(Rounds!$D:$D,MATCH(A566,Rounds!$A:$A,0)))</f>
        <v>46301.4837022454</v>
      </c>
      <c r="D566" s="30" t="n">
        <f aca="false">(B566-INDEX(Rounds!$C:$C,MATCH(A566,Rounds!$A:$A,0)))*86400</f>
        <v>51.954999449</v>
      </c>
      <c r="E566" s="30" t="n">
        <f aca="false">(C566-INDEX(Rounds!$C:$C,MATCH(A566,Rounds!$A:$A,0)))*86400</f>
        <v>52.034999895</v>
      </c>
      <c r="F566" s="31" t="n">
        <f aca="false">(C566-B566)*86400</f>
        <v>0.080000446</v>
      </c>
      <c r="G566" s="27" t="s">
        <v>152</v>
      </c>
      <c r="H566" s="27" t="s">
        <v>208</v>
      </c>
      <c r="I566" s="27" t="s">
        <v>204</v>
      </c>
      <c r="J566" s="27" t="s">
        <v>467</v>
      </c>
      <c r="K566" s="27" t="s">
        <v>220</v>
      </c>
      <c r="L566" s="3" t="str">
        <f aca="false">IF(ISNUMBER(SEARCH(" m",I566)),"Range",IF(I566="offline","Offline",IF(I566="","Unknown","No echo / error")))</f>
        <v>No echo / error</v>
      </c>
      <c r="M566" s="3" t="str">
        <f aca="false">IF(ISNUMBER(SEARCH(" m",J566)),"Range",IF(J566="offline","Offline",IF(J566="","Unknown","No echo / error")))</f>
        <v>Range</v>
      </c>
      <c r="N566" s="3" t="str">
        <f aca="false">IF(ISNUMBER(SEARCH(" m",K566)),"Range",IF(K566="offline","Offline",IF(K566="","Unknown","No echo / error")))</f>
        <v>No echo / error</v>
      </c>
      <c r="O566" s="3" t="str">
        <f aca="false">TEXT(B566,"yyyy-mm-dd")</f>
        <v>2026-10-06</v>
      </c>
    </row>
    <row r="567" customFormat="false" ht="15" hidden="false" customHeight="false" outlineLevel="0" collapsed="false">
      <c r="A567" s="27" t="n">
        <v>10</v>
      </c>
      <c r="B567" s="28" t="n">
        <v>46301.4837022454</v>
      </c>
      <c r="C567" s="29" t="n">
        <f aca="false">IF(A568=A567,B568,INDEX(Rounds!$D:$D,MATCH(A567,Rounds!$A:$A,0)))</f>
        <v>46301.4837039236</v>
      </c>
      <c r="D567" s="30" t="n">
        <f aca="false">(B567-INDEX(Rounds!$C:$C,MATCH(A567,Rounds!$A:$A,0)))*86400</f>
        <v>52.034999895</v>
      </c>
      <c r="E567" s="30" t="n">
        <f aca="false">(C567-INDEX(Rounds!$C:$C,MATCH(A567,Rounds!$A:$A,0)))*86400</f>
        <v>52.179999486</v>
      </c>
      <c r="F567" s="31" t="n">
        <f aca="false">(C567-B567)*86400</f>
        <v>0.14499959</v>
      </c>
      <c r="G567" s="27" t="s">
        <v>151</v>
      </c>
      <c r="H567" s="27" t="s">
        <v>203</v>
      </c>
      <c r="I567" s="27" t="s">
        <v>204</v>
      </c>
      <c r="J567" s="27" t="s">
        <v>467</v>
      </c>
      <c r="K567" s="27" t="s">
        <v>307</v>
      </c>
      <c r="L567" s="3" t="str">
        <f aca="false">IF(ISNUMBER(SEARCH(" m",I567)),"Range",IF(I567="offline","Offline",IF(I567="","Unknown","No echo / error")))</f>
        <v>No echo / error</v>
      </c>
      <c r="M567" s="3" t="str">
        <f aca="false">IF(ISNUMBER(SEARCH(" m",J567)),"Range",IF(J567="offline","Offline",IF(J567="","Unknown","No echo / error")))</f>
        <v>Range</v>
      </c>
      <c r="N567" s="3" t="str">
        <f aca="false">IF(ISNUMBER(SEARCH(" m",K567)),"Range",IF(K567="offline","Offline",IF(K567="","Unknown","No echo / error")))</f>
        <v>Range</v>
      </c>
      <c r="O567" s="3" t="str">
        <f aca="false">TEXT(B567,"yyyy-mm-dd")</f>
        <v>2026-10-06</v>
      </c>
    </row>
    <row r="568" customFormat="false" ht="15" hidden="false" customHeight="false" outlineLevel="0" collapsed="false">
      <c r="A568" s="27" t="n">
        <v>10</v>
      </c>
      <c r="B568" s="28" t="n">
        <v>46301.4837039236</v>
      </c>
      <c r="C568" s="29" t="n">
        <f aca="false">IF(A569=A568,B569,INDEX(Rounds!$D:$D,MATCH(A568,Rounds!$A:$A,0)))</f>
        <v>46301.4837192245</v>
      </c>
      <c r="D568" s="30" t="n">
        <f aca="false">(B568-INDEX(Rounds!$C:$C,MATCH(A568,Rounds!$A:$A,0)))*86400</f>
        <v>52.179999486</v>
      </c>
      <c r="E568" s="30" t="n">
        <f aca="false">(C568-INDEX(Rounds!$C:$C,MATCH(A568,Rounds!$A:$A,0)))*86400</f>
        <v>53.50199996</v>
      </c>
      <c r="F568" s="31" t="n">
        <f aca="false">(C568-B568)*86400</f>
        <v>1.322000473</v>
      </c>
      <c r="G568" s="27" t="s">
        <v>150</v>
      </c>
      <c r="H568" s="27" t="s">
        <v>206</v>
      </c>
      <c r="I568" s="27" t="s">
        <v>204</v>
      </c>
      <c r="J568" s="27" t="s">
        <v>276</v>
      </c>
      <c r="K568" s="27" t="s">
        <v>307</v>
      </c>
      <c r="L568" s="3" t="str">
        <f aca="false">IF(ISNUMBER(SEARCH(" m",I568)),"Range",IF(I568="offline","Offline",IF(I568="","Unknown","No echo / error")))</f>
        <v>No echo / error</v>
      </c>
      <c r="M568" s="3" t="str">
        <f aca="false">IF(ISNUMBER(SEARCH(" m",J568)),"Range",IF(J568="offline","Offline",IF(J568="","Unknown","No echo / error")))</f>
        <v>Range</v>
      </c>
      <c r="N568" s="3" t="str">
        <f aca="false">IF(ISNUMBER(SEARCH(" m",K568)),"Range",IF(K568="offline","Offline",IF(K568="","Unknown","No echo / error")))</f>
        <v>Range</v>
      </c>
      <c r="O568" s="3" t="str">
        <f aca="false">TEXT(B568,"yyyy-mm-dd")</f>
        <v>2026-10-06</v>
      </c>
    </row>
    <row r="569" customFormat="false" ht="15" hidden="false" customHeight="false" outlineLevel="0" collapsed="false">
      <c r="A569" s="27" t="n">
        <v>10</v>
      </c>
      <c r="B569" s="28" t="n">
        <v>46301.4837192245</v>
      </c>
      <c r="C569" s="29" t="n">
        <f aca="false">IF(A570=A569,B570,INDEX(Rounds!$D:$D,MATCH(A569,Rounds!$A:$A,0)))</f>
        <v>46301.4837205208</v>
      </c>
      <c r="D569" s="30" t="n">
        <f aca="false">(B569-INDEX(Rounds!$C:$C,MATCH(A569,Rounds!$A:$A,0)))*86400</f>
        <v>53.50199996</v>
      </c>
      <c r="E569" s="30" t="n">
        <f aca="false">(C569-INDEX(Rounds!$C:$C,MATCH(A569,Rounds!$A:$A,0)))*86400</f>
        <v>53.613999579</v>
      </c>
      <c r="F569" s="31" t="n">
        <f aca="false">(C569-B569)*86400</f>
        <v>0.111999618</v>
      </c>
      <c r="G569" s="27" t="s">
        <v>151</v>
      </c>
      <c r="H569" s="27" t="s">
        <v>203</v>
      </c>
      <c r="I569" s="27" t="s">
        <v>464</v>
      </c>
      <c r="J569" s="27" t="s">
        <v>233</v>
      </c>
      <c r="K569" s="27" t="s">
        <v>212</v>
      </c>
      <c r="L569" s="3" t="str">
        <f aca="false">IF(ISNUMBER(SEARCH(" m",I569)),"Range",IF(I569="offline","Offline",IF(I569="","Unknown","No echo / error")))</f>
        <v>Range</v>
      </c>
      <c r="M569" s="3" t="str">
        <f aca="false">IF(ISNUMBER(SEARCH(" m",J569)),"Range",IF(J569="offline","Offline",IF(J569="","Unknown","No echo / error")))</f>
        <v>Range</v>
      </c>
      <c r="N569" s="3" t="str">
        <f aca="false">IF(ISNUMBER(SEARCH(" m",K569)),"Range",IF(K569="offline","Offline",IF(K569="","Unknown","No echo / error")))</f>
        <v>Range</v>
      </c>
      <c r="O569" s="3" t="str">
        <f aca="false">TEXT(B569,"yyyy-mm-dd")</f>
        <v>2026-10-06</v>
      </c>
    </row>
    <row r="570" customFormat="false" ht="15" hidden="false" customHeight="false" outlineLevel="0" collapsed="false">
      <c r="A570" s="27" t="n">
        <v>10</v>
      </c>
      <c r="B570" s="28" t="n">
        <v>46301.4837205208</v>
      </c>
      <c r="C570" s="29" t="n">
        <f aca="false">IF(A571=A570,B571,INDEX(Rounds!$D:$D,MATCH(A570,Rounds!$A:$A,0)))</f>
        <v>46301.4837260995</v>
      </c>
      <c r="D570" s="30" t="n">
        <f aca="false">(B570-INDEX(Rounds!$C:$C,MATCH(A570,Rounds!$A:$A,0)))*86400</f>
        <v>53.613999579</v>
      </c>
      <c r="E570" s="30" t="n">
        <f aca="false">(C570-INDEX(Rounds!$C:$C,MATCH(A570,Rounds!$A:$A,0)))*86400</f>
        <v>54.095998825</v>
      </c>
      <c r="F570" s="31" t="n">
        <f aca="false">(C570-B570)*86400</f>
        <v>0.481999246</v>
      </c>
      <c r="G570" s="27" t="s">
        <v>150</v>
      </c>
      <c r="H570" s="27" t="s">
        <v>206</v>
      </c>
      <c r="I570" s="27" t="s">
        <v>464</v>
      </c>
      <c r="J570" s="27" t="s">
        <v>351</v>
      </c>
      <c r="K570" s="27" t="s">
        <v>212</v>
      </c>
      <c r="L570" s="3" t="str">
        <f aca="false">IF(ISNUMBER(SEARCH(" m",I570)),"Range",IF(I570="offline","Offline",IF(I570="","Unknown","No echo / error")))</f>
        <v>Range</v>
      </c>
      <c r="M570" s="3" t="str">
        <f aca="false">IF(ISNUMBER(SEARCH(" m",J570)),"Range",IF(J570="offline","Offline",IF(J570="","Unknown","No echo / error")))</f>
        <v>Range</v>
      </c>
      <c r="N570" s="3" t="str">
        <f aca="false">IF(ISNUMBER(SEARCH(" m",K570)),"Range",IF(K570="offline","Offline",IF(K570="","Unknown","No echo / error")))</f>
        <v>Range</v>
      </c>
      <c r="O570" s="3" t="str">
        <f aca="false">TEXT(B570,"yyyy-mm-dd")</f>
        <v>2026-10-06</v>
      </c>
    </row>
    <row r="571" customFormat="false" ht="15" hidden="false" customHeight="false" outlineLevel="0" collapsed="false">
      <c r="A571" s="27" t="n">
        <v>10</v>
      </c>
      <c r="B571" s="28" t="n">
        <v>46301.4837260995</v>
      </c>
      <c r="C571" s="29" t="n">
        <f aca="false">IF(A572=A571,B572,INDEX(Rounds!$D:$D,MATCH(A571,Rounds!$A:$A,0)))</f>
        <v>46301.4837369792</v>
      </c>
      <c r="D571" s="30" t="n">
        <f aca="false">(B571-INDEX(Rounds!$C:$C,MATCH(A571,Rounds!$A:$A,0)))*86400</f>
        <v>54.095998825</v>
      </c>
      <c r="E571" s="30" t="n">
        <f aca="false">(C571-INDEX(Rounds!$C:$C,MATCH(A571,Rounds!$A:$A,0)))*86400</f>
        <v>55.035998881</v>
      </c>
      <c r="F571" s="31" t="n">
        <f aca="false">(C571-B571)*86400</f>
        <v>0.940000056</v>
      </c>
      <c r="G571" s="27" t="s">
        <v>152</v>
      </c>
      <c r="H571" s="27" t="s">
        <v>208</v>
      </c>
      <c r="I571" s="27" t="s">
        <v>468</v>
      </c>
      <c r="J571" s="27" t="s">
        <v>204</v>
      </c>
      <c r="K571" s="27" t="s">
        <v>257</v>
      </c>
      <c r="L571" s="3" t="str">
        <f aca="false">IF(ISNUMBER(SEARCH(" m",I571)),"Range",IF(I571="offline","Offline",IF(I571="","Unknown","No echo / error")))</f>
        <v>Range</v>
      </c>
      <c r="M571" s="3" t="str">
        <f aca="false">IF(ISNUMBER(SEARCH(" m",J571)),"Range",IF(J571="offline","Offline",IF(J571="","Unknown","No echo / error")))</f>
        <v>No echo / error</v>
      </c>
      <c r="N571" s="3" t="str">
        <f aca="false">IF(ISNUMBER(SEARCH(" m",K571)),"Range",IF(K571="offline","Offline",IF(K571="","Unknown","No echo / error")))</f>
        <v>Range</v>
      </c>
      <c r="O571" s="3" t="str">
        <f aca="false">TEXT(B571,"yyyy-mm-dd")</f>
        <v>2026-10-06</v>
      </c>
    </row>
    <row r="572" customFormat="false" ht="15" hidden="false" customHeight="false" outlineLevel="0" collapsed="false">
      <c r="A572" s="27" t="n">
        <v>10</v>
      </c>
      <c r="B572" s="28" t="n">
        <v>46301.4837369792</v>
      </c>
      <c r="C572" s="29" t="n">
        <f aca="false">IF(A573=A572,B573,INDEX(Rounds!$D:$D,MATCH(A572,Rounds!$A:$A,0)))</f>
        <v>46301.4837382755</v>
      </c>
      <c r="D572" s="30" t="n">
        <f aca="false">(B572-INDEX(Rounds!$C:$C,MATCH(A572,Rounds!$A:$A,0)))*86400</f>
        <v>55.035998881</v>
      </c>
      <c r="E572" s="30" t="n">
        <f aca="false">(C572-INDEX(Rounds!$C:$C,MATCH(A572,Rounds!$A:$A,0)))*86400</f>
        <v>55.147999757</v>
      </c>
      <c r="F572" s="31" t="n">
        <f aca="false">(C572-B572)*86400</f>
        <v>0.112000876</v>
      </c>
      <c r="G572" s="27" t="s">
        <v>151</v>
      </c>
      <c r="H572" s="27" t="s">
        <v>203</v>
      </c>
      <c r="I572" s="27" t="s">
        <v>279</v>
      </c>
      <c r="J572" s="27" t="s">
        <v>216</v>
      </c>
      <c r="K572" s="27" t="s">
        <v>257</v>
      </c>
      <c r="L572" s="3" t="str">
        <f aca="false">IF(ISNUMBER(SEARCH(" m",I572)),"Range",IF(I572="offline","Offline",IF(I572="","Unknown","No echo / error")))</f>
        <v>Range</v>
      </c>
      <c r="M572" s="3" t="str">
        <f aca="false">IF(ISNUMBER(SEARCH(" m",J572)),"Range",IF(J572="offline","Offline",IF(J572="","Unknown","No echo / error")))</f>
        <v>Range</v>
      </c>
      <c r="N572" s="3" t="str">
        <f aca="false">IF(ISNUMBER(SEARCH(" m",K572)),"Range",IF(K572="offline","Offline",IF(K572="","Unknown","No echo / error")))</f>
        <v>Range</v>
      </c>
      <c r="O572" s="3" t="str">
        <f aca="false">TEXT(B572,"yyyy-mm-dd")</f>
        <v>2026-10-06</v>
      </c>
    </row>
    <row r="573" customFormat="false" ht="15" hidden="false" customHeight="false" outlineLevel="0" collapsed="false">
      <c r="A573" s="27" t="n">
        <v>10</v>
      </c>
      <c r="B573" s="28" t="n">
        <v>46301.4837382755</v>
      </c>
      <c r="C573" s="29" t="n">
        <f aca="false">IF(A574=A573,B574,INDEX(Rounds!$D:$D,MATCH(A573,Rounds!$A:$A,0)))</f>
        <v>46301.4837829167</v>
      </c>
      <c r="D573" s="30" t="n">
        <f aca="false">(B573-INDEX(Rounds!$C:$C,MATCH(A573,Rounds!$A:$A,0)))*86400</f>
        <v>55.147999757</v>
      </c>
      <c r="E573" s="30" t="n">
        <f aca="false">(C573-INDEX(Rounds!$C:$C,MATCH(A573,Rounds!$A:$A,0)))*86400</f>
        <v>59.004998928</v>
      </c>
      <c r="F573" s="31" t="n">
        <f aca="false">(C573-B573)*86400</f>
        <v>3.85699917</v>
      </c>
      <c r="G573" s="27" t="s">
        <v>150</v>
      </c>
      <c r="H573" s="27" t="s">
        <v>206</v>
      </c>
      <c r="I573" s="27" t="s">
        <v>279</v>
      </c>
      <c r="J573" s="27" t="s">
        <v>201</v>
      </c>
      <c r="K573" s="27" t="s">
        <v>257</v>
      </c>
      <c r="L573" s="3" t="str">
        <f aca="false">IF(ISNUMBER(SEARCH(" m",I573)),"Range",IF(I573="offline","Offline",IF(I573="","Unknown","No echo / error")))</f>
        <v>Range</v>
      </c>
      <c r="M573" s="3" t="str">
        <f aca="false">IF(ISNUMBER(SEARCH(" m",J573)),"Range",IF(J573="offline","Offline",IF(J573="","Unknown","No echo / error")))</f>
        <v>Range</v>
      </c>
      <c r="N573" s="3" t="str">
        <f aca="false">IF(ISNUMBER(SEARCH(" m",K573)),"Range",IF(K573="offline","Offline",IF(K573="","Unknown","No echo / error")))</f>
        <v>Range</v>
      </c>
      <c r="O573" s="3" t="str">
        <f aca="false">TEXT(B573,"yyyy-mm-dd")</f>
        <v>2026-10-06</v>
      </c>
    </row>
    <row r="574" customFormat="false" ht="15" hidden="false" customHeight="false" outlineLevel="0" collapsed="false">
      <c r="A574" s="27" t="n">
        <v>10</v>
      </c>
      <c r="B574" s="28" t="n">
        <v>46301.4837829167</v>
      </c>
      <c r="C574" s="29" t="n">
        <f aca="false">IF(A575=A574,B575,INDEX(Rounds!$D:$D,MATCH(A574,Rounds!$A:$A,0)))</f>
        <v>46301.4838110417</v>
      </c>
      <c r="D574" s="30" t="n">
        <f aca="false">(B574-INDEX(Rounds!$C:$C,MATCH(A574,Rounds!$A:$A,0)))*86400</f>
        <v>59.004998928</v>
      </c>
      <c r="E574" s="30" t="n">
        <f aca="false">(C574-INDEX(Rounds!$C:$C,MATCH(A574,Rounds!$A:$A,0)))*86400</f>
        <v>61.43499983</v>
      </c>
      <c r="F574" s="31" t="n">
        <f aca="false">(C574-B574)*86400</f>
        <v>2.430000901</v>
      </c>
      <c r="G574" s="27" t="s">
        <v>152</v>
      </c>
      <c r="H574" s="27" t="s">
        <v>208</v>
      </c>
      <c r="I574" s="27" t="s">
        <v>204</v>
      </c>
      <c r="J574" s="27" t="s">
        <v>204</v>
      </c>
      <c r="K574" s="27" t="s">
        <v>364</v>
      </c>
      <c r="L574" s="3" t="str">
        <f aca="false">IF(ISNUMBER(SEARCH(" m",I574)),"Range",IF(I574="offline","Offline",IF(I574="","Unknown","No echo / error")))</f>
        <v>No echo / error</v>
      </c>
      <c r="M574" s="3" t="str">
        <f aca="false">IF(ISNUMBER(SEARCH(" m",J574)),"Range",IF(J574="offline","Offline",IF(J574="","Unknown","No echo / error")))</f>
        <v>No echo / error</v>
      </c>
      <c r="N574" s="3" t="str">
        <f aca="false">IF(ISNUMBER(SEARCH(" m",K574)),"Range",IF(K574="offline","Offline",IF(K574="","Unknown","No echo / error")))</f>
        <v>Range</v>
      </c>
      <c r="O574" s="3" t="str">
        <f aca="false">TEXT(B574,"yyyy-mm-dd")</f>
        <v>2026-10-06</v>
      </c>
    </row>
    <row r="575" customFormat="false" ht="15" hidden="false" customHeight="false" outlineLevel="0" collapsed="false">
      <c r="A575" s="27" t="n">
        <v>10</v>
      </c>
      <c r="B575" s="28" t="n">
        <v>46301.4838110417</v>
      </c>
      <c r="C575" s="29" t="n">
        <f aca="false">IF(A576=A575,B576,INDEX(Rounds!$D:$D,MATCH(A575,Rounds!$A:$A,0)))</f>
        <v>46301.4838394445</v>
      </c>
      <c r="D575" s="30" t="n">
        <f aca="false">(B575-INDEX(Rounds!$C:$C,MATCH(A575,Rounds!$A:$A,0)))*86400</f>
        <v>61.43499983</v>
      </c>
      <c r="E575" s="30" t="n">
        <f aca="false">(C575-INDEX(Rounds!$C:$C,MATCH(A575,Rounds!$A:$A,0)))*86400</f>
        <v>63.889000425</v>
      </c>
      <c r="F575" s="31" t="n">
        <f aca="false">(C575-B575)*86400</f>
        <v>2.454000595</v>
      </c>
      <c r="G575" s="27" t="s">
        <v>151</v>
      </c>
      <c r="H575" s="27" t="s">
        <v>203</v>
      </c>
      <c r="I575" s="27" t="s">
        <v>441</v>
      </c>
      <c r="J575" s="27" t="s">
        <v>469</v>
      </c>
      <c r="K575" s="27" t="s">
        <v>444</v>
      </c>
      <c r="L575" s="3" t="str">
        <f aca="false">IF(ISNUMBER(SEARCH(" m",I575)),"Range",IF(I575="offline","Offline",IF(I575="","Unknown","No echo / error")))</f>
        <v>Range</v>
      </c>
      <c r="M575" s="3" t="str">
        <f aca="false">IF(ISNUMBER(SEARCH(" m",J575)),"Range",IF(J575="offline","Offline",IF(J575="","Unknown","No echo / error")))</f>
        <v>Range</v>
      </c>
      <c r="N575" s="3" t="str">
        <f aca="false">IF(ISNUMBER(SEARCH(" m",K575)),"Range",IF(K575="offline","Offline",IF(K575="","Unknown","No echo / error")))</f>
        <v>Range</v>
      </c>
      <c r="O575" s="3" t="str">
        <f aca="false">TEXT(B575,"yyyy-mm-dd")</f>
        <v>2026-10-06</v>
      </c>
    </row>
    <row r="576" customFormat="false" ht="15" hidden="false" customHeight="false" outlineLevel="0" collapsed="false">
      <c r="A576" s="27" t="n">
        <v>10</v>
      </c>
      <c r="B576" s="28" t="n">
        <v>46301.4838394445</v>
      </c>
      <c r="C576" s="29" t="n">
        <f aca="false">IF(A577=A576,B577,INDEX(Rounds!$D:$D,MATCH(A576,Rounds!$A:$A,0)))</f>
        <v>46301.4838407639</v>
      </c>
      <c r="D576" s="30" t="n">
        <f aca="false">(B576-INDEX(Rounds!$C:$C,MATCH(A576,Rounds!$A:$A,0)))*86400</f>
        <v>63.889000425</v>
      </c>
      <c r="E576" s="30" t="n">
        <f aca="false">(C576-INDEX(Rounds!$C:$C,MATCH(A576,Rounds!$A:$A,0)))*86400</f>
        <v>64.002999756</v>
      </c>
      <c r="F576" s="31" t="n">
        <f aca="false">(C576-B576)*86400</f>
        <v>0.113999331</v>
      </c>
      <c r="G576" s="27" t="s">
        <v>152</v>
      </c>
      <c r="H576" s="27" t="s">
        <v>208</v>
      </c>
      <c r="I576" s="27" t="s">
        <v>390</v>
      </c>
      <c r="J576" s="27" t="s">
        <v>434</v>
      </c>
      <c r="K576" s="27" t="s">
        <v>204</v>
      </c>
      <c r="L576" s="3" t="str">
        <f aca="false">IF(ISNUMBER(SEARCH(" m",I576)),"Range",IF(I576="offline","Offline",IF(I576="","Unknown","No echo / error")))</f>
        <v>Range</v>
      </c>
      <c r="M576" s="3" t="str">
        <f aca="false">IF(ISNUMBER(SEARCH(" m",J576)),"Range",IF(J576="offline","Offline",IF(J576="","Unknown","No echo / error")))</f>
        <v>Range</v>
      </c>
      <c r="N576" s="3" t="str">
        <f aca="false">IF(ISNUMBER(SEARCH(" m",K576)),"Range",IF(K576="offline","Offline",IF(K576="","Unknown","No echo / error")))</f>
        <v>No echo / error</v>
      </c>
      <c r="O576" s="3" t="str">
        <f aca="false">TEXT(B576,"yyyy-mm-dd")</f>
        <v>2026-10-06</v>
      </c>
    </row>
    <row r="577" customFormat="false" ht="15" hidden="false" customHeight="false" outlineLevel="0" collapsed="false">
      <c r="A577" s="27" t="n">
        <v>10</v>
      </c>
      <c r="B577" s="28" t="n">
        <v>46301.4838407639</v>
      </c>
      <c r="C577" s="29" t="n">
        <f aca="false">IF(A578=A577,B578,INDEX(Rounds!$D:$D,MATCH(A577,Rounds!$A:$A,0)))</f>
        <v>46301.4838463657</v>
      </c>
      <c r="D577" s="30" t="n">
        <f aca="false">(B577-INDEX(Rounds!$C:$C,MATCH(A577,Rounds!$A:$A,0)))*86400</f>
        <v>64.002999756</v>
      </c>
      <c r="E577" s="30" t="n">
        <f aca="false">(C577-INDEX(Rounds!$C:$C,MATCH(A577,Rounds!$A:$A,0)))*86400</f>
        <v>64.486999972</v>
      </c>
      <c r="F577" s="31" t="n">
        <f aca="false">(C577-B577)*86400</f>
        <v>0.484000216</v>
      </c>
      <c r="G577" s="27" t="s">
        <v>151</v>
      </c>
      <c r="H577" s="27" t="s">
        <v>203</v>
      </c>
      <c r="I577" s="27" t="s">
        <v>290</v>
      </c>
      <c r="J577" s="27" t="s">
        <v>434</v>
      </c>
      <c r="K577" s="27" t="s">
        <v>204</v>
      </c>
      <c r="L577" s="3" t="str">
        <f aca="false">IF(ISNUMBER(SEARCH(" m",I577)),"Range",IF(I577="offline","Offline",IF(I577="","Unknown","No echo / error")))</f>
        <v>Range</v>
      </c>
      <c r="M577" s="3" t="str">
        <f aca="false">IF(ISNUMBER(SEARCH(" m",J577)),"Range",IF(J577="offline","Offline",IF(J577="","Unknown","No echo / error")))</f>
        <v>Range</v>
      </c>
      <c r="N577" s="3" t="str">
        <f aca="false">IF(ISNUMBER(SEARCH(" m",K577)),"Range",IF(K577="offline","Offline",IF(K577="","Unknown","No echo / error")))</f>
        <v>No echo / error</v>
      </c>
      <c r="O577" s="3" t="str">
        <f aca="false">TEXT(B577,"yyyy-mm-dd")</f>
        <v>2026-10-06</v>
      </c>
    </row>
    <row r="578" customFormat="false" ht="15" hidden="false" customHeight="false" outlineLevel="0" collapsed="false">
      <c r="A578" s="27" t="n">
        <v>10</v>
      </c>
      <c r="B578" s="28" t="n">
        <v>46301.4838463657</v>
      </c>
      <c r="C578" s="29" t="n">
        <f aca="false">IF(A579=A578,B579,INDEX(Rounds!$D:$D,MATCH(A578,Rounds!$A:$A,0)))</f>
        <v>46301.4838486111</v>
      </c>
      <c r="D578" s="30" t="n">
        <f aca="false">(B578-INDEX(Rounds!$C:$C,MATCH(A578,Rounds!$A:$A,0)))*86400</f>
        <v>64.486999972</v>
      </c>
      <c r="E578" s="30" t="n">
        <f aca="false">(C578-INDEX(Rounds!$C:$C,MATCH(A578,Rounds!$A:$A,0)))*86400</f>
        <v>64.68099975</v>
      </c>
      <c r="F578" s="31" t="n">
        <f aca="false">(C578-B578)*86400</f>
        <v>0.193999777</v>
      </c>
      <c r="G578" s="27" t="s">
        <v>152</v>
      </c>
      <c r="H578" s="27" t="s">
        <v>208</v>
      </c>
      <c r="I578" s="27" t="s">
        <v>204</v>
      </c>
      <c r="J578" s="27" t="s">
        <v>373</v>
      </c>
      <c r="K578" s="27" t="s">
        <v>424</v>
      </c>
      <c r="L578" s="3" t="str">
        <f aca="false">IF(ISNUMBER(SEARCH(" m",I578)),"Range",IF(I578="offline","Offline",IF(I578="","Unknown","No echo / error")))</f>
        <v>No echo / error</v>
      </c>
      <c r="M578" s="3" t="str">
        <f aca="false">IF(ISNUMBER(SEARCH(" m",J578)),"Range",IF(J578="offline","Offline",IF(J578="","Unknown","No echo / error")))</f>
        <v>Range</v>
      </c>
      <c r="N578" s="3" t="str">
        <f aca="false">IF(ISNUMBER(SEARCH(" m",K578)),"Range",IF(K578="offline","Offline",IF(K578="","Unknown","No echo / error")))</f>
        <v>Range</v>
      </c>
      <c r="O578" s="3" t="str">
        <f aca="false">TEXT(B578,"yyyy-mm-dd")</f>
        <v>2026-10-06</v>
      </c>
    </row>
    <row r="579" customFormat="false" ht="15" hidden="false" customHeight="false" outlineLevel="0" collapsed="false">
      <c r="A579" s="27" t="n">
        <v>10</v>
      </c>
      <c r="B579" s="28" t="n">
        <v>46301.4838486111</v>
      </c>
      <c r="C579" s="29" t="n">
        <f aca="false">IF(A580=A579,B580,INDEX(Rounds!$D:$D,MATCH(A579,Rounds!$A:$A,0)))</f>
        <v>46301.4838500926</v>
      </c>
      <c r="D579" s="30" t="n">
        <f aca="false">(B579-INDEX(Rounds!$C:$C,MATCH(A579,Rounds!$A:$A,0)))*86400</f>
        <v>64.68099975</v>
      </c>
      <c r="E579" s="30" t="n">
        <f aca="false">(C579-INDEX(Rounds!$C:$C,MATCH(A579,Rounds!$A:$A,0)))*86400</f>
        <v>64.808999584</v>
      </c>
      <c r="F579" s="31" t="n">
        <f aca="false">(C579-B579)*86400</f>
        <v>0.127999833</v>
      </c>
      <c r="G579" s="27" t="s">
        <v>151</v>
      </c>
      <c r="H579" s="27" t="s">
        <v>203</v>
      </c>
      <c r="I579" s="27" t="s">
        <v>204</v>
      </c>
      <c r="J579" s="27" t="s">
        <v>282</v>
      </c>
      <c r="K579" s="27" t="s">
        <v>431</v>
      </c>
      <c r="L579" s="3" t="str">
        <f aca="false">IF(ISNUMBER(SEARCH(" m",I579)),"Range",IF(I579="offline","Offline",IF(I579="","Unknown","No echo / error")))</f>
        <v>No echo / error</v>
      </c>
      <c r="M579" s="3" t="str">
        <f aca="false">IF(ISNUMBER(SEARCH(" m",J579)),"Range",IF(J579="offline","Offline",IF(J579="","Unknown","No echo / error")))</f>
        <v>Range</v>
      </c>
      <c r="N579" s="3" t="str">
        <f aca="false">IF(ISNUMBER(SEARCH(" m",K579)),"Range",IF(K579="offline","Offline",IF(K579="","Unknown","No echo / error")))</f>
        <v>Range</v>
      </c>
      <c r="O579" s="3" t="str">
        <f aca="false">TEXT(B579,"yyyy-mm-dd")</f>
        <v>2026-10-06</v>
      </c>
    </row>
    <row r="580" customFormat="false" ht="15" hidden="false" customHeight="false" outlineLevel="0" collapsed="false">
      <c r="A580" s="27" t="n">
        <v>10</v>
      </c>
      <c r="B580" s="28" t="n">
        <v>46301.4838500926</v>
      </c>
      <c r="C580" s="29" t="n">
        <f aca="false">IF(A581=A580,B581,INDEX(Rounds!$D:$D,MATCH(A580,Rounds!$A:$A,0)))</f>
        <v>46301.4838579051</v>
      </c>
      <c r="D580" s="30" t="n">
        <f aca="false">(B580-INDEX(Rounds!$C:$C,MATCH(A580,Rounds!$A:$A,0)))*86400</f>
        <v>64.808999584</v>
      </c>
      <c r="E580" s="30" t="n">
        <f aca="false">(C580-INDEX(Rounds!$C:$C,MATCH(A580,Rounds!$A:$A,0)))*86400</f>
        <v>65.483999694</v>
      </c>
      <c r="F580" s="31" t="n">
        <f aca="false">(C580-B580)*86400</f>
        <v>0.67500011</v>
      </c>
      <c r="G580" s="27" t="s">
        <v>150</v>
      </c>
      <c r="H580" s="27" t="s">
        <v>206</v>
      </c>
      <c r="I580" s="27" t="s">
        <v>204</v>
      </c>
      <c r="J580" s="27" t="s">
        <v>282</v>
      </c>
      <c r="K580" s="27" t="s">
        <v>351</v>
      </c>
      <c r="L580" s="3" t="str">
        <f aca="false">IF(ISNUMBER(SEARCH(" m",I580)),"Range",IF(I580="offline","Offline",IF(I580="","Unknown","No echo / error")))</f>
        <v>No echo / error</v>
      </c>
      <c r="M580" s="3" t="str">
        <f aca="false">IF(ISNUMBER(SEARCH(" m",J580)),"Range",IF(J580="offline","Offline",IF(J580="","Unknown","No echo / error")))</f>
        <v>Range</v>
      </c>
      <c r="N580" s="3" t="str">
        <f aca="false">IF(ISNUMBER(SEARCH(" m",K580)),"Range",IF(K580="offline","Offline",IF(K580="","Unknown","No echo / error")))</f>
        <v>Range</v>
      </c>
      <c r="O580" s="3" t="str">
        <f aca="false">TEXT(B580,"yyyy-mm-dd")</f>
        <v>2026-10-06</v>
      </c>
    </row>
    <row r="581" customFormat="false" ht="15" hidden="false" customHeight="false" outlineLevel="0" collapsed="false">
      <c r="A581" s="27" t="n">
        <v>10</v>
      </c>
      <c r="B581" s="28" t="n">
        <v>46301.4838579051</v>
      </c>
      <c r="C581" s="29" t="n">
        <f aca="false">IF(A582=A581,B582,INDEX(Rounds!$D:$D,MATCH(A581,Rounds!$A:$A,0)))</f>
        <v>46301.4838635185</v>
      </c>
      <c r="D581" s="30" t="n">
        <f aca="false">(B581-INDEX(Rounds!$C:$C,MATCH(A581,Rounds!$A:$A,0)))*86400</f>
        <v>65.483999694</v>
      </c>
      <c r="E581" s="30" t="n">
        <f aca="false">(C581-INDEX(Rounds!$C:$C,MATCH(A581,Rounds!$A:$A,0)))*86400</f>
        <v>65.969000081</v>
      </c>
      <c r="F581" s="31" t="n">
        <f aca="false">(C581-B581)*86400</f>
        <v>0.485000386</v>
      </c>
      <c r="G581" s="27" t="s">
        <v>151</v>
      </c>
      <c r="H581" s="27" t="s">
        <v>203</v>
      </c>
      <c r="I581" s="27" t="s">
        <v>204</v>
      </c>
      <c r="J581" s="27" t="s">
        <v>390</v>
      </c>
      <c r="K581" s="27" t="s">
        <v>281</v>
      </c>
      <c r="L581" s="3" t="str">
        <f aca="false">IF(ISNUMBER(SEARCH(" m",I581)),"Range",IF(I581="offline","Offline",IF(I581="","Unknown","No echo / error")))</f>
        <v>No echo / error</v>
      </c>
      <c r="M581" s="3" t="str">
        <f aca="false">IF(ISNUMBER(SEARCH(" m",J581)),"Range",IF(J581="offline","Offline",IF(J581="","Unknown","No echo / error")))</f>
        <v>Range</v>
      </c>
      <c r="N581" s="3" t="str">
        <f aca="false">IF(ISNUMBER(SEARCH(" m",K581)),"Range",IF(K581="offline","Offline",IF(K581="","Unknown","No echo / error")))</f>
        <v>Range</v>
      </c>
      <c r="O581" s="3" t="str">
        <f aca="false">TEXT(B581,"yyyy-mm-dd")</f>
        <v>2026-10-06</v>
      </c>
    </row>
    <row r="582" customFormat="false" ht="15" hidden="false" customHeight="false" outlineLevel="0" collapsed="false">
      <c r="A582" s="27" t="n">
        <v>10</v>
      </c>
      <c r="B582" s="28" t="n">
        <v>46301.4838635185</v>
      </c>
      <c r="C582" s="29" t="n">
        <f aca="false">IF(A583=A582,B583,INDEX(Rounds!$D:$D,MATCH(A582,Rounds!$A:$A,0)))</f>
        <v>46301.4838637037</v>
      </c>
      <c r="D582" s="30" t="n">
        <f aca="false">(B582-INDEX(Rounds!$C:$C,MATCH(A582,Rounds!$A:$A,0)))*86400</f>
        <v>65.969000081</v>
      </c>
      <c r="E582" s="30" t="n">
        <f aca="false">(C582-INDEX(Rounds!$C:$C,MATCH(A582,Rounds!$A:$A,0)))*86400</f>
        <v>65.984999667</v>
      </c>
      <c r="F582" s="31" t="n">
        <f aca="false">(C582-B582)*86400</f>
        <v>0.015999586</v>
      </c>
      <c r="G582" s="27" t="s">
        <v>152</v>
      </c>
      <c r="H582" s="27" t="s">
        <v>208</v>
      </c>
      <c r="I582" s="27" t="s">
        <v>220</v>
      </c>
      <c r="J582" s="27" t="s">
        <v>390</v>
      </c>
      <c r="K582" s="27" t="s">
        <v>281</v>
      </c>
      <c r="L582" s="3" t="str">
        <f aca="false">IF(ISNUMBER(SEARCH(" m",I582)),"Range",IF(I582="offline","Offline",IF(I582="","Unknown","No echo / error")))</f>
        <v>No echo / error</v>
      </c>
      <c r="M582" s="3" t="str">
        <f aca="false">IF(ISNUMBER(SEARCH(" m",J582)),"Range",IF(J582="offline","Offline",IF(J582="","Unknown","No echo / error")))</f>
        <v>Range</v>
      </c>
      <c r="N582" s="3" t="str">
        <f aca="false">IF(ISNUMBER(SEARCH(" m",K582)),"Range",IF(K582="offline","Offline",IF(K582="","Unknown","No echo / error")))</f>
        <v>Range</v>
      </c>
      <c r="O582" s="3" t="str">
        <f aca="false">TEXT(B582,"yyyy-mm-dd")</f>
        <v>2026-10-06</v>
      </c>
    </row>
    <row r="583" customFormat="false" ht="15" hidden="false" customHeight="false" outlineLevel="0" collapsed="false">
      <c r="A583" s="27" t="n">
        <v>10</v>
      </c>
      <c r="B583" s="28" t="n">
        <v>46301.4838637037</v>
      </c>
      <c r="C583" s="29" t="n">
        <f aca="false">IF(A584=A583,B584,INDEX(Rounds!$D:$D,MATCH(A583,Rounds!$A:$A,0)))</f>
        <v>46301.4838653704</v>
      </c>
      <c r="D583" s="30" t="n">
        <f aca="false">(B583-INDEX(Rounds!$C:$C,MATCH(A583,Rounds!$A:$A,0)))*86400</f>
        <v>65.984999667</v>
      </c>
      <c r="E583" s="30" t="n">
        <f aca="false">(C583-INDEX(Rounds!$C:$C,MATCH(A583,Rounds!$A:$A,0)))*86400</f>
        <v>66.128999716</v>
      </c>
      <c r="F583" s="31" t="n">
        <f aca="false">(C583-B583)*86400</f>
        <v>0.144000048</v>
      </c>
      <c r="G583" s="27" t="s">
        <v>151</v>
      </c>
      <c r="H583" s="27" t="s">
        <v>203</v>
      </c>
      <c r="I583" s="27" t="s">
        <v>220</v>
      </c>
      <c r="J583" s="27" t="s">
        <v>313</v>
      </c>
      <c r="K583" s="27" t="s">
        <v>281</v>
      </c>
      <c r="L583" s="3" t="str">
        <f aca="false">IF(ISNUMBER(SEARCH(" m",I583)),"Range",IF(I583="offline","Offline",IF(I583="","Unknown","No echo / error")))</f>
        <v>No echo / error</v>
      </c>
      <c r="M583" s="3" t="str">
        <f aca="false">IF(ISNUMBER(SEARCH(" m",J583)),"Range",IF(J583="offline","Offline",IF(J583="","Unknown","No echo / error")))</f>
        <v>Range</v>
      </c>
      <c r="N583" s="3" t="str">
        <f aca="false">IF(ISNUMBER(SEARCH(" m",K583)),"Range",IF(K583="offline","Offline",IF(K583="","Unknown","No echo / error")))</f>
        <v>Range</v>
      </c>
      <c r="O583" s="3" t="str">
        <f aca="false">TEXT(B583,"yyyy-mm-dd")</f>
        <v>2026-10-06</v>
      </c>
    </row>
    <row r="584" customFormat="false" ht="15" hidden="false" customHeight="false" outlineLevel="0" collapsed="false">
      <c r="A584" s="27" t="n">
        <v>10</v>
      </c>
      <c r="B584" s="28" t="n">
        <v>46301.4838653704</v>
      </c>
      <c r="C584" s="29" t="n">
        <f aca="false">IF(A585=A584,B585,INDEX(Rounds!$D:$D,MATCH(A584,Rounds!$A:$A,0)))</f>
        <v>46301.4838709491</v>
      </c>
      <c r="D584" s="30" t="n">
        <f aca="false">(B584-INDEX(Rounds!$C:$C,MATCH(A584,Rounds!$A:$A,0)))*86400</f>
        <v>66.128999716</v>
      </c>
      <c r="E584" s="30" t="n">
        <f aca="false">(C584-INDEX(Rounds!$C:$C,MATCH(A584,Rounds!$A:$A,0)))*86400</f>
        <v>66.610999591</v>
      </c>
      <c r="F584" s="31" t="n">
        <f aca="false">(C584-B584)*86400</f>
        <v>0.481999875</v>
      </c>
      <c r="G584" s="27" t="s">
        <v>150</v>
      </c>
      <c r="H584" s="27" t="s">
        <v>206</v>
      </c>
      <c r="I584" s="27" t="s">
        <v>220</v>
      </c>
      <c r="J584" s="27" t="s">
        <v>313</v>
      </c>
      <c r="K584" s="27" t="s">
        <v>250</v>
      </c>
      <c r="L584" s="3" t="str">
        <f aca="false">IF(ISNUMBER(SEARCH(" m",I584)),"Range",IF(I584="offline","Offline",IF(I584="","Unknown","No echo / error")))</f>
        <v>No echo / error</v>
      </c>
      <c r="M584" s="3" t="str">
        <f aca="false">IF(ISNUMBER(SEARCH(" m",J584)),"Range",IF(J584="offline","Offline",IF(J584="","Unknown","No echo / error")))</f>
        <v>Range</v>
      </c>
      <c r="N584" s="3" t="str">
        <f aca="false">IF(ISNUMBER(SEARCH(" m",K584)),"Range",IF(K584="offline","Offline",IF(K584="","Unknown","No echo / error")))</f>
        <v>Range</v>
      </c>
      <c r="O584" s="3" t="str">
        <f aca="false">TEXT(B584,"yyyy-mm-dd")</f>
        <v>2026-10-06</v>
      </c>
    </row>
    <row r="585" customFormat="false" ht="15" hidden="false" customHeight="false" outlineLevel="0" collapsed="false">
      <c r="A585" s="27" t="n">
        <v>10</v>
      </c>
      <c r="B585" s="28" t="n">
        <v>46301.4838709491</v>
      </c>
      <c r="C585" s="29" t="n">
        <f aca="false">IF(A586=A585,B586,INDEX(Rounds!$D:$D,MATCH(A585,Rounds!$A:$A,0)))</f>
        <v>46301.4838709491</v>
      </c>
      <c r="D585" s="30" t="n">
        <f aca="false">(B585-INDEX(Rounds!$C:$C,MATCH(A585,Rounds!$A:$A,0)))*86400</f>
        <v>66.610999591</v>
      </c>
      <c r="E585" s="30" t="n">
        <f aca="false">(C585-INDEX(Rounds!$C:$C,MATCH(A585,Rounds!$A:$A,0)))*86400</f>
        <v>66.610999591</v>
      </c>
      <c r="F585" s="31" t="n">
        <f aca="false">(C585-B585)*86400</f>
        <v>0</v>
      </c>
      <c r="G585" s="27" t="s">
        <v>154</v>
      </c>
      <c r="H585" s="27" t="s">
        <v>206</v>
      </c>
      <c r="I585" s="27" t="s">
        <v>220</v>
      </c>
      <c r="J585" s="27" t="s">
        <v>313</v>
      </c>
      <c r="K585" s="27" t="s">
        <v>250</v>
      </c>
      <c r="L585" s="3" t="str">
        <f aca="false">IF(ISNUMBER(SEARCH(" m",I585)),"Range",IF(I585="offline","Offline",IF(I585="","Unknown","No echo / error")))</f>
        <v>No echo / error</v>
      </c>
      <c r="M585" s="3" t="str">
        <f aca="false">IF(ISNUMBER(SEARCH(" m",J585)),"Range",IF(J585="offline","Offline",IF(J585="","Unknown","No echo / error")))</f>
        <v>Range</v>
      </c>
      <c r="N585" s="3" t="str">
        <f aca="false">IF(ISNUMBER(SEARCH(" m",K585)),"Range",IF(K585="offline","Offline",IF(K585="","Unknown","No echo / error")))</f>
        <v>Range</v>
      </c>
      <c r="O585" s="3" t="str">
        <f aca="false">TEXT(B585,"yyyy-mm-dd")</f>
        <v>2026-10-06</v>
      </c>
    </row>
    <row r="586" customFormat="false" ht="15" hidden="false" customHeight="false" outlineLevel="0" collapsed="false">
      <c r="A586" s="27" t="n">
        <v>11</v>
      </c>
      <c r="B586" s="28" t="n">
        <v>46301.4851254282</v>
      </c>
      <c r="C586" s="29" t="n">
        <f aca="false">IF(A587=A586,B587,INDEX(Rounds!$D:$D,MATCH(A586,Rounds!$A:$A,0)))</f>
        <v>46301.4851254282</v>
      </c>
      <c r="D586" s="30" t="n">
        <f aca="false">(B586-INDEX(Rounds!$C:$C,MATCH(A586,Rounds!$A:$A,0)))*86400</f>
        <v>0</v>
      </c>
      <c r="E586" s="30" t="n">
        <f aca="false">(C586-INDEX(Rounds!$C:$C,MATCH(A586,Rounds!$A:$A,0)))*86400</f>
        <v>0</v>
      </c>
      <c r="F586" s="31" t="n">
        <f aca="false">(C586-B586)*86400</f>
        <v>0</v>
      </c>
      <c r="G586" s="27" t="s">
        <v>150</v>
      </c>
      <c r="H586" s="27" t="s">
        <v>206</v>
      </c>
      <c r="I586" s="27" t="s">
        <v>220</v>
      </c>
      <c r="J586" s="27" t="s">
        <v>313</v>
      </c>
      <c r="K586" s="27" t="s">
        <v>250</v>
      </c>
      <c r="L586" s="3" t="str">
        <f aca="false">IF(ISNUMBER(SEARCH(" m",I586)),"Range",IF(I586="offline","Offline",IF(I586="","Unknown","No echo / error")))</f>
        <v>No echo / error</v>
      </c>
      <c r="M586" s="3" t="str">
        <f aca="false">IF(ISNUMBER(SEARCH(" m",J586)),"Range",IF(J586="offline","Offline",IF(J586="","Unknown","No echo / error")))</f>
        <v>Range</v>
      </c>
      <c r="N586" s="3" t="str">
        <f aca="false">IF(ISNUMBER(SEARCH(" m",K586)),"Range",IF(K586="offline","Offline",IF(K586="","Unknown","No echo / error")))</f>
        <v>Range</v>
      </c>
      <c r="O586" s="3" t="str">
        <f aca="false">TEXT(B586,"yyyy-mm-dd")</f>
        <v>2026-10-06</v>
      </c>
    </row>
    <row r="587" customFormat="false" ht="15" hidden="false" customHeight="false" outlineLevel="0" collapsed="false">
      <c r="A587" s="27" t="n">
        <v>11</v>
      </c>
      <c r="B587" s="28" t="n">
        <v>46301.4851254282</v>
      </c>
      <c r="C587" s="29" t="n">
        <f aca="false">IF(A588=A587,B588,INDEX(Rounds!$D:$D,MATCH(A587,Rounds!$A:$A,0)))</f>
        <v>46301.4851254282</v>
      </c>
      <c r="D587" s="30" t="n">
        <f aca="false">(B587-INDEX(Rounds!$C:$C,MATCH(A587,Rounds!$A:$A,0)))*86400</f>
        <v>0</v>
      </c>
      <c r="E587" s="30" t="n">
        <f aca="false">(C587-INDEX(Rounds!$C:$C,MATCH(A587,Rounds!$A:$A,0)))*86400</f>
        <v>0</v>
      </c>
      <c r="F587" s="31" t="n">
        <f aca="false">(C587-B587)*86400</f>
        <v>0</v>
      </c>
      <c r="G587" s="27" t="s">
        <v>150</v>
      </c>
      <c r="H587" s="27" t="s">
        <v>206</v>
      </c>
      <c r="I587" s="27" t="s">
        <v>220</v>
      </c>
      <c r="J587" s="27" t="s">
        <v>313</v>
      </c>
      <c r="K587" s="27" t="s">
        <v>250</v>
      </c>
      <c r="L587" s="3" t="str">
        <f aca="false">IF(ISNUMBER(SEARCH(" m",I587)),"Range",IF(I587="offline","Offline",IF(I587="","Unknown","No echo / error")))</f>
        <v>No echo / error</v>
      </c>
      <c r="M587" s="3" t="str">
        <f aca="false">IF(ISNUMBER(SEARCH(" m",J587)),"Range",IF(J587="offline","Offline",IF(J587="","Unknown","No echo / error")))</f>
        <v>Range</v>
      </c>
      <c r="N587" s="3" t="str">
        <f aca="false">IF(ISNUMBER(SEARCH(" m",K587)),"Range",IF(K587="offline","Offline",IF(K587="","Unknown","No echo / error")))</f>
        <v>Range</v>
      </c>
      <c r="O587" s="3" t="str">
        <f aca="false">TEXT(B587,"yyyy-mm-dd")</f>
        <v>2026-10-06</v>
      </c>
    </row>
    <row r="588" customFormat="false" ht="15" hidden="false" customHeight="false" outlineLevel="0" collapsed="false">
      <c r="A588" s="27" t="n">
        <v>11</v>
      </c>
      <c r="B588" s="28" t="n">
        <v>46301.4851254282</v>
      </c>
      <c r="C588" s="29" t="n">
        <f aca="false">IF(A589=A588,B589,INDEX(Rounds!$D:$D,MATCH(A588,Rounds!$A:$A,0)))</f>
        <v>46301.4851446181</v>
      </c>
      <c r="D588" s="30" t="n">
        <f aca="false">(B588-INDEX(Rounds!$C:$C,MATCH(A588,Rounds!$A:$A,0)))*86400</f>
        <v>0</v>
      </c>
      <c r="E588" s="30" t="n">
        <f aca="false">(C588-INDEX(Rounds!$C:$C,MATCH(A588,Rounds!$A:$A,0)))*86400</f>
        <v>1.65799933</v>
      </c>
      <c r="F588" s="31" t="n">
        <f aca="false">(C588-B588)*86400</f>
        <v>1.65799933</v>
      </c>
      <c r="G588" s="27" t="s">
        <v>152</v>
      </c>
      <c r="H588" s="27" t="s">
        <v>199</v>
      </c>
      <c r="I588" s="27" t="s">
        <v>470</v>
      </c>
      <c r="J588" s="27" t="s">
        <v>218</v>
      </c>
      <c r="K588" s="27" t="s">
        <v>274</v>
      </c>
      <c r="L588" s="3" t="str">
        <f aca="false">IF(ISNUMBER(SEARCH(" m",I588)),"Range",IF(I588="offline","Offline",IF(I588="","Unknown","No echo / error")))</f>
        <v>Range</v>
      </c>
      <c r="M588" s="3" t="str">
        <f aca="false">IF(ISNUMBER(SEARCH(" m",J588)),"Range",IF(J588="offline","Offline",IF(J588="","Unknown","No echo / error")))</f>
        <v>Range</v>
      </c>
      <c r="N588" s="3" t="str">
        <f aca="false">IF(ISNUMBER(SEARCH(" m",K588)),"Range",IF(K588="offline","Offline",IF(K588="","Unknown","No echo / error")))</f>
        <v>Range</v>
      </c>
      <c r="O588" s="3" t="str">
        <f aca="false">TEXT(B588,"yyyy-mm-dd")</f>
        <v>2026-10-06</v>
      </c>
    </row>
    <row r="589" customFormat="false" ht="15" hidden="false" customHeight="false" outlineLevel="0" collapsed="false">
      <c r="A589" s="27" t="n">
        <v>11</v>
      </c>
      <c r="B589" s="28" t="n">
        <v>46301.4851446181</v>
      </c>
      <c r="C589" s="29" t="n">
        <f aca="false">IF(A590=A589,B590,INDEX(Rounds!$D:$D,MATCH(A589,Rounds!$A:$A,0)))</f>
        <v>46301.4851519444</v>
      </c>
      <c r="D589" s="30" t="n">
        <f aca="false">(B589-INDEX(Rounds!$C:$C,MATCH(A589,Rounds!$A:$A,0)))*86400</f>
        <v>1.65799933</v>
      </c>
      <c r="E589" s="30" t="n">
        <f aca="false">(C589-INDEX(Rounds!$C:$C,MATCH(A589,Rounds!$A:$A,0)))*86400</f>
        <v>2.290999819</v>
      </c>
      <c r="F589" s="31" t="n">
        <f aca="false">(C589-B589)*86400</f>
        <v>0.633000489</v>
      </c>
      <c r="G589" s="27" t="s">
        <v>151</v>
      </c>
      <c r="H589" s="27" t="s">
        <v>203</v>
      </c>
      <c r="I589" s="27" t="s">
        <v>216</v>
      </c>
      <c r="J589" s="27" t="s">
        <v>271</v>
      </c>
      <c r="K589" s="27" t="s">
        <v>444</v>
      </c>
      <c r="L589" s="3" t="str">
        <f aca="false">IF(ISNUMBER(SEARCH(" m",I589)),"Range",IF(I589="offline","Offline",IF(I589="","Unknown","No echo / error")))</f>
        <v>Range</v>
      </c>
      <c r="M589" s="3" t="str">
        <f aca="false">IF(ISNUMBER(SEARCH(" m",J589)),"Range",IF(J589="offline","Offline",IF(J589="","Unknown","No echo / error")))</f>
        <v>Range</v>
      </c>
      <c r="N589" s="3" t="str">
        <f aca="false">IF(ISNUMBER(SEARCH(" m",K589)),"Range",IF(K589="offline","Offline",IF(K589="","Unknown","No echo / error")))</f>
        <v>Range</v>
      </c>
      <c r="O589" s="3" t="str">
        <f aca="false">TEXT(B589,"yyyy-mm-dd")</f>
        <v>2026-10-06</v>
      </c>
    </row>
    <row r="590" customFormat="false" ht="15" hidden="false" customHeight="false" outlineLevel="0" collapsed="false">
      <c r="A590" s="27" t="n">
        <v>11</v>
      </c>
      <c r="B590" s="28" t="n">
        <v>46301.4851519444</v>
      </c>
      <c r="C590" s="29" t="n">
        <f aca="false">IF(A591=A590,B591,INDEX(Rounds!$D:$D,MATCH(A590,Rounds!$A:$A,0)))</f>
        <v>46301.4851526968</v>
      </c>
      <c r="D590" s="30" t="n">
        <f aca="false">(B590-INDEX(Rounds!$C:$C,MATCH(A590,Rounds!$A:$A,0)))*86400</f>
        <v>2.290999819</v>
      </c>
      <c r="E590" s="30" t="n">
        <f aca="false">(C590-INDEX(Rounds!$C:$C,MATCH(A590,Rounds!$A:$A,0)))*86400</f>
        <v>2.356000221</v>
      </c>
      <c r="F590" s="31" t="n">
        <f aca="false">(C590-B590)*86400</f>
        <v>0.065000401</v>
      </c>
      <c r="G590" s="27" t="s">
        <v>152</v>
      </c>
      <c r="H590" s="27" t="s">
        <v>208</v>
      </c>
      <c r="I590" s="27" t="s">
        <v>381</v>
      </c>
      <c r="J590" s="27" t="s">
        <v>403</v>
      </c>
      <c r="K590" s="27" t="s">
        <v>444</v>
      </c>
      <c r="L590" s="3" t="str">
        <f aca="false">IF(ISNUMBER(SEARCH(" m",I590)),"Range",IF(I590="offline","Offline",IF(I590="","Unknown","No echo / error")))</f>
        <v>Range</v>
      </c>
      <c r="M590" s="3" t="str">
        <f aca="false">IF(ISNUMBER(SEARCH(" m",J590)),"Range",IF(J590="offline","Offline",IF(J590="","Unknown","No echo / error")))</f>
        <v>Range</v>
      </c>
      <c r="N590" s="3" t="str">
        <f aca="false">IF(ISNUMBER(SEARCH(" m",K590)),"Range",IF(K590="offline","Offline",IF(K590="","Unknown","No echo / error")))</f>
        <v>Range</v>
      </c>
      <c r="O590" s="3" t="str">
        <f aca="false">TEXT(B590,"yyyy-mm-dd")</f>
        <v>2026-10-06</v>
      </c>
    </row>
    <row r="591" customFormat="false" ht="15" hidden="false" customHeight="false" outlineLevel="0" collapsed="false">
      <c r="A591" s="27" t="n">
        <v>11</v>
      </c>
      <c r="B591" s="28" t="n">
        <v>46301.4851526968</v>
      </c>
      <c r="C591" s="29" t="n">
        <f aca="false">IF(A592=A591,B592,INDEX(Rounds!$D:$D,MATCH(A591,Rounds!$A:$A,0)))</f>
        <v>46301.4851583218</v>
      </c>
      <c r="D591" s="30" t="n">
        <f aca="false">(B591-INDEX(Rounds!$C:$C,MATCH(A591,Rounds!$A:$A,0)))*86400</f>
        <v>2.356000221</v>
      </c>
      <c r="E591" s="30" t="n">
        <f aca="false">(C591-INDEX(Rounds!$C:$C,MATCH(A591,Rounds!$A:$A,0)))*86400</f>
        <v>2.84200015</v>
      </c>
      <c r="F591" s="31" t="n">
        <f aca="false">(C591-B591)*86400</f>
        <v>0.485999928</v>
      </c>
      <c r="G591" s="27" t="s">
        <v>151</v>
      </c>
      <c r="H591" s="27" t="s">
        <v>203</v>
      </c>
      <c r="I591" s="27" t="s">
        <v>282</v>
      </c>
      <c r="J591" s="27" t="s">
        <v>403</v>
      </c>
      <c r="K591" s="27" t="s">
        <v>444</v>
      </c>
      <c r="L591" s="3" t="str">
        <f aca="false">IF(ISNUMBER(SEARCH(" m",I591)),"Range",IF(I591="offline","Offline",IF(I591="","Unknown","No echo / error")))</f>
        <v>Range</v>
      </c>
      <c r="M591" s="3" t="str">
        <f aca="false">IF(ISNUMBER(SEARCH(" m",J591)),"Range",IF(J591="offline","Offline",IF(J591="","Unknown","No echo / error")))</f>
        <v>Range</v>
      </c>
      <c r="N591" s="3" t="str">
        <f aca="false">IF(ISNUMBER(SEARCH(" m",K591)),"Range",IF(K591="offline","Offline",IF(K591="","Unknown","No echo / error")))</f>
        <v>Range</v>
      </c>
      <c r="O591" s="3" t="str">
        <f aca="false">TEXT(B591,"yyyy-mm-dd")</f>
        <v>2026-10-06</v>
      </c>
    </row>
    <row r="592" customFormat="false" ht="15" hidden="false" customHeight="false" outlineLevel="0" collapsed="false">
      <c r="A592" s="27" t="n">
        <v>11</v>
      </c>
      <c r="B592" s="28" t="n">
        <v>46301.4851583218</v>
      </c>
      <c r="C592" s="29" t="n">
        <f aca="false">IF(A593=A592,B593,INDEX(Rounds!$D:$D,MATCH(A592,Rounds!$A:$A,0)))</f>
        <v>46301.4851586921</v>
      </c>
      <c r="D592" s="30" t="n">
        <f aca="false">(B592-INDEX(Rounds!$C:$C,MATCH(A592,Rounds!$A:$A,0)))*86400</f>
        <v>2.84200015</v>
      </c>
      <c r="E592" s="30" t="n">
        <f aca="false">(C592-INDEX(Rounds!$C:$C,MATCH(A592,Rounds!$A:$A,0)))*86400</f>
        <v>2.873999951</v>
      </c>
      <c r="F592" s="31" t="n">
        <f aca="false">(C592-B592)*86400</f>
        <v>0.031999801</v>
      </c>
      <c r="G592" s="27" t="s">
        <v>152</v>
      </c>
      <c r="H592" s="27" t="s">
        <v>208</v>
      </c>
      <c r="I592" s="27" t="s">
        <v>282</v>
      </c>
      <c r="J592" s="27" t="s">
        <v>337</v>
      </c>
      <c r="K592" s="27" t="s">
        <v>220</v>
      </c>
      <c r="L592" s="3" t="str">
        <f aca="false">IF(ISNUMBER(SEARCH(" m",I592)),"Range",IF(I592="offline","Offline",IF(I592="","Unknown","No echo / error")))</f>
        <v>Range</v>
      </c>
      <c r="M592" s="3" t="str">
        <f aca="false">IF(ISNUMBER(SEARCH(" m",J592)),"Range",IF(J592="offline","Offline",IF(J592="","Unknown","No echo / error")))</f>
        <v>Range</v>
      </c>
      <c r="N592" s="3" t="str">
        <f aca="false">IF(ISNUMBER(SEARCH(" m",K592)),"Range",IF(K592="offline","Offline",IF(K592="","Unknown","No echo / error")))</f>
        <v>No echo / error</v>
      </c>
      <c r="O592" s="3" t="str">
        <f aca="false">TEXT(B592,"yyyy-mm-dd")</f>
        <v>2026-10-06</v>
      </c>
    </row>
    <row r="593" customFormat="false" ht="15" hidden="false" customHeight="false" outlineLevel="0" collapsed="false">
      <c r="A593" s="27" t="n">
        <v>11</v>
      </c>
      <c r="B593" s="28" t="n">
        <v>46301.4851586921</v>
      </c>
      <c r="C593" s="29" t="n">
        <f aca="false">IF(A594=A593,B594,INDEX(Rounds!$D:$D,MATCH(A593,Rounds!$A:$A,0)))</f>
        <v>46301.4851607407</v>
      </c>
      <c r="D593" s="30" t="n">
        <f aca="false">(B593-INDEX(Rounds!$C:$C,MATCH(A593,Rounds!$A:$A,0)))*86400</f>
        <v>2.873999951</v>
      </c>
      <c r="E593" s="30" t="n">
        <f aca="false">(C593-INDEX(Rounds!$C:$C,MATCH(A593,Rounds!$A:$A,0)))*86400</f>
        <v>3.050999972</v>
      </c>
      <c r="F593" s="31" t="n">
        <f aca="false">(C593-B593)*86400</f>
        <v>0.17700002</v>
      </c>
      <c r="G593" s="27" t="s">
        <v>151</v>
      </c>
      <c r="H593" s="27" t="s">
        <v>203</v>
      </c>
      <c r="I593" s="27" t="s">
        <v>351</v>
      </c>
      <c r="J593" s="27" t="s">
        <v>337</v>
      </c>
      <c r="K593" s="27" t="s">
        <v>220</v>
      </c>
      <c r="L593" s="3" t="str">
        <f aca="false">IF(ISNUMBER(SEARCH(" m",I593)),"Range",IF(I593="offline","Offline",IF(I593="","Unknown","No echo / error")))</f>
        <v>Range</v>
      </c>
      <c r="M593" s="3" t="str">
        <f aca="false">IF(ISNUMBER(SEARCH(" m",J593)),"Range",IF(J593="offline","Offline",IF(J593="","Unknown","No echo / error")))</f>
        <v>Range</v>
      </c>
      <c r="N593" s="3" t="str">
        <f aca="false">IF(ISNUMBER(SEARCH(" m",K593)),"Range",IF(K593="offline","Offline",IF(K593="","Unknown","No echo / error")))</f>
        <v>No echo / error</v>
      </c>
      <c r="O593" s="3" t="str">
        <f aca="false">TEXT(B593,"yyyy-mm-dd")</f>
        <v>2026-10-06</v>
      </c>
    </row>
    <row r="594" customFormat="false" ht="15" hidden="false" customHeight="false" outlineLevel="0" collapsed="false">
      <c r="A594" s="27" t="n">
        <v>11</v>
      </c>
      <c r="B594" s="28" t="n">
        <v>46301.4851607407</v>
      </c>
      <c r="C594" s="29" t="n">
        <f aca="false">IF(A595=A594,B595,INDEX(Rounds!$D:$D,MATCH(A594,Rounds!$A:$A,0)))</f>
        <v>46301.4852046065</v>
      </c>
      <c r="D594" s="30" t="n">
        <f aca="false">(B594-INDEX(Rounds!$C:$C,MATCH(A594,Rounds!$A:$A,0)))*86400</f>
        <v>3.050999972</v>
      </c>
      <c r="E594" s="30" t="n">
        <f aca="false">(C594-INDEX(Rounds!$C:$C,MATCH(A594,Rounds!$A:$A,0)))*86400</f>
        <v>6.840999657</v>
      </c>
      <c r="F594" s="31" t="n">
        <f aca="false">(C594-B594)*86400</f>
        <v>3.789999685</v>
      </c>
      <c r="G594" s="27" t="s">
        <v>153</v>
      </c>
      <c r="H594" s="27" t="s">
        <v>324</v>
      </c>
      <c r="I594" s="27" t="s">
        <v>351</v>
      </c>
      <c r="J594" s="27" t="s">
        <v>309</v>
      </c>
      <c r="K594" s="27" t="s">
        <v>220</v>
      </c>
      <c r="L594" s="3" t="str">
        <f aca="false">IF(ISNUMBER(SEARCH(" m",I594)),"Range",IF(I594="offline","Offline",IF(I594="","Unknown","No echo / error")))</f>
        <v>Range</v>
      </c>
      <c r="M594" s="3" t="str">
        <f aca="false">IF(ISNUMBER(SEARCH(" m",J594)),"Range",IF(J594="offline","Offline",IF(J594="","Unknown","No echo / error")))</f>
        <v>Range</v>
      </c>
      <c r="N594" s="3" t="str">
        <f aca="false">IF(ISNUMBER(SEARCH(" m",K594)),"Range",IF(K594="offline","Offline",IF(K594="","Unknown","No echo / error")))</f>
        <v>No echo / error</v>
      </c>
      <c r="O594" s="3" t="str">
        <f aca="false">TEXT(B594,"yyyy-mm-dd")</f>
        <v>2026-10-06</v>
      </c>
    </row>
    <row r="595" customFormat="false" ht="15" hidden="false" customHeight="false" outlineLevel="0" collapsed="false">
      <c r="A595" s="27" t="n">
        <v>11</v>
      </c>
      <c r="B595" s="28" t="n">
        <v>46301.4852046065</v>
      </c>
      <c r="C595" s="29" t="n">
        <f aca="false">IF(A596=A595,B596,INDEX(Rounds!$D:$D,MATCH(A595,Rounds!$A:$A,0)))</f>
        <v>46301.4852223264</v>
      </c>
      <c r="D595" s="30" t="n">
        <f aca="false">(B595-INDEX(Rounds!$C:$C,MATCH(A595,Rounds!$A:$A,0)))*86400</f>
        <v>6.840999657</v>
      </c>
      <c r="E595" s="30" t="n">
        <f aca="false">(C595-INDEX(Rounds!$C:$C,MATCH(A595,Rounds!$A:$A,0)))*86400</f>
        <v>8.371999952</v>
      </c>
      <c r="F595" s="31" t="n">
        <f aca="false">(C595-B595)*86400</f>
        <v>1.531000295</v>
      </c>
      <c r="G595" s="27" t="s">
        <v>150</v>
      </c>
      <c r="H595" s="27" t="s">
        <v>206</v>
      </c>
      <c r="I595" s="27" t="s">
        <v>463</v>
      </c>
      <c r="J595" s="27" t="s">
        <v>305</v>
      </c>
      <c r="K595" s="27" t="s">
        <v>357</v>
      </c>
      <c r="L595" s="3" t="str">
        <f aca="false">IF(ISNUMBER(SEARCH(" m",I595)),"Range",IF(I595="offline","Offline",IF(I595="","Unknown","No echo / error")))</f>
        <v>Range</v>
      </c>
      <c r="M595" s="3" t="str">
        <f aca="false">IF(ISNUMBER(SEARCH(" m",J595)),"Range",IF(J595="offline","Offline",IF(J595="","Unknown","No echo / error")))</f>
        <v>Range</v>
      </c>
      <c r="N595" s="3" t="str">
        <f aca="false">IF(ISNUMBER(SEARCH(" m",K595)),"Range",IF(K595="offline","Offline",IF(K595="","Unknown","No echo / error")))</f>
        <v>Range</v>
      </c>
      <c r="O595" s="3" t="str">
        <f aca="false">TEXT(B595,"yyyy-mm-dd")</f>
        <v>2026-10-06</v>
      </c>
    </row>
    <row r="596" customFormat="false" ht="15" hidden="false" customHeight="false" outlineLevel="0" collapsed="false">
      <c r="A596" s="27" t="n">
        <v>11</v>
      </c>
      <c r="B596" s="28" t="n">
        <v>46301.4852223264</v>
      </c>
      <c r="C596" s="29" t="n">
        <f aca="false">IF(A597=A596,B597,INDEX(Rounds!$D:$D,MATCH(A596,Rounds!$A:$A,0)))</f>
        <v>46301.4852229167</v>
      </c>
      <c r="D596" s="30" t="n">
        <f aca="false">(B596-INDEX(Rounds!$C:$C,MATCH(A596,Rounds!$A:$A,0)))*86400</f>
        <v>8.371999952</v>
      </c>
      <c r="E596" s="30" t="n">
        <f aca="false">(C596-INDEX(Rounds!$C:$C,MATCH(A596,Rounds!$A:$A,0)))*86400</f>
        <v>8.422999223</v>
      </c>
      <c r="F596" s="31" t="n">
        <f aca="false">(C596-B596)*86400</f>
        <v>0.05099927</v>
      </c>
      <c r="G596" s="27" t="s">
        <v>152</v>
      </c>
      <c r="H596" s="27" t="s">
        <v>208</v>
      </c>
      <c r="I596" s="27" t="s">
        <v>471</v>
      </c>
      <c r="J596" s="27" t="s">
        <v>402</v>
      </c>
      <c r="K596" s="27" t="s">
        <v>216</v>
      </c>
      <c r="L596" s="3" t="str">
        <f aca="false">IF(ISNUMBER(SEARCH(" m",I596)),"Range",IF(I596="offline","Offline",IF(I596="","Unknown","No echo / error")))</f>
        <v>Range</v>
      </c>
      <c r="M596" s="3" t="str">
        <f aca="false">IF(ISNUMBER(SEARCH(" m",J596)),"Range",IF(J596="offline","Offline",IF(J596="","Unknown","No echo / error")))</f>
        <v>Range</v>
      </c>
      <c r="N596" s="3" t="str">
        <f aca="false">IF(ISNUMBER(SEARCH(" m",K596)),"Range",IF(K596="offline","Offline",IF(K596="","Unknown","No echo / error")))</f>
        <v>Range</v>
      </c>
      <c r="O596" s="3" t="str">
        <f aca="false">TEXT(B596,"yyyy-mm-dd")</f>
        <v>2026-10-06</v>
      </c>
    </row>
    <row r="597" customFormat="false" ht="15" hidden="false" customHeight="false" outlineLevel="0" collapsed="false">
      <c r="A597" s="27" t="n">
        <v>11</v>
      </c>
      <c r="B597" s="28" t="n">
        <v>46301.4852229167</v>
      </c>
      <c r="C597" s="29" t="n">
        <f aca="false">IF(A598=A597,B598,INDEX(Rounds!$D:$D,MATCH(A597,Rounds!$A:$A,0)))</f>
        <v>46301.4852272222</v>
      </c>
      <c r="D597" s="30" t="n">
        <f aca="false">(B597-INDEX(Rounds!$C:$C,MATCH(A597,Rounds!$A:$A,0)))*86400</f>
        <v>8.422999223</v>
      </c>
      <c r="E597" s="30" t="n">
        <f aca="false">(C597-INDEX(Rounds!$C:$C,MATCH(A597,Rounds!$A:$A,0)))*86400</f>
        <v>8.794999821</v>
      </c>
      <c r="F597" s="31" t="n">
        <f aca="false">(C597-B597)*86400</f>
        <v>0.372000597</v>
      </c>
      <c r="G597" s="27" t="s">
        <v>151</v>
      </c>
      <c r="H597" s="27" t="s">
        <v>203</v>
      </c>
      <c r="I597" s="27" t="s">
        <v>471</v>
      </c>
      <c r="J597" s="27" t="s">
        <v>402</v>
      </c>
      <c r="K597" s="27" t="s">
        <v>221</v>
      </c>
      <c r="L597" s="3" t="str">
        <f aca="false">IF(ISNUMBER(SEARCH(" m",I597)),"Range",IF(I597="offline","Offline",IF(I597="","Unknown","No echo / error")))</f>
        <v>Range</v>
      </c>
      <c r="M597" s="3" t="str">
        <f aca="false">IF(ISNUMBER(SEARCH(" m",J597)),"Range",IF(J597="offline","Offline",IF(J597="","Unknown","No echo / error")))</f>
        <v>Range</v>
      </c>
      <c r="N597" s="3" t="str">
        <f aca="false">IF(ISNUMBER(SEARCH(" m",K597)),"Range",IF(K597="offline","Offline",IF(K597="","Unknown","No echo / error")))</f>
        <v>Range</v>
      </c>
      <c r="O597" s="3" t="str">
        <f aca="false">TEXT(B597,"yyyy-mm-dd")</f>
        <v>2026-10-06</v>
      </c>
    </row>
    <row r="598" customFormat="false" ht="15" hidden="false" customHeight="false" outlineLevel="0" collapsed="false">
      <c r="A598" s="27" t="n">
        <v>11</v>
      </c>
      <c r="B598" s="28" t="n">
        <v>46301.4852272222</v>
      </c>
      <c r="C598" s="29" t="n">
        <f aca="false">IF(A599=A598,B599,INDEX(Rounds!$D:$D,MATCH(A598,Rounds!$A:$A,0)))</f>
        <v>46301.4852322338</v>
      </c>
      <c r="D598" s="30" t="n">
        <f aca="false">(B598-INDEX(Rounds!$C:$C,MATCH(A598,Rounds!$A:$A,0)))*86400</f>
        <v>8.794999821</v>
      </c>
      <c r="E598" s="30" t="n">
        <f aca="false">(C598-INDEX(Rounds!$C:$C,MATCH(A598,Rounds!$A:$A,0)))*86400</f>
        <v>9.228000137</v>
      </c>
      <c r="F598" s="31" t="n">
        <f aca="false">(C598-B598)*86400</f>
        <v>0.433000316</v>
      </c>
      <c r="G598" s="27" t="s">
        <v>150</v>
      </c>
      <c r="H598" s="27" t="s">
        <v>206</v>
      </c>
      <c r="I598" s="27" t="s">
        <v>204</v>
      </c>
      <c r="J598" s="27" t="s">
        <v>202</v>
      </c>
      <c r="K598" s="27" t="s">
        <v>221</v>
      </c>
      <c r="L598" s="3" t="str">
        <f aca="false">IF(ISNUMBER(SEARCH(" m",I598)),"Range",IF(I598="offline","Offline",IF(I598="","Unknown","No echo / error")))</f>
        <v>No echo / error</v>
      </c>
      <c r="M598" s="3" t="str">
        <f aca="false">IF(ISNUMBER(SEARCH(" m",J598)),"Range",IF(J598="offline","Offline",IF(J598="","Unknown","No echo / error")))</f>
        <v>Range</v>
      </c>
      <c r="N598" s="3" t="str">
        <f aca="false">IF(ISNUMBER(SEARCH(" m",K598)),"Range",IF(K598="offline","Offline",IF(K598="","Unknown","No echo / error")))</f>
        <v>Range</v>
      </c>
      <c r="O598" s="3" t="str">
        <f aca="false">TEXT(B598,"yyyy-mm-dd")</f>
        <v>2026-10-06</v>
      </c>
    </row>
    <row r="599" customFormat="false" ht="15" hidden="false" customHeight="false" outlineLevel="0" collapsed="false">
      <c r="A599" s="27" t="n">
        <v>11</v>
      </c>
      <c r="B599" s="28" t="n">
        <v>46301.4852322338</v>
      </c>
      <c r="C599" s="29" t="n">
        <f aca="false">IF(A600=A599,B600,INDEX(Rounds!$D:$D,MATCH(A599,Rounds!$A:$A,0)))</f>
        <v>46301.4852333449</v>
      </c>
      <c r="D599" s="30" t="n">
        <f aca="false">(B599-INDEX(Rounds!$C:$C,MATCH(A599,Rounds!$A:$A,0)))*86400</f>
        <v>9.228000137</v>
      </c>
      <c r="E599" s="30" t="n">
        <f aca="false">(C599-INDEX(Rounds!$C:$C,MATCH(A599,Rounds!$A:$A,0)))*86400</f>
        <v>9.32400017</v>
      </c>
      <c r="F599" s="31" t="n">
        <f aca="false">(C599-B599)*86400</f>
        <v>0.096000032</v>
      </c>
      <c r="G599" s="27" t="s">
        <v>152</v>
      </c>
      <c r="H599" s="27" t="s">
        <v>208</v>
      </c>
      <c r="I599" s="27" t="s">
        <v>472</v>
      </c>
      <c r="J599" s="27" t="s">
        <v>305</v>
      </c>
      <c r="K599" s="27" t="s">
        <v>236</v>
      </c>
      <c r="L599" s="3" t="str">
        <f aca="false">IF(ISNUMBER(SEARCH(" m",I599)),"Range",IF(I599="offline","Offline",IF(I599="","Unknown","No echo / error")))</f>
        <v>Range</v>
      </c>
      <c r="M599" s="3" t="str">
        <f aca="false">IF(ISNUMBER(SEARCH(" m",J599)),"Range",IF(J599="offline","Offline",IF(J599="","Unknown","No echo / error")))</f>
        <v>Range</v>
      </c>
      <c r="N599" s="3" t="str">
        <f aca="false">IF(ISNUMBER(SEARCH(" m",K599)),"Range",IF(K599="offline","Offline",IF(K599="","Unknown","No echo / error")))</f>
        <v>Range</v>
      </c>
      <c r="O599" s="3" t="str">
        <f aca="false">TEXT(B599,"yyyy-mm-dd")</f>
        <v>2026-10-06</v>
      </c>
    </row>
    <row r="600" customFormat="false" ht="15" hidden="false" customHeight="false" outlineLevel="0" collapsed="false">
      <c r="A600" s="27" t="n">
        <v>11</v>
      </c>
      <c r="B600" s="28" t="n">
        <v>46301.4852333449</v>
      </c>
      <c r="C600" s="29" t="n">
        <f aca="false">IF(A601=A600,B601,INDEX(Rounds!$D:$D,MATCH(A600,Rounds!$A:$A,0)))</f>
        <v>46301.4852350347</v>
      </c>
      <c r="D600" s="30" t="n">
        <f aca="false">(B600-INDEX(Rounds!$C:$C,MATCH(A600,Rounds!$A:$A,0)))*86400</f>
        <v>9.32400017</v>
      </c>
      <c r="E600" s="30" t="n">
        <f aca="false">(C600-INDEX(Rounds!$C:$C,MATCH(A600,Rounds!$A:$A,0)))*86400</f>
        <v>9.469999931</v>
      </c>
      <c r="F600" s="31" t="n">
        <f aca="false">(C600-B600)*86400</f>
        <v>0.145999761</v>
      </c>
      <c r="G600" s="27" t="s">
        <v>151</v>
      </c>
      <c r="H600" s="27" t="s">
        <v>203</v>
      </c>
      <c r="I600" s="27" t="s">
        <v>472</v>
      </c>
      <c r="J600" s="27" t="s">
        <v>305</v>
      </c>
      <c r="K600" s="27" t="s">
        <v>357</v>
      </c>
      <c r="L600" s="3" t="str">
        <f aca="false">IF(ISNUMBER(SEARCH(" m",I600)),"Range",IF(I600="offline","Offline",IF(I600="","Unknown","No echo / error")))</f>
        <v>Range</v>
      </c>
      <c r="M600" s="3" t="str">
        <f aca="false">IF(ISNUMBER(SEARCH(" m",J600)),"Range",IF(J600="offline","Offline",IF(J600="","Unknown","No echo / error")))</f>
        <v>Range</v>
      </c>
      <c r="N600" s="3" t="str">
        <f aca="false">IF(ISNUMBER(SEARCH(" m",K600)),"Range",IF(K600="offline","Offline",IF(K600="","Unknown","No echo / error")))</f>
        <v>Range</v>
      </c>
      <c r="O600" s="3" t="str">
        <f aca="false">TEXT(B600,"yyyy-mm-dd")</f>
        <v>2026-10-06</v>
      </c>
    </row>
    <row r="601" customFormat="false" ht="15" hidden="false" customHeight="false" outlineLevel="0" collapsed="false">
      <c r="A601" s="27" t="n">
        <v>11</v>
      </c>
      <c r="B601" s="28" t="n">
        <v>46301.4852350347</v>
      </c>
      <c r="C601" s="29" t="n">
        <f aca="false">IF(A602=A601,B602,INDEX(Rounds!$D:$D,MATCH(A601,Rounds!$A:$A,0)))</f>
        <v>46301.4852434375</v>
      </c>
      <c r="D601" s="30" t="n">
        <f aca="false">(B601-INDEX(Rounds!$C:$C,MATCH(A601,Rounds!$A:$A,0)))*86400</f>
        <v>9.469999931</v>
      </c>
      <c r="E601" s="30" t="n">
        <f aca="false">(C601-INDEX(Rounds!$C:$C,MATCH(A601,Rounds!$A:$A,0)))*86400</f>
        <v>10.195999941</v>
      </c>
      <c r="F601" s="31" t="n">
        <f aca="false">(C601-B601)*86400</f>
        <v>0.72600001</v>
      </c>
      <c r="G601" s="27" t="s">
        <v>150</v>
      </c>
      <c r="H601" s="27" t="s">
        <v>206</v>
      </c>
      <c r="I601" s="27" t="s">
        <v>473</v>
      </c>
      <c r="J601" s="27" t="s">
        <v>305</v>
      </c>
      <c r="K601" s="27" t="s">
        <v>357</v>
      </c>
      <c r="L601" s="3" t="str">
        <f aca="false">IF(ISNUMBER(SEARCH(" m",I601)),"Range",IF(I601="offline","Offline",IF(I601="","Unknown","No echo / error")))</f>
        <v>Range</v>
      </c>
      <c r="M601" s="3" t="str">
        <f aca="false">IF(ISNUMBER(SEARCH(" m",J601)),"Range",IF(J601="offline","Offline",IF(J601="","Unknown","No echo / error")))</f>
        <v>Range</v>
      </c>
      <c r="N601" s="3" t="str">
        <f aca="false">IF(ISNUMBER(SEARCH(" m",K601)),"Range",IF(K601="offline","Offline",IF(K601="","Unknown","No echo / error")))</f>
        <v>Range</v>
      </c>
      <c r="O601" s="3" t="str">
        <f aca="false">TEXT(B601,"yyyy-mm-dd")</f>
        <v>2026-10-06</v>
      </c>
    </row>
    <row r="602" customFormat="false" ht="15" hidden="false" customHeight="false" outlineLevel="0" collapsed="false">
      <c r="A602" s="27" t="n">
        <v>11</v>
      </c>
      <c r="B602" s="28" t="n">
        <v>46301.4852434375</v>
      </c>
      <c r="C602" s="29" t="n">
        <f aca="false">IF(A603=A602,B603,INDEX(Rounds!$D:$D,MATCH(A602,Rounds!$A:$A,0)))</f>
        <v>46301.4852451389</v>
      </c>
      <c r="D602" s="30" t="n">
        <f aca="false">(B602-INDEX(Rounds!$C:$C,MATCH(A602,Rounds!$A:$A,0)))*86400</f>
        <v>10.195999941</v>
      </c>
      <c r="E602" s="30" t="n">
        <f aca="false">(C602-INDEX(Rounds!$C:$C,MATCH(A602,Rounds!$A:$A,0)))*86400</f>
        <v>10.342999873</v>
      </c>
      <c r="F602" s="31" t="n">
        <f aca="false">(C602-B602)*86400</f>
        <v>0.146999931</v>
      </c>
      <c r="G602" s="27" t="s">
        <v>152</v>
      </c>
      <c r="H602" s="27" t="s">
        <v>208</v>
      </c>
      <c r="I602" s="27" t="s">
        <v>210</v>
      </c>
      <c r="J602" s="27" t="s">
        <v>395</v>
      </c>
      <c r="K602" s="27" t="s">
        <v>395</v>
      </c>
      <c r="L602" s="3" t="str">
        <f aca="false">IF(ISNUMBER(SEARCH(" m",I602)),"Range",IF(I602="offline","Offline",IF(I602="","Unknown","No echo / error")))</f>
        <v>Range</v>
      </c>
      <c r="M602" s="3" t="str">
        <f aca="false">IF(ISNUMBER(SEARCH(" m",J602)),"Range",IF(J602="offline","Offline",IF(J602="","Unknown","No echo / error")))</f>
        <v>Range</v>
      </c>
      <c r="N602" s="3" t="str">
        <f aca="false">IF(ISNUMBER(SEARCH(" m",K602)),"Range",IF(K602="offline","Offline",IF(K602="","Unknown","No echo / error")))</f>
        <v>Range</v>
      </c>
      <c r="O602" s="3" t="str">
        <f aca="false">TEXT(B602,"yyyy-mm-dd")</f>
        <v>2026-10-06</v>
      </c>
    </row>
    <row r="603" customFormat="false" ht="15" hidden="false" customHeight="false" outlineLevel="0" collapsed="false">
      <c r="A603" s="27" t="n">
        <v>11</v>
      </c>
      <c r="B603" s="28" t="n">
        <v>46301.4852451389</v>
      </c>
      <c r="C603" s="29" t="n">
        <f aca="false">IF(A604=A603,B604,INDEX(Rounds!$D:$D,MATCH(A603,Rounds!$A:$A,0)))</f>
        <v>46301.4852548495</v>
      </c>
      <c r="D603" s="30" t="n">
        <f aca="false">(B603-INDEX(Rounds!$C:$C,MATCH(A603,Rounds!$A:$A,0)))*86400</f>
        <v>10.342999873</v>
      </c>
      <c r="E603" s="30" t="n">
        <f aca="false">(C603-INDEX(Rounds!$C:$C,MATCH(A603,Rounds!$A:$A,0)))*86400</f>
        <v>11.182000301</v>
      </c>
      <c r="F603" s="31" t="n">
        <f aca="false">(C603-B603)*86400</f>
        <v>0.839000428</v>
      </c>
      <c r="G603" s="27" t="s">
        <v>151</v>
      </c>
      <c r="H603" s="27" t="s">
        <v>203</v>
      </c>
      <c r="I603" s="27" t="s">
        <v>210</v>
      </c>
      <c r="J603" s="27" t="s">
        <v>291</v>
      </c>
      <c r="K603" s="27" t="s">
        <v>395</v>
      </c>
      <c r="L603" s="3" t="str">
        <f aca="false">IF(ISNUMBER(SEARCH(" m",I603)),"Range",IF(I603="offline","Offline",IF(I603="","Unknown","No echo / error")))</f>
        <v>Range</v>
      </c>
      <c r="M603" s="3" t="str">
        <f aca="false">IF(ISNUMBER(SEARCH(" m",J603)),"Range",IF(J603="offline","Offline",IF(J603="","Unknown","No echo / error")))</f>
        <v>Range</v>
      </c>
      <c r="N603" s="3" t="str">
        <f aca="false">IF(ISNUMBER(SEARCH(" m",K603)),"Range",IF(K603="offline","Offline",IF(K603="","Unknown","No echo / error")))</f>
        <v>Range</v>
      </c>
      <c r="O603" s="3" t="str">
        <f aca="false">TEXT(B603,"yyyy-mm-dd")</f>
        <v>2026-10-06</v>
      </c>
    </row>
    <row r="604" customFormat="false" ht="15" hidden="false" customHeight="false" outlineLevel="0" collapsed="false">
      <c r="A604" s="27" t="n">
        <v>11</v>
      </c>
      <c r="B604" s="28" t="n">
        <v>46301.4852548495</v>
      </c>
      <c r="C604" s="29" t="n">
        <f aca="false">IF(A605=A604,B605,INDEX(Rounds!$D:$D,MATCH(A604,Rounds!$A:$A,0)))</f>
        <v>46301.4852629051</v>
      </c>
      <c r="D604" s="30" t="n">
        <f aca="false">(B604-INDEX(Rounds!$C:$C,MATCH(A604,Rounds!$A:$A,0)))*86400</f>
        <v>11.182000301</v>
      </c>
      <c r="E604" s="30" t="n">
        <f aca="false">(C604-INDEX(Rounds!$C:$C,MATCH(A604,Rounds!$A:$A,0)))*86400</f>
        <v>11.877999594</v>
      </c>
      <c r="F604" s="31" t="n">
        <f aca="false">(C604-B604)*86400</f>
        <v>0.695999292</v>
      </c>
      <c r="G604" s="27" t="s">
        <v>150</v>
      </c>
      <c r="H604" s="27" t="s">
        <v>206</v>
      </c>
      <c r="I604" s="27" t="s">
        <v>210</v>
      </c>
      <c r="J604" s="27" t="s">
        <v>291</v>
      </c>
      <c r="K604" s="27" t="s">
        <v>474</v>
      </c>
      <c r="L604" s="3" t="str">
        <f aca="false">IF(ISNUMBER(SEARCH(" m",I604)),"Range",IF(I604="offline","Offline",IF(I604="","Unknown","No echo / error")))</f>
        <v>Range</v>
      </c>
      <c r="M604" s="3" t="str">
        <f aca="false">IF(ISNUMBER(SEARCH(" m",J604)),"Range",IF(J604="offline","Offline",IF(J604="","Unknown","No echo / error")))</f>
        <v>Range</v>
      </c>
      <c r="N604" s="3" t="str">
        <f aca="false">IF(ISNUMBER(SEARCH(" m",K604)),"Range",IF(K604="offline","Offline",IF(K604="","Unknown","No echo / error")))</f>
        <v>Range</v>
      </c>
      <c r="O604" s="3" t="str">
        <f aca="false">TEXT(B604,"yyyy-mm-dd")</f>
        <v>2026-10-06</v>
      </c>
    </row>
    <row r="605" customFormat="false" ht="15" hidden="false" customHeight="false" outlineLevel="0" collapsed="false">
      <c r="A605" s="27" t="n">
        <v>11</v>
      </c>
      <c r="B605" s="28" t="n">
        <v>46301.4852629051</v>
      </c>
      <c r="C605" s="29" t="n">
        <f aca="false">IF(A606=A605,B606,INDEX(Rounds!$D:$D,MATCH(A605,Rounds!$A:$A,0)))</f>
        <v>46301.4852649537</v>
      </c>
      <c r="D605" s="30" t="n">
        <f aca="false">(B605-INDEX(Rounds!$C:$C,MATCH(A605,Rounds!$A:$A,0)))*86400</f>
        <v>11.877999594</v>
      </c>
      <c r="E605" s="30" t="n">
        <f aca="false">(C605-INDEX(Rounds!$C:$C,MATCH(A605,Rounds!$A:$A,0)))*86400</f>
        <v>12.055000872</v>
      </c>
      <c r="F605" s="31" t="n">
        <f aca="false">(C605-B605)*86400</f>
        <v>0.177001277</v>
      </c>
      <c r="G605" s="27" t="s">
        <v>152</v>
      </c>
      <c r="H605" s="27" t="s">
        <v>208</v>
      </c>
      <c r="I605" s="27" t="s">
        <v>210</v>
      </c>
      <c r="J605" s="27" t="s">
        <v>291</v>
      </c>
      <c r="K605" s="27" t="s">
        <v>220</v>
      </c>
      <c r="L605" s="3" t="str">
        <f aca="false">IF(ISNUMBER(SEARCH(" m",I605)),"Range",IF(I605="offline","Offline",IF(I605="","Unknown","No echo / error")))</f>
        <v>Range</v>
      </c>
      <c r="M605" s="3" t="str">
        <f aca="false">IF(ISNUMBER(SEARCH(" m",J605)),"Range",IF(J605="offline","Offline",IF(J605="","Unknown","No echo / error")))</f>
        <v>Range</v>
      </c>
      <c r="N605" s="3" t="str">
        <f aca="false">IF(ISNUMBER(SEARCH(" m",K605)),"Range",IF(K605="offline","Offline",IF(K605="","Unknown","No echo / error")))</f>
        <v>No echo / error</v>
      </c>
      <c r="O605" s="3" t="str">
        <f aca="false">TEXT(B605,"yyyy-mm-dd")</f>
        <v>2026-10-06</v>
      </c>
    </row>
    <row r="606" customFormat="false" ht="15" hidden="false" customHeight="false" outlineLevel="0" collapsed="false">
      <c r="A606" s="27" t="n">
        <v>11</v>
      </c>
      <c r="B606" s="28" t="n">
        <v>46301.4852649537</v>
      </c>
      <c r="C606" s="29" t="n">
        <f aca="false">IF(A607=A606,B607,INDEX(Rounds!$D:$D,MATCH(A606,Rounds!$A:$A,0)))</f>
        <v>46301.4852677315</v>
      </c>
      <c r="D606" s="30" t="n">
        <f aca="false">(B606-INDEX(Rounds!$C:$C,MATCH(A606,Rounds!$A:$A,0)))*86400</f>
        <v>12.055000872</v>
      </c>
      <c r="E606" s="30" t="n">
        <f aca="false">(C606-INDEX(Rounds!$C:$C,MATCH(A606,Rounds!$A:$A,0)))*86400</f>
        <v>12.294999696</v>
      </c>
      <c r="F606" s="31" t="n">
        <f aca="false">(C606-B606)*86400</f>
        <v>0.239998823</v>
      </c>
      <c r="G606" s="27" t="s">
        <v>151</v>
      </c>
      <c r="H606" s="27" t="s">
        <v>203</v>
      </c>
      <c r="I606" s="27" t="s">
        <v>210</v>
      </c>
      <c r="J606" s="27" t="s">
        <v>291</v>
      </c>
      <c r="K606" s="27" t="s">
        <v>475</v>
      </c>
      <c r="L606" s="3" t="str">
        <f aca="false">IF(ISNUMBER(SEARCH(" m",I606)),"Range",IF(I606="offline","Offline",IF(I606="","Unknown","No echo / error")))</f>
        <v>Range</v>
      </c>
      <c r="M606" s="3" t="str">
        <f aca="false">IF(ISNUMBER(SEARCH(" m",J606)),"Range",IF(J606="offline","Offline",IF(J606="","Unknown","No echo / error")))</f>
        <v>Range</v>
      </c>
      <c r="N606" s="3" t="str">
        <f aca="false">IF(ISNUMBER(SEARCH(" m",K606)),"Range",IF(K606="offline","Offline",IF(K606="","Unknown","No echo / error")))</f>
        <v>Range</v>
      </c>
      <c r="O606" s="3" t="str">
        <f aca="false">TEXT(B606,"yyyy-mm-dd")</f>
        <v>2026-10-06</v>
      </c>
    </row>
    <row r="607" customFormat="false" ht="15" hidden="false" customHeight="false" outlineLevel="0" collapsed="false">
      <c r="A607" s="27" t="n">
        <v>11</v>
      </c>
      <c r="B607" s="28" t="n">
        <v>46301.4852677315</v>
      </c>
      <c r="C607" s="29" t="n">
        <f aca="false">IF(A608=A607,B608,INDEX(Rounds!$D:$D,MATCH(A607,Rounds!$A:$A,0)))</f>
        <v>46301.4852733333</v>
      </c>
      <c r="D607" s="30" t="n">
        <f aca="false">(B607-INDEX(Rounds!$C:$C,MATCH(A607,Rounds!$A:$A,0)))*86400</f>
        <v>12.294999696</v>
      </c>
      <c r="E607" s="30" t="n">
        <f aca="false">(C607-INDEX(Rounds!$C:$C,MATCH(A607,Rounds!$A:$A,0)))*86400</f>
        <v>12.778999912</v>
      </c>
      <c r="F607" s="31" t="n">
        <f aca="false">(C607-B607)*86400</f>
        <v>0.484000216</v>
      </c>
      <c r="G607" s="27" t="s">
        <v>150</v>
      </c>
      <c r="H607" s="27" t="s">
        <v>206</v>
      </c>
      <c r="I607" s="27" t="s">
        <v>210</v>
      </c>
      <c r="J607" s="27" t="s">
        <v>291</v>
      </c>
      <c r="K607" s="27" t="s">
        <v>475</v>
      </c>
      <c r="L607" s="3" t="str">
        <f aca="false">IF(ISNUMBER(SEARCH(" m",I607)),"Range",IF(I607="offline","Offline",IF(I607="","Unknown","No echo / error")))</f>
        <v>Range</v>
      </c>
      <c r="M607" s="3" t="str">
        <f aca="false">IF(ISNUMBER(SEARCH(" m",J607)),"Range",IF(J607="offline","Offline",IF(J607="","Unknown","No echo / error")))</f>
        <v>Range</v>
      </c>
      <c r="N607" s="3" t="str">
        <f aca="false">IF(ISNUMBER(SEARCH(" m",K607)),"Range",IF(K607="offline","Offline",IF(K607="","Unknown","No echo / error")))</f>
        <v>Range</v>
      </c>
      <c r="O607" s="3" t="str">
        <f aca="false">TEXT(B607,"yyyy-mm-dd")</f>
        <v>2026-10-06</v>
      </c>
    </row>
    <row r="608" customFormat="false" ht="15" hidden="false" customHeight="false" outlineLevel="0" collapsed="false">
      <c r="A608" s="27" t="n">
        <v>11</v>
      </c>
      <c r="B608" s="28" t="n">
        <v>46301.4852733333</v>
      </c>
      <c r="C608" s="29" t="n">
        <f aca="false">IF(A609=A608,B609,INDEX(Rounds!$D:$D,MATCH(A608,Rounds!$A:$A,0)))</f>
        <v>46301.4852891782</v>
      </c>
      <c r="D608" s="30" t="n">
        <f aca="false">(B608-INDEX(Rounds!$C:$C,MATCH(A608,Rounds!$A:$A,0)))*86400</f>
        <v>12.778999912</v>
      </c>
      <c r="E608" s="30" t="n">
        <f aca="false">(C608-INDEX(Rounds!$C:$C,MATCH(A608,Rounds!$A:$A,0)))*86400</f>
        <v>14.148000231</v>
      </c>
      <c r="F608" s="31" t="n">
        <f aca="false">(C608-B608)*86400</f>
        <v>1.369000319</v>
      </c>
      <c r="G608" s="27" t="s">
        <v>152</v>
      </c>
      <c r="H608" s="27" t="s">
        <v>208</v>
      </c>
      <c r="I608" s="27" t="s">
        <v>213</v>
      </c>
      <c r="J608" s="27" t="s">
        <v>291</v>
      </c>
      <c r="K608" s="27" t="s">
        <v>458</v>
      </c>
      <c r="L608" s="3" t="str">
        <f aca="false">IF(ISNUMBER(SEARCH(" m",I608)),"Range",IF(I608="offline","Offline",IF(I608="","Unknown","No echo / error")))</f>
        <v>Range</v>
      </c>
      <c r="M608" s="3" t="str">
        <f aca="false">IF(ISNUMBER(SEARCH(" m",J608)),"Range",IF(J608="offline","Offline",IF(J608="","Unknown","No echo / error")))</f>
        <v>Range</v>
      </c>
      <c r="N608" s="3" t="str">
        <f aca="false">IF(ISNUMBER(SEARCH(" m",K608)),"Range",IF(K608="offline","Offline",IF(K608="","Unknown","No echo / error")))</f>
        <v>Range</v>
      </c>
      <c r="O608" s="3" t="str">
        <f aca="false">TEXT(B608,"yyyy-mm-dd")</f>
        <v>2026-10-06</v>
      </c>
    </row>
    <row r="609" customFormat="false" ht="15" hidden="false" customHeight="false" outlineLevel="0" collapsed="false">
      <c r="A609" s="27" t="n">
        <v>11</v>
      </c>
      <c r="B609" s="28" t="n">
        <v>46301.4852891782</v>
      </c>
      <c r="C609" s="29" t="n">
        <f aca="false">IF(A610=A609,B610,INDEX(Rounds!$D:$D,MATCH(A609,Rounds!$A:$A,0)))</f>
        <v>46301.485293125</v>
      </c>
      <c r="D609" s="30" t="n">
        <f aca="false">(B609-INDEX(Rounds!$C:$C,MATCH(A609,Rounds!$A:$A,0)))*86400</f>
        <v>14.148000231</v>
      </c>
      <c r="E609" s="30" t="n">
        <f aca="false">(C609-INDEX(Rounds!$C:$C,MATCH(A609,Rounds!$A:$A,0)))*86400</f>
        <v>14.488999941</v>
      </c>
      <c r="F609" s="31" t="n">
        <f aca="false">(C609-B609)*86400</f>
        <v>0.340999709</v>
      </c>
      <c r="G609" s="27" t="s">
        <v>151</v>
      </c>
      <c r="H609" s="27" t="s">
        <v>203</v>
      </c>
      <c r="I609" s="27" t="s">
        <v>220</v>
      </c>
      <c r="J609" s="27" t="s">
        <v>458</v>
      </c>
      <c r="K609" s="27" t="s">
        <v>276</v>
      </c>
      <c r="L609" s="3" t="str">
        <f aca="false">IF(ISNUMBER(SEARCH(" m",I609)),"Range",IF(I609="offline","Offline",IF(I609="","Unknown","No echo / error")))</f>
        <v>No echo / error</v>
      </c>
      <c r="M609" s="3" t="str">
        <f aca="false">IF(ISNUMBER(SEARCH(" m",J609)),"Range",IF(J609="offline","Offline",IF(J609="","Unknown","No echo / error")))</f>
        <v>Range</v>
      </c>
      <c r="N609" s="3" t="str">
        <f aca="false">IF(ISNUMBER(SEARCH(" m",K609)),"Range",IF(K609="offline","Offline",IF(K609="","Unknown","No echo / error")))</f>
        <v>Range</v>
      </c>
      <c r="O609" s="3" t="str">
        <f aca="false">TEXT(B609,"yyyy-mm-dd")</f>
        <v>2026-10-06</v>
      </c>
    </row>
    <row r="610" customFormat="false" ht="15" hidden="false" customHeight="false" outlineLevel="0" collapsed="false">
      <c r="A610" s="27" t="n">
        <v>11</v>
      </c>
      <c r="B610" s="28" t="n">
        <v>46301.485293125</v>
      </c>
      <c r="C610" s="29" t="n">
        <f aca="false">IF(A611=A610,B611,INDEX(Rounds!$D:$D,MATCH(A610,Rounds!$A:$A,0)))</f>
        <v>46301.4853016898</v>
      </c>
      <c r="D610" s="30" t="n">
        <f aca="false">(B610-INDEX(Rounds!$C:$C,MATCH(A610,Rounds!$A:$A,0)))*86400</f>
        <v>14.488999941</v>
      </c>
      <c r="E610" s="30" t="n">
        <f aca="false">(C610-INDEX(Rounds!$C:$C,MATCH(A610,Rounds!$A:$A,0)))*86400</f>
        <v>15.228999825</v>
      </c>
      <c r="F610" s="31" t="n">
        <f aca="false">(C610-B610)*86400</f>
        <v>0.739999883</v>
      </c>
      <c r="G610" s="27" t="s">
        <v>150</v>
      </c>
      <c r="H610" s="27" t="s">
        <v>206</v>
      </c>
      <c r="I610" s="27" t="s">
        <v>467</v>
      </c>
      <c r="J610" s="27" t="s">
        <v>476</v>
      </c>
      <c r="K610" s="27" t="s">
        <v>276</v>
      </c>
      <c r="L610" s="3" t="str">
        <f aca="false">IF(ISNUMBER(SEARCH(" m",I610)),"Range",IF(I610="offline","Offline",IF(I610="","Unknown","No echo / error")))</f>
        <v>Range</v>
      </c>
      <c r="M610" s="3" t="str">
        <f aca="false">IF(ISNUMBER(SEARCH(" m",J610)),"Range",IF(J610="offline","Offline",IF(J610="","Unknown","No echo / error")))</f>
        <v>Range</v>
      </c>
      <c r="N610" s="3" t="str">
        <f aca="false">IF(ISNUMBER(SEARCH(" m",K610)),"Range",IF(K610="offline","Offline",IF(K610="","Unknown","No echo / error")))</f>
        <v>Range</v>
      </c>
      <c r="O610" s="3" t="str">
        <f aca="false">TEXT(B610,"yyyy-mm-dd")</f>
        <v>2026-10-06</v>
      </c>
    </row>
    <row r="611" customFormat="false" ht="15" hidden="false" customHeight="false" outlineLevel="0" collapsed="false">
      <c r="A611" s="27" t="n">
        <v>11</v>
      </c>
      <c r="B611" s="28" t="n">
        <v>46301.4853016898</v>
      </c>
      <c r="C611" s="29" t="n">
        <f aca="false">IF(A612=A611,B612,INDEX(Rounds!$D:$D,MATCH(A611,Rounds!$A:$A,0)))</f>
        <v>46301.4853130208</v>
      </c>
      <c r="D611" s="30" t="n">
        <f aca="false">(B611-INDEX(Rounds!$C:$C,MATCH(A611,Rounds!$A:$A,0)))*86400</f>
        <v>15.228999825</v>
      </c>
      <c r="E611" s="30" t="n">
        <f aca="false">(C611-INDEX(Rounds!$C:$C,MATCH(A611,Rounds!$A:$A,0)))*86400</f>
        <v>16.208000876</v>
      </c>
      <c r="F611" s="31" t="n">
        <f aca="false">(C611-B611)*86400</f>
        <v>0.979001051</v>
      </c>
      <c r="G611" s="27" t="s">
        <v>152</v>
      </c>
      <c r="H611" s="27" t="s">
        <v>208</v>
      </c>
      <c r="I611" s="27" t="s">
        <v>205</v>
      </c>
      <c r="J611" s="27" t="s">
        <v>477</v>
      </c>
      <c r="K611" s="27" t="s">
        <v>220</v>
      </c>
      <c r="L611" s="3" t="str">
        <f aca="false">IF(ISNUMBER(SEARCH(" m",I611)),"Range",IF(I611="offline","Offline",IF(I611="","Unknown","No echo / error")))</f>
        <v>Range</v>
      </c>
      <c r="M611" s="3" t="str">
        <f aca="false">IF(ISNUMBER(SEARCH(" m",J611)),"Range",IF(J611="offline","Offline",IF(J611="","Unknown","No echo / error")))</f>
        <v>Range</v>
      </c>
      <c r="N611" s="3" t="str">
        <f aca="false">IF(ISNUMBER(SEARCH(" m",K611)),"Range",IF(K611="offline","Offline",IF(K611="","Unknown","No echo / error")))</f>
        <v>No echo / error</v>
      </c>
      <c r="O611" s="3" t="str">
        <f aca="false">TEXT(B611,"yyyy-mm-dd")</f>
        <v>2026-10-06</v>
      </c>
    </row>
    <row r="612" customFormat="false" ht="15" hidden="false" customHeight="false" outlineLevel="0" collapsed="false">
      <c r="A612" s="27" t="n">
        <v>11</v>
      </c>
      <c r="B612" s="28" t="n">
        <v>46301.4853130208</v>
      </c>
      <c r="C612" s="29" t="n">
        <f aca="false">IF(A613=A612,B613,INDEX(Rounds!$D:$D,MATCH(A612,Rounds!$A:$A,0)))</f>
        <v>46301.4853186343</v>
      </c>
      <c r="D612" s="30" t="n">
        <f aca="false">(B612-INDEX(Rounds!$C:$C,MATCH(A612,Rounds!$A:$A,0)))*86400</f>
        <v>16.208000876</v>
      </c>
      <c r="E612" s="30" t="n">
        <f aca="false">(C612-INDEX(Rounds!$C:$C,MATCH(A612,Rounds!$A:$A,0)))*86400</f>
        <v>16.693000006</v>
      </c>
      <c r="F612" s="31" t="n">
        <f aca="false">(C612-B612)*86400</f>
        <v>0.484999129</v>
      </c>
      <c r="G612" s="27" t="s">
        <v>151</v>
      </c>
      <c r="H612" s="27" t="s">
        <v>203</v>
      </c>
      <c r="I612" s="27" t="s">
        <v>217</v>
      </c>
      <c r="J612" s="27" t="s">
        <v>420</v>
      </c>
      <c r="K612" s="27" t="s">
        <v>301</v>
      </c>
      <c r="L612" s="3" t="str">
        <f aca="false">IF(ISNUMBER(SEARCH(" m",I612)),"Range",IF(I612="offline","Offline",IF(I612="","Unknown","No echo / error")))</f>
        <v>Range</v>
      </c>
      <c r="M612" s="3" t="str">
        <f aca="false">IF(ISNUMBER(SEARCH(" m",J612)),"Range",IF(J612="offline","Offline",IF(J612="","Unknown","No echo / error")))</f>
        <v>Range</v>
      </c>
      <c r="N612" s="3" t="str">
        <f aca="false">IF(ISNUMBER(SEARCH(" m",K612)),"Range",IF(K612="offline","Offline",IF(K612="","Unknown","No echo / error")))</f>
        <v>Range</v>
      </c>
      <c r="O612" s="3" t="str">
        <f aca="false">TEXT(B612,"yyyy-mm-dd")</f>
        <v>2026-10-06</v>
      </c>
    </row>
    <row r="613" customFormat="false" ht="15" hidden="false" customHeight="false" outlineLevel="0" collapsed="false">
      <c r="A613" s="27" t="n">
        <v>11</v>
      </c>
      <c r="B613" s="28" t="n">
        <v>46301.4853186343</v>
      </c>
      <c r="C613" s="29" t="n">
        <f aca="false">IF(A614=A613,B614,INDEX(Rounds!$D:$D,MATCH(A613,Rounds!$A:$A,0)))</f>
        <v>46301.4853203009</v>
      </c>
      <c r="D613" s="30" t="n">
        <f aca="false">(B613-INDEX(Rounds!$C:$C,MATCH(A613,Rounds!$A:$A,0)))*86400</f>
        <v>16.693000006</v>
      </c>
      <c r="E613" s="30" t="n">
        <f aca="false">(C613-INDEX(Rounds!$C:$C,MATCH(A613,Rounds!$A:$A,0)))*86400</f>
        <v>16.837000683</v>
      </c>
      <c r="F613" s="31" t="n">
        <f aca="false">(C613-B613)*86400</f>
        <v>0.144000677</v>
      </c>
      <c r="G613" s="27" t="s">
        <v>152</v>
      </c>
      <c r="H613" s="27" t="s">
        <v>208</v>
      </c>
      <c r="I613" s="27" t="s">
        <v>217</v>
      </c>
      <c r="J613" s="27" t="s">
        <v>220</v>
      </c>
      <c r="K613" s="27" t="s">
        <v>467</v>
      </c>
      <c r="L613" s="3" t="str">
        <f aca="false">IF(ISNUMBER(SEARCH(" m",I613)),"Range",IF(I613="offline","Offline",IF(I613="","Unknown","No echo / error")))</f>
        <v>Range</v>
      </c>
      <c r="M613" s="3" t="str">
        <f aca="false">IF(ISNUMBER(SEARCH(" m",J613)),"Range",IF(J613="offline","Offline",IF(J613="","Unknown","No echo / error")))</f>
        <v>No echo / error</v>
      </c>
      <c r="N613" s="3" t="str">
        <f aca="false">IF(ISNUMBER(SEARCH(" m",K613)),"Range",IF(K613="offline","Offline",IF(K613="","Unknown","No echo / error")))</f>
        <v>Range</v>
      </c>
      <c r="O613" s="3" t="str">
        <f aca="false">TEXT(B613,"yyyy-mm-dd")</f>
        <v>2026-10-06</v>
      </c>
    </row>
    <row r="614" customFormat="false" ht="15" hidden="false" customHeight="false" outlineLevel="0" collapsed="false">
      <c r="A614" s="27" t="n">
        <v>11</v>
      </c>
      <c r="B614" s="28" t="n">
        <v>46301.4853203009</v>
      </c>
      <c r="C614" s="29" t="n">
        <f aca="false">IF(A615=A614,B615,INDEX(Rounds!$D:$D,MATCH(A614,Rounds!$A:$A,0)))</f>
        <v>46301.4853223727</v>
      </c>
      <c r="D614" s="30" t="n">
        <f aca="false">(B614-INDEX(Rounds!$C:$C,MATCH(A614,Rounds!$A:$A,0)))*86400</f>
        <v>16.837000683</v>
      </c>
      <c r="E614" s="30" t="n">
        <f aca="false">(C614-INDEX(Rounds!$C:$C,MATCH(A614,Rounds!$A:$A,0)))*86400</f>
        <v>17.015999788</v>
      </c>
      <c r="F614" s="31" t="n">
        <f aca="false">(C614-B614)*86400</f>
        <v>0.178999104</v>
      </c>
      <c r="G614" s="27" t="s">
        <v>151</v>
      </c>
      <c r="H614" s="27" t="s">
        <v>203</v>
      </c>
      <c r="I614" s="27" t="s">
        <v>220</v>
      </c>
      <c r="J614" s="27" t="s">
        <v>220</v>
      </c>
      <c r="K614" s="27" t="s">
        <v>248</v>
      </c>
      <c r="L614" s="3" t="str">
        <f aca="false">IF(ISNUMBER(SEARCH(" m",I614)),"Range",IF(I614="offline","Offline",IF(I614="","Unknown","No echo / error")))</f>
        <v>No echo / error</v>
      </c>
      <c r="M614" s="3" t="str">
        <f aca="false">IF(ISNUMBER(SEARCH(" m",J614)),"Range",IF(J614="offline","Offline",IF(J614="","Unknown","No echo / error")))</f>
        <v>No echo / error</v>
      </c>
      <c r="N614" s="3" t="str">
        <f aca="false">IF(ISNUMBER(SEARCH(" m",K614)),"Range",IF(K614="offline","Offline",IF(K614="","Unknown","No echo / error")))</f>
        <v>Range</v>
      </c>
      <c r="O614" s="3" t="str">
        <f aca="false">TEXT(B614,"yyyy-mm-dd")</f>
        <v>2026-10-06</v>
      </c>
    </row>
    <row r="615" customFormat="false" ht="15" hidden="false" customHeight="false" outlineLevel="0" collapsed="false">
      <c r="A615" s="27" t="n">
        <v>11</v>
      </c>
      <c r="B615" s="28" t="n">
        <v>46301.4853223727</v>
      </c>
      <c r="C615" s="29" t="n">
        <f aca="false">IF(A616=A615,B616,INDEX(Rounds!$D:$D,MATCH(A615,Rounds!$A:$A,0)))</f>
        <v>46301.485327581</v>
      </c>
      <c r="D615" s="30" t="n">
        <f aca="false">(B615-INDEX(Rounds!$C:$C,MATCH(A615,Rounds!$A:$A,0)))*86400</f>
        <v>17.015999788</v>
      </c>
      <c r="E615" s="30" t="n">
        <f aca="false">(C615-INDEX(Rounds!$C:$C,MATCH(A615,Rounds!$A:$A,0)))*86400</f>
        <v>17.465999862</v>
      </c>
      <c r="F615" s="31" t="n">
        <f aca="false">(C615-B615)*86400</f>
        <v>0.450000073</v>
      </c>
      <c r="G615" s="27" t="s">
        <v>150</v>
      </c>
      <c r="H615" s="27" t="s">
        <v>206</v>
      </c>
      <c r="I615" s="27" t="s">
        <v>220</v>
      </c>
      <c r="J615" s="27" t="s">
        <v>382</v>
      </c>
      <c r="K615" s="27" t="s">
        <v>248</v>
      </c>
      <c r="L615" s="3" t="str">
        <f aca="false">IF(ISNUMBER(SEARCH(" m",I615)),"Range",IF(I615="offline","Offline",IF(I615="","Unknown","No echo / error")))</f>
        <v>No echo / error</v>
      </c>
      <c r="M615" s="3" t="str">
        <f aca="false">IF(ISNUMBER(SEARCH(" m",J615)),"Range",IF(J615="offline","Offline",IF(J615="","Unknown","No echo / error")))</f>
        <v>Range</v>
      </c>
      <c r="N615" s="3" t="str">
        <f aca="false">IF(ISNUMBER(SEARCH(" m",K615)),"Range",IF(K615="offline","Offline",IF(K615="","Unknown","No echo / error")))</f>
        <v>Range</v>
      </c>
      <c r="O615" s="3" t="str">
        <f aca="false">TEXT(B615,"yyyy-mm-dd")</f>
        <v>2026-10-06</v>
      </c>
    </row>
    <row r="616" customFormat="false" ht="15" hidden="false" customHeight="false" outlineLevel="0" collapsed="false">
      <c r="A616" s="27" t="n">
        <v>11</v>
      </c>
      <c r="B616" s="28" t="n">
        <v>46301.485327581</v>
      </c>
      <c r="C616" s="29" t="n">
        <f aca="false">IF(A617=A616,B617,INDEX(Rounds!$D:$D,MATCH(A616,Rounds!$A:$A,0)))</f>
        <v>46301.4853318982</v>
      </c>
      <c r="D616" s="30" t="n">
        <f aca="false">(B616-INDEX(Rounds!$C:$C,MATCH(A616,Rounds!$A:$A,0)))*86400</f>
        <v>17.465999862</v>
      </c>
      <c r="E616" s="30" t="n">
        <f aca="false">(C616-INDEX(Rounds!$C:$C,MATCH(A616,Rounds!$A:$A,0)))*86400</f>
        <v>17.839000001</v>
      </c>
      <c r="F616" s="31" t="n">
        <f aca="false">(C616-B616)*86400</f>
        <v>0.373000139</v>
      </c>
      <c r="G616" s="27" t="s">
        <v>152</v>
      </c>
      <c r="H616" s="27" t="s">
        <v>208</v>
      </c>
      <c r="I616" s="27" t="s">
        <v>453</v>
      </c>
      <c r="J616" s="27" t="s">
        <v>382</v>
      </c>
      <c r="K616" s="27" t="s">
        <v>307</v>
      </c>
      <c r="L616" s="3" t="str">
        <f aca="false">IF(ISNUMBER(SEARCH(" m",I616)),"Range",IF(I616="offline","Offline",IF(I616="","Unknown","No echo / error")))</f>
        <v>Range</v>
      </c>
      <c r="M616" s="3" t="str">
        <f aca="false">IF(ISNUMBER(SEARCH(" m",J616)),"Range",IF(J616="offline","Offline",IF(J616="","Unknown","No echo / error")))</f>
        <v>Range</v>
      </c>
      <c r="N616" s="3" t="str">
        <f aca="false">IF(ISNUMBER(SEARCH(" m",K616)),"Range",IF(K616="offline","Offline",IF(K616="","Unknown","No echo / error")))</f>
        <v>Range</v>
      </c>
      <c r="O616" s="3" t="str">
        <f aca="false">TEXT(B616,"yyyy-mm-dd")</f>
        <v>2026-10-06</v>
      </c>
    </row>
    <row r="617" customFormat="false" ht="15" hidden="false" customHeight="false" outlineLevel="0" collapsed="false">
      <c r="A617" s="27" t="n">
        <v>11</v>
      </c>
      <c r="B617" s="28" t="n">
        <v>46301.4853318982</v>
      </c>
      <c r="C617" s="29" t="n">
        <f aca="false">IF(A618=A617,B618,INDEX(Rounds!$D:$D,MATCH(A617,Rounds!$A:$A,0)))</f>
        <v>46301.4853466551</v>
      </c>
      <c r="D617" s="30" t="n">
        <f aca="false">(B617-INDEX(Rounds!$C:$C,MATCH(A617,Rounds!$A:$A,0)))*86400</f>
        <v>17.839000001</v>
      </c>
      <c r="E617" s="30" t="n">
        <f aca="false">(C617-INDEX(Rounds!$C:$C,MATCH(A617,Rounds!$A:$A,0)))*86400</f>
        <v>19.114</v>
      </c>
      <c r="F617" s="31" t="n">
        <f aca="false">(C617-B617)*86400</f>
        <v>1.274999999</v>
      </c>
      <c r="G617" s="27" t="s">
        <v>151</v>
      </c>
      <c r="H617" s="27" t="s">
        <v>203</v>
      </c>
      <c r="I617" s="27" t="s">
        <v>453</v>
      </c>
      <c r="J617" s="27" t="s">
        <v>379</v>
      </c>
      <c r="K617" s="27" t="s">
        <v>307</v>
      </c>
      <c r="L617" s="3" t="str">
        <f aca="false">IF(ISNUMBER(SEARCH(" m",I617)),"Range",IF(I617="offline","Offline",IF(I617="","Unknown","No echo / error")))</f>
        <v>Range</v>
      </c>
      <c r="M617" s="3" t="str">
        <f aca="false">IF(ISNUMBER(SEARCH(" m",J617)),"Range",IF(J617="offline","Offline",IF(J617="","Unknown","No echo / error")))</f>
        <v>Range</v>
      </c>
      <c r="N617" s="3" t="str">
        <f aca="false">IF(ISNUMBER(SEARCH(" m",K617)),"Range",IF(K617="offline","Offline",IF(K617="","Unknown","No echo / error")))</f>
        <v>Range</v>
      </c>
      <c r="O617" s="3" t="str">
        <f aca="false">TEXT(B617,"yyyy-mm-dd")</f>
        <v>2026-10-06</v>
      </c>
    </row>
    <row r="618" customFormat="false" ht="15" hidden="false" customHeight="false" outlineLevel="0" collapsed="false">
      <c r="A618" s="27" t="n">
        <v>11</v>
      </c>
      <c r="B618" s="28" t="n">
        <v>46301.4853466551</v>
      </c>
      <c r="C618" s="29" t="n">
        <f aca="false">IF(A619=A618,B619,INDEX(Rounds!$D:$D,MATCH(A618,Rounds!$A:$A,0)))</f>
        <v>46301.4853548843</v>
      </c>
      <c r="D618" s="30" t="n">
        <f aca="false">(B618-INDEX(Rounds!$C:$C,MATCH(A618,Rounds!$A:$A,0)))*86400</f>
        <v>19.114</v>
      </c>
      <c r="E618" s="30" t="n">
        <f aca="false">(C618-INDEX(Rounds!$C:$C,MATCH(A618,Rounds!$A:$A,0)))*86400</f>
        <v>19.824999966</v>
      </c>
      <c r="F618" s="31" t="n">
        <f aca="false">(C618-B618)*86400</f>
        <v>0.710999965</v>
      </c>
      <c r="G618" s="27" t="s">
        <v>152</v>
      </c>
      <c r="H618" s="27" t="s">
        <v>208</v>
      </c>
      <c r="I618" s="27" t="s">
        <v>403</v>
      </c>
      <c r="J618" s="27" t="s">
        <v>478</v>
      </c>
      <c r="K618" s="27" t="s">
        <v>303</v>
      </c>
      <c r="L618" s="3" t="str">
        <f aca="false">IF(ISNUMBER(SEARCH(" m",I618)),"Range",IF(I618="offline","Offline",IF(I618="","Unknown","No echo / error")))</f>
        <v>Range</v>
      </c>
      <c r="M618" s="3" t="str">
        <f aca="false">IF(ISNUMBER(SEARCH(" m",J618)),"Range",IF(J618="offline","Offline",IF(J618="","Unknown","No echo / error")))</f>
        <v>Range</v>
      </c>
      <c r="N618" s="3" t="str">
        <f aca="false">IF(ISNUMBER(SEARCH(" m",K618)),"Range",IF(K618="offline","Offline",IF(K618="","Unknown","No echo / error")))</f>
        <v>Range</v>
      </c>
      <c r="O618" s="3" t="str">
        <f aca="false">TEXT(B618,"yyyy-mm-dd")</f>
        <v>2026-10-06</v>
      </c>
    </row>
    <row r="619" customFormat="false" ht="15" hidden="false" customHeight="false" outlineLevel="0" collapsed="false">
      <c r="A619" s="27" t="n">
        <v>11</v>
      </c>
      <c r="B619" s="28" t="n">
        <v>46301.4853548843</v>
      </c>
      <c r="C619" s="29" t="n">
        <f aca="false">IF(A620=A619,B620,INDEX(Rounds!$D:$D,MATCH(A619,Rounds!$A:$A,0)))</f>
        <v>46301.4853564005</v>
      </c>
      <c r="D619" s="30" t="n">
        <f aca="false">(B619-INDEX(Rounds!$C:$C,MATCH(A619,Rounds!$A:$A,0)))*86400</f>
        <v>19.824999966</v>
      </c>
      <c r="E619" s="30" t="n">
        <f aca="false">(C619-INDEX(Rounds!$C:$C,MATCH(A619,Rounds!$A:$A,0)))*86400</f>
        <v>19.95600094</v>
      </c>
      <c r="F619" s="31" t="n">
        <f aca="false">(C619-B619)*86400</f>
        <v>0.131000974</v>
      </c>
      <c r="G619" s="27" t="s">
        <v>151</v>
      </c>
      <c r="H619" s="27" t="s">
        <v>203</v>
      </c>
      <c r="I619" s="27" t="s">
        <v>312</v>
      </c>
      <c r="J619" s="27" t="s">
        <v>305</v>
      </c>
      <c r="K619" s="27" t="s">
        <v>479</v>
      </c>
      <c r="L619" s="3" t="str">
        <f aca="false">IF(ISNUMBER(SEARCH(" m",I619)),"Range",IF(I619="offline","Offline",IF(I619="","Unknown","No echo / error")))</f>
        <v>Range</v>
      </c>
      <c r="M619" s="3" t="str">
        <f aca="false">IF(ISNUMBER(SEARCH(" m",J619)),"Range",IF(J619="offline","Offline",IF(J619="","Unknown","No echo / error")))</f>
        <v>Range</v>
      </c>
      <c r="N619" s="3" t="str">
        <f aca="false">IF(ISNUMBER(SEARCH(" m",K619)),"Range",IF(K619="offline","Offline",IF(K619="","Unknown","No echo / error")))</f>
        <v>Range</v>
      </c>
      <c r="O619" s="3" t="str">
        <f aca="false">TEXT(B619,"yyyy-mm-dd")</f>
        <v>2026-10-06</v>
      </c>
    </row>
    <row r="620" customFormat="false" ht="15" hidden="false" customHeight="false" outlineLevel="0" collapsed="false">
      <c r="A620" s="27" t="n">
        <v>11</v>
      </c>
      <c r="B620" s="28" t="n">
        <v>46301.4853564005</v>
      </c>
      <c r="C620" s="29" t="n">
        <f aca="false">IF(A621=A620,B621,INDEX(Rounds!$D:$D,MATCH(A620,Rounds!$A:$A,0)))</f>
        <v>46301.4853681713</v>
      </c>
      <c r="D620" s="30" t="n">
        <f aca="false">(B620-INDEX(Rounds!$C:$C,MATCH(A620,Rounds!$A:$A,0)))*86400</f>
        <v>19.95600094</v>
      </c>
      <c r="E620" s="30" t="n">
        <f aca="false">(C620-INDEX(Rounds!$C:$C,MATCH(A620,Rounds!$A:$A,0)))*86400</f>
        <v>20.973000302</v>
      </c>
      <c r="F620" s="31" t="n">
        <f aca="false">(C620-B620)*86400</f>
        <v>1.016999362</v>
      </c>
      <c r="G620" s="27" t="s">
        <v>150</v>
      </c>
      <c r="H620" s="27" t="s">
        <v>206</v>
      </c>
      <c r="I620" s="27" t="s">
        <v>312</v>
      </c>
      <c r="J620" s="27" t="s">
        <v>212</v>
      </c>
      <c r="K620" s="27" t="s">
        <v>479</v>
      </c>
      <c r="L620" s="3" t="str">
        <f aca="false">IF(ISNUMBER(SEARCH(" m",I620)),"Range",IF(I620="offline","Offline",IF(I620="","Unknown","No echo / error")))</f>
        <v>Range</v>
      </c>
      <c r="M620" s="3" t="str">
        <f aca="false">IF(ISNUMBER(SEARCH(" m",J620)),"Range",IF(J620="offline","Offline",IF(J620="","Unknown","No echo / error")))</f>
        <v>Range</v>
      </c>
      <c r="N620" s="3" t="str">
        <f aca="false">IF(ISNUMBER(SEARCH(" m",K620)),"Range",IF(K620="offline","Offline",IF(K620="","Unknown","No echo / error")))</f>
        <v>Range</v>
      </c>
      <c r="O620" s="3" t="str">
        <f aca="false">TEXT(B620,"yyyy-mm-dd")</f>
        <v>2026-10-06</v>
      </c>
    </row>
    <row r="621" customFormat="false" ht="15" hidden="false" customHeight="false" outlineLevel="0" collapsed="false">
      <c r="A621" s="27" t="n">
        <v>11</v>
      </c>
      <c r="B621" s="28" t="n">
        <v>46301.4853681713</v>
      </c>
      <c r="C621" s="29" t="n">
        <f aca="false">IF(A622=A621,B622,INDEX(Rounds!$D:$D,MATCH(A621,Rounds!$A:$A,0)))</f>
        <v>46301.485371713</v>
      </c>
      <c r="D621" s="30" t="n">
        <f aca="false">(B621-INDEX(Rounds!$C:$C,MATCH(A621,Rounds!$A:$A,0)))*86400</f>
        <v>20.973000302</v>
      </c>
      <c r="E621" s="30" t="n">
        <f aca="false">(C621-INDEX(Rounds!$C:$C,MATCH(A621,Rounds!$A:$A,0)))*86400</f>
        <v>21.279000956</v>
      </c>
      <c r="F621" s="31" t="n">
        <f aca="false">(C621-B621)*86400</f>
        <v>0.306000653</v>
      </c>
      <c r="G621" s="27" t="s">
        <v>152</v>
      </c>
      <c r="H621" s="27" t="s">
        <v>208</v>
      </c>
      <c r="I621" s="27" t="s">
        <v>220</v>
      </c>
      <c r="J621" s="27" t="s">
        <v>480</v>
      </c>
      <c r="K621" s="27" t="s">
        <v>212</v>
      </c>
      <c r="L621" s="3" t="str">
        <f aca="false">IF(ISNUMBER(SEARCH(" m",I621)),"Range",IF(I621="offline","Offline",IF(I621="","Unknown","No echo / error")))</f>
        <v>No echo / error</v>
      </c>
      <c r="M621" s="3" t="str">
        <f aca="false">IF(ISNUMBER(SEARCH(" m",J621)),"Range",IF(J621="offline","Offline",IF(J621="","Unknown","No echo / error")))</f>
        <v>Range</v>
      </c>
      <c r="N621" s="3" t="str">
        <f aca="false">IF(ISNUMBER(SEARCH(" m",K621)),"Range",IF(K621="offline","Offline",IF(K621="","Unknown","No echo / error")))</f>
        <v>Range</v>
      </c>
      <c r="O621" s="3" t="str">
        <f aca="false">TEXT(B621,"yyyy-mm-dd")</f>
        <v>2026-10-06</v>
      </c>
    </row>
    <row r="622" customFormat="false" ht="15" hidden="false" customHeight="false" outlineLevel="0" collapsed="false">
      <c r="A622" s="27" t="n">
        <v>11</v>
      </c>
      <c r="B622" s="28" t="n">
        <v>46301.485371713</v>
      </c>
      <c r="C622" s="29" t="n">
        <f aca="false">IF(A623=A622,B623,INDEX(Rounds!$D:$D,MATCH(A622,Rounds!$A:$A,0)))</f>
        <v>46301.4853728472</v>
      </c>
      <c r="D622" s="30" t="n">
        <f aca="false">(B622-INDEX(Rounds!$C:$C,MATCH(A622,Rounds!$A:$A,0)))*86400</f>
        <v>21.279000956</v>
      </c>
      <c r="E622" s="30" t="n">
        <f aca="false">(C622-INDEX(Rounds!$C:$C,MATCH(A622,Rounds!$A:$A,0)))*86400</f>
        <v>21.377000072</v>
      </c>
      <c r="F622" s="31" t="n">
        <f aca="false">(C622-B622)*86400</f>
        <v>0.097999116</v>
      </c>
      <c r="G622" s="27" t="s">
        <v>151</v>
      </c>
      <c r="H622" s="27" t="s">
        <v>203</v>
      </c>
      <c r="I622" s="27" t="s">
        <v>225</v>
      </c>
      <c r="J622" s="27" t="s">
        <v>480</v>
      </c>
      <c r="K622" s="27" t="s">
        <v>276</v>
      </c>
      <c r="L622" s="3" t="str">
        <f aca="false">IF(ISNUMBER(SEARCH(" m",I622)),"Range",IF(I622="offline","Offline",IF(I622="","Unknown","No echo / error")))</f>
        <v>Range</v>
      </c>
      <c r="M622" s="3" t="str">
        <f aca="false">IF(ISNUMBER(SEARCH(" m",J622)),"Range",IF(J622="offline","Offline",IF(J622="","Unknown","No echo / error")))</f>
        <v>Range</v>
      </c>
      <c r="N622" s="3" t="str">
        <f aca="false">IF(ISNUMBER(SEARCH(" m",K622)),"Range",IF(K622="offline","Offline",IF(K622="","Unknown","No echo / error")))</f>
        <v>Range</v>
      </c>
      <c r="O622" s="3" t="str">
        <f aca="false">TEXT(B622,"yyyy-mm-dd")</f>
        <v>2026-10-06</v>
      </c>
    </row>
    <row r="623" customFormat="false" ht="15" hidden="false" customHeight="false" outlineLevel="0" collapsed="false">
      <c r="A623" s="27" t="n">
        <v>11</v>
      </c>
      <c r="B623" s="28" t="n">
        <v>46301.4853728472</v>
      </c>
      <c r="C623" s="29" t="n">
        <f aca="false">IF(A624=A623,B624,INDEX(Rounds!$D:$D,MATCH(A623,Rounds!$A:$A,0)))</f>
        <v>46301.4853816435</v>
      </c>
      <c r="D623" s="30" t="n">
        <f aca="false">(B623-INDEX(Rounds!$C:$C,MATCH(A623,Rounds!$A:$A,0)))*86400</f>
        <v>21.377000072</v>
      </c>
      <c r="E623" s="30" t="n">
        <f aca="false">(C623-INDEX(Rounds!$C:$C,MATCH(A623,Rounds!$A:$A,0)))*86400</f>
        <v>22.137000225</v>
      </c>
      <c r="F623" s="31" t="n">
        <f aca="false">(C623-B623)*86400</f>
        <v>0.760000152</v>
      </c>
      <c r="G623" s="27" t="s">
        <v>150</v>
      </c>
      <c r="H623" s="27" t="s">
        <v>206</v>
      </c>
      <c r="I623" s="27" t="s">
        <v>225</v>
      </c>
      <c r="J623" s="27" t="s">
        <v>250</v>
      </c>
      <c r="K623" s="27" t="s">
        <v>276</v>
      </c>
      <c r="L623" s="3" t="str">
        <f aca="false">IF(ISNUMBER(SEARCH(" m",I623)),"Range",IF(I623="offline","Offline",IF(I623="","Unknown","No echo / error")))</f>
        <v>Range</v>
      </c>
      <c r="M623" s="3" t="str">
        <f aca="false">IF(ISNUMBER(SEARCH(" m",J623)),"Range",IF(J623="offline","Offline",IF(J623="","Unknown","No echo / error")))</f>
        <v>Range</v>
      </c>
      <c r="N623" s="3" t="str">
        <f aca="false">IF(ISNUMBER(SEARCH(" m",K623)),"Range",IF(K623="offline","Offline",IF(K623="","Unknown","No echo / error")))</f>
        <v>Range</v>
      </c>
      <c r="O623" s="3" t="str">
        <f aca="false">TEXT(B623,"yyyy-mm-dd")</f>
        <v>2026-10-06</v>
      </c>
    </row>
    <row r="624" customFormat="false" ht="15" hidden="false" customHeight="false" outlineLevel="0" collapsed="false">
      <c r="A624" s="27" t="n">
        <v>11</v>
      </c>
      <c r="B624" s="28" t="n">
        <v>46301.4853816435</v>
      </c>
      <c r="C624" s="29" t="n">
        <f aca="false">IF(A625=A624,B625,INDEX(Rounds!$D:$D,MATCH(A624,Rounds!$A:$A,0)))</f>
        <v>46301.4853859259</v>
      </c>
      <c r="D624" s="30" t="n">
        <f aca="false">(B624-INDEX(Rounds!$C:$C,MATCH(A624,Rounds!$A:$A,0)))*86400</f>
        <v>22.137000225</v>
      </c>
      <c r="E624" s="30" t="n">
        <f aca="false">(C624-INDEX(Rounds!$C:$C,MATCH(A624,Rounds!$A:$A,0)))*86400</f>
        <v>22.506999224</v>
      </c>
      <c r="F624" s="31" t="n">
        <f aca="false">(C624-B624)*86400</f>
        <v>0.369998998</v>
      </c>
      <c r="G624" s="27" t="s">
        <v>152</v>
      </c>
      <c r="H624" s="27" t="s">
        <v>208</v>
      </c>
      <c r="I624" s="27" t="s">
        <v>393</v>
      </c>
      <c r="J624" s="27" t="s">
        <v>435</v>
      </c>
      <c r="K624" s="27" t="s">
        <v>205</v>
      </c>
      <c r="L624" s="3" t="str">
        <f aca="false">IF(ISNUMBER(SEARCH(" m",I624)),"Range",IF(I624="offline","Offline",IF(I624="","Unknown","No echo / error")))</f>
        <v>Range</v>
      </c>
      <c r="M624" s="3" t="str">
        <f aca="false">IF(ISNUMBER(SEARCH(" m",J624)),"Range",IF(J624="offline","Offline",IF(J624="","Unknown","No echo / error")))</f>
        <v>Range</v>
      </c>
      <c r="N624" s="3" t="str">
        <f aca="false">IF(ISNUMBER(SEARCH(" m",K624)),"Range",IF(K624="offline","Offline",IF(K624="","Unknown","No echo / error")))</f>
        <v>Range</v>
      </c>
      <c r="O624" s="3" t="str">
        <f aca="false">TEXT(B624,"yyyy-mm-dd")</f>
        <v>2026-10-06</v>
      </c>
    </row>
    <row r="625" customFormat="false" ht="15" hidden="false" customHeight="false" outlineLevel="0" collapsed="false">
      <c r="A625" s="27" t="n">
        <v>11</v>
      </c>
      <c r="B625" s="28" t="n">
        <v>46301.4853859259</v>
      </c>
      <c r="C625" s="29" t="n">
        <f aca="false">IF(A626=A625,B626,INDEX(Rounds!$D:$D,MATCH(A625,Rounds!$A:$A,0)))</f>
        <v>46301.4853875926</v>
      </c>
      <c r="D625" s="30" t="n">
        <f aca="false">(B625-INDEX(Rounds!$C:$C,MATCH(A625,Rounds!$A:$A,0)))*86400</f>
        <v>22.506999224</v>
      </c>
      <c r="E625" s="30" t="n">
        <f aca="false">(C625-INDEX(Rounds!$C:$C,MATCH(A625,Rounds!$A:$A,0)))*86400</f>
        <v>22.650999901</v>
      </c>
      <c r="F625" s="31" t="n">
        <f aca="false">(C625-B625)*86400</f>
        <v>0.144000677</v>
      </c>
      <c r="G625" s="27" t="s">
        <v>151</v>
      </c>
      <c r="H625" s="27" t="s">
        <v>203</v>
      </c>
      <c r="I625" s="27" t="s">
        <v>240</v>
      </c>
      <c r="J625" s="27" t="s">
        <v>413</v>
      </c>
      <c r="K625" s="27" t="s">
        <v>414</v>
      </c>
      <c r="L625" s="3" t="str">
        <f aca="false">IF(ISNUMBER(SEARCH(" m",I625)),"Range",IF(I625="offline","Offline",IF(I625="","Unknown","No echo / error")))</f>
        <v>Range</v>
      </c>
      <c r="M625" s="3" t="str">
        <f aca="false">IF(ISNUMBER(SEARCH(" m",J625)),"Range",IF(J625="offline","Offline",IF(J625="","Unknown","No echo / error")))</f>
        <v>Range</v>
      </c>
      <c r="N625" s="3" t="str">
        <f aca="false">IF(ISNUMBER(SEARCH(" m",K625)),"Range",IF(K625="offline","Offline",IF(K625="","Unknown","No echo / error")))</f>
        <v>Range</v>
      </c>
      <c r="O625" s="3" t="str">
        <f aca="false">TEXT(B625,"yyyy-mm-dd")</f>
        <v>2026-10-06</v>
      </c>
    </row>
    <row r="626" customFormat="false" ht="15" hidden="false" customHeight="false" outlineLevel="0" collapsed="false">
      <c r="A626" s="27" t="n">
        <v>11</v>
      </c>
      <c r="B626" s="28" t="n">
        <v>46301.4853875926</v>
      </c>
      <c r="C626" s="29" t="n">
        <f aca="false">IF(A627=A626,B627,INDEX(Rounds!$D:$D,MATCH(A626,Rounds!$A:$A,0)))</f>
        <v>46301.4854004745</v>
      </c>
      <c r="D626" s="30" t="n">
        <f aca="false">(B626-INDEX(Rounds!$C:$C,MATCH(A626,Rounds!$A:$A,0)))*86400</f>
        <v>22.650999901</v>
      </c>
      <c r="E626" s="30" t="n">
        <f aca="false">(C626-INDEX(Rounds!$C:$C,MATCH(A626,Rounds!$A:$A,0)))*86400</f>
        <v>23.764000553</v>
      </c>
      <c r="F626" s="31" t="n">
        <f aca="false">(C626-B626)*86400</f>
        <v>1.113000651</v>
      </c>
      <c r="G626" s="27" t="s">
        <v>150</v>
      </c>
      <c r="H626" s="27" t="s">
        <v>206</v>
      </c>
      <c r="I626" s="27" t="s">
        <v>240</v>
      </c>
      <c r="J626" s="27" t="s">
        <v>202</v>
      </c>
      <c r="K626" s="27" t="s">
        <v>414</v>
      </c>
      <c r="L626" s="3" t="str">
        <f aca="false">IF(ISNUMBER(SEARCH(" m",I626)),"Range",IF(I626="offline","Offline",IF(I626="","Unknown","No echo / error")))</f>
        <v>Range</v>
      </c>
      <c r="M626" s="3" t="str">
        <f aca="false">IF(ISNUMBER(SEARCH(" m",J626)),"Range",IF(J626="offline","Offline",IF(J626="","Unknown","No echo / error")))</f>
        <v>Range</v>
      </c>
      <c r="N626" s="3" t="str">
        <f aca="false">IF(ISNUMBER(SEARCH(" m",K626)),"Range",IF(K626="offline","Offline",IF(K626="","Unknown","No echo / error")))</f>
        <v>Range</v>
      </c>
      <c r="O626" s="3" t="str">
        <f aca="false">TEXT(B626,"yyyy-mm-dd")</f>
        <v>2026-10-06</v>
      </c>
    </row>
    <row r="627" customFormat="false" ht="15" hidden="false" customHeight="false" outlineLevel="0" collapsed="false">
      <c r="A627" s="27" t="n">
        <v>11</v>
      </c>
      <c r="B627" s="28" t="n">
        <v>46301.4854004745</v>
      </c>
      <c r="C627" s="29" t="n">
        <f aca="false">IF(A628=A627,B628,INDEX(Rounds!$D:$D,MATCH(A627,Rounds!$A:$A,0)))</f>
        <v>46301.4854032755</v>
      </c>
      <c r="D627" s="30" t="n">
        <f aca="false">(B627-INDEX(Rounds!$C:$C,MATCH(A627,Rounds!$A:$A,0)))*86400</f>
        <v>23.764000553</v>
      </c>
      <c r="E627" s="30" t="n">
        <f aca="false">(C627-INDEX(Rounds!$C:$C,MATCH(A627,Rounds!$A:$A,0)))*86400</f>
        <v>24.006000347</v>
      </c>
      <c r="F627" s="31" t="n">
        <f aca="false">(C627-B627)*86400</f>
        <v>0.241999793</v>
      </c>
      <c r="G627" s="27" t="s">
        <v>152</v>
      </c>
      <c r="H627" s="27" t="s">
        <v>208</v>
      </c>
      <c r="I627" s="27" t="s">
        <v>220</v>
      </c>
      <c r="J627" s="27" t="s">
        <v>286</v>
      </c>
      <c r="K627" s="27" t="s">
        <v>220</v>
      </c>
      <c r="L627" s="3" t="str">
        <f aca="false">IF(ISNUMBER(SEARCH(" m",I627)),"Range",IF(I627="offline","Offline",IF(I627="","Unknown","No echo / error")))</f>
        <v>No echo / error</v>
      </c>
      <c r="M627" s="3" t="str">
        <f aca="false">IF(ISNUMBER(SEARCH(" m",J627)),"Range",IF(J627="offline","Offline",IF(J627="","Unknown","No echo / error")))</f>
        <v>Range</v>
      </c>
      <c r="N627" s="3" t="str">
        <f aca="false">IF(ISNUMBER(SEARCH(" m",K627)),"Range",IF(K627="offline","Offline",IF(K627="","Unknown","No echo / error")))</f>
        <v>No echo / error</v>
      </c>
      <c r="O627" s="3" t="str">
        <f aca="false">TEXT(B627,"yyyy-mm-dd")</f>
        <v>2026-10-06</v>
      </c>
    </row>
    <row r="628" customFormat="false" ht="15" hidden="false" customHeight="false" outlineLevel="0" collapsed="false">
      <c r="A628" s="27" t="n">
        <v>11</v>
      </c>
      <c r="B628" s="28" t="n">
        <v>46301.4854032755</v>
      </c>
      <c r="C628" s="29" t="n">
        <f aca="false">IF(A629=A628,B629,INDEX(Rounds!$D:$D,MATCH(A628,Rounds!$A:$A,0)))</f>
        <v>46301.4854087037</v>
      </c>
      <c r="D628" s="30" t="n">
        <f aca="false">(B628-INDEX(Rounds!$C:$C,MATCH(A628,Rounds!$A:$A,0)))*86400</f>
        <v>24.006000347</v>
      </c>
      <c r="E628" s="30" t="n">
        <f aca="false">(C628-INDEX(Rounds!$C:$C,MATCH(A628,Rounds!$A:$A,0)))*86400</f>
        <v>24.47499989</v>
      </c>
      <c r="F628" s="31" t="n">
        <f aca="false">(C628-B628)*86400</f>
        <v>0.468999543</v>
      </c>
      <c r="G628" s="27" t="s">
        <v>151</v>
      </c>
      <c r="H628" s="27" t="s">
        <v>203</v>
      </c>
      <c r="I628" s="27" t="s">
        <v>220</v>
      </c>
      <c r="J628" s="27" t="s">
        <v>252</v>
      </c>
      <c r="K628" s="27" t="s">
        <v>220</v>
      </c>
      <c r="L628" s="3" t="str">
        <f aca="false">IF(ISNUMBER(SEARCH(" m",I628)),"Range",IF(I628="offline","Offline",IF(I628="","Unknown","No echo / error")))</f>
        <v>No echo / error</v>
      </c>
      <c r="M628" s="3" t="str">
        <f aca="false">IF(ISNUMBER(SEARCH(" m",J628)),"Range",IF(J628="offline","Offline",IF(J628="","Unknown","No echo / error")))</f>
        <v>Range</v>
      </c>
      <c r="N628" s="3" t="str">
        <f aca="false">IF(ISNUMBER(SEARCH(" m",K628)),"Range",IF(K628="offline","Offline",IF(K628="","Unknown","No echo / error")))</f>
        <v>No echo / error</v>
      </c>
      <c r="O628" s="3" t="str">
        <f aca="false">TEXT(B628,"yyyy-mm-dd")</f>
        <v>2026-10-06</v>
      </c>
    </row>
    <row r="629" customFormat="false" ht="15" hidden="false" customHeight="false" outlineLevel="0" collapsed="false">
      <c r="A629" s="27" t="n">
        <v>11</v>
      </c>
      <c r="B629" s="28" t="n">
        <v>46301.4854087037</v>
      </c>
      <c r="C629" s="29" t="n">
        <f aca="false">IF(A630=A629,B630,INDEX(Rounds!$D:$D,MATCH(A629,Rounds!$A:$A,0)))</f>
        <v>46301.4854724537</v>
      </c>
      <c r="D629" s="30" t="n">
        <f aca="false">(B629-INDEX(Rounds!$C:$C,MATCH(A629,Rounds!$A:$A,0)))*86400</f>
        <v>24.47499989</v>
      </c>
      <c r="E629" s="30" t="n">
        <f aca="false">(C629-INDEX(Rounds!$C:$C,MATCH(A629,Rounds!$A:$A,0)))*86400</f>
        <v>29.98300034</v>
      </c>
      <c r="F629" s="31" t="n">
        <f aca="false">(C629-B629)*86400</f>
        <v>5.50800045</v>
      </c>
      <c r="G629" s="27" t="s">
        <v>152</v>
      </c>
      <c r="H629" s="27" t="s">
        <v>208</v>
      </c>
      <c r="I629" s="27" t="s">
        <v>238</v>
      </c>
      <c r="J629" s="27" t="s">
        <v>252</v>
      </c>
      <c r="K629" s="27" t="s">
        <v>204</v>
      </c>
      <c r="L629" s="3" t="str">
        <f aca="false">IF(ISNUMBER(SEARCH(" m",I629)),"Range",IF(I629="offline","Offline",IF(I629="","Unknown","No echo / error")))</f>
        <v>Range</v>
      </c>
      <c r="M629" s="3" t="str">
        <f aca="false">IF(ISNUMBER(SEARCH(" m",J629)),"Range",IF(J629="offline","Offline",IF(J629="","Unknown","No echo / error")))</f>
        <v>Range</v>
      </c>
      <c r="N629" s="3" t="str">
        <f aca="false">IF(ISNUMBER(SEARCH(" m",K629)),"Range",IF(K629="offline","Offline",IF(K629="","Unknown","No echo / error")))</f>
        <v>No echo / error</v>
      </c>
      <c r="O629" s="3" t="str">
        <f aca="false">TEXT(B629,"yyyy-mm-dd")</f>
        <v>2026-10-06</v>
      </c>
    </row>
    <row r="630" customFormat="false" ht="15" hidden="false" customHeight="false" outlineLevel="0" collapsed="false">
      <c r="A630" s="27" t="n">
        <v>11</v>
      </c>
      <c r="B630" s="28" t="n">
        <v>46301.4854724537</v>
      </c>
      <c r="C630" s="29" t="n">
        <f aca="false">IF(A631=A630,B631,INDEX(Rounds!$D:$D,MATCH(A630,Rounds!$A:$A,0)))</f>
        <v>46301.4854812616</v>
      </c>
      <c r="D630" s="30" t="n">
        <f aca="false">(B630-INDEX(Rounds!$C:$C,MATCH(A630,Rounds!$A:$A,0)))*86400</f>
        <v>29.98300034</v>
      </c>
      <c r="E630" s="30" t="n">
        <f aca="false">(C630-INDEX(Rounds!$C:$C,MATCH(A630,Rounds!$A:$A,0)))*86400</f>
        <v>30.743999406</v>
      </c>
      <c r="F630" s="31" t="n">
        <f aca="false">(C630-B630)*86400</f>
        <v>0.760999065</v>
      </c>
      <c r="G630" s="27" t="s">
        <v>151</v>
      </c>
      <c r="H630" s="27" t="s">
        <v>203</v>
      </c>
      <c r="I630" s="27" t="s">
        <v>481</v>
      </c>
      <c r="J630" s="27" t="s">
        <v>204</v>
      </c>
      <c r="K630" s="27" t="s">
        <v>444</v>
      </c>
      <c r="L630" s="3" t="str">
        <f aca="false">IF(ISNUMBER(SEARCH(" m",I630)),"Range",IF(I630="offline","Offline",IF(I630="","Unknown","No echo / error")))</f>
        <v>Range</v>
      </c>
      <c r="M630" s="3" t="str">
        <f aca="false">IF(ISNUMBER(SEARCH(" m",J630)),"Range",IF(J630="offline","Offline",IF(J630="","Unknown","No echo / error")))</f>
        <v>No echo / error</v>
      </c>
      <c r="N630" s="3" t="str">
        <f aca="false">IF(ISNUMBER(SEARCH(" m",K630)),"Range",IF(K630="offline","Offline",IF(K630="","Unknown","No echo / error")))</f>
        <v>Range</v>
      </c>
      <c r="O630" s="3" t="str">
        <f aca="false">TEXT(B630,"yyyy-mm-dd")</f>
        <v>2026-10-06</v>
      </c>
    </row>
    <row r="631" customFormat="false" ht="15" hidden="false" customHeight="false" outlineLevel="0" collapsed="false">
      <c r="A631" s="27" t="n">
        <v>11</v>
      </c>
      <c r="B631" s="28" t="n">
        <v>46301.4854812616</v>
      </c>
      <c r="C631" s="29" t="n">
        <f aca="false">IF(A632=A631,B632,INDEX(Rounds!$D:$D,MATCH(A631,Rounds!$A:$A,0)))</f>
        <v>46301.4854937732</v>
      </c>
      <c r="D631" s="30" t="n">
        <f aca="false">(B631-INDEX(Rounds!$C:$C,MATCH(A631,Rounds!$A:$A,0)))*86400</f>
        <v>30.743999406</v>
      </c>
      <c r="E631" s="30" t="n">
        <f aca="false">(C631-INDEX(Rounds!$C:$C,MATCH(A631,Rounds!$A:$A,0)))*86400</f>
        <v>31.825000257</v>
      </c>
      <c r="F631" s="31" t="n">
        <f aca="false">(C631-B631)*86400</f>
        <v>1.08100085</v>
      </c>
      <c r="G631" s="27" t="s">
        <v>152</v>
      </c>
      <c r="H631" s="27" t="s">
        <v>208</v>
      </c>
      <c r="I631" s="27" t="s">
        <v>334</v>
      </c>
      <c r="J631" s="27" t="s">
        <v>482</v>
      </c>
      <c r="K631" s="27" t="s">
        <v>444</v>
      </c>
      <c r="L631" s="3" t="str">
        <f aca="false">IF(ISNUMBER(SEARCH(" m",I631)),"Range",IF(I631="offline","Offline",IF(I631="","Unknown","No echo / error")))</f>
        <v>Range</v>
      </c>
      <c r="M631" s="3" t="str">
        <f aca="false">IF(ISNUMBER(SEARCH(" m",J631)),"Range",IF(J631="offline","Offline",IF(J631="","Unknown","No echo / error")))</f>
        <v>Range</v>
      </c>
      <c r="N631" s="3" t="str">
        <f aca="false">IF(ISNUMBER(SEARCH(" m",K631)),"Range",IF(K631="offline","Offline",IF(K631="","Unknown","No echo / error")))</f>
        <v>Range</v>
      </c>
      <c r="O631" s="3" t="str">
        <f aca="false">TEXT(B631,"yyyy-mm-dd")</f>
        <v>2026-10-06</v>
      </c>
    </row>
    <row r="632" customFormat="false" ht="15" hidden="false" customHeight="false" outlineLevel="0" collapsed="false">
      <c r="A632" s="27" t="n">
        <v>11</v>
      </c>
      <c r="B632" s="28" t="n">
        <v>46301.4854937732</v>
      </c>
      <c r="C632" s="29" t="n">
        <f aca="false">IF(A633=A632,B633,INDEX(Rounds!$D:$D,MATCH(A632,Rounds!$A:$A,0)))</f>
        <v>46301.4854991667</v>
      </c>
      <c r="D632" s="30" t="n">
        <f aca="false">(B632-INDEX(Rounds!$C:$C,MATCH(A632,Rounds!$A:$A,0)))*86400</f>
        <v>31.825000257</v>
      </c>
      <c r="E632" s="30" t="n">
        <f aca="false">(C632-INDEX(Rounds!$C:$C,MATCH(A632,Rounds!$A:$A,0)))*86400</f>
        <v>32.291000545</v>
      </c>
      <c r="F632" s="31" t="n">
        <f aca="false">(C632-B632)*86400</f>
        <v>0.466000288</v>
      </c>
      <c r="G632" s="27" t="s">
        <v>151</v>
      </c>
      <c r="H632" s="27" t="s">
        <v>203</v>
      </c>
      <c r="I632" s="27" t="s">
        <v>220</v>
      </c>
      <c r="J632" s="27" t="s">
        <v>313</v>
      </c>
      <c r="K632" s="27" t="s">
        <v>220</v>
      </c>
      <c r="L632" s="3" t="str">
        <f aca="false">IF(ISNUMBER(SEARCH(" m",I632)),"Range",IF(I632="offline","Offline",IF(I632="","Unknown","No echo / error")))</f>
        <v>No echo / error</v>
      </c>
      <c r="M632" s="3" t="str">
        <f aca="false">IF(ISNUMBER(SEARCH(" m",J632)),"Range",IF(J632="offline","Offline",IF(J632="","Unknown","No echo / error")))</f>
        <v>Range</v>
      </c>
      <c r="N632" s="3" t="str">
        <f aca="false">IF(ISNUMBER(SEARCH(" m",K632)),"Range",IF(K632="offline","Offline",IF(K632="","Unknown","No echo / error")))</f>
        <v>No echo / error</v>
      </c>
      <c r="O632" s="3" t="str">
        <f aca="false">TEXT(B632,"yyyy-mm-dd")</f>
        <v>2026-10-06</v>
      </c>
    </row>
    <row r="633" customFormat="false" ht="15" hidden="false" customHeight="false" outlineLevel="0" collapsed="false">
      <c r="A633" s="27" t="n">
        <v>11</v>
      </c>
      <c r="B633" s="28" t="n">
        <v>46301.4854991667</v>
      </c>
      <c r="C633" s="29" t="n">
        <f aca="false">IF(A634=A633,B634,INDEX(Rounds!$D:$D,MATCH(A633,Rounds!$A:$A,0)))</f>
        <v>46301.4855130208</v>
      </c>
      <c r="D633" s="30" t="n">
        <f aca="false">(B633-INDEX(Rounds!$C:$C,MATCH(A633,Rounds!$A:$A,0)))*86400</f>
        <v>32.291000545</v>
      </c>
      <c r="E633" s="30" t="n">
        <f aca="false">(C633-INDEX(Rounds!$C:$C,MATCH(A633,Rounds!$A:$A,0)))*86400</f>
        <v>33.487999811</v>
      </c>
      <c r="F633" s="31" t="n">
        <f aca="false">(C633-B633)*86400</f>
        <v>1.196999265</v>
      </c>
      <c r="G633" s="27" t="s">
        <v>152</v>
      </c>
      <c r="H633" s="27" t="s">
        <v>208</v>
      </c>
      <c r="I633" s="27" t="s">
        <v>220</v>
      </c>
      <c r="J633" s="27" t="s">
        <v>313</v>
      </c>
      <c r="K633" s="27" t="s">
        <v>447</v>
      </c>
      <c r="L633" s="3" t="str">
        <f aca="false">IF(ISNUMBER(SEARCH(" m",I633)),"Range",IF(I633="offline","Offline",IF(I633="","Unknown","No echo / error")))</f>
        <v>No echo / error</v>
      </c>
      <c r="M633" s="3" t="str">
        <f aca="false">IF(ISNUMBER(SEARCH(" m",J633)),"Range",IF(J633="offline","Offline",IF(J633="","Unknown","No echo / error")))</f>
        <v>Range</v>
      </c>
      <c r="N633" s="3" t="str">
        <f aca="false">IF(ISNUMBER(SEARCH(" m",K633)),"Range",IF(K633="offline","Offline",IF(K633="","Unknown","No echo / error")))</f>
        <v>Range</v>
      </c>
      <c r="O633" s="3" t="str">
        <f aca="false">TEXT(B633,"yyyy-mm-dd")</f>
        <v>2026-10-06</v>
      </c>
    </row>
    <row r="634" customFormat="false" ht="15" hidden="false" customHeight="false" outlineLevel="0" collapsed="false">
      <c r="A634" s="27" t="n">
        <v>11</v>
      </c>
      <c r="B634" s="28" t="n">
        <v>46301.4855130208</v>
      </c>
      <c r="C634" s="29" t="n">
        <f aca="false">IF(A635=A634,B635,INDEX(Rounds!$D:$D,MATCH(A634,Rounds!$A:$A,0)))</f>
        <v>46301.4855143171</v>
      </c>
      <c r="D634" s="30" t="n">
        <f aca="false">(B634-INDEX(Rounds!$C:$C,MATCH(A634,Rounds!$A:$A,0)))*86400</f>
        <v>33.487999811</v>
      </c>
      <c r="E634" s="30" t="n">
        <f aca="false">(C634-INDEX(Rounds!$C:$C,MATCH(A634,Rounds!$A:$A,0)))*86400</f>
        <v>33.600000059</v>
      </c>
      <c r="F634" s="31" t="n">
        <f aca="false">(C634-B634)*86400</f>
        <v>0.112000247</v>
      </c>
      <c r="G634" s="27" t="s">
        <v>151</v>
      </c>
      <c r="H634" s="27" t="s">
        <v>203</v>
      </c>
      <c r="I634" s="27" t="s">
        <v>483</v>
      </c>
      <c r="J634" s="27" t="s">
        <v>479</v>
      </c>
      <c r="K634" s="27" t="s">
        <v>287</v>
      </c>
      <c r="L634" s="3" t="str">
        <f aca="false">IF(ISNUMBER(SEARCH(" m",I634)),"Range",IF(I634="offline","Offline",IF(I634="","Unknown","No echo / error")))</f>
        <v>Range</v>
      </c>
      <c r="M634" s="3" t="str">
        <f aca="false">IF(ISNUMBER(SEARCH(" m",J634)),"Range",IF(J634="offline","Offline",IF(J634="","Unknown","No echo / error")))</f>
        <v>Range</v>
      </c>
      <c r="N634" s="3" t="str">
        <f aca="false">IF(ISNUMBER(SEARCH(" m",K634)),"Range",IF(K634="offline","Offline",IF(K634="","Unknown","No echo / error")))</f>
        <v>Range</v>
      </c>
      <c r="O634" s="3" t="str">
        <f aca="false">TEXT(B634,"yyyy-mm-dd")</f>
        <v>2026-10-06</v>
      </c>
    </row>
    <row r="635" customFormat="false" ht="15" hidden="false" customHeight="false" outlineLevel="0" collapsed="false">
      <c r="A635" s="27" t="n">
        <v>11</v>
      </c>
      <c r="B635" s="28" t="n">
        <v>46301.4855143171</v>
      </c>
      <c r="C635" s="29" t="n">
        <f aca="false">IF(A636=A635,B636,INDEX(Rounds!$D:$D,MATCH(A635,Rounds!$A:$A,0)))</f>
        <v>46301.485525706</v>
      </c>
      <c r="D635" s="30" t="n">
        <f aca="false">(B635-INDEX(Rounds!$C:$C,MATCH(A635,Rounds!$A:$A,0)))*86400</f>
        <v>33.600000059</v>
      </c>
      <c r="E635" s="30" t="n">
        <f aca="false">(C635-INDEX(Rounds!$C:$C,MATCH(A635,Rounds!$A:$A,0)))*86400</f>
        <v>34.584000078</v>
      </c>
      <c r="F635" s="31" t="n">
        <f aca="false">(C635-B635)*86400</f>
        <v>0.984000018</v>
      </c>
      <c r="G635" s="27" t="s">
        <v>150</v>
      </c>
      <c r="H635" s="27" t="s">
        <v>206</v>
      </c>
      <c r="I635" s="27" t="s">
        <v>483</v>
      </c>
      <c r="J635" s="27" t="s">
        <v>252</v>
      </c>
      <c r="K635" s="27" t="s">
        <v>287</v>
      </c>
      <c r="L635" s="3" t="str">
        <f aca="false">IF(ISNUMBER(SEARCH(" m",I635)),"Range",IF(I635="offline","Offline",IF(I635="","Unknown","No echo / error")))</f>
        <v>Range</v>
      </c>
      <c r="M635" s="3" t="str">
        <f aca="false">IF(ISNUMBER(SEARCH(" m",J635)),"Range",IF(J635="offline","Offline",IF(J635="","Unknown","No echo / error")))</f>
        <v>Range</v>
      </c>
      <c r="N635" s="3" t="str">
        <f aca="false">IF(ISNUMBER(SEARCH(" m",K635)),"Range",IF(K635="offline","Offline",IF(K635="","Unknown","No echo / error")))</f>
        <v>Range</v>
      </c>
      <c r="O635" s="3" t="str">
        <f aca="false">TEXT(B635,"yyyy-mm-dd")</f>
        <v>2026-10-06</v>
      </c>
    </row>
    <row r="636" customFormat="false" ht="15" hidden="false" customHeight="false" outlineLevel="0" collapsed="false">
      <c r="A636" s="27" t="n">
        <v>11</v>
      </c>
      <c r="B636" s="28" t="n">
        <v>46301.485525706</v>
      </c>
      <c r="C636" s="29" t="n">
        <f aca="false">IF(A637=A636,B637,INDEX(Rounds!$D:$D,MATCH(A636,Rounds!$A:$A,0)))</f>
        <v>46301.4855268287</v>
      </c>
      <c r="D636" s="30" t="n">
        <f aca="false">(B636-INDEX(Rounds!$C:$C,MATCH(A636,Rounds!$A:$A,0)))*86400</f>
        <v>34.584000078</v>
      </c>
      <c r="E636" s="30" t="n">
        <f aca="false">(C636-INDEX(Rounds!$C:$C,MATCH(A636,Rounds!$A:$A,0)))*86400</f>
        <v>34.681000281</v>
      </c>
      <c r="F636" s="31" t="n">
        <f aca="false">(C636-B636)*86400</f>
        <v>0.097000203</v>
      </c>
      <c r="G636" s="27" t="s">
        <v>151</v>
      </c>
      <c r="H636" s="27" t="s">
        <v>203</v>
      </c>
      <c r="I636" s="27" t="s">
        <v>484</v>
      </c>
      <c r="J636" s="27" t="s">
        <v>441</v>
      </c>
      <c r="K636" s="27" t="s">
        <v>244</v>
      </c>
      <c r="L636" s="3" t="str">
        <f aca="false">IF(ISNUMBER(SEARCH(" m",I636)),"Range",IF(I636="offline","Offline",IF(I636="","Unknown","No echo / error")))</f>
        <v>Range</v>
      </c>
      <c r="M636" s="3" t="str">
        <f aca="false">IF(ISNUMBER(SEARCH(" m",J636)),"Range",IF(J636="offline","Offline",IF(J636="","Unknown","No echo / error")))</f>
        <v>Range</v>
      </c>
      <c r="N636" s="3" t="str">
        <f aca="false">IF(ISNUMBER(SEARCH(" m",K636)),"Range",IF(K636="offline","Offline",IF(K636="","Unknown","No echo / error")))</f>
        <v>Range</v>
      </c>
      <c r="O636" s="3" t="str">
        <f aca="false">TEXT(B636,"yyyy-mm-dd")</f>
        <v>2026-10-06</v>
      </c>
    </row>
    <row r="637" customFormat="false" ht="15" hidden="false" customHeight="false" outlineLevel="0" collapsed="false">
      <c r="A637" s="27" t="n">
        <v>11</v>
      </c>
      <c r="B637" s="28" t="n">
        <v>46301.4855268287</v>
      </c>
      <c r="C637" s="29" t="n">
        <f aca="false">IF(A638=A637,B638,INDEX(Rounds!$D:$D,MATCH(A637,Rounds!$A:$A,0)))</f>
        <v>46301.4855324306</v>
      </c>
      <c r="D637" s="30" t="n">
        <f aca="false">(B637-INDEX(Rounds!$C:$C,MATCH(A637,Rounds!$A:$A,0)))*86400</f>
        <v>34.681000281</v>
      </c>
      <c r="E637" s="30" t="n">
        <f aca="false">(C637-INDEX(Rounds!$C:$C,MATCH(A637,Rounds!$A:$A,0)))*86400</f>
        <v>35.164999868</v>
      </c>
      <c r="F637" s="31" t="n">
        <f aca="false">(C637-B637)*86400</f>
        <v>0.483999587</v>
      </c>
      <c r="G637" s="27" t="s">
        <v>150</v>
      </c>
      <c r="H637" s="27" t="s">
        <v>206</v>
      </c>
      <c r="I637" s="27" t="s">
        <v>484</v>
      </c>
      <c r="J637" s="27" t="s">
        <v>441</v>
      </c>
      <c r="K637" s="27" t="s">
        <v>214</v>
      </c>
      <c r="L637" s="3" t="str">
        <f aca="false">IF(ISNUMBER(SEARCH(" m",I637)),"Range",IF(I637="offline","Offline",IF(I637="","Unknown","No echo / error")))</f>
        <v>Range</v>
      </c>
      <c r="M637" s="3" t="str">
        <f aca="false">IF(ISNUMBER(SEARCH(" m",J637)),"Range",IF(J637="offline","Offline",IF(J637="","Unknown","No echo / error")))</f>
        <v>Range</v>
      </c>
      <c r="N637" s="3" t="str">
        <f aca="false">IF(ISNUMBER(SEARCH(" m",K637)),"Range",IF(K637="offline","Offline",IF(K637="","Unknown","No echo / error")))</f>
        <v>Range</v>
      </c>
      <c r="O637" s="3" t="str">
        <f aca="false">TEXT(B637,"yyyy-mm-dd")</f>
        <v>2026-10-06</v>
      </c>
    </row>
    <row r="638" customFormat="false" ht="15" hidden="false" customHeight="false" outlineLevel="0" collapsed="false">
      <c r="A638" s="27" t="n">
        <v>11</v>
      </c>
      <c r="B638" s="28" t="n">
        <v>46301.4855324306</v>
      </c>
      <c r="C638" s="29" t="n">
        <f aca="false">IF(A639=A638,B639,INDEX(Rounds!$D:$D,MATCH(A638,Rounds!$A:$A,0)))</f>
        <v>46301.4855394676</v>
      </c>
      <c r="D638" s="30" t="n">
        <f aca="false">(B638-INDEX(Rounds!$C:$C,MATCH(A638,Rounds!$A:$A,0)))*86400</f>
        <v>35.164999868</v>
      </c>
      <c r="E638" s="30" t="n">
        <f aca="false">(C638-INDEX(Rounds!$C:$C,MATCH(A638,Rounds!$A:$A,0)))*86400</f>
        <v>35.772999865</v>
      </c>
      <c r="F638" s="31" t="n">
        <f aca="false">(C638-B638)*86400</f>
        <v>0.607999996</v>
      </c>
      <c r="G638" s="27" t="s">
        <v>152</v>
      </c>
      <c r="H638" s="27" t="s">
        <v>208</v>
      </c>
      <c r="I638" s="27" t="s">
        <v>484</v>
      </c>
      <c r="J638" s="27" t="s">
        <v>441</v>
      </c>
      <c r="K638" s="27" t="s">
        <v>214</v>
      </c>
      <c r="L638" s="3" t="str">
        <f aca="false">IF(ISNUMBER(SEARCH(" m",I638)),"Range",IF(I638="offline","Offline",IF(I638="","Unknown","No echo / error")))</f>
        <v>Range</v>
      </c>
      <c r="M638" s="3" t="str">
        <f aca="false">IF(ISNUMBER(SEARCH(" m",J638)),"Range",IF(J638="offline","Offline",IF(J638="","Unknown","No echo / error")))</f>
        <v>Range</v>
      </c>
      <c r="N638" s="3" t="str">
        <f aca="false">IF(ISNUMBER(SEARCH(" m",K638)),"Range",IF(K638="offline","Offline",IF(K638="","Unknown","No echo / error")))</f>
        <v>Range</v>
      </c>
      <c r="O638" s="3" t="str">
        <f aca="false">TEXT(B638,"yyyy-mm-dd")</f>
        <v>2026-10-06</v>
      </c>
    </row>
    <row r="639" customFormat="false" ht="15" hidden="false" customHeight="false" outlineLevel="0" collapsed="false">
      <c r="A639" s="27" t="n">
        <v>11</v>
      </c>
      <c r="B639" s="28" t="n">
        <v>46301.4855394676</v>
      </c>
      <c r="C639" s="29" t="n">
        <f aca="false">IF(A640=A639,B640,INDEX(Rounds!$D:$D,MATCH(A639,Rounds!$A:$A,0)))</f>
        <v>46301.4855446644</v>
      </c>
      <c r="D639" s="30" t="n">
        <f aca="false">(B639-INDEX(Rounds!$C:$C,MATCH(A639,Rounds!$A:$A,0)))*86400</f>
        <v>35.772999865</v>
      </c>
      <c r="E639" s="30" t="n">
        <f aca="false">(C639-INDEX(Rounds!$C:$C,MATCH(A639,Rounds!$A:$A,0)))*86400</f>
        <v>36.221999768</v>
      </c>
      <c r="F639" s="31" t="n">
        <f aca="false">(C639-B639)*86400</f>
        <v>0.448999903</v>
      </c>
      <c r="G639" s="27" t="s">
        <v>151</v>
      </c>
      <c r="H639" s="27" t="s">
        <v>203</v>
      </c>
      <c r="I639" s="27" t="s">
        <v>211</v>
      </c>
      <c r="J639" s="27" t="s">
        <v>441</v>
      </c>
      <c r="K639" s="27" t="s">
        <v>261</v>
      </c>
      <c r="L639" s="3" t="str">
        <f aca="false">IF(ISNUMBER(SEARCH(" m",I639)),"Range",IF(I639="offline","Offline",IF(I639="","Unknown","No echo / error")))</f>
        <v>No echo / error</v>
      </c>
      <c r="M639" s="3" t="str">
        <f aca="false">IF(ISNUMBER(SEARCH(" m",J639)),"Range",IF(J639="offline","Offline",IF(J639="","Unknown","No echo / error")))</f>
        <v>Range</v>
      </c>
      <c r="N639" s="3" t="str">
        <f aca="false">IF(ISNUMBER(SEARCH(" m",K639)),"Range",IF(K639="offline","Offline",IF(K639="","Unknown","No echo / error")))</f>
        <v>Range</v>
      </c>
      <c r="O639" s="3" t="str">
        <f aca="false">TEXT(B639,"yyyy-mm-dd")</f>
        <v>2026-10-06</v>
      </c>
    </row>
    <row r="640" customFormat="false" ht="15" hidden="false" customHeight="false" outlineLevel="0" collapsed="false">
      <c r="A640" s="27" t="n">
        <v>11</v>
      </c>
      <c r="B640" s="28" t="n">
        <v>46301.4855446644</v>
      </c>
      <c r="C640" s="29" t="n">
        <f aca="false">IF(A641=A640,B641,INDEX(Rounds!$D:$D,MATCH(A640,Rounds!$A:$A,0)))</f>
        <v>46301.4855465278</v>
      </c>
      <c r="D640" s="30" t="n">
        <f aca="false">(B640-INDEX(Rounds!$C:$C,MATCH(A640,Rounds!$A:$A,0)))*86400</f>
        <v>36.221999768</v>
      </c>
      <c r="E640" s="30" t="n">
        <f aca="false">(C640-INDEX(Rounds!$C:$C,MATCH(A640,Rounds!$A:$A,0)))*86400</f>
        <v>36.383000202</v>
      </c>
      <c r="F640" s="31" t="n">
        <f aca="false">(C640-B640)*86400</f>
        <v>0.161000434</v>
      </c>
      <c r="G640" s="27" t="s">
        <v>152</v>
      </c>
      <c r="H640" s="27" t="s">
        <v>208</v>
      </c>
      <c r="I640" s="27" t="s">
        <v>432</v>
      </c>
      <c r="J640" s="27" t="s">
        <v>311</v>
      </c>
      <c r="K640" s="27" t="s">
        <v>261</v>
      </c>
      <c r="L640" s="3" t="str">
        <f aca="false">IF(ISNUMBER(SEARCH(" m",I640)),"Range",IF(I640="offline","Offline",IF(I640="","Unknown","No echo / error")))</f>
        <v>Range</v>
      </c>
      <c r="M640" s="3" t="str">
        <f aca="false">IF(ISNUMBER(SEARCH(" m",J640)),"Range",IF(J640="offline","Offline",IF(J640="","Unknown","No echo / error")))</f>
        <v>Range</v>
      </c>
      <c r="N640" s="3" t="str">
        <f aca="false">IF(ISNUMBER(SEARCH(" m",K640)),"Range",IF(K640="offline","Offline",IF(K640="","Unknown","No echo / error")))</f>
        <v>Range</v>
      </c>
      <c r="O640" s="3" t="str">
        <f aca="false">TEXT(B640,"yyyy-mm-dd")</f>
        <v>2026-10-06</v>
      </c>
    </row>
    <row r="641" customFormat="false" ht="15" hidden="false" customHeight="false" outlineLevel="0" collapsed="false">
      <c r="A641" s="27" t="n">
        <v>11</v>
      </c>
      <c r="B641" s="28" t="n">
        <v>46301.4855465278</v>
      </c>
      <c r="C641" s="29" t="n">
        <f aca="false">IF(A642=A641,B642,INDEX(Rounds!$D:$D,MATCH(A641,Rounds!$A:$A,0)))</f>
        <v>46301.4855521296</v>
      </c>
      <c r="D641" s="30" t="n">
        <f aca="false">(B641-INDEX(Rounds!$C:$C,MATCH(A641,Rounds!$A:$A,0)))*86400</f>
        <v>36.383000202</v>
      </c>
      <c r="E641" s="30" t="n">
        <f aca="false">(C641-INDEX(Rounds!$C:$C,MATCH(A641,Rounds!$A:$A,0)))*86400</f>
        <v>36.86699979</v>
      </c>
      <c r="F641" s="31" t="n">
        <f aca="false">(C641-B641)*86400</f>
        <v>0.483999587</v>
      </c>
      <c r="G641" s="27" t="s">
        <v>151</v>
      </c>
      <c r="H641" s="27" t="s">
        <v>203</v>
      </c>
      <c r="I641" s="27" t="s">
        <v>432</v>
      </c>
      <c r="J641" s="27" t="s">
        <v>221</v>
      </c>
      <c r="K641" s="27" t="s">
        <v>288</v>
      </c>
      <c r="L641" s="3" t="str">
        <f aca="false">IF(ISNUMBER(SEARCH(" m",I641)),"Range",IF(I641="offline","Offline",IF(I641="","Unknown","No echo / error")))</f>
        <v>Range</v>
      </c>
      <c r="M641" s="3" t="str">
        <f aca="false">IF(ISNUMBER(SEARCH(" m",J641)),"Range",IF(J641="offline","Offline",IF(J641="","Unknown","No echo / error")))</f>
        <v>Range</v>
      </c>
      <c r="N641" s="3" t="str">
        <f aca="false">IF(ISNUMBER(SEARCH(" m",K641)),"Range",IF(K641="offline","Offline",IF(K641="","Unknown","No echo / error")))</f>
        <v>Range</v>
      </c>
      <c r="O641" s="3" t="str">
        <f aca="false">TEXT(B641,"yyyy-mm-dd")</f>
        <v>2026-10-06</v>
      </c>
    </row>
    <row r="642" customFormat="false" ht="15" hidden="false" customHeight="false" outlineLevel="0" collapsed="false">
      <c r="A642" s="27" t="n">
        <v>11</v>
      </c>
      <c r="B642" s="28" t="n">
        <v>46301.4855521296</v>
      </c>
      <c r="C642" s="29" t="n">
        <f aca="false">IF(A643=A642,B643,INDEX(Rounds!$D:$D,MATCH(A642,Rounds!$A:$A,0)))</f>
        <v>46301.4855537963</v>
      </c>
      <c r="D642" s="30" t="n">
        <f aca="false">(B642-INDEX(Rounds!$C:$C,MATCH(A642,Rounds!$A:$A,0)))*86400</f>
        <v>36.86699979</v>
      </c>
      <c r="E642" s="30" t="n">
        <f aca="false">(C642-INDEX(Rounds!$C:$C,MATCH(A642,Rounds!$A:$A,0)))*86400</f>
        <v>37.01099921</v>
      </c>
      <c r="F642" s="31" t="n">
        <f aca="false">(C642-B642)*86400</f>
        <v>0.14399942</v>
      </c>
      <c r="G642" s="27" t="s">
        <v>152</v>
      </c>
      <c r="H642" s="27" t="s">
        <v>208</v>
      </c>
      <c r="I642" s="27" t="s">
        <v>204</v>
      </c>
      <c r="J642" s="27" t="s">
        <v>314</v>
      </c>
      <c r="K642" s="27" t="s">
        <v>308</v>
      </c>
      <c r="L642" s="3" t="str">
        <f aca="false">IF(ISNUMBER(SEARCH(" m",I642)),"Range",IF(I642="offline","Offline",IF(I642="","Unknown","No echo / error")))</f>
        <v>No echo / error</v>
      </c>
      <c r="M642" s="3" t="str">
        <f aca="false">IF(ISNUMBER(SEARCH(" m",J642)),"Range",IF(J642="offline","Offline",IF(J642="","Unknown","No echo / error")))</f>
        <v>Range</v>
      </c>
      <c r="N642" s="3" t="str">
        <f aca="false">IF(ISNUMBER(SEARCH(" m",K642)),"Range",IF(K642="offline","Offline",IF(K642="","Unknown","No echo / error")))</f>
        <v>Range</v>
      </c>
      <c r="O642" s="3" t="str">
        <f aca="false">TEXT(B642,"yyyy-mm-dd")</f>
        <v>2026-10-06</v>
      </c>
    </row>
    <row r="643" customFormat="false" ht="15" hidden="false" customHeight="false" outlineLevel="0" collapsed="false">
      <c r="A643" s="27" t="n">
        <v>11</v>
      </c>
      <c r="B643" s="28" t="n">
        <v>46301.4855537963</v>
      </c>
      <c r="C643" s="29" t="n">
        <f aca="false">IF(A644=A643,B644,INDEX(Rounds!$D:$D,MATCH(A643,Rounds!$A:$A,0)))</f>
        <v>46301.4855551042</v>
      </c>
      <c r="D643" s="30" t="n">
        <f aca="false">(B643-INDEX(Rounds!$C:$C,MATCH(A643,Rounds!$A:$A,0)))*86400</f>
        <v>37.01099921</v>
      </c>
      <c r="E643" s="30" t="n">
        <f aca="false">(C643-INDEX(Rounds!$C:$C,MATCH(A643,Rounds!$A:$A,0)))*86400</f>
        <v>37.124000256</v>
      </c>
      <c r="F643" s="31" t="n">
        <f aca="false">(C643-B643)*86400</f>
        <v>0.113001046</v>
      </c>
      <c r="G643" s="27" t="s">
        <v>151</v>
      </c>
      <c r="H643" s="27" t="s">
        <v>203</v>
      </c>
      <c r="I643" s="27" t="s">
        <v>204</v>
      </c>
      <c r="J643" s="27" t="s">
        <v>407</v>
      </c>
      <c r="K643" s="27" t="s">
        <v>460</v>
      </c>
      <c r="L643" s="3" t="str">
        <f aca="false">IF(ISNUMBER(SEARCH(" m",I643)),"Range",IF(I643="offline","Offline",IF(I643="","Unknown","No echo / error")))</f>
        <v>No echo / error</v>
      </c>
      <c r="M643" s="3" t="str">
        <f aca="false">IF(ISNUMBER(SEARCH(" m",J643)),"Range",IF(J643="offline","Offline",IF(J643="","Unknown","No echo / error")))</f>
        <v>Range</v>
      </c>
      <c r="N643" s="3" t="str">
        <f aca="false">IF(ISNUMBER(SEARCH(" m",K643)),"Range",IF(K643="offline","Offline",IF(K643="","Unknown","No echo / error")))</f>
        <v>Range</v>
      </c>
      <c r="O643" s="3" t="str">
        <f aca="false">TEXT(B643,"yyyy-mm-dd")</f>
        <v>2026-10-06</v>
      </c>
    </row>
    <row r="644" customFormat="false" ht="15" hidden="false" customHeight="false" outlineLevel="0" collapsed="false">
      <c r="A644" s="27" t="n">
        <v>11</v>
      </c>
      <c r="B644" s="28" t="n">
        <v>46301.4855551042</v>
      </c>
      <c r="C644" s="29" t="n">
        <f aca="false">IF(A645=A644,B645,INDEX(Rounds!$D:$D,MATCH(A644,Rounds!$A:$A,0)))</f>
        <v>46301.4855785532</v>
      </c>
      <c r="D644" s="30" t="n">
        <f aca="false">(B644-INDEX(Rounds!$C:$C,MATCH(A644,Rounds!$A:$A,0)))*86400</f>
        <v>37.124000256</v>
      </c>
      <c r="E644" s="30" t="n">
        <f aca="false">(C644-INDEX(Rounds!$C:$C,MATCH(A644,Rounds!$A:$A,0)))*86400</f>
        <v>39.15000013</v>
      </c>
      <c r="F644" s="31" t="n">
        <f aca="false">(C644-B644)*86400</f>
        <v>2.025999873</v>
      </c>
      <c r="G644" s="27" t="s">
        <v>150</v>
      </c>
      <c r="H644" s="27" t="s">
        <v>206</v>
      </c>
      <c r="I644" s="27" t="s">
        <v>204</v>
      </c>
      <c r="J644" s="27" t="s">
        <v>407</v>
      </c>
      <c r="K644" s="27" t="s">
        <v>310</v>
      </c>
      <c r="L644" s="3" t="str">
        <f aca="false">IF(ISNUMBER(SEARCH(" m",I644)),"Range",IF(I644="offline","Offline",IF(I644="","Unknown","No echo / error")))</f>
        <v>No echo / error</v>
      </c>
      <c r="M644" s="3" t="str">
        <f aca="false">IF(ISNUMBER(SEARCH(" m",J644)),"Range",IF(J644="offline","Offline",IF(J644="","Unknown","No echo / error")))</f>
        <v>Range</v>
      </c>
      <c r="N644" s="3" t="str">
        <f aca="false">IF(ISNUMBER(SEARCH(" m",K644)),"Range",IF(K644="offline","Offline",IF(K644="","Unknown","No echo / error")))</f>
        <v>Range</v>
      </c>
      <c r="O644" s="3" t="str">
        <f aca="false">TEXT(B644,"yyyy-mm-dd")</f>
        <v>2026-10-06</v>
      </c>
    </row>
    <row r="645" customFormat="false" ht="15" hidden="false" customHeight="false" outlineLevel="0" collapsed="false">
      <c r="A645" s="27" t="n">
        <v>11</v>
      </c>
      <c r="B645" s="28" t="n">
        <v>46301.4855785532</v>
      </c>
      <c r="C645" s="29" t="n">
        <f aca="false">IF(A646=A645,B646,INDEX(Rounds!$D:$D,MATCH(A645,Rounds!$A:$A,0)))</f>
        <v>46301.4855832176</v>
      </c>
      <c r="D645" s="30" t="n">
        <f aca="false">(B645-INDEX(Rounds!$C:$C,MATCH(A645,Rounds!$A:$A,0)))*86400</f>
        <v>39.15000013</v>
      </c>
      <c r="E645" s="30" t="n">
        <f aca="false">(C645-INDEX(Rounds!$C:$C,MATCH(A645,Rounds!$A:$A,0)))*86400</f>
        <v>39.55299973</v>
      </c>
      <c r="F645" s="31" t="n">
        <f aca="false">(C645-B645)*86400</f>
        <v>0.402999599</v>
      </c>
      <c r="G645" s="27" t="s">
        <v>151</v>
      </c>
      <c r="H645" s="27" t="s">
        <v>203</v>
      </c>
      <c r="I645" s="27" t="s">
        <v>286</v>
      </c>
      <c r="J645" s="27" t="s">
        <v>347</v>
      </c>
      <c r="K645" s="27" t="s">
        <v>220</v>
      </c>
      <c r="L645" s="3" t="str">
        <f aca="false">IF(ISNUMBER(SEARCH(" m",I645)),"Range",IF(I645="offline","Offline",IF(I645="","Unknown","No echo / error")))</f>
        <v>Range</v>
      </c>
      <c r="M645" s="3" t="str">
        <f aca="false">IF(ISNUMBER(SEARCH(" m",J645)),"Range",IF(J645="offline","Offline",IF(J645="","Unknown","No echo / error")))</f>
        <v>Range</v>
      </c>
      <c r="N645" s="3" t="str">
        <f aca="false">IF(ISNUMBER(SEARCH(" m",K645)),"Range",IF(K645="offline","Offline",IF(K645="","Unknown","No echo / error")))</f>
        <v>No echo / error</v>
      </c>
      <c r="O645" s="3" t="str">
        <f aca="false">TEXT(B645,"yyyy-mm-dd")</f>
        <v>2026-10-06</v>
      </c>
    </row>
    <row r="646" customFormat="false" ht="15" hidden="false" customHeight="false" outlineLevel="0" collapsed="false">
      <c r="A646" s="27" t="n">
        <v>11</v>
      </c>
      <c r="B646" s="28" t="n">
        <v>46301.4855832176</v>
      </c>
      <c r="C646" s="29" t="n">
        <f aca="false">IF(A647=A646,B647,INDEX(Rounds!$D:$D,MATCH(A646,Rounds!$A:$A,0)))</f>
        <v>46301.485598125</v>
      </c>
      <c r="D646" s="30" t="n">
        <f aca="false">(B646-INDEX(Rounds!$C:$C,MATCH(A646,Rounds!$A:$A,0)))*86400</f>
        <v>39.55299973</v>
      </c>
      <c r="E646" s="30" t="n">
        <f aca="false">(C646-INDEX(Rounds!$C:$C,MATCH(A646,Rounds!$A:$A,0)))*86400</f>
        <v>40.841000061</v>
      </c>
      <c r="F646" s="31" t="n">
        <f aca="false">(C646-B646)*86400</f>
        <v>1.288000331</v>
      </c>
      <c r="G646" s="27" t="s">
        <v>150</v>
      </c>
      <c r="H646" s="27" t="s">
        <v>206</v>
      </c>
      <c r="I646" s="27" t="s">
        <v>286</v>
      </c>
      <c r="J646" s="27" t="s">
        <v>330</v>
      </c>
      <c r="K646" s="27" t="s">
        <v>330</v>
      </c>
      <c r="L646" s="3" t="str">
        <f aca="false">IF(ISNUMBER(SEARCH(" m",I646)),"Range",IF(I646="offline","Offline",IF(I646="","Unknown","No echo / error")))</f>
        <v>Range</v>
      </c>
      <c r="M646" s="3" t="str">
        <f aca="false">IF(ISNUMBER(SEARCH(" m",J646)),"Range",IF(J646="offline","Offline",IF(J646="","Unknown","No echo / error")))</f>
        <v>Range</v>
      </c>
      <c r="N646" s="3" t="str">
        <f aca="false">IF(ISNUMBER(SEARCH(" m",K646)),"Range",IF(K646="offline","Offline",IF(K646="","Unknown","No echo / error")))</f>
        <v>Range</v>
      </c>
      <c r="O646" s="3" t="str">
        <f aca="false">TEXT(B646,"yyyy-mm-dd")</f>
        <v>2026-10-06</v>
      </c>
    </row>
    <row r="647" customFormat="false" ht="15" hidden="false" customHeight="false" outlineLevel="0" collapsed="false">
      <c r="A647" s="27" t="n">
        <v>11</v>
      </c>
      <c r="B647" s="28" t="n">
        <v>46301.485598125</v>
      </c>
      <c r="C647" s="29" t="n">
        <f aca="false">IF(A648=A647,B648,INDEX(Rounds!$D:$D,MATCH(A647,Rounds!$A:$A,0)))</f>
        <v>46301.4856031482</v>
      </c>
      <c r="D647" s="30" t="n">
        <f aca="false">(B647-INDEX(Rounds!$C:$C,MATCH(A647,Rounds!$A:$A,0)))*86400</f>
        <v>40.841000061</v>
      </c>
      <c r="E647" s="30" t="n">
        <f aca="false">(C647-INDEX(Rounds!$C:$C,MATCH(A647,Rounds!$A:$A,0)))*86400</f>
        <v>41.27499992</v>
      </c>
      <c r="F647" s="31" t="n">
        <f aca="false">(C647-B647)*86400</f>
        <v>0.433999858</v>
      </c>
      <c r="G647" s="27" t="s">
        <v>151</v>
      </c>
      <c r="H647" s="27" t="s">
        <v>203</v>
      </c>
      <c r="I647" s="27" t="s">
        <v>383</v>
      </c>
      <c r="J647" s="27" t="s">
        <v>426</v>
      </c>
      <c r="K647" s="27" t="s">
        <v>252</v>
      </c>
      <c r="L647" s="3" t="str">
        <f aca="false">IF(ISNUMBER(SEARCH(" m",I647)),"Range",IF(I647="offline","Offline",IF(I647="","Unknown","No echo / error")))</f>
        <v>No echo / error</v>
      </c>
      <c r="M647" s="3" t="str">
        <f aca="false">IF(ISNUMBER(SEARCH(" m",J647)),"Range",IF(J647="offline","Offline",IF(J647="","Unknown","No echo / error")))</f>
        <v>Range</v>
      </c>
      <c r="N647" s="3" t="str">
        <f aca="false">IF(ISNUMBER(SEARCH(" m",K647)),"Range",IF(K647="offline","Offline",IF(K647="","Unknown","No echo / error")))</f>
        <v>Range</v>
      </c>
      <c r="O647" s="3" t="str">
        <f aca="false">TEXT(B647,"yyyy-mm-dd")</f>
        <v>2026-10-06</v>
      </c>
    </row>
    <row r="648" customFormat="false" ht="15" hidden="false" customHeight="false" outlineLevel="0" collapsed="false">
      <c r="A648" s="27" t="n">
        <v>11</v>
      </c>
      <c r="B648" s="28" t="n">
        <v>46301.4856031482</v>
      </c>
      <c r="C648" s="29" t="n">
        <f aca="false">IF(A649=A648,B649,INDEX(Rounds!$D:$D,MATCH(A648,Rounds!$A:$A,0)))</f>
        <v>46301.4856178472</v>
      </c>
      <c r="D648" s="30" t="n">
        <f aca="false">(B648-INDEX(Rounds!$C:$C,MATCH(A648,Rounds!$A:$A,0)))*86400</f>
        <v>41.27499992</v>
      </c>
      <c r="E648" s="30" t="n">
        <f aca="false">(C648-INDEX(Rounds!$C:$C,MATCH(A648,Rounds!$A:$A,0)))*86400</f>
        <v>42.545000952</v>
      </c>
      <c r="F648" s="31" t="n">
        <f aca="false">(C648-B648)*86400</f>
        <v>1.270001032</v>
      </c>
      <c r="G648" s="27" t="s">
        <v>150</v>
      </c>
      <c r="H648" s="27" t="s">
        <v>206</v>
      </c>
      <c r="I648" s="27" t="s">
        <v>383</v>
      </c>
      <c r="J648" s="27" t="s">
        <v>463</v>
      </c>
      <c r="K648" s="27" t="s">
        <v>350</v>
      </c>
      <c r="L648" s="3" t="str">
        <f aca="false">IF(ISNUMBER(SEARCH(" m",I648)),"Range",IF(I648="offline","Offline",IF(I648="","Unknown","No echo / error")))</f>
        <v>No echo / error</v>
      </c>
      <c r="M648" s="3" t="str">
        <f aca="false">IF(ISNUMBER(SEARCH(" m",J648)),"Range",IF(J648="offline","Offline",IF(J648="","Unknown","No echo / error")))</f>
        <v>Range</v>
      </c>
      <c r="N648" s="3" t="str">
        <f aca="false">IF(ISNUMBER(SEARCH(" m",K648)),"Range",IF(K648="offline","Offline",IF(K648="","Unknown","No echo / error")))</f>
        <v>Range</v>
      </c>
      <c r="O648" s="3" t="str">
        <f aca="false">TEXT(B648,"yyyy-mm-dd")</f>
        <v>2026-10-06</v>
      </c>
    </row>
    <row r="649" customFormat="false" ht="15" hidden="false" customHeight="false" outlineLevel="0" collapsed="false">
      <c r="A649" s="27" t="n">
        <v>11</v>
      </c>
      <c r="B649" s="28" t="n">
        <v>46301.4856178472</v>
      </c>
      <c r="C649" s="29" t="n">
        <f aca="false">IF(A650=A649,B650,INDEX(Rounds!$D:$D,MATCH(A649,Rounds!$A:$A,0)))</f>
        <v>46301.4856264236</v>
      </c>
      <c r="D649" s="30" t="n">
        <f aca="false">(B649-INDEX(Rounds!$C:$C,MATCH(A649,Rounds!$A:$A,0)))*86400</f>
        <v>42.545000952</v>
      </c>
      <c r="E649" s="30" t="n">
        <f aca="false">(C649-INDEX(Rounds!$C:$C,MATCH(A649,Rounds!$A:$A,0)))*86400</f>
        <v>43.285999749</v>
      </c>
      <c r="F649" s="31" t="n">
        <f aca="false">(C649-B649)*86400</f>
        <v>0.740998797</v>
      </c>
      <c r="G649" s="27" t="s">
        <v>152</v>
      </c>
      <c r="H649" s="27" t="s">
        <v>208</v>
      </c>
      <c r="I649" s="27" t="s">
        <v>204</v>
      </c>
      <c r="J649" s="27" t="s">
        <v>313</v>
      </c>
      <c r="K649" s="27" t="s">
        <v>240</v>
      </c>
      <c r="L649" s="3" t="str">
        <f aca="false">IF(ISNUMBER(SEARCH(" m",I649)),"Range",IF(I649="offline","Offline",IF(I649="","Unknown","No echo / error")))</f>
        <v>No echo / error</v>
      </c>
      <c r="M649" s="3" t="str">
        <f aca="false">IF(ISNUMBER(SEARCH(" m",J649)),"Range",IF(J649="offline","Offline",IF(J649="","Unknown","No echo / error")))</f>
        <v>Range</v>
      </c>
      <c r="N649" s="3" t="str">
        <f aca="false">IF(ISNUMBER(SEARCH(" m",K649)),"Range",IF(K649="offline","Offline",IF(K649="","Unknown","No echo / error")))</f>
        <v>Range</v>
      </c>
      <c r="O649" s="3" t="str">
        <f aca="false">TEXT(B649,"yyyy-mm-dd")</f>
        <v>2026-10-06</v>
      </c>
    </row>
    <row r="650" customFormat="false" ht="15" hidden="false" customHeight="false" outlineLevel="0" collapsed="false">
      <c r="A650" s="27" t="n">
        <v>11</v>
      </c>
      <c r="B650" s="28" t="n">
        <v>46301.4856264236</v>
      </c>
      <c r="C650" s="29" t="n">
        <f aca="false">IF(A651=A650,B651,INDEX(Rounds!$D:$D,MATCH(A650,Rounds!$A:$A,0)))</f>
        <v>46301.4856305093</v>
      </c>
      <c r="D650" s="30" t="n">
        <f aca="false">(B650-INDEX(Rounds!$C:$C,MATCH(A650,Rounds!$A:$A,0)))*86400</f>
        <v>43.285999749</v>
      </c>
      <c r="E650" s="30" t="n">
        <f aca="false">(C650-INDEX(Rounds!$C:$C,MATCH(A650,Rounds!$A:$A,0)))*86400</f>
        <v>43.639000249</v>
      </c>
      <c r="F650" s="31" t="n">
        <f aca="false">(C650-B650)*86400</f>
        <v>0.353000499</v>
      </c>
      <c r="G650" s="27" t="s">
        <v>151</v>
      </c>
      <c r="H650" s="27" t="s">
        <v>203</v>
      </c>
      <c r="I650" s="27" t="s">
        <v>211</v>
      </c>
      <c r="J650" s="27" t="s">
        <v>313</v>
      </c>
      <c r="K650" s="27" t="s">
        <v>275</v>
      </c>
      <c r="L650" s="3" t="str">
        <f aca="false">IF(ISNUMBER(SEARCH(" m",I650)),"Range",IF(I650="offline","Offline",IF(I650="","Unknown","No echo / error")))</f>
        <v>No echo / error</v>
      </c>
      <c r="M650" s="3" t="str">
        <f aca="false">IF(ISNUMBER(SEARCH(" m",J650)),"Range",IF(J650="offline","Offline",IF(J650="","Unknown","No echo / error")))</f>
        <v>Range</v>
      </c>
      <c r="N650" s="3" t="str">
        <f aca="false">IF(ISNUMBER(SEARCH(" m",K650)),"Range",IF(K650="offline","Offline",IF(K650="","Unknown","No echo / error")))</f>
        <v>Range</v>
      </c>
      <c r="O650" s="3" t="str">
        <f aca="false">TEXT(B650,"yyyy-mm-dd")</f>
        <v>2026-10-06</v>
      </c>
    </row>
    <row r="651" customFormat="false" ht="15" hidden="false" customHeight="false" outlineLevel="0" collapsed="false">
      <c r="A651" s="27" t="n">
        <v>11</v>
      </c>
      <c r="B651" s="28" t="n">
        <v>46301.4856305093</v>
      </c>
      <c r="C651" s="29" t="n">
        <f aca="false">IF(A652=A651,B652,INDEX(Rounds!$D:$D,MATCH(A651,Rounds!$A:$A,0)))</f>
        <v>46301.4856417361</v>
      </c>
      <c r="D651" s="30" t="n">
        <f aca="false">(B651-INDEX(Rounds!$C:$C,MATCH(A651,Rounds!$A:$A,0)))*86400</f>
        <v>43.639000249</v>
      </c>
      <c r="E651" s="30" t="n">
        <f aca="false">(C651-INDEX(Rounds!$C:$C,MATCH(A651,Rounds!$A:$A,0)))*86400</f>
        <v>44.608999765</v>
      </c>
      <c r="F651" s="31" t="n">
        <f aca="false">(C651-B651)*86400</f>
        <v>0.969999516</v>
      </c>
      <c r="G651" s="27" t="s">
        <v>150</v>
      </c>
      <c r="H651" s="27" t="s">
        <v>206</v>
      </c>
      <c r="I651" s="27" t="s">
        <v>211</v>
      </c>
      <c r="J651" s="27" t="s">
        <v>240</v>
      </c>
      <c r="K651" s="27" t="s">
        <v>217</v>
      </c>
      <c r="L651" s="3" t="str">
        <f aca="false">IF(ISNUMBER(SEARCH(" m",I651)),"Range",IF(I651="offline","Offline",IF(I651="","Unknown","No echo / error")))</f>
        <v>No echo / error</v>
      </c>
      <c r="M651" s="3" t="str">
        <f aca="false">IF(ISNUMBER(SEARCH(" m",J651)),"Range",IF(J651="offline","Offline",IF(J651="","Unknown","No echo / error")))</f>
        <v>Range</v>
      </c>
      <c r="N651" s="3" t="str">
        <f aca="false">IF(ISNUMBER(SEARCH(" m",K651)),"Range",IF(K651="offline","Offline",IF(K651="","Unknown","No echo / error")))</f>
        <v>Range</v>
      </c>
      <c r="O651" s="3" t="str">
        <f aca="false">TEXT(B651,"yyyy-mm-dd")</f>
        <v>2026-10-06</v>
      </c>
    </row>
    <row r="652" customFormat="false" ht="15" hidden="false" customHeight="false" outlineLevel="0" collapsed="false">
      <c r="A652" s="27" t="n">
        <v>11</v>
      </c>
      <c r="B652" s="28" t="n">
        <v>46301.4856417361</v>
      </c>
      <c r="C652" s="29" t="n">
        <f aca="false">IF(A653=A652,B653,INDEX(Rounds!$D:$D,MATCH(A652,Rounds!$A:$A,0)))</f>
        <v>46301.4856458218</v>
      </c>
      <c r="D652" s="30" t="n">
        <f aca="false">(B652-INDEX(Rounds!$C:$C,MATCH(A652,Rounds!$A:$A,0)))*86400</f>
        <v>44.608999765</v>
      </c>
      <c r="E652" s="30" t="n">
        <f aca="false">(C652-INDEX(Rounds!$C:$C,MATCH(A652,Rounds!$A:$A,0)))*86400</f>
        <v>44.962000264</v>
      </c>
      <c r="F652" s="31" t="n">
        <f aca="false">(C652-B652)*86400</f>
        <v>0.353000499</v>
      </c>
      <c r="G652" s="27" t="s">
        <v>152</v>
      </c>
      <c r="H652" s="27" t="s">
        <v>208</v>
      </c>
      <c r="I652" s="27" t="s">
        <v>256</v>
      </c>
      <c r="J652" s="27" t="s">
        <v>220</v>
      </c>
      <c r="K652" s="27" t="s">
        <v>248</v>
      </c>
      <c r="L652" s="3" t="str">
        <f aca="false">IF(ISNUMBER(SEARCH(" m",I652)),"Range",IF(I652="offline","Offline",IF(I652="","Unknown","No echo / error")))</f>
        <v>Range</v>
      </c>
      <c r="M652" s="3" t="str">
        <f aca="false">IF(ISNUMBER(SEARCH(" m",J652)),"Range",IF(J652="offline","Offline",IF(J652="","Unknown","No echo / error")))</f>
        <v>No echo / error</v>
      </c>
      <c r="N652" s="3" t="str">
        <f aca="false">IF(ISNUMBER(SEARCH(" m",K652)),"Range",IF(K652="offline","Offline",IF(K652="","Unknown","No echo / error")))</f>
        <v>Range</v>
      </c>
      <c r="O652" s="3" t="str">
        <f aca="false">TEXT(B652,"yyyy-mm-dd")</f>
        <v>2026-10-06</v>
      </c>
    </row>
    <row r="653" customFormat="false" ht="15" hidden="false" customHeight="false" outlineLevel="0" collapsed="false">
      <c r="A653" s="27" t="n">
        <v>11</v>
      </c>
      <c r="B653" s="28" t="n">
        <v>46301.4856458218</v>
      </c>
      <c r="C653" s="29" t="n">
        <f aca="false">IF(A654=A653,B654,INDEX(Rounds!$D:$D,MATCH(A653,Rounds!$A:$A,0)))</f>
        <v>46301.4856471528</v>
      </c>
      <c r="D653" s="30" t="n">
        <f aca="false">(B653-INDEX(Rounds!$C:$C,MATCH(A653,Rounds!$A:$A,0)))*86400</f>
        <v>44.962000264</v>
      </c>
      <c r="E653" s="30" t="n">
        <f aca="false">(C653-INDEX(Rounds!$C:$C,MATCH(A653,Rounds!$A:$A,0)))*86400</f>
        <v>45.076999138</v>
      </c>
      <c r="F653" s="31" t="n">
        <f aca="false">(C653-B653)*86400</f>
        <v>0.114998873</v>
      </c>
      <c r="G653" s="27" t="s">
        <v>151</v>
      </c>
      <c r="H653" s="27" t="s">
        <v>203</v>
      </c>
      <c r="I653" s="27" t="s">
        <v>256</v>
      </c>
      <c r="J653" s="27" t="s">
        <v>393</v>
      </c>
      <c r="K653" s="27" t="s">
        <v>248</v>
      </c>
      <c r="L653" s="3" t="str">
        <f aca="false">IF(ISNUMBER(SEARCH(" m",I653)),"Range",IF(I653="offline","Offline",IF(I653="","Unknown","No echo / error")))</f>
        <v>Range</v>
      </c>
      <c r="M653" s="3" t="str">
        <f aca="false">IF(ISNUMBER(SEARCH(" m",J653)),"Range",IF(J653="offline","Offline",IF(J653="","Unknown","No echo / error")))</f>
        <v>Range</v>
      </c>
      <c r="N653" s="3" t="str">
        <f aca="false">IF(ISNUMBER(SEARCH(" m",K653)),"Range",IF(K653="offline","Offline",IF(K653="","Unknown","No echo / error")))</f>
        <v>Range</v>
      </c>
      <c r="O653" s="3" t="str">
        <f aca="false">TEXT(B653,"yyyy-mm-dd")</f>
        <v>2026-10-06</v>
      </c>
    </row>
    <row r="654" customFormat="false" ht="15" hidden="false" customHeight="false" outlineLevel="0" collapsed="false">
      <c r="A654" s="27" t="n">
        <v>11</v>
      </c>
      <c r="B654" s="28" t="n">
        <v>46301.4856471528</v>
      </c>
      <c r="C654" s="29" t="n">
        <f aca="false">IF(A655=A654,B655,INDEX(Rounds!$D:$D,MATCH(A654,Rounds!$A:$A,0)))</f>
        <v>46301.485654213</v>
      </c>
      <c r="D654" s="30" t="n">
        <f aca="false">(B654-INDEX(Rounds!$C:$C,MATCH(A654,Rounds!$A:$A,0)))*86400</f>
        <v>45.076999138</v>
      </c>
      <c r="E654" s="30" t="n">
        <f aca="false">(C654-INDEX(Rounds!$C:$C,MATCH(A654,Rounds!$A:$A,0)))*86400</f>
        <v>45.686999475</v>
      </c>
      <c r="F654" s="31" t="n">
        <f aca="false">(C654-B654)*86400</f>
        <v>0.610000337</v>
      </c>
      <c r="G654" s="27" t="s">
        <v>150</v>
      </c>
      <c r="H654" s="27" t="s">
        <v>206</v>
      </c>
      <c r="I654" s="27" t="s">
        <v>256</v>
      </c>
      <c r="J654" s="27" t="s">
        <v>259</v>
      </c>
      <c r="K654" s="27" t="s">
        <v>248</v>
      </c>
      <c r="L654" s="3" t="str">
        <f aca="false">IF(ISNUMBER(SEARCH(" m",I654)),"Range",IF(I654="offline","Offline",IF(I654="","Unknown","No echo / error")))</f>
        <v>Range</v>
      </c>
      <c r="M654" s="3" t="str">
        <f aca="false">IF(ISNUMBER(SEARCH(" m",J654)),"Range",IF(J654="offline","Offline",IF(J654="","Unknown","No echo / error")))</f>
        <v>Range</v>
      </c>
      <c r="N654" s="3" t="str">
        <f aca="false">IF(ISNUMBER(SEARCH(" m",K654)),"Range",IF(K654="offline","Offline",IF(K654="","Unknown","No echo / error")))</f>
        <v>Range</v>
      </c>
      <c r="O654" s="3" t="str">
        <f aca="false">TEXT(B654,"yyyy-mm-dd")</f>
        <v>2026-10-06</v>
      </c>
    </row>
    <row r="655" customFormat="false" ht="15" hidden="false" customHeight="false" outlineLevel="0" collapsed="false">
      <c r="A655" s="27" t="n">
        <v>11</v>
      </c>
      <c r="B655" s="28" t="n">
        <v>46301.485654213</v>
      </c>
      <c r="C655" s="29" t="n">
        <f aca="false">IF(A656=A655,B656,INDEX(Rounds!$D:$D,MATCH(A655,Rounds!$A:$A,0)))</f>
        <v>46301.4856551389</v>
      </c>
      <c r="D655" s="30" t="n">
        <f aca="false">(B655-INDEX(Rounds!$C:$C,MATCH(A655,Rounds!$A:$A,0)))*86400</f>
        <v>45.686999475</v>
      </c>
      <c r="E655" s="30" t="n">
        <f aca="false">(C655-INDEX(Rounds!$C:$C,MATCH(A655,Rounds!$A:$A,0)))*86400</f>
        <v>45.766999921</v>
      </c>
      <c r="F655" s="31" t="n">
        <f aca="false">(C655-B655)*86400</f>
        <v>0.080000446</v>
      </c>
      <c r="G655" s="27" t="s">
        <v>152</v>
      </c>
      <c r="H655" s="27" t="s">
        <v>208</v>
      </c>
      <c r="I655" s="27" t="s">
        <v>412</v>
      </c>
      <c r="J655" s="27" t="s">
        <v>467</v>
      </c>
      <c r="K655" s="27" t="s">
        <v>377</v>
      </c>
      <c r="L655" s="3" t="str">
        <f aca="false">IF(ISNUMBER(SEARCH(" m",I655)),"Range",IF(I655="offline","Offline",IF(I655="","Unknown","No echo / error")))</f>
        <v>Range</v>
      </c>
      <c r="M655" s="3" t="str">
        <f aca="false">IF(ISNUMBER(SEARCH(" m",J655)),"Range",IF(J655="offline","Offline",IF(J655="","Unknown","No echo / error")))</f>
        <v>Range</v>
      </c>
      <c r="N655" s="3" t="str">
        <f aca="false">IF(ISNUMBER(SEARCH(" m",K655)),"Range",IF(K655="offline","Offline",IF(K655="","Unknown","No echo / error")))</f>
        <v>Range</v>
      </c>
      <c r="O655" s="3" t="str">
        <f aca="false">TEXT(B655,"yyyy-mm-dd")</f>
        <v>2026-10-06</v>
      </c>
    </row>
    <row r="656" customFormat="false" ht="15" hidden="false" customHeight="false" outlineLevel="0" collapsed="false">
      <c r="A656" s="27" t="n">
        <v>11</v>
      </c>
      <c r="B656" s="28" t="n">
        <v>46301.4856551389</v>
      </c>
      <c r="C656" s="29" t="n">
        <f aca="false">IF(A657=A656,B657,INDEX(Rounds!$D:$D,MATCH(A656,Rounds!$A:$A,0)))</f>
        <v>46301.4856564468</v>
      </c>
      <c r="D656" s="30" t="n">
        <f aca="false">(B656-INDEX(Rounds!$C:$C,MATCH(A656,Rounds!$A:$A,0)))*86400</f>
        <v>45.766999921</v>
      </c>
      <c r="E656" s="30" t="n">
        <f aca="false">(C656-INDEX(Rounds!$C:$C,MATCH(A656,Rounds!$A:$A,0)))*86400</f>
        <v>45.880000339</v>
      </c>
      <c r="F656" s="31" t="n">
        <f aca="false">(C656-B656)*86400</f>
        <v>0.113000418</v>
      </c>
      <c r="G656" s="27" t="s">
        <v>151</v>
      </c>
      <c r="H656" s="27" t="s">
        <v>203</v>
      </c>
      <c r="I656" s="27" t="s">
        <v>412</v>
      </c>
      <c r="J656" s="27" t="s">
        <v>276</v>
      </c>
      <c r="K656" s="27" t="s">
        <v>377</v>
      </c>
      <c r="L656" s="3" t="str">
        <f aca="false">IF(ISNUMBER(SEARCH(" m",I656)),"Range",IF(I656="offline","Offline",IF(I656="","Unknown","No echo / error")))</f>
        <v>Range</v>
      </c>
      <c r="M656" s="3" t="str">
        <f aca="false">IF(ISNUMBER(SEARCH(" m",J656)),"Range",IF(J656="offline","Offline",IF(J656="","Unknown","No echo / error")))</f>
        <v>Range</v>
      </c>
      <c r="N656" s="3" t="str">
        <f aca="false">IF(ISNUMBER(SEARCH(" m",K656)),"Range",IF(K656="offline","Offline",IF(K656="","Unknown","No echo / error")))</f>
        <v>Range</v>
      </c>
      <c r="O656" s="3" t="str">
        <f aca="false">TEXT(B656,"yyyy-mm-dd")</f>
        <v>2026-10-06</v>
      </c>
    </row>
    <row r="657" customFormat="false" ht="15" hidden="false" customHeight="false" outlineLevel="0" collapsed="false">
      <c r="A657" s="27" t="n">
        <v>11</v>
      </c>
      <c r="B657" s="28" t="n">
        <v>46301.4856564468</v>
      </c>
      <c r="C657" s="29" t="n">
        <f aca="false">IF(A658=A657,B658,INDEX(Rounds!$D:$D,MATCH(A657,Rounds!$A:$A,0)))</f>
        <v>46301.4856648148</v>
      </c>
      <c r="D657" s="30" t="n">
        <f aca="false">(B657-INDEX(Rounds!$C:$C,MATCH(A657,Rounds!$A:$A,0)))*86400</f>
        <v>45.880000339</v>
      </c>
      <c r="E657" s="30" t="n">
        <f aca="false">(C657-INDEX(Rounds!$C:$C,MATCH(A657,Rounds!$A:$A,0)))*86400</f>
        <v>46.602999838</v>
      </c>
      <c r="F657" s="31" t="n">
        <f aca="false">(C657-B657)*86400</f>
        <v>0.722999498</v>
      </c>
      <c r="G657" s="27" t="s">
        <v>150</v>
      </c>
      <c r="H657" s="27" t="s">
        <v>206</v>
      </c>
      <c r="I657" s="27" t="s">
        <v>315</v>
      </c>
      <c r="J657" s="27" t="s">
        <v>276</v>
      </c>
      <c r="K657" s="27" t="s">
        <v>377</v>
      </c>
      <c r="L657" s="3" t="str">
        <f aca="false">IF(ISNUMBER(SEARCH(" m",I657)),"Range",IF(I657="offline","Offline",IF(I657="","Unknown","No echo / error")))</f>
        <v>Range</v>
      </c>
      <c r="M657" s="3" t="str">
        <f aca="false">IF(ISNUMBER(SEARCH(" m",J657)),"Range",IF(J657="offline","Offline",IF(J657="","Unknown","No echo / error")))</f>
        <v>Range</v>
      </c>
      <c r="N657" s="3" t="str">
        <f aca="false">IF(ISNUMBER(SEARCH(" m",K657)),"Range",IF(K657="offline","Offline",IF(K657="","Unknown","No echo / error")))</f>
        <v>Range</v>
      </c>
      <c r="O657" s="3" t="str">
        <f aca="false">TEXT(B657,"yyyy-mm-dd")</f>
        <v>2026-10-06</v>
      </c>
    </row>
    <row r="658" customFormat="false" ht="15" hidden="false" customHeight="false" outlineLevel="0" collapsed="false">
      <c r="A658" s="27" t="n">
        <v>11</v>
      </c>
      <c r="B658" s="28" t="n">
        <v>46301.4856648148</v>
      </c>
      <c r="C658" s="29" t="n">
        <f aca="false">IF(A659=A658,B659,INDEX(Rounds!$D:$D,MATCH(A658,Rounds!$A:$A,0)))</f>
        <v>46301.4856757986</v>
      </c>
      <c r="D658" s="30" t="n">
        <f aca="false">(B658-INDEX(Rounds!$C:$C,MATCH(A658,Rounds!$A:$A,0)))*86400</f>
        <v>46.602999838</v>
      </c>
      <c r="E658" s="30" t="n">
        <f aca="false">(C658-INDEX(Rounds!$C:$C,MATCH(A658,Rounds!$A:$A,0)))*86400</f>
        <v>47.552000172</v>
      </c>
      <c r="F658" s="31" t="n">
        <f aca="false">(C658-B658)*86400</f>
        <v>0.949000334</v>
      </c>
      <c r="G658" s="27" t="s">
        <v>152</v>
      </c>
      <c r="H658" s="27" t="s">
        <v>208</v>
      </c>
      <c r="I658" s="27" t="s">
        <v>350</v>
      </c>
      <c r="J658" s="27" t="s">
        <v>345</v>
      </c>
      <c r="K658" s="27" t="s">
        <v>239</v>
      </c>
      <c r="L658" s="3" t="str">
        <f aca="false">IF(ISNUMBER(SEARCH(" m",I658)),"Range",IF(I658="offline","Offline",IF(I658="","Unknown","No echo / error")))</f>
        <v>Range</v>
      </c>
      <c r="M658" s="3" t="str">
        <f aca="false">IF(ISNUMBER(SEARCH(" m",J658)),"Range",IF(J658="offline","Offline",IF(J658="","Unknown","No echo / error")))</f>
        <v>Range</v>
      </c>
      <c r="N658" s="3" t="str">
        <f aca="false">IF(ISNUMBER(SEARCH(" m",K658)),"Range",IF(K658="offline","Offline",IF(K658="","Unknown","No echo / error")))</f>
        <v>Range</v>
      </c>
      <c r="O658" s="3" t="str">
        <f aca="false">TEXT(B658,"yyyy-mm-dd")</f>
        <v>2026-10-06</v>
      </c>
    </row>
    <row r="659" customFormat="false" ht="15" hidden="false" customHeight="false" outlineLevel="0" collapsed="false">
      <c r="A659" s="27" t="n">
        <v>11</v>
      </c>
      <c r="B659" s="28" t="n">
        <v>46301.4856757986</v>
      </c>
      <c r="C659" s="29" t="n">
        <f aca="false">IF(A660=A659,B660,INDEX(Rounds!$D:$D,MATCH(A659,Rounds!$A:$A,0)))</f>
        <v>46301.4856798958</v>
      </c>
      <c r="D659" s="30" t="n">
        <f aca="false">(B659-INDEX(Rounds!$C:$C,MATCH(A659,Rounds!$A:$A,0)))*86400</f>
        <v>47.552000172</v>
      </c>
      <c r="E659" s="30" t="n">
        <f aca="false">(C659-INDEX(Rounds!$C:$C,MATCH(A659,Rounds!$A:$A,0)))*86400</f>
        <v>47.906000842</v>
      </c>
      <c r="F659" s="31" t="n">
        <f aca="false">(C659-B659)*86400</f>
        <v>0.354000669</v>
      </c>
      <c r="G659" s="27" t="s">
        <v>151</v>
      </c>
      <c r="H659" s="27" t="s">
        <v>203</v>
      </c>
      <c r="I659" s="27" t="s">
        <v>211</v>
      </c>
      <c r="J659" s="27" t="s">
        <v>346</v>
      </c>
      <c r="K659" s="27" t="s">
        <v>239</v>
      </c>
      <c r="L659" s="3" t="str">
        <f aca="false">IF(ISNUMBER(SEARCH(" m",I659)),"Range",IF(I659="offline","Offline",IF(I659="","Unknown","No echo / error")))</f>
        <v>No echo / error</v>
      </c>
      <c r="M659" s="3" t="str">
        <f aca="false">IF(ISNUMBER(SEARCH(" m",J659)),"Range",IF(J659="offline","Offline",IF(J659="","Unknown","No echo / error")))</f>
        <v>Range</v>
      </c>
      <c r="N659" s="3" t="str">
        <f aca="false">IF(ISNUMBER(SEARCH(" m",K659)),"Range",IF(K659="offline","Offline",IF(K659="","Unknown","No echo / error")))</f>
        <v>Range</v>
      </c>
      <c r="O659" s="3" t="str">
        <f aca="false">TEXT(B659,"yyyy-mm-dd")</f>
        <v>2026-10-06</v>
      </c>
    </row>
    <row r="660" customFormat="false" ht="15" hidden="false" customHeight="false" outlineLevel="0" collapsed="false">
      <c r="A660" s="27" t="n">
        <v>11</v>
      </c>
      <c r="B660" s="28" t="n">
        <v>46301.4856798958</v>
      </c>
      <c r="C660" s="29" t="n">
        <f aca="false">IF(A661=A660,B661,INDEX(Rounds!$D:$D,MATCH(A660,Rounds!$A:$A,0)))</f>
        <v>46301.4856864236</v>
      </c>
      <c r="D660" s="30" t="n">
        <f aca="false">(B660-INDEX(Rounds!$C:$C,MATCH(A660,Rounds!$A:$A,0)))*86400</f>
        <v>47.906000842</v>
      </c>
      <c r="E660" s="30" t="n">
        <f aca="false">(C660-INDEX(Rounds!$C:$C,MATCH(A660,Rounds!$A:$A,0)))*86400</f>
        <v>48.470000247</v>
      </c>
      <c r="F660" s="31" t="n">
        <f aca="false">(C660-B660)*86400</f>
        <v>0.563999405</v>
      </c>
      <c r="G660" s="27" t="s">
        <v>150</v>
      </c>
      <c r="H660" s="27" t="s">
        <v>206</v>
      </c>
      <c r="I660" s="27" t="s">
        <v>211</v>
      </c>
      <c r="J660" s="27" t="s">
        <v>204</v>
      </c>
      <c r="K660" s="27" t="s">
        <v>349</v>
      </c>
      <c r="L660" s="3" t="str">
        <f aca="false">IF(ISNUMBER(SEARCH(" m",I660)),"Range",IF(I660="offline","Offline",IF(I660="","Unknown","No echo / error")))</f>
        <v>No echo / error</v>
      </c>
      <c r="M660" s="3" t="str">
        <f aca="false">IF(ISNUMBER(SEARCH(" m",J660)),"Range",IF(J660="offline","Offline",IF(J660="","Unknown","No echo / error")))</f>
        <v>No echo / error</v>
      </c>
      <c r="N660" s="3" t="str">
        <f aca="false">IF(ISNUMBER(SEARCH(" m",K660)),"Range",IF(K660="offline","Offline",IF(K660="","Unknown","No echo / error")))</f>
        <v>Range</v>
      </c>
      <c r="O660" s="3" t="str">
        <f aca="false">TEXT(B660,"yyyy-mm-dd")</f>
        <v>2026-10-06</v>
      </c>
    </row>
    <row r="661" customFormat="false" ht="15" hidden="false" customHeight="false" outlineLevel="0" collapsed="false">
      <c r="A661" s="27" t="n">
        <v>11</v>
      </c>
      <c r="B661" s="28" t="n">
        <v>46301.4856864236</v>
      </c>
      <c r="C661" s="29" t="n">
        <f aca="false">IF(A662=A661,B662,INDEX(Rounds!$D:$D,MATCH(A661,Rounds!$A:$A,0)))</f>
        <v>46301.4856920255</v>
      </c>
      <c r="D661" s="30" t="n">
        <f aca="false">(B661-INDEX(Rounds!$C:$C,MATCH(A661,Rounds!$A:$A,0)))*86400</f>
        <v>48.470000247</v>
      </c>
      <c r="E661" s="30" t="n">
        <f aca="false">(C661-INDEX(Rounds!$C:$C,MATCH(A661,Rounds!$A:$A,0)))*86400</f>
        <v>48.953999835</v>
      </c>
      <c r="F661" s="31" t="n">
        <f aca="false">(C661-B661)*86400</f>
        <v>0.483999587</v>
      </c>
      <c r="G661" s="27" t="s">
        <v>151</v>
      </c>
      <c r="H661" s="27" t="s">
        <v>203</v>
      </c>
      <c r="I661" s="27" t="s">
        <v>311</v>
      </c>
      <c r="J661" s="27" t="s">
        <v>204</v>
      </c>
      <c r="K661" s="27" t="s">
        <v>347</v>
      </c>
      <c r="L661" s="3" t="str">
        <f aca="false">IF(ISNUMBER(SEARCH(" m",I661)),"Range",IF(I661="offline","Offline",IF(I661="","Unknown","No echo / error")))</f>
        <v>Range</v>
      </c>
      <c r="M661" s="3" t="str">
        <f aca="false">IF(ISNUMBER(SEARCH(" m",J661)),"Range",IF(J661="offline","Offline",IF(J661="","Unknown","No echo / error")))</f>
        <v>No echo / error</v>
      </c>
      <c r="N661" s="3" t="str">
        <f aca="false">IF(ISNUMBER(SEARCH(" m",K661)),"Range",IF(K661="offline","Offline",IF(K661="","Unknown","No echo / error")))</f>
        <v>Range</v>
      </c>
      <c r="O661" s="3" t="str">
        <f aca="false">TEXT(B661,"yyyy-mm-dd")</f>
        <v>2026-10-06</v>
      </c>
    </row>
    <row r="662" customFormat="false" ht="15" hidden="false" customHeight="false" outlineLevel="0" collapsed="false">
      <c r="A662" s="27" t="n">
        <v>11</v>
      </c>
      <c r="B662" s="28" t="n">
        <v>46301.4856920255</v>
      </c>
      <c r="C662" s="29" t="n">
        <f aca="false">IF(A663=A662,B663,INDEX(Rounds!$D:$D,MATCH(A662,Rounds!$A:$A,0)))</f>
        <v>46301.485697037</v>
      </c>
      <c r="D662" s="30" t="n">
        <f aca="false">(B662-INDEX(Rounds!$C:$C,MATCH(A662,Rounds!$A:$A,0)))*86400</f>
        <v>48.953999835</v>
      </c>
      <c r="E662" s="30" t="n">
        <f aca="false">(C662-INDEX(Rounds!$C:$C,MATCH(A662,Rounds!$A:$A,0)))*86400</f>
        <v>49.387000151</v>
      </c>
      <c r="F662" s="31" t="n">
        <f aca="false">(C662-B662)*86400</f>
        <v>0.433000316</v>
      </c>
      <c r="G662" s="27" t="s">
        <v>152</v>
      </c>
      <c r="H662" s="27" t="s">
        <v>208</v>
      </c>
      <c r="I662" s="27" t="s">
        <v>311</v>
      </c>
      <c r="J662" s="27" t="s">
        <v>204</v>
      </c>
      <c r="K662" s="27" t="s">
        <v>347</v>
      </c>
      <c r="L662" s="3" t="str">
        <f aca="false">IF(ISNUMBER(SEARCH(" m",I662)),"Range",IF(I662="offline","Offline",IF(I662="","Unknown","No echo / error")))</f>
        <v>Range</v>
      </c>
      <c r="M662" s="3" t="str">
        <f aca="false">IF(ISNUMBER(SEARCH(" m",J662)),"Range",IF(J662="offline","Offline",IF(J662="","Unknown","No echo / error")))</f>
        <v>No echo / error</v>
      </c>
      <c r="N662" s="3" t="str">
        <f aca="false">IF(ISNUMBER(SEARCH(" m",K662)),"Range",IF(K662="offline","Offline",IF(K662="","Unknown","No echo / error")))</f>
        <v>Range</v>
      </c>
      <c r="O662" s="3" t="str">
        <f aca="false">TEXT(B662,"yyyy-mm-dd")</f>
        <v>2026-10-06</v>
      </c>
    </row>
    <row r="663" customFormat="false" ht="15" hidden="false" customHeight="false" outlineLevel="0" collapsed="false">
      <c r="A663" s="27" t="n">
        <v>11</v>
      </c>
      <c r="B663" s="28" t="n">
        <v>46301.485697037</v>
      </c>
      <c r="C663" s="29" t="n">
        <f aca="false">IF(A664=A663,B664,INDEX(Rounds!$D:$D,MATCH(A663,Rounds!$A:$A,0)))</f>
        <v>46301.4856996759</v>
      </c>
      <c r="D663" s="30" t="n">
        <f aca="false">(B663-INDEX(Rounds!$C:$C,MATCH(A663,Rounds!$A:$A,0)))*86400</f>
        <v>49.387000151</v>
      </c>
      <c r="E663" s="30" t="n">
        <f aca="false">(C663-INDEX(Rounds!$C:$C,MATCH(A663,Rounds!$A:$A,0)))*86400</f>
        <v>49.6150007</v>
      </c>
      <c r="F663" s="31" t="n">
        <f aca="false">(C663-B663)*86400</f>
        <v>0.228000548</v>
      </c>
      <c r="G663" s="27" t="s">
        <v>151</v>
      </c>
      <c r="H663" s="27" t="s">
        <v>203</v>
      </c>
      <c r="I663" s="27" t="s">
        <v>211</v>
      </c>
      <c r="J663" s="27" t="s">
        <v>204</v>
      </c>
      <c r="K663" s="27" t="s">
        <v>350</v>
      </c>
      <c r="L663" s="3" t="str">
        <f aca="false">IF(ISNUMBER(SEARCH(" m",I663)),"Range",IF(I663="offline","Offline",IF(I663="","Unknown","No echo / error")))</f>
        <v>No echo / error</v>
      </c>
      <c r="M663" s="3" t="str">
        <f aca="false">IF(ISNUMBER(SEARCH(" m",J663)),"Range",IF(J663="offline","Offline",IF(J663="","Unknown","No echo / error")))</f>
        <v>No echo / error</v>
      </c>
      <c r="N663" s="3" t="str">
        <f aca="false">IF(ISNUMBER(SEARCH(" m",K663)),"Range",IF(K663="offline","Offline",IF(K663="","Unknown","No echo / error")))</f>
        <v>Range</v>
      </c>
      <c r="O663" s="3" t="str">
        <f aca="false">TEXT(B663,"yyyy-mm-dd")</f>
        <v>2026-10-06</v>
      </c>
    </row>
    <row r="664" customFormat="false" ht="15" hidden="false" customHeight="false" outlineLevel="0" collapsed="false">
      <c r="A664" s="27" t="n">
        <v>11</v>
      </c>
      <c r="B664" s="28" t="n">
        <v>46301.4856996759</v>
      </c>
      <c r="C664" s="29" t="n">
        <f aca="false">IF(A665=A664,B665,INDEX(Rounds!$D:$D,MATCH(A664,Rounds!$A:$A,0)))</f>
        <v>46301.4857076968</v>
      </c>
      <c r="D664" s="30" t="n">
        <f aca="false">(B664-INDEX(Rounds!$C:$C,MATCH(A664,Rounds!$A:$A,0)))*86400</f>
        <v>49.6150007</v>
      </c>
      <c r="E664" s="30" t="n">
        <f aca="false">(C664-INDEX(Rounds!$C:$C,MATCH(A664,Rounds!$A:$A,0)))*86400</f>
        <v>50.30800011</v>
      </c>
      <c r="F664" s="31" t="n">
        <f aca="false">(C664-B664)*86400</f>
        <v>0.692999409</v>
      </c>
      <c r="G664" s="27" t="s">
        <v>150</v>
      </c>
      <c r="H664" s="27" t="s">
        <v>206</v>
      </c>
      <c r="I664" s="27" t="s">
        <v>289</v>
      </c>
      <c r="J664" s="27" t="s">
        <v>238</v>
      </c>
      <c r="K664" s="27" t="s">
        <v>350</v>
      </c>
      <c r="L664" s="3" t="str">
        <f aca="false">IF(ISNUMBER(SEARCH(" m",I664)),"Range",IF(I664="offline","Offline",IF(I664="","Unknown","No echo / error")))</f>
        <v>Range</v>
      </c>
      <c r="M664" s="3" t="str">
        <f aca="false">IF(ISNUMBER(SEARCH(" m",J664)),"Range",IF(J664="offline","Offline",IF(J664="","Unknown","No echo / error")))</f>
        <v>Range</v>
      </c>
      <c r="N664" s="3" t="str">
        <f aca="false">IF(ISNUMBER(SEARCH(" m",K664)),"Range",IF(K664="offline","Offline",IF(K664="","Unknown","No echo / error")))</f>
        <v>Range</v>
      </c>
      <c r="O664" s="3" t="str">
        <f aca="false">TEXT(B664,"yyyy-mm-dd")</f>
        <v>2026-10-06</v>
      </c>
    </row>
    <row r="665" customFormat="false" ht="15" hidden="false" customHeight="false" outlineLevel="0" collapsed="false">
      <c r="A665" s="27" t="n">
        <v>11</v>
      </c>
      <c r="B665" s="28" t="n">
        <v>46301.4857076968</v>
      </c>
      <c r="C665" s="29" t="n">
        <f aca="false">IF(A666=A665,B666,INDEX(Rounds!$D:$D,MATCH(A665,Rounds!$A:$A,0)))</f>
        <v>46301.4857089931</v>
      </c>
      <c r="D665" s="30" t="n">
        <f aca="false">(B665-INDEX(Rounds!$C:$C,MATCH(A665,Rounds!$A:$A,0)))*86400</f>
        <v>50.30800011</v>
      </c>
      <c r="E665" s="30" t="n">
        <f aca="false">(C665-INDEX(Rounds!$C:$C,MATCH(A665,Rounds!$A:$A,0)))*86400</f>
        <v>50.419999728</v>
      </c>
      <c r="F665" s="31" t="n">
        <f aca="false">(C665-B665)*86400</f>
        <v>0.111999618</v>
      </c>
      <c r="G665" s="27" t="s">
        <v>151</v>
      </c>
      <c r="H665" s="27" t="s">
        <v>203</v>
      </c>
      <c r="I665" s="27" t="s">
        <v>335</v>
      </c>
      <c r="J665" s="27" t="s">
        <v>412</v>
      </c>
      <c r="K665" s="27" t="s">
        <v>352</v>
      </c>
      <c r="L665" s="3" t="str">
        <f aca="false">IF(ISNUMBER(SEARCH(" m",I665)),"Range",IF(I665="offline","Offline",IF(I665="","Unknown","No echo / error")))</f>
        <v>Range</v>
      </c>
      <c r="M665" s="3" t="str">
        <f aca="false">IF(ISNUMBER(SEARCH(" m",J665)),"Range",IF(J665="offline","Offline",IF(J665="","Unknown","No echo / error")))</f>
        <v>Range</v>
      </c>
      <c r="N665" s="3" t="str">
        <f aca="false">IF(ISNUMBER(SEARCH(" m",K665)),"Range",IF(K665="offline","Offline",IF(K665="","Unknown","No echo / error")))</f>
        <v>Range</v>
      </c>
      <c r="O665" s="3" t="str">
        <f aca="false">TEXT(B665,"yyyy-mm-dd")</f>
        <v>2026-10-06</v>
      </c>
    </row>
    <row r="666" customFormat="false" ht="15" hidden="false" customHeight="false" outlineLevel="0" collapsed="false">
      <c r="A666" s="27" t="n">
        <v>11</v>
      </c>
      <c r="B666" s="28" t="n">
        <v>46301.4857089931</v>
      </c>
      <c r="C666" s="29" t="n">
        <f aca="false">IF(A667=A666,B667,INDEX(Rounds!$D:$D,MATCH(A666,Rounds!$A:$A,0)))</f>
        <v>46301.4857259259</v>
      </c>
      <c r="D666" s="30" t="n">
        <f aca="false">(B666-INDEX(Rounds!$C:$C,MATCH(A666,Rounds!$A:$A,0)))*86400</f>
        <v>50.419999728</v>
      </c>
      <c r="E666" s="30" t="n">
        <f aca="false">(C666-INDEX(Rounds!$C:$C,MATCH(A666,Rounds!$A:$A,0)))*86400</f>
        <v>51.882999739</v>
      </c>
      <c r="F666" s="31" t="n">
        <f aca="false">(C666-B666)*86400</f>
        <v>1.46300001</v>
      </c>
      <c r="G666" s="27" t="s">
        <v>150</v>
      </c>
      <c r="H666" s="27" t="s">
        <v>206</v>
      </c>
      <c r="I666" s="27" t="s">
        <v>335</v>
      </c>
      <c r="J666" s="27" t="s">
        <v>347</v>
      </c>
      <c r="K666" s="27" t="s">
        <v>352</v>
      </c>
      <c r="L666" s="3" t="str">
        <f aca="false">IF(ISNUMBER(SEARCH(" m",I666)),"Range",IF(I666="offline","Offline",IF(I666="","Unknown","No echo / error")))</f>
        <v>Range</v>
      </c>
      <c r="M666" s="3" t="str">
        <f aca="false">IF(ISNUMBER(SEARCH(" m",J666)),"Range",IF(J666="offline","Offline",IF(J666="","Unknown","No echo / error")))</f>
        <v>Range</v>
      </c>
      <c r="N666" s="3" t="str">
        <f aca="false">IF(ISNUMBER(SEARCH(" m",K666)),"Range",IF(K666="offline","Offline",IF(K666="","Unknown","No echo / error")))</f>
        <v>Range</v>
      </c>
      <c r="O666" s="3" t="str">
        <f aca="false">TEXT(B666,"yyyy-mm-dd")</f>
        <v>2026-10-06</v>
      </c>
    </row>
    <row r="667" customFormat="false" ht="15" hidden="false" customHeight="false" outlineLevel="0" collapsed="false">
      <c r="A667" s="27" t="n">
        <v>11</v>
      </c>
      <c r="B667" s="28" t="n">
        <v>46301.4857259259</v>
      </c>
      <c r="C667" s="29" t="n">
        <f aca="false">IF(A668=A667,B668,INDEX(Rounds!$D:$D,MATCH(A667,Rounds!$A:$A,0)))</f>
        <v>46301.4857510417</v>
      </c>
      <c r="D667" s="30" t="n">
        <f aca="false">(B667-INDEX(Rounds!$C:$C,MATCH(A667,Rounds!$A:$A,0)))*86400</f>
        <v>51.882999739</v>
      </c>
      <c r="E667" s="30" t="n">
        <f aca="false">(C667-INDEX(Rounds!$C:$C,MATCH(A667,Rounds!$A:$A,0)))*86400</f>
        <v>54.05300029</v>
      </c>
      <c r="F667" s="31" t="n">
        <f aca="false">(C667-B667)*86400</f>
        <v>2.170000551</v>
      </c>
      <c r="G667" s="27" t="s">
        <v>152</v>
      </c>
      <c r="H667" s="27" t="s">
        <v>208</v>
      </c>
      <c r="I667" s="27" t="s">
        <v>485</v>
      </c>
      <c r="J667" s="27" t="s">
        <v>486</v>
      </c>
      <c r="K667" s="27" t="s">
        <v>310</v>
      </c>
      <c r="L667" s="3" t="str">
        <f aca="false">IF(ISNUMBER(SEARCH(" m",I667)),"Range",IF(I667="offline","Offline",IF(I667="","Unknown","No echo / error")))</f>
        <v>Range</v>
      </c>
      <c r="M667" s="3" t="str">
        <f aca="false">IF(ISNUMBER(SEARCH(" m",J667)),"Range",IF(J667="offline","Offline",IF(J667="","Unknown","No echo / error")))</f>
        <v>Range</v>
      </c>
      <c r="N667" s="3" t="str">
        <f aca="false">IF(ISNUMBER(SEARCH(" m",K667)),"Range",IF(K667="offline","Offline",IF(K667="","Unknown","No echo / error")))</f>
        <v>Range</v>
      </c>
      <c r="O667" s="3" t="str">
        <f aca="false">TEXT(B667,"yyyy-mm-dd")</f>
        <v>2026-10-06</v>
      </c>
    </row>
    <row r="668" customFormat="false" ht="15" hidden="false" customHeight="false" outlineLevel="0" collapsed="false">
      <c r="A668" s="27" t="n">
        <v>11</v>
      </c>
      <c r="B668" s="28" t="n">
        <v>46301.4857510417</v>
      </c>
      <c r="C668" s="29" t="n">
        <f aca="false">IF(A669=A668,B669,INDEX(Rounds!$D:$D,MATCH(A668,Rounds!$A:$A,0)))</f>
        <v>46301.4857566204</v>
      </c>
      <c r="D668" s="30" t="n">
        <f aca="false">(B668-INDEX(Rounds!$C:$C,MATCH(A668,Rounds!$A:$A,0)))*86400</f>
        <v>54.05300029</v>
      </c>
      <c r="E668" s="30" t="n">
        <f aca="false">(C668-INDEX(Rounds!$C:$C,MATCH(A668,Rounds!$A:$A,0)))*86400</f>
        <v>54.535000165</v>
      </c>
      <c r="F668" s="31" t="n">
        <f aca="false">(C668-B668)*86400</f>
        <v>0.481999875</v>
      </c>
      <c r="G668" s="27" t="s">
        <v>151</v>
      </c>
      <c r="H668" s="27" t="s">
        <v>203</v>
      </c>
      <c r="I668" s="27" t="s">
        <v>210</v>
      </c>
      <c r="J668" s="27" t="s">
        <v>288</v>
      </c>
      <c r="K668" s="27" t="s">
        <v>220</v>
      </c>
      <c r="L668" s="3" t="str">
        <f aca="false">IF(ISNUMBER(SEARCH(" m",I668)),"Range",IF(I668="offline","Offline",IF(I668="","Unknown","No echo / error")))</f>
        <v>Range</v>
      </c>
      <c r="M668" s="3" t="str">
        <f aca="false">IF(ISNUMBER(SEARCH(" m",J668)),"Range",IF(J668="offline","Offline",IF(J668="","Unknown","No echo / error")))</f>
        <v>Range</v>
      </c>
      <c r="N668" s="3" t="str">
        <f aca="false">IF(ISNUMBER(SEARCH(" m",K668)),"Range",IF(K668="offline","Offline",IF(K668="","Unknown","No echo / error")))</f>
        <v>No echo / error</v>
      </c>
      <c r="O668" s="3" t="str">
        <f aca="false">TEXT(B668,"yyyy-mm-dd")</f>
        <v>2026-10-06</v>
      </c>
    </row>
    <row r="669" customFormat="false" ht="15" hidden="false" customHeight="false" outlineLevel="0" collapsed="false">
      <c r="A669" s="27" t="n">
        <v>11</v>
      </c>
      <c r="B669" s="28" t="n">
        <v>46301.4857566204</v>
      </c>
      <c r="C669" s="29" t="n">
        <f aca="false">IF(A670=A669,B670,INDEX(Rounds!$D:$D,MATCH(A669,Rounds!$A:$A,0)))</f>
        <v>46301.4857744329</v>
      </c>
      <c r="D669" s="30" t="n">
        <f aca="false">(B669-INDEX(Rounds!$C:$C,MATCH(A669,Rounds!$A:$A,0)))*86400</f>
        <v>54.535000165</v>
      </c>
      <c r="E669" s="30" t="n">
        <f aca="false">(C669-INDEX(Rounds!$C:$C,MATCH(A669,Rounds!$A:$A,0)))*86400</f>
        <v>56.07399994</v>
      </c>
      <c r="F669" s="31" t="n">
        <f aca="false">(C669-B669)*86400</f>
        <v>1.538999774</v>
      </c>
      <c r="G669" s="27" t="s">
        <v>152</v>
      </c>
      <c r="H669" s="27" t="s">
        <v>208</v>
      </c>
      <c r="I669" s="27" t="s">
        <v>210</v>
      </c>
      <c r="J669" s="27" t="s">
        <v>204</v>
      </c>
      <c r="K669" s="27" t="s">
        <v>220</v>
      </c>
      <c r="L669" s="3" t="str">
        <f aca="false">IF(ISNUMBER(SEARCH(" m",I669)),"Range",IF(I669="offline","Offline",IF(I669="","Unknown","No echo / error")))</f>
        <v>Range</v>
      </c>
      <c r="M669" s="3" t="str">
        <f aca="false">IF(ISNUMBER(SEARCH(" m",J669)),"Range",IF(J669="offline","Offline",IF(J669="","Unknown","No echo / error")))</f>
        <v>No echo / error</v>
      </c>
      <c r="N669" s="3" t="str">
        <f aca="false">IF(ISNUMBER(SEARCH(" m",K669)),"Range",IF(K669="offline","Offline",IF(K669="","Unknown","No echo / error")))</f>
        <v>No echo / error</v>
      </c>
      <c r="O669" s="3" t="str">
        <f aca="false">TEXT(B669,"yyyy-mm-dd")</f>
        <v>2026-10-06</v>
      </c>
    </row>
    <row r="670" customFormat="false" ht="15" hidden="false" customHeight="false" outlineLevel="0" collapsed="false">
      <c r="A670" s="27" t="n">
        <v>11</v>
      </c>
      <c r="B670" s="28" t="n">
        <v>46301.4857744329</v>
      </c>
      <c r="C670" s="29" t="n">
        <f aca="false">IF(A671=A670,B671,INDEX(Rounds!$D:$D,MATCH(A670,Rounds!$A:$A,0)))</f>
        <v>46301.4857800232</v>
      </c>
      <c r="D670" s="30" t="n">
        <f aca="false">(B670-INDEX(Rounds!$C:$C,MATCH(A670,Rounds!$A:$A,0)))*86400</f>
        <v>56.07399994</v>
      </c>
      <c r="E670" s="30" t="n">
        <f aca="false">(C670-INDEX(Rounds!$C:$C,MATCH(A670,Rounds!$A:$A,0)))*86400</f>
        <v>56.556999986</v>
      </c>
      <c r="F670" s="31" t="n">
        <f aca="false">(C670-B670)*86400</f>
        <v>0.483000045</v>
      </c>
      <c r="G670" s="27" t="s">
        <v>151</v>
      </c>
      <c r="H670" s="27" t="s">
        <v>203</v>
      </c>
      <c r="I670" s="27" t="s">
        <v>204</v>
      </c>
      <c r="J670" s="27" t="s">
        <v>409</v>
      </c>
      <c r="K670" s="27" t="s">
        <v>215</v>
      </c>
      <c r="L670" s="3" t="str">
        <f aca="false">IF(ISNUMBER(SEARCH(" m",I670)),"Range",IF(I670="offline","Offline",IF(I670="","Unknown","No echo / error")))</f>
        <v>No echo / error</v>
      </c>
      <c r="M670" s="3" t="str">
        <f aca="false">IF(ISNUMBER(SEARCH(" m",J670)),"Range",IF(J670="offline","Offline",IF(J670="","Unknown","No echo / error")))</f>
        <v>Range</v>
      </c>
      <c r="N670" s="3" t="str">
        <f aca="false">IF(ISNUMBER(SEARCH(" m",K670)),"Range",IF(K670="offline","Offline",IF(K670="","Unknown","No echo / error")))</f>
        <v>Range</v>
      </c>
      <c r="O670" s="3" t="str">
        <f aca="false">TEXT(B670,"yyyy-mm-dd")</f>
        <v>2026-10-06</v>
      </c>
    </row>
    <row r="671" customFormat="false" ht="15" hidden="false" customHeight="false" outlineLevel="0" collapsed="false">
      <c r="A671" s="27" t="n">
        <v>11</v>
      </c>
      <c r="B671" s="28" t="n">
        <v>46301.4857800232</v>
      </c>
      <c r="C671" s="29" t="n">
        <f aca="false">IF(A672=A671,B672,INDEX(Rounds!$D:$D,MATCH(A671,Rounds!$A:$A,0)))</f>
        <v>46301.4858202199</v>
      </c>
      <c r="D671" s="30" t="n">
        <f aca="false">(B671-INDEX(Rounds!$C:$C,MATCH(A671,Rounds!$A:$A,0)))*86400</f>
        <v>56.556999986</v>
      </c>
      <c r="E671" s="30" t="n">
        <f aca="false">(C671-INDEX(Rounds!$C:$C,MATCH(A671,Rounds!$A:$A,0)))*86400</f>
        <v>60.030000284</v>
      </c>
      <c r="F671" s="31" t="n">
        <f aca="false">(C671-B671)*86400</f>
        <v>3.473000298</v>
      </c>
      <c r="G671" s="27" t="s">
        <v>152</v>
      </c>
      <c r="H671" s="27" t="s">
        <v>208</v>
      </c>
      <c r="I671" s="27" t="s">
        <v>204</v>
      </c>
      <c r="J671" s="27" t="s">
        <v>409</v>
      </c>
      <c r="K671" s="27" t="s">
        <v>318</v>
      </c>
      <c r="L671" s="3" t="str">
        <f aca="false">IF(ISNUMBER(SEARCH(" m",I671)),"Range",IF(I671="offline","Offline",IF(I671="","Unknown","No echo / error")))</f>
        <v>No echo / error</v>
      </c>
      <c r="M671" s="3" t="str">
        <f aca="false">IF(ISNUMBER(SEARCH(" m",J671)),"Range",IF(J671="offline","Offline",IF(J671="","Unknown","No echo / error")))</f>
        <v>Range</v>
      </c>
      <c r="N671" s="3" t="str">
        <f aca="false">IF(ISNUMBER(SEARCH(" m",K671)),"Range",IF(K671="offline","Offline",IF(K671="","Unknown","No echo / error")))</f>
        <v>Range</v>
      </c>
      <c r="O671" s="3" t="str">
        <f aca="false">TEXT(B671,"yyyy-mm-dd")</f>
        <v>2026-10-06</v>
      </c>
    </row>
    <row r="672" customFormat="false" ht="15" hidden="false" customHeight="false" outlineLevel="0" collapsed="false">
      <c r="A672" s="27" t="n">
        <v>11</v>
      </c>
      <c r="B672" s="28" t="n">
        <v>46301.4858202199</v>
      </c>
      <c r="C672" s="29" t="n">
        <f aca="false">IF(A673=A672,B673,INDEX(Rounds!$D:$D,MATCH(A672,Rounds!$A:$A,0)))</f>
        <v>46301.4858284607</v>
      </c>
      <c r="D672" s="30" t="n">
        <f aca="false">(B672-INDEX(Rounds!$C:$C,MATCH(A672,Rounds!$A:$A,0)))*86400</f>
        <v>60.030000284</v>
      </c>
      <c r="E672" s="30" t="n">
        <f aca="false">(C672-INDEX(Rounds!$C:$C,MATCH(A672,Rounds!$A:$A,0)))*86400</f>
        <v>60.74200042</v>
      </c>
      <c r="F672" s="31" t="n">
        <f aca="false">(C672-B672)*86400</f>
        <v>0.712000136</v>
      </c>
      <c r="G672" s="27" t="s">
        <v>151</v>
      </c>
      <c r="H672" s="27" t="s">
        <v>203</v>
      </c>
      <c r="I672" s="27" t="s">
        <v>346</v>
      </c>
      <c r="J672" s="27" t="s">
        <v>212</v>
      </c>
      <c r="K672" s="27" t="s">
        <v>220</v>
      </c>
      <c r="L672" s="3" t="str">
        <f aca="false">IF(ISNUMBER(SEARCH(" m",I672)),"Range",IF(I672="offline","Offline",IF(I672="","Unknown","No echo / error")))</f>
        <v>Range</v>
      </c>
      <c r="M672" s="3" t="str">
        <f aca="false">IF(ISNUMBER(SEARCH(" m",J672)),"Range",IF(J672="offline","Offline",IF(J672="","Unknown","No echo / error")))</f>
        <v>Range</v>
      </c>
      <c r="N672" s="3" t="str">
        <f aca="false">IF(ISNUMBER(SEARCH(" m",K672)),"Range",IF(K672="offline","Offline",IF(K672="","Unknown","No echo / error")))</f>
        <v>No echo / error</v>
      </c>
      <c r="O672" s="3" t="str">
        <f aca="false">TEXT(B672,"yyyy-mm-dd")</f>
        <v>2026-10-06</v>
      </c>
    </row>
    <row r="673" customFormat="false" ht="15" hidden="false" customHeight="false" outlineLevel="0" collapsed="false">
      <c r="A673" s="27" t="n">
        <v>11</v>
      </c>
      <c r="B673" s="28" t="n">
        <v>46301.4858284607</v>
      </c>
      <c r="C673" s="29" t="n">
        <f aca="false">IF(A674=A673,B674,INDEX(Rounds!$D:$D,MATCH(A673,Rounds!$A:$A,0)))</f>
        <v>46301.4858340394</v>
      </c>
      <c r="D673" s="30" t="n">
        <f aca="false">(B673-INDEX(Rounds!$C:$C,MATCH(A673,Rounds!$A:$A,0)))*86400</f>
        <v>60.74200042</v>
      </c>
      <c r="E673" s="30" t="n">
        <f aca="false">(C673-INDEX(Rounds!$C:$C,MATCH(A673,Rounds!$A:$A,0)))*86400</f>
        <v>61.223999666</v>
      </c>
      <c r="F673" s="31" t="n">
        <f aca="false">(C673-B673)*86400</f>
        <v>0.481999246</v>
      </c>
      <c r="G673" s="27" t="s">
        <v>152</v>
      </c>
      <c r="H673" s="27" t="s">
        <v>208</v>
      </c>
      <c r="I673" s="27" t="s">
        <v>211</v>
      </c>
      <c r="J673" s="27" t="s">
        <v>276</v>
      </c>
      <c r="K673" s="27" t="s">
        <v>223</v>
      </c>
      <c r="L673" s="3" t="str">
        <f aca="false">IF(ISNUMBER(SEARCH(" m",I673)),"Range",IF(I673="offline","Offline",IF(I673="","Unknown","No echo / error")))</f>
        <v>No echo / error</v>
      </c>
      <c r="M673" s="3" t="str">
        <f aca="false">IF(ISNUMBER(SEARCH(" m",J673)),"Range",IF(J673="offline","Offline",IF(J673="","Unknown","No echo / error")))</f>
        <v>Range</v>
      </c>
      <c r="N673" s="3" t="str">
        <f aca="false">IF(ISNUMBER(SEARCH(" m",K673)),"Range",IF(K673="offline","Offline",IF(K673="","Unknown","No echo / error")))</f>
        <v>Range</v>
      </c>
      <c r="O673" s="3" t="str">
        <f aca="false">TEXT(B673,"yyyy-mm-dd")</f>
        <v>2026-10-06</v>
      </c>
    </row>
    <row r="674" customFormat="false" ht="15" hidden="false" customHeight="false" outlineLevel="0" collapsed="false">
      <c r="A674" s="27" t="n">
        <v>11</v>
      </c>
      <c r="B674" s="28" t="n">
        <v>46301.4858340394</v>
      </c>
      <c r="C674" s="29" t="n">
        <f aca="false">IF(A675=A674,B675,INDEX(Rounds!$D:$D,MATCH(A674,Rounds!$A:$A,0)))</f>
        <v>46301.4858397917</v>
      </c>
      <c r="D674" s="30" t="n">
        <f aca="false">(B674-INDEX(Rounds!$C:$C,MATCH(A674,Rounds!$A:$A,0)))*86400</f>
        <v>61.223999666</v>
      </c>
      <c r="E674" s="30" t="n">
        <f aca="false">(C674-INDEX(Rounds!$C:$C,MATCH(A674,Rounds!$A:$A,0)))*86400</f>
        <v>61.721000215</v>
      </c>
      <c r="F674" s="31" t="n">
        <f aca="false">(C674-B674)*86400</f>
        <v>0.497000548</v>
      </c>
      <c r="G674" s="27" t="s">
        <v>151</v>
      </c>
      <c r="H674" s="27" t="s">
        <v>203</v>
      </c>
      <c r="I674" s="27" t="s">
        <v>211</v>
      </c>
      <c r="J674" s="27" t="s">
        <v>205</v>
      </c>
      <c r="K674" s="27" t="s">
        <v>223</v>
      </c>
      <c r="L674" s="3" t="str">
        <f aca="false">IF(ISNUMBER(SEARCH(" m",I674)),"Range",IF(I674="offline","Offline",IF(I674="","Unknown","No echo / error")))</f>
        <v>No echo / error</v>
      </c>
      <c r="M674" s="3" t="str">
        <f aca="false">IF(ISNUMBER(SEARCH(" m",J674)),"Range",IF(J674="offline","Offline",IF(J674="","Unknown","No echo / error")))</f>
        <v>Range</v>
      </c>
      <c r="N674" s="3" t="str">
        <f aca="false">IF(ISNUMBER(SEARCH(" m",K674)),"Range",IF(K674="offline","Offline",IF(K674="","Unknown","No echo / error")))</f>
        <v>Range</v>
      </c>
      <c r="O674" s="3" t="str">
        <f aca="false">TEXT(B674,"yyyy-mm-dd")</f>
        <v>2026-10-06</v>
      </c>
    </row>
    <row r="675" customFormat="false" ht="15" hidden="false" customHeight="false" outlineLevel="0" collapsed="false">
      <c r="A675" s="27" t="n">
        <v>11</v>
      </c>
      <c r="B675" s="28" t="n">
        <v>46301.4858397917</v>
      </c>
      <c r="C675" s="29" t="n">
        <f aca="false">IF(A676=A675,B676,INDEX(Rounds!$D:$D,MATCH(A675,Rounds!$A:$A,0)))</f>
        <v>46301.4858539931</v>
      </c>
      <c r="D675" s="30" t="n">
        <f aca="false">(B675-INDEX(Rounds!$C:$C,MATCH(A675,Rounds!$A:$A,0)))*86400</f>
        <v>61.721000215</v>
      </c>
      <c r="E675" s="30" t="n">
        <f aca="false">(C675-INDEX(Rounds!$C:$C,MATCH(A675,Rounds!$A:$A,0)))*86400</f>
        <v>62.948000198</v>
      </c>
      <c r="F675" s="31" t="n">
        <f aca="false">(C675-B675)*86400</f>
        <v>1.226999983</v>
      </c>
      <c r="G675" s="27" t="s">
        <v>152</v>
      </c>
      <c r="H675" s="27" t="s">
        <v>208</v>
      </c>
      <c r="I675" s="27" t="s">
        <v>204</v>
      </c>
      <c r="J675" s="27" t="s">
        <v>204</v>
      </c>
      <c r="K675" s="27" t="s">
        <v>204</v>
      </c>
      <c r="L675" s="3" t="str">
        <f aca="false">IF(ISNUMBER(SEARCH(" m",I675)),"Range",IF(I675="offline","Offline",IF(I675="","Unknown","No echo / error")))</f>
        <v>No echo / error</v>
      </c>
      <c r="M675" s="3" t="str">
        <f aca="false">IF(ISNUMBER(SEARCH(" m",J675)),"Range",IF(J675="offline","Offline",IF(J675="","Unknown","No echo / error")))</f>
        <v>No echo / error</v>
      </c>
      <c r="N675" s="3" t="str">
        <f aca="false">IF(ISNUMBER(SEARCH(" m",K675)),"Range",IF(K675="offline","Offline",IF(K675="","Unknown","No echo / error")))</f>
        <v>No echo / error</v>
      </c>
      <c r="O675" s="3" t="str">
        <f aca="false">TEXT(B675,"yyyy-mm-dd")</f>
        <v>2026-10-06</v>
      </c>
    </row>
    <row r="676" customFormat="false" ht="15" hidden="false" customHeight="false" outlineLevel="0" collapsed="false">
      <c r="A676" s="27" t="n">
        <v>11</v>
      </c>
      <c r="B676" s="28" t="n">
        <v>46301.4858539931</v>
      </c>
      <c r="C676" s="29" t="n">
        <f aca="false">IF(A677=A676,B677,INDEX(Rounds!$D:$D,MATCH(A676,Rounds!$A:$A,0)))</f>
        <v>46301.4858595833</v>
      </c>
      <c r="D676" s="30" t="n">
        <f aca="false">(B676-INDEX(Rounds!$C:$C,MATCH(A676,Rounds!$A:$A,0)))*86400</f>
        <v>62.948000198</v>
      </c>
      <c r="E676" s="30" t="n">
        <f aca="false">(C676-INDEX(Rounds!$C:$C,MATCH(A676,Rounds!$A:$A,0)))*86400</f>
        <v>63.431000872</v>
      </c>
      <c r="F676" s="31" t="n">
        <f aca="false">(C676-B676)*86400</f>
        <v>0.483000674</v>
      </c>
      <c r="G676" s="27" t="s">
        <v>151</v>
      </c>
      <c r="H676" s="27" t="s">
        <v>203</v>
      </c>
      <c r="I676" s="27" t="s">
        <v>422</v>
      </c>
      <c r="J676" s="27" t="s">
        <v>204</v>
      </c>
      <c r="K676" s="27" t="s">
        <v>204</v>
      </c>
      <c r="L676" s="3" t="str">
        <f aca="false">IF(ISNUMBER(SEARCH(" m",I676)),"Range",IF(I676="offline","Offline",IF(I676="","Unknown","No echo / error")))</f>
        <v>Range</v>
      </c>
      <c r="M676" s="3" t="str">
        <f aca="false">IF(ISNUMBER(SEARCH(" m",J676)),"Range",IF(J676="offline","Offline",IF(J676="","Unknown","No echo / error")))</f>
        <v>No echo / error</v>
      </c>
      <c r="N676" s="3" t="str">
        <f aca="false">IF(ISNUMBER(SEARCH(" m",K676)),"Range",IF(K676="offline","Offline",IF(K676="","Unknown","No echo / error")))</f>
        <v>No echo / error</v>
      </c>
      <c r="O676" s="3" t="str">
        <f aca="false">TEXT(B676,"yyyy-mm-dd")</f>
        <v>2026-10-06</v>
      </c>
    </row>
    <row r="677" customFormat="false" ht="15" hidden="false" customHeight="false" outlineLevel="0" collapsed="false">
      <c r="A677" s="27" t="n">
        <v>11</v>
      </c>
      <c r="B677" s="28" t="n">
        <v>46301.4858595833</v>
      </c>
      <c r="C677" s="29" t="n">
        <f aca="false">IF(A678=A677,B678,INDEX(Rounds!$D:$D,MATCH(A677,Rounds!$A:$A,0)))</f>
        <v>46301.4858610764</v>
      </c>
      <c r="D677" s="30" t="n">
        <f aca="false">(B677-INDEX(Rounds!$C:$C,MATCH(A677,Rounds!$A:$A,0)))*86400</f>
        <v>63.431000872</v>
      </c>
      <c r="E677" s="30" t="n">
        <f aca="false">(C677-INDEX(Rounds!$C:$C,MATCH(A677,Rounds!$A:$A,0)))*86400</f>
        <v>63.560000248</v>
      </c>
      <c r="F677" s="31" t="n">
        <f aca="false">(C677-B677)*86400</f>
        <v>0.128999375</v>
      </c>
      <c r="G677" s="27" t="s">
        <v>152</v>
      </c>
      <c r="H677" s="27" t="s">
        <v>208</v>
      </c>
      <c r="I677" s="27" t="s">
        <v>204</v>
      </c>
      <c r="J677" s="27" t="s">
        <v>251</v>
      </c>
      <c r="K677" s="27" t="s">
        <v>204</v>
      </c>
      <c r="L677" s="3" t="str">
        <f aca="false">IF(ISNUMBER(SEARCH(" m",I677)),"Range",IF(I677="offline","Offline",IF(I677="","Unknown","No echo / error")))</f>
        <v>No echo / error</v>
      </c>
      <c r="M677" s="3" t="str">
        <f aca="false">IF(ISNUMBER(SEARCH(" m",J677)),"Range",IF(J677="offline","Offline",IF(J677="","Unknown","No echo / error")))</f>
        <v>Range</v>
      </c>
      <c r="N677" s="3" t="str">
        <f aca="false">IF(ISNUMBER(SEARCH(" m",K677)),"Range",IF(K677="offline","Offline",IF(K677="","Unknown","No echo / error")))</f>
        <v>No echo / error</v>
      </c>
      <c r="O677" s="3" t="str">
        <f aca="false">TEXT(B677,"yyyy-mm-dd")</f>
        <v>2026-10-06</v>
      </c>
    </row>
    <row r="678" customFormat="false" ht="15" hidden="false" customHeight="false" outlineLevel="0" collapsed="false">
      <c r="A678" s="27" t="n">
        <v>11</v>
      </c>
      <c r="B678" s="28" t="n">
        <v>46301.4858610764</v>
      </c>
      <c r="C678" s="29" t="n">
        <f aca="false">IF(A679=A678,B679,INDEX(Rounds!$D:$D,MATCH(A678,Rounds!$A:$A,0)))</f>
        <v>46301.4858666898</v>
      </c>
      <c r="D678" s="30" t="n">
        <f aca="false">(B678-INDEX(Rounds!$C:$C,MATCH(A678,Rounds!$A:$A,0)))*86400</f>
        <v>63.560000248</v>
      </c>
      <c r="E678" s="30" t="n">
        <f aca="false">(C678-INDEX(Rounds!$C:$C,MATCH(A678,Rounds!$A:$A,0)))*86400</f>
        <v>64.044999377</v>
      </c>
      <c r="F678" s="31" t="n">
        <f aca="false">(C678-B678)*86400</f>
        <v>0.484999129</v>
      </c>
      <c r="G678" s="27" t="s">
        <v>151</v>
      </c>
      <c r="H678" s="27" t="s">
        <v>203</v>
      </c>
      <c r="I678" s="27" t="s">
        <v>204</v>
      </c>
      <c r="J678" s="27" t="s">
        <v>441</v>
      </c>
      <c r="K678" s="27" t="s">
        <v>413</v>
      </c>
      <c r="L678" s="3" t="str">
        <f aca="false">IF(ISNUMBER(SEARCH(" m",I678)),"Range",IF(I678="offline","Offline",IF(I678="","Unknown","No echo / error")))</f>
        <v>No echo / error</v>
      </c>
      <c r="M678" s="3" t="str">
        <f aca="false">IF(ISNUMBER(SEARCH(" m",J678)),"Range",IF(J678="offline","Offline",IF(J678="","Unknown","No echo / error")))</f>
        <v>Range</v>
      </c>
      <c r="N678" s="3" t="str">
        <f aca="false">IF(ISNUMBER(SEARCH(" m",K678)),"Range",IF(K678="offline","Offline",IF(K678="","Unknown","No echo / error")))</f>
        <v>Range</v>
      </c>
      <c r="O678" s="3" t="str">
        <f aca="false">TEXT(B678,"yyyy-mm-dd")</f>
        <v>2026-10-06</v>
      </c>
    </row>
    <row r="679" customFormat="false" ht="15" hidden="false" customHeight="false" outlineLevel="0" collapsed="false">
      <c r="A679" s="27" t="n">
        <v>11</v>
      </c>
      <c r="B679" s="28" t="n">
        <v>46301.4858666898</v>
      </c>
      <c r="C679" s="29" t="n">
        <f aca="false">IF(A680=A679,B680,INDEX(Rounds!$D:$D,MATCH(A679,Rounds!$A:$A,0)))</f>
        <v>46301.4858734375</v>
      </c>
      <c r="D679" s="30" t="n">
        <f aca="false">(B679-INDEX(Rounds!$C:$C,MATCH(A679,Rounds!$A:$A,0)))*86400</f>
        <v>64.044999377</v>
      </c>
      <c r="E679" s="30" t="n">
        <f aca="false">(C679-INDEX(Rounds!$C:$C,MATCH(A679,Rounds!$A:$A,0)))*86400</f>
        <v>64.628000138</v>
      </c>
      <c r="F679" s="31" t="n">
        <f aca="false">(C679-B679)*86400</f>
        <v>0.58300076</v>
      </c>
      <c r="G679" s="27" t="s">
        <v>152</v>
      </c>
      <c r="H679" s="27" t="s">
        <v>208</v>
      </c>
      <c r="I679" s="27" t="s">
        <v>211</v>
      </c>
      <c r="J679" s="27" t="s">
        <v>441</v>
      </c>
      <c r="K679" s="27" t="s">
        <v>413</v>
      </c>
      <c r="L679" s="3" t="str">
        <f aca="false">IF(ISNUMBER(SEARCH(" m",I679)),"Range",IF(I679="offline","Offline",IF(I679="","Unknown","No echo / error")))</f>
        <v>No echo / error</v>
      </c>
      <c r="M679" s="3" t="str">
        <f aca="false">IF(ISNUMBER(SEARCH(" m",J679)),"Range",IF(J679="offline","Offline",IF(J679="","Unknown","No echo / error")))</f>
        <v>Range</v>
      </c>
      <c r="N679" s="3" t="str">
        <f aca="false">IF(ISNUMBER(SEARCH(" m",K679)),"Range",IF(K679="offline","Offline",IF(K679="","Unknown","No echo / error")))</f>
        <v>Range</v>
      </c>
      <c r="O679" s="3" t="str">
        <f aca="false">TEXT(B679,"yyyy-mm-dd")</f>
        <v>2026-10-06</v>
      </c>
    </row>
    <row r="680" customFormat="false" ht="15" hidden="false" customHeight="false" outlineLevel="0" collapsed="false">
      <c r="A680" s="27" t="n">
        <v>11</v>
      </c>
      <c r="B680" s="28" t="n">
        <v>46301.4858734375</v>
      </c>
      <c r="C680" s="29" t="n">
        <f aca="false">IF(A681=A680,B681,INDEX(Rounds!$D:$D,MATCH(A680,Rounds!$A:$A,0)))</f>
        <v>46301.4858825463</v>
      </c>
      <c r="D680" s="30" t="n">
        <f aca="false">(B680-INDEX(Rounds!$C:$C,MATCH(A680,Rounds!$A:$A,0)))*86400</f>
        <v>64.628000138</v>
      </c>
      <c r="E680" s="30" t="n">
        <f aca="false">(C680-INDEX(Rounds!$C:$C,MATCH(A680,Rounds!$A:$A,0)))*86400</f>
        <v>65.414999239</v>
      </c>
      <c r="F680" s="31" t="n">
        <f aca="false">(C680-B680)*86400</f>
        <v>0.7869991</v>
      </c>
      <c r="G680" s="27" t="s">
        <v>151</v>
      </c>
      <c r="H680" s="27" t="s">
        <v>203</v>
      </c>
      <c r="I680" s="27" t="s">
        <v>211</v>
      </c>
      <c r="J680" s="27" t="s">
        <v>271</v>
      </c>
      <c r="K680" s="27" t="s">
        <v>413</v>
      </c>
      <c r="L680" s="3" t="str">
        <f aca="false">IF(ISNUMBER(SEARCH(" m",I680)),"Range",IF(I680="offline","Offline",IF(I680="","Unknown","No echo / error")))</f>
        <v>No echo / error</v>
      </c>
      <c r="M680" s="3" t="str">
        <f aca="false">IF(ISNUMBER(SEARCH(" m",J680)),"Range",IF(J680="offline","Offline",IF(J680="","Unknown","No echo / error")))</f>
        <v>Range</v>
      </c>
      <c r="N680" s="3" t="str">
        <f aca="false">IF(ISNUMBER(SEARCH(" m",K680)),"Range",IF(K680="offline","Offline",IF(K680="","Unknown","No echo / error")))</f>
        <v>Range</v>
      </c>
      <c r="O680" s="3" t="str">
        <f aca="false">TEXT(B680,"yyyy-mm-dd")</f>
        <v>2026-10-06</v>
      </c>
    </row>
    <row r="681" customFormat="false" ht="15" hidden="false" customHeight="false" outlineLevel="0" collapsed="false">
      <c r="A681" s="27" t="n">
        <v>11</v>
      </c>
      <c r="B681" s="28" t="n">
        <v>46301.4858825463</v>
      </c>
      <c r="C681" s="29" t="n">
        <f aca="false">IF(A682=A681,B682,INDEX(Rounds!$D:$D,MATCH(A681,Rounds!$A:$A,0)))</f>
        <v>46301.4858825463</v>
      </c>
      <c r="D681" s="30" t="n">
        <f aca="false">(B681-INDEX(Rounds!$C:$C,MATCH(A681,Rounds!$A:$A,0)))*86400</f>
        <v>65.414999239</v>
      </c>
      <c r="E681" s="30" t="n">
        <f aca="false">(C681-INDEX(Rounds!$C:$C,MATCH(A681,Rounds!$A:$A,0)))*86400</f>
        <v>65.414999239</v>
      </c>
      <c r="F681" s="31" t="n">
        <f aca="false">(C681-B681)*86400</f>
        <v>0</v>
      </c>
      <c r="G681" s="27" t="s">
        <v>154</v>
      </c>
      <c r="H681" s="27" t="s">
        <v>203</v>
      </c>
      <c r="I681" s="27" t="s">
        <v>211</v>
      </c>
      <c r="J681" s="27" t="s">
        <v>271</v>
      </c>
      <c r="K681" s="27" t="s">
        <v>413</v>
      </c>
      <c r="L681" s="3" t="str">
        <f aca="false">IF(ISNUMBER(SEARCH(" m",I681)),"Range",IF(I681="offline","Offline",IF(I681="","Unknown","No echo / error")))</f>
        <v>No echo / error</v>
      </c>
      <c r="M681" s="3" t="str">
        <f aca="false">IF(ISNUMBER(SEARCH(" m",J681)),"Range",IF(J681="offline","Offline",IF(J681="","Unknown","No echo / error")))</f>
        <v>Range</v>
      </c>
      <c r="N681" s="3" t="str">
        <f aca="false">IF(ISNUMBER(SEARCH(" m",K681)),"Range",IF(K681="offline","Offline",IF(K681="","Unknown","No echo / error")))</f>
        <v>Range</v>
      </c>
      <c r="O681" s="3" t="str">
        <f aca="false">TEXT(B681,"yyyy-mm-dd")</f>
        <v>2026-10-06</v>
      </c>
    </row>
    <row r="682" customFormat="false" ht="15" hidden="false" customHeight="false" outlineLevel="0" collapsed="false">
      <c r="A682" s="27" t="n">
        <v>12</v>
      </c>
      <c r="B682" s="28" t="n">
        <v>46301.4859287963</v>
      </c>
      <c r="C682" s="29" t="n">
        <f aca="false">IF(A683=A682,B683,INDEX(Rounds!$D:$D,MATCH(A682,Rounds!$A:$A,0)))</f>
        <v>46301.4859287963</v>
      </c>
      <c r="D682" s="30" t="n">
        <f aca="false">(B682-INDEX(Rounds!$C:$C,MATCH(A682,Rounds!$A:$A,0)))*86400</f>
        <v>0</v>
      </c>
      <c r="E682" s="30" t="n">
        <f aca="false">(C682-INDEX(Rounds!$C:$C,MATCH(A682,Rounds!$A:$A,0)))*86400</f>
        <v>0</v>
      </c>
      <c r="F682" s="31" t="n">
        <f aca="false">(C682-B682)*86400</f>
        <v>0</v>
      </c>
      <c r="G682" s="27" t="s">
        <v>151</v>
      </c>
      <c r="H682" s="27" t="s">
        <v>203</v>
      </c>
      <c r="I682" s="27" t="s">
        <v>211</v>
      </c>
      <c r="J682" s="27" t="s">
        <v>271</v>
      </c>
      <c r="K682" s="27" t="s">
        <v>413</v>
      </c>
      <c r="L682" s="3" t="str">
        <f aca="false">IF(ISNUMBER(SEARCH(" m",I682)),"Range",IF(I682="offline","Offline",IF(I682="","Unknown","No echo / error")))</f>
        <v>No echo / error</v>
      </c>
      <c r="M682" s="3" t="str">
        <f aca="false">IF(ISNUMBER(SEARCH(" m",J682)),"Range",IF(J682="offline","Offline",IF(J682="","Unknown","No echo / error")))</f>
        <v>Range</v>
      </c>
      <c r="N682" s="3" t="str">
        <f aca="false">IF(ISNUMBER(SEARCH(" m",K682)),"Range",IF(K682="offline","Offline",IF(K682="","Unknown","No echo / error")))</f>
        <v>Range</v>
      </c>
      <c r="O682" s="3" t="str">
        <f aca="false">TEXT(B682,"yyyy-mm-dd")</f>
        <v>2026-10-06</v>
      </c>
    </row>
    <row r="683" customFormat="false" ht="15" hidden="false" customHeight="false" outlineLevel="0" collapsed="false">
      <c r="A683" s="27" t="n">
        <v>12</v>
      </c>
      <c r="B683" s="28" t="n">
        <v>46301.4859287963</v>
      </c>
      <c r="C683" s="29" t="n">
        <f aca="false">IF(A684=A683,B684,INDEX(Rounds!$D:$D,MATCH(A683,Rounds!$A:$A,0)))</f>
        <v>46301.4859287963</v>
      </c>
      <c r="D683" s="30" t="n">
        <f aca="false">(B683-INDEX(Rounds!$C:$C,MATCH(A683,Rounds!$A:$A,0)))*86400</f>
        <v>0</v>
      </c>
      <c r="E683" s="30" t="n">
        <f aca="false">(C683-INDEX(Rounds!$C:$C,MATCH(A683,Rounds!$A:$A,0)))*86400</f>
        <v>0</v>
      </c>
      <c r="F683" s="31" t="n">
        <f aca="false">(C683-B683)*86400</f>
        <v>0</v>
      </c>
      <c r="G683" s="27" t="s">
        <v>151</v>
      </c>
      <c r="H683" s="27" t="s">
        <v>203</v>
      </c>
      <c r="I683" s="27" t="s">
        <v>211</v>
      </c>
      <c r="J683" s="27" t="s">
        <v>271</v>
      </c>
      <c r="K683" s="27" t="s">
        <v>413</v>
      </c>
      <c r="L683" s="3" t="str">
        <f aca="false">IF(ISNUMBER(SEARCH(" m",I683)),"Range",IF(I683="offline","Offline",IF(I683="","Unknown","No echo / error")))</f>
        <v>No echo / error</v>
      </c>
      <c r="M683" s="3" t="str">
        <f aca="false">IF(ISNUMBER(SEARCH(" m",J683)),"Range",IF(J683="offline","Offline",IF(J683="","Unknown","No echo / error")))</f>
        <v>Range</v>
      </c>
      <c r="N683" s="3" t="str">
        <f aca="false">IF(ISNUMBER(SEARCH(" m",K683)),"Range",IF(K683="offline","Offline",IF(K683="","Unknown","No echo / error")))</f>
        <v>Range</v>
      </c>
      <c r="O683" s="3" t="str">
        <f aca="false">TEXT(B683,"yyyy-mm-dd")</f>
        <v>2026-10-06</v>
      </c>
    </row>
    <row r="684" customFormat="false" ht="15" hidden="false" customHeight="false" outlineLevel="0" collapsed="false">
      <c r="A684" s="27" t="n">
        <v>12</v>
      </c>
      <c r="B684" s="28" t="n">
        <v>46301.4859287963</v>
      </c>
      <c r="C684" s="29" t="n">
        <f aca="false">IF(A685=A684,B685,INDEX(Rounds!$D:$D,MATCH(A684,Rounds!$A:$A,0)))</f>
        <v>46301.485933287</v>
      </c>
      <c r="D684" s="30" t="n">
        <f aca="false">(B684-INDEX(Rounds!$C:$C,MATCH(A684,Rounds!$A:$A,0)))*86400</f>
        <v>0</v>
      </c>
      <c r="E684" s="30" t="n">
        <f aca="false">(C684-INDEX(Rounds!$C:$C,MATCH(A684,Rounds!$A:$A,0)))*86400</f>
        <v>0.388000183</v>
      </c>
      <c r="F684" s="31" t="n">
        <f aca="false">(C684-B684)*86400</f>
        <v>0.388000183</v>
      </c>
      <c r="G684" s="27" t="s">
        <v>152</v>
      </c>
      <c r="H684" s="27" t="s">
        <v>199</v>
      </c>
      <c r="I684" s="27" t="s">
        <v>346</v>
      </c>
      <c r="J684" s="27" t="s">
        <v>271</v>
      </c>
      <c r="K684" s="27" t="s">
        <v>255</v>
      </c>
      <c r="L684" s="3" t="str">
        <f aca="false">IF(ISNUMBER(SEARCH(" m",I684)),"Range",IF(I684="offline","Offline",IF(I684="","Unknown","No echo / error")))</f>
        <v>Range</v>
      </c>
      <c r="M684" s="3" t="str">
        <f aca="false">IF(ISNUMBER(SEARCH(" m",J684)),"Range",IF(J684="offline","Offline",IF(J684="","Unknown","No echo / error")))</f>
        <v>Range</v>
      </c>
      <c r="N684" s="3" t="str">
        <f aca="false">IF(ISNUMBER(SEARCH(" m",K684)),"Range",IF(K684="offline","Offline",IF(K684="","Unknown","No echo / error")))</f>
        <v>Range</v>
      </c>
      <c r="O684" s="3" t="str">
        <f aca="false">TEXT(B684,"yyyy-mm-dd")</f>
        <v>2026-10-06</v>
      </c>
    </row>
    <row r="685" customFormat="false" ht="15" hidden="false" customHeight="false" outlineLevel="0" collapsed="false">
      <c r="A685" s="27" t="n">
        <v>12</v>
      </c>
      <c r="B685" s="28" t="n">
        <v>46301.485933287</v>
      </c>
      <c r="C685" s="29" t="n">
        <f aca="false">IF(A686=A685,B686,INDEX(Rounds!$D:$D,MATCH(A685,Rounds!$A:$A,0)))</f>
        <v>46301.4859476736</v>
      </c>
      <c r="D685" s="30" t="n">
        <f aca="false">(B685-INDEX(Rounds!$C:$C,MATCH(A685,Rounds!$A:$A,0)))*86400</f>
        <v>0.388000183</v>
      </c>
      <c r="E685" s="30" t="n">
        <f aca="false">(C685-INDEX(Rounds!$C:$C,MATCH(A685,Rounds!$A:$A,0)))*86400</f>
        <v>1.630999753</v>
      </c>
      <c r="F685" s="31" t="n">
        <f aca="false">(C685-B685)*86400</f>
        <v>1.242999569</v>
      </c>
      <c r="G685" s="27" t="s">
        <v>151</v>
      </c>
      <c r="H685" s="27" t="s">
        <v>203</v>
      </c>
      <c r="I685" s="27" t="s">
        <v>346</v>
      </c>
      <c r="J685" s="27" t="s">
        <v>405</v>
      </c>
      <c r="K685" s="27" t="s">
        <v>385</v>
      </c>
      <c r="L685" s="3" t="str">
        <f aca="false">IF(ISNUMBER(SEARCH(" m",I685)),"Range",IF(I685="offline","Offline",IF(I685="","Unknown","No echo / error")))</f>
        <v>Range</v>
      </c>
      <c r="M685" s="3" t="str">
        <f aca="false">IF(ISNUMBER(SEARCH(" m",J685)),"Range",IF(J685="offline","Offline",IF(J685="","Unknown","No echo / error")))</f>
        <v>Range</v>
      </c>
      <c r="N685" s="3" t="str">
        <f aca="false">IF(ISNUMBER(SEARCH(" m",K685)),"Range",IF(K685="offline","Offline",IF(K685="","Unknown","No echo / error")))</f>
        <v>Range</v>
      </c>
      <c r="O685" s="3" t="str">
        <f aca="false">TEXT(B685,"yyyy-mm-dd")</f>
        <v>2026-10-06</v>
      </c>
    </row>
    <row r="686" customFormat="false" ht="15" hidden="false" customHeight="false" outlineLevel="0" collapsed="false">
      <c r="A686" s="27" t="n">
        <v>12</v>
      </c>
      <c r="B686" s="28" t="n">
        <v>46301.4859476736</v>
      </c>
      <c r="C686" s="29" t="n">
        <f aca="false">IF(A687=A686,B687,INDEX(Rounds!$D:$D,MATCH(A686,Rounds!$A:$A,0)))</f>
        <v>46301.4859549769</v>
      </c>
      <c r="D686" s="30" t="n">
        <f aca="false">(B686-INDEX(Rounds!$C:$C,MATCH(A686,Rounds!$A:$A,0)))*86400</f>
        <v>1.630999753</v>
      </c>
      <c r="E686" s="30" t="n">
        <f aca="false">(C686-INDEX(Rounds!$C:$C,MATCH(A686,Rounds!$A:$A,0)))*86400</f>
        <v>2.261999901</v>
      </c>
      <c r="F686" s="31" t="n">
        <f aca="false">(C686-B686)*86400</f>
        <v>0.631000148</v>
      </c>
      <c r="G686" s="27" t="s">
        <v>152</v>
      </c>
      <c r="H686" s="27" t="s">
        <v>208</v>
      </c>
      <c r="I686" s="27" t="s">
        <v>464</v>
      </c>
      <c r="J686" s="27" t="s">
        <v>394</v>
      </c>
      <c r="K686" s="27" t="s">
        <v>402</v>
      </c>
      <c r="L686" s="3" t="str">
        <f aca="false">IF(ISNUMBER(SEARCH(" m",I686)),"Range",IF(I686="offline","Offline",IF(I686="","Unknown","No echo / error")))</f>
        <v>Range</v>
      </c>
      <c r="M686" s="3" t="str">
        <f aca="false">IF(ISNUMBER(SEARCH(" m",J686)),"Range",IF(J686="offline","Offline",IF(J686="","Unknown","No echo / error")))</f>
        <v>Range</v>
      </c>
      <c r="N686" s="3" t="str">
        <f aca="false">IF(ISNUMBER(SEARCH(" m",K686)),"Range",IF(K686="offline","Offline",IF(K686="","Unknown","No echo / error")))</f>
        <v>Range</v>
      </c>
      <c r="O686" s="3" t="str">
        <f aca="false">TEXT(B686,"yyyy-mm-dd")</f>
        <v>2026-10-06</v>
      </c>
    </row>
    <row r="687" customFormat="false" ht="15" hidden="false" customHeight="false" outlineLevel="0" collapsed="false">
      <c r="A687" s="27" t="n">
        <v>12</v>
      </c>
      <c r="B687" s="28" t="n">
        <v>46301.4859549769</v>
      </c>
      <c r="C687" s="29" t="n">
        <f aca="false">IF(A688=A687,B688,INDEX(Rounds!$D:$D,MATCH(A687,Rounds!$A:$A,0)))</f>
        <v>46301.4859592477</v>
      </c>
      <c r="D687" s="30" t="n">
        <f aca="false">(B687-INDEX(Rounds!$C:$C,MATCH(A687,Rounds!$A:$A,0)))*86400</f>
        <v>2.261999901</v>
      </c>
      <c r="E687" s="30" t="n">
        <f aca="false">(C687-INDEX(Rounds!$C:$C,MATCH(A687,Rounds!$A:$A,0)))*86400</f>
        <v>2.631000615</v>
      </c>
      <c r="F687" s="31" t="n">
        <f aca="false">(C687-B687)*86400</f>
        <v>0.369000714</v>
      </c>
      <c r="G687" s="27" t="s">
        <v>151</v>
      </c>
      <c r="H687" s="27" t="s">
        <v>203</v>
      </c>
      <c r="I687" s="27" t="s">
        <v>211</v>
      </c>
      <c r="J687" s="27" t="s">
        <v>394</v>
      </c>
      <c r="K687" s="27" t="s">
        <v>201</v>
      </c>
      <c r="L687" s="3" t="str">
        <f aca="false">IF(ISNUMBER(SEARCH(" m",I687)),"Range",IF(I687="offline","Offline",IF(I687="","Unknown","No echo / error")))</f>
        <v>No echo / error</v>
      </c>
      <c r="M687" s="3" t="str">
        <f aca="false">IF(ISNUMBER(SEARCH(" m",J687)),"Range",IF(J687="offline","Offline",IF(J687="","Unknown","No echo / error")))</f>
        <v>Range</v>
      </c>
      <c r="N687" s="3" t="str">
        <f aca="false">IF(ISNUMBER(SEARCH(" m",K687)),"Range",IF(K687="offline","Offline",IF(K687="","Unknown","No echo / error")))</f>
        <v>Range</v>
      </c>
      <c r="O687" s="3" t="str">
        <f aca="false">TEXT(B687,"yyyy-mm-dd")</f>
        <v>2026-10-06</v>
      </c>
    </row>
    <row r="688" customFormat="false" ht="15" hidden="false" customHeight="false" outlineLevel="0" collapsed="false">
      <c r="A688" s="27" t="n">
        <v>12</v>
      </c>
      <c r="B688" s="28" t="n">
        <v>46301.4859592477</v>
      </c>
      <c r="C688" s="29" t="n">
        <f aca="false">IF(A689=A688,B689,INDEX(Rounds!$D:$D,MATCH(A688,Rounds!$A:$A,0)))</f>
        <v>46301.4859780671</v>
      </c>
      <c r="D688" s="30" t="n">
        <f aca="false">(B688-INDEX(Rounds!$C:$C,MATCH(A688,Rounds!$A:$A,0)))*86400</f>
        <v>2.631000615</v>
      </c>
      <c r="E688" s="30" t="n">
        <f aca="false">(C688-INDEX(Rounds!$C:$C,MATCH(A688,Rounds!$A:$A,0)))*86400</f>
        <v>4.257000144</v>
      </c>
      <c r="F688" s="31" t="n">
        <f aca="false">(C688-B688)*86400</f>
        <v>1.625999528</v>
      </c>
      <c r="G688" s="27" t="s">
        <v>150</v>
      </c>
      <c r="H688" s="27" t="s">
        <v>206</v>
      </c>
      <c r="I688" s="27" t="s">
        <v>283</v>
      </c>
      <c r="J688" s="27" t="s">
        <v>394</v>
      </c>
      <c r="K688" s="27" t="s">
        <v>218</v>
      </c>
      <c r="L688" s="3" t="str">
        <f aca="false">IF(ISNUMBER(SEARCH(" m",I688)),"Range",IF(I688="offline","Offline",IF(I688="","Unknown","No echo / error")))</f>
        <v>Range</v>
      </c>
      <c r="M688" s="3" t="str">
        <f aca="false">IF(ISNUMBER(SEARCH(" m",J688)),"Range",IF(J688="offline","Offline",IF(J688="","Unknown","No echo / error")))</f>
        <v>Range</v>
      </c>
      <c r="N688" s="3" t="str">
        <f aca="false">IF(ISNUMBER(SEARCH(" m",K688)),"Range",IF(K688="offline","Offline",IF(K688="","Unknown","No echo / error")))</f>
        <v>Range</v>
      </c>
      <c r="O688" s="3" t="str">
        <f aca="false">TEXT(B688,"yyyy-mm-dd")</f>
        <v>2026-10-06</v>
      </c>
    </row>
    <row r="689" customFormat="false" ht="15" hidden="false" customHeight="false" outlineLevel="0" collapsed="false">
      <c r="A689" s="27" t="n">
        <v>12</v>
      </c>
      <c r="B689" s="28" t="n">
        <v>46301.4859780671</v>
      </c>
      <c r="C689" s="29" t="n">
        <f aca="false">IF(A690=A689,B690,INDEX(Rounds!$D:$D,MATCH(A689,Rounds!$A:$A,0)))</f>
        <v>46301.4859810417</v>
      </c>
      <c r="D689" s="30" t="n">
        <f aca="false">(B689-INDEX(Rounds!$C:$C,MATCH(A689,Rounds!$A:$A,0)))*86400</f>
        <v>4.257000144</v>
      </c>
      <c r="E689" s="30" t="n">
        <f aca="false">(C689-INDEX(Rounds!$C:$C,MATCH(A689,Rounds!$A:$A,0)))*86400</f>
        <v>4.513999982</v>
      </c>
      <c r="F689" s="31" t="n">
        <f aca="false">(C689-B689)*86400</f>
        <v>0.256999838</v>
      </c>
      <c r="G689" s="27" t="s">
        <v>151</v>
      </c>
      <c r="H689" s="27" t="s">
        <v>203</v>
      </c>
      <c r="I689" s="27" t="s">
        <v>487</v>
      </c>
      <c r="J689" s="27" t="s">
        <v>204</v>
      </c>
      <c r="K689" s="27" t="s">
        <v>486</v>
      </c>
      <c r="L689" s="3" t="str">
        <f aca="false">IF(ISNUMBER(SEARCH(" m",I689)),"Range",IF(I689="offline","Offline",IF(I689="","Unknown","No echo / error")))</f>
        <v>Range</v>
      </c>
      <c r="M689" s="3" t="str">
        <f aca="false">IF(ISNUMBER(SEARCH(" m",J689)),"Range",IF(J689="offline","Offline",IF(J689="","Unknown","No echo / error")))</f>
        <v>No echo / error</v>
      </c>
      <c r="N689" s="3" t="str">
        <f aca="false">IF(ISNUMBER(SEARCH(" m",K689)),"Range",IF(K689="offline","Offline",IF(K689="","Unknown","No echo / error")))</f>
        <v>Range</v>
      </c>
      <c r="O689" s="3" t="str">
        <f aca="false">TEXT(B689,"yyyy-mm-dd")</f>
        <v>2026-10-06</v>
      </c>
    </row>
    <row r="690" customFormat="false" ht="15" hidden="false" customHeight="false" outlineLevel="0" collapsed="false">
      <c r="A690" s="27" t="n">
        <v>12</v>
      </c>
      <c r="B690" s="28" t="n">
        <v>46301.4859810417</v>
      </c>
      <c r="C690" s="29" t="n">
        <f aca="false">IF(A691=A690,B691,INDEX(Rounds!$D:$D,MATCH(A690,Rounds!$A:$A,0)))</f>
        <v>46301.4859854861</v>
      </c>
      <c r="D690" s="30" t="n">
        <f aca="false">(B690-INDEX(Rounds!$C:$C,MATCH(A690,Rounds!$A:$A,0)))*86400</f>
        <v>4.513999982</v>
      </c>
      <c r="E690" s="30" t="n">
        <f aca="false">(C690-INDEX(Rounds!$C:$C,MATCH(A690,Rounds!$A:$A,0)))*86400</f>
        <v>4.898000112</v>
      </c>
      <c r="F690" s="31" t="n">
        <f aca="false">(C690-B690)*86400</f>
        <v>0.384000129</v>
      </c>
      <c r="G690" s="27" t="s">
        <v>150</v>
      </c>
      <c r="H690" s="27" t="s">
        <v>206</v>
      </c>
      <c r="I690" s="27" t="s">
        <v>415</v>
      </c>
      <c r="J690" s="27" t="s">
        <v>204</v>
      </c>
      <c r="K690" s="27" t="s">
        <v>486</v>
      </c>
      <c r="L690" s="3" t="str">
        <f aca="false">IF(ISNUMBER(SEARCH(" m",I690)),"Range",IF(I690="offline","Offline",IF(I690="","Unknown","No echo / error")))</f>
        <v>Range</v>
      </c>
      <c r="M690" s="3" t="str">
        <f aca="false">IF(ISNUMBER(SEARCH(" m",J690)),"Range",IF(J690="offline","Offline",IF(J690="","Unknown","No echo / error")))</f>
        <v>No echo / error</v>
      </c>
      <c r="N690" s="3" t="str">
        <f aca="false">IF(ISNUMBER(SEARCH(" m",K690)),"Range",IF(K690="offline","Offline",IF(K690="","Unknown","No echo / error")))</f>
        <v>Range</v>
      </c>
      <c r="O690" s="3" t="str">
        <f aca="false">TEXT(B690,"yyyy-mm-dd")</f>
        <v>2026-10-06</v>
      </c>
    </row>
    <row r="691" customFormat="false" ht="15" hidden="false" customHeight="false" outlineLevel="0" collapsed="false">
      <c r="A691" s="27" t="n">
        <v>12</v>
      </c>
      <c r="B691" s="28" t="n">
        <v>46301.4859854861</v>
      </c>
      <c r="C691" s="29" t="n">
        <f aca="false">IF(A692=A691,B692,INDEX(Rounds!$D:$D,MATCH(A691,Rounds!$A:$A,0)))</f>
        <v>46301.4859946181</v>
      </c>
      <c r="D691" s="30" t="n">
        <f aca="false">(B691-INDEX(Rounds!$C:$C,MATCH(A691,Rounds!$A:$A,0)))*86400</f>
        <v>4.898000112</v>
      </c>
      <c r="E691" s="30" t="n">
        <f aca="false">(C691-INDEX(Rounds!$C:$C,MATCH(A691,Rounds!$A:$A,0)))*86400</f>
        <v>5.687000183</v>
      </c>
      <c r="F691" s="31" t="n">
        <f aca="false">(C691-B691)*86400</f>
        <v>0.78900007</v>
      </c>
      <c r="G691" s="27" t="s">
        <v>151</v>
      </c>
      <c r="H691" s="27" t="s">
        <v>203</v>
      </c>
      <c r="I691" s="27" t="s">
        <v>488</v>
      </c>
      <c r="J691" s="27" t="s">
        <v>489</v>
      </c>
      <c r="K691" s="27" t="s">
        <v>487</v>
      </c>
      <c r="L691" s="3" t="str">
        <f aca="false">IF(ISNUMBER(SEARCH(" m",I691)),"Range",IF(I691="offline","Offline",IF(I691="","Unknown","No echo / error")))</f>
        <v>Range</v>
      </c>
      <c r="M691" s="3" t="str">
        <f aca="false">IF(ISNUMBER(SEARCH(" m",J691)),"Range",IF(J691="offline","Offline",IF(J691="","Unknown","No echo / error")))</f>
        <v>Range</v>
      </c>
      <c r="N691" s="3" t="str">
        <f aca="false">IF(ISNUMBER(SEARCH(" m",K691)),"Range",IF(K691="offline","Offline",IF(K691="","Unknown","No echo / error")))</f>
        <v>Range</v>
      </c>
      <c r="O691" s="3" t="str">
        <f aca="false">TEXT(B691,"yyyy-mm-dd")</f>
        <v>2026-10-06</v>
      </c>
    </row>
    <row r="692" customFormat="false" ht="15" hidden="false" customHeight="false" outlineLevel="0" collapsed="false">
      <c r="A692" s="27" t="n">
        <v>12</v>
      </c>
      <c r="B692" s="28" t="n">
        <v>46301.4859946181</v>
      </c>
      <c r="C692" s="29" t="n">
        <f aca="false">IF(A693=A692,B693,INDEX(Rounds!$D:$D,MATCH(A692,Rounds!$A:$A,0)))</f>
        <v>46301.4860035995</v>
      </c>
      <c r="D692" s="30" t="n">
        <f aca="false">(B692-INDEX(Rounds!$C:$C,MATCH(A692,Rounds!$A:$A,0)))*86400</f>
        <v>5.687000183</v>
      </c>
      <c r="E692" s="30" t="n">
        <f aca="false">(C692-INDEX(Rounds!$C:$C,MATCH(A692,Rounds!$A:$A,0)))*86400</f>
        <v>6.462999922</v>
      </c>
      <c r="F692" s="31" t="n">
        <f aca="false">(C692-B692)*86400</f>
        <v>0.775999738</v>
      </c>
      <c r="G692" s="27" t="s">
        <v>150</v>
      </c>
      <c r="H692" s="27" t="s">
        <v>206</v>
      </c>
      <c r="I692" s="27" t="s">
        <v>415</v>
      </c>
      <c r="J692" s="27" t="s">
        <v>490</v>
      </c>
      <c r="K692" s="27" t="s">
        <v>436</v>
      </c>
      <c r="L692" s="3" t="str">
        <f aca="false">IF(ISNUMBER(SEARCH(" m",I692)),"Range",IF(I692="offline","Offline",IF(I692="","Unknown","No echo / error")))</f>
        <v>Range</v>
      </c>
      <c r="M692" s="3" t="str">
        <f aca="false">IF(ISNUMBER(SEARCH(" m",J692)),"Range",IF(J692="offline","Offline",IF(J692="","Unknown","No echo / error")))</f>
        <v>Range</v>
      </c>
      <c r="N692" s="3" t="str">
        <f aca="false">IF(ISNUMBER(SEARCH(" m",K692)),"Range",IF(K692="offline","Offline",IF(K692="","Unknown","No echo / error")))</f>
        <v>Range</v>
      </c>
      <c r="O692" s="3" t="str">
        <f aca="false">TEXT(B692,"yyyy-mm-dd")</f>
        <v>2026-10-06</v>
      </c>
    </row>
    <row r="693" customFormat="false" ht="15" hidden="false" customHeight="false" outlineLevel="0" collapsed="false">
      <c r="A693" s="27" t="n">
        <v>12</v>
      </c>
      <c r="B693" s="28" t="n">
        <v>46301.4860035995</v>
      </c>
      <c r="C693" s="29" t="n">
        <f aca="false">IF(A694=A693,B694,INDEX(Rounds!$D:$D,MATCH(A693,Rounds!$A:$A,0)))</f>
        <v>46301.4860063889</v>
      </c>
      <c r="D693" s="30" t="n">
        <f aca="false">(B693-INDEX(Rounds!$C:$C,MATCH(A693,Rounds!$A:$A,0)))*86400</f>
        <v>6.462999922</v>
      </c>
      <c r="E693" s="30" t="n">
        <f aca="false">(C693-INDEX(Rounds!$C:$C,MATCH(A693,Rounds!$A:$A,0)))*86400</f>
        <v>6.704000174</v>
      </c>
      <c r="F693" s="31" t="n">
        <f aca="false">(C693-B693)*86400</f>
        <v>0.241000251</v>
      </c>
      <c r="G693" s="27" t="s">
        <v>151</v>
      </c>
      <c r="H693" s="27" t="s">
        <v>203</v>
      </c>
      <c r="I693" s="27" t="s">
        <v>417</v>
      </c>
      <c r="J693" s="27" t="s">
        <v>204</v>
      </c>
      <c r="K693" s="27" t="s">
        <v>309</v>
      </c>
      <c r="L693" s="3" t="str">
        <f aca="false">IF(ISNUMBER(SEARCH(" m",I693)),"Range",IF(I693="offline","Offline",IF(I693="","Unknown","No echo / error")))</f>
        <v>Range</v>
      </c>
      <c r="M693" s="3" t="str">
        <f aca="false">IF(ISNUMBER(SEARCH(" m",J693)),"Range",IF(J693="offline","Offline",IF(J693="","Unknown","No echo / error")))</f>
        <v>No echo / error</v>
      </c>
      <c r="N693" s="3" t="str">
        <f aca="false">IF(ISNUMBER(SEARCH(" m",K693)),"Range",IF(K693="offline","Offline",IF(K693="","Unknown","No echo / error")))</f>
        <v>Range</v>
      </c>
      <c r="O693" s="3" t="str">
        <f aca="false">TEXT(B693,"yyyy-mm-dd")</f>
        <v>2026-10-06</v>
      </c>
    </row>
    <row r="694" customFormat="false" ht="15" hidden="false" customHeight="false" outlineLevel="0" collapsed="false">
      <c r="A694" s="27" t="n">
        <v>12</v>
      </c>
      <c r="B694" s="28" t="n">
        <v>46301.4860063889</v>
      </c>
      <c r="C694" s="29" t="n">
        <f aca="false">IF(A695=A694,B695,INDEX(Rounds!$D:$D,MATCH(A694,Rounds!$A:$A,0)))</f>
        <v>46301.486018669</v>
      </c>
      <c r="D694" s="30" t="n">
        <f aca="false">(B694-INDEX(Rounds!$C:$C,MATCH(A694,Rounds!$A:$A,0)))*86400</f>
        <v>6.704000174</v>
      </c>
      <c r="E694" s="30" t="n">
        <f aca="false">(C694-INDEX(Rounds!$C:$C,MATCH(A694,Rounds!$A:$A,0)))*86400</f>
        <v>7.764999498</v>
      </c>
      <c r="F694" s="31" t="n">
        <f aca="false">(C694-B694)*86400</f>
        <v>1.060999324</v>
      </c>
      <c r="G694" s="27" t="s">
        <v>150</v>
      </c>
      <c r="H694" s="27" t="s">
        <v>206</v>
      </c>
      <c r="I694" s="27" t="s">
        <v>338</v>
      </c>
      <c r="J694" s="27" t="s">
        <v>317</v>
      </c>
      <c r="K694" s="27" t="s">
        <v>309</v>
      </c>
      <c r="L694" s="3" t="str">
        <f aca="false">IF(ISNUMBER(SEARCH(" m",I694)),"Range",IF(I694="offline","Offline",IF(I694="","Unknown","No echo / error")))</f>
        <v>Range</v>
      </c>
      <c r="M694" s="3" t="str">
        <f aca="false">IF(ISNUMBER(SEARCH(" m",J694)),"Range",IF(J694="offline","Offline",IF(J694="","Unknown","No echo / error")))</f>
        <v>Range</v>
      </c>
      <c r="N694" s="3" t="str">
        <f aca="false">IF(ISNUMBER(SEARCH(" m",K694)),"Range",IF(K694="offline","Offline",IF(K694="","Unknown","No echo / error")))</f>
        <v>Range</v>
      </c>
      <c r="O694" s="3" t="str">
        <f aca="false">TEXT(B694,"yyyy-mm-dd")</f>
        <v>2026-10-06</v>
      </c>
    </row>
    <row r="695" customFormat="false" ht="15" hidden="false" customHeight="false" outlineLevel="0" collapsed="false">
      <c r="A695" s="27" t="n">
        <v>12</v>
      </c>
      <c r="B695" s="28" t="n">
        <v>46301.486018669</v>
      </c>
      <c r="C695" s="29" t="n">
        <f aca="false">IF(A696=A695,B696,INDEX(Rounds!$D:$D,MATCH(A695,Rounds!$A:$A,0)))</f>
        <v>46301.4860356597</v>
      </c>
      <c r="D695" s="30" t="n">
        <f aca="false">(B695-INDEX(Rounds!$C:$C,MATCH(A695,Rounds!$A:$A,0)))*86400</f>
        <v>7.764999498</v>
      </c>
      <c r="E695" s="30" t="n">
        <f aca="false">(C695-INDEX(Rounds!$C:$C,MATCH(A695,Rounds!$A:$A,0)))*86400</f>
        <v>9.232999733</v>
      </c>
      <c r="F695" s="31" t="n">
        <f aca="false">(C695-B695)*86400</f>
        <v>1.468000235</v>
      </c>
      <c r="G695" s="27" t="s">
        <v>152</v>
      </c>
      <c r="H695" s="27" t="s">
        <v>208</v>
      </c>
      <c r="I695" s="27" t="s">
        <v>204</v>
      </c>
      <c r="J695" s="27" t="s">
        <v>204</v>
      </c>
      <c r="K695" s="27" t="s">
        <v>204</v>
      </c>
      <c r="L695" s="3" t="str">
        <f aca="false">IF(ISNUMBER(SEARCH(" m",I695)),"Range",IF(I695="offline","Offline",IF(I695="","Unknown","No echo / error")))</f>
        <v>No echo / error</v>
      </c>
      <c r="M695" s="3" t="str">
        <f aca="false">IF(ISNUMBER(SEARCH(" m",J695)),"Range",IF(J695="offline","Offline",IF(J695="","Unknown","No echo / error")))</f>
        <v>No echo / error</v>
      </c>
      <c r="N695" s="3" t="str">
        <f aca="false">IF(ISNUMBER(SEARCH(" m",K695)),"Range",IF(K695="offline","Offline",IF(K695="","Unknown","No echo / error")))</f>
        <v>No echo / error</v>
      </c>
      <c r="O695" s="3" t="str">
        <f aca="false">TEXT(B695,"yyyy-mm-dd")</f>
        <v>2026-10-06</v>
      </c>
    </row>
    <row r="696" customFormat="false" ht="15" hidden="false" customHeight="false" outlineLevel="0" collapsed="false">
      <c r="A696" s="27" t="n">
        <v>12</v>
      </c>
      <c r="B696" s="28" t="n">
        <v>46301.4860356597</v>
      </c>
      <c r="C696" s="29" t="n">
        <f aca="false">IF(A697=A696,B697,INDEX(Rounds!$D:$D,MATCH(A696,Rounds!$A:$A,0)))</f>
        <v>46301.4860412847</v>
      </c>
      <c r="D696" s="30" t="n">
        <f aca="false">(B696-INDEX(Rounds!$C:$C,MATCH(A696,Rounds!$A:$A,0)))*86400</f>
        <v>9.232999733</v>
      </c>
      <c r="E696" s="30" t="n">
        <f aca="false">(C696-INDEX(Rounds!$C:$C,MATCH(A696,Rounds!$A:$A,0)))*86400</f>
        <v>9.718999662</v>
      </c>
      <c r="F696" s="31" t="n">
        <f aca="false">(C696-B696)*86400</f>
        <v>0.485999928</v>
      </c>
      <c r="G696" s="27" t="s">
        <v>151</v>
      </c>
      <c r="H696" s="27" t="s">
        <v>203</v>
      </c>
      <c r="I696" s="27" t="s">
        <v>463</v>
      </c>
      <c r="J696" s="27" t="s">
        <v>469</v>
      </c>
      <c r="K696" s="27" t="s">
        <v>461</v>
      </c>
      <c r="L696" s="3" t="str">
        <f aca="false">IF(ISNUMBER(SEARCH(" m",I696)),"Range",IF(I696="offline","Offline",IF(I696="","Unknown","No echo / error")))</f>
        <v>Range</v>
      </c>
      <c r="M696" s="3" t="str">
        <f aca="false">IF(ISNUMBER(SEARCH(" m",J696)),"Range",IF(J696="offline","Offline",IF(J696="","Unknown","No echo / error")))</f>
        <v>Range</v>
      </c>
      <c r="N696" s="3" t="str">
        <f aca="false">IF(ISNUMBER(SEARCH(" m",K696)),"Range",IF(K696="offline","Offline",IF(K696="","Unknown","No echo / error")))</f>
        <v>Range</v>
      </c>
      <c r="O696" s="3" t="str">
        <f aca="false">TEXT(B696,"yyyy-mm-dd")</f>
        <v>2026-10-06</v>
      </c>
    </row>
    <row r="697" customFormat="false" ht="15" hidden="false" customHeight="false" outlineLevel="0" collapsed="false">
      <c r="A697" s="27" t="n">
        <v>12</v>
      </c>
      <c r="B697" s="28" t="n">
        <v>46301.4860412847</v>
      </c>
      <c r="C697" s="29" t="n">
        <f aca="false">IF(A698=A697,B698,INDEX(Rounds!$D:$D,MATCH(A697,Rounds!$A:$A,0)))</f>
        <v>46301.4860545486</v>
      </c>
      <c r="D697" s="30" t="n">
        <f aca="false">(B697-INDEX(Rounds!$C:$C,MATCH(A697,Rounds!$A:$A,0)))*86400</f>
        <v>9.718999662</v>
      </c>
      <c r="E697" s="30" t="n">
        <f aca="false">(C697-INDEX(Rounds!$C:$C,MATCH(A697,Rounds!$A:$A,0)))*86400</f>
        <v>10.864999657</v>
      </c>
      <c r="F697" s="31" t="n">
        <f aca="false">(C697-B697)*86400</f>
        <v>1.145999995</v>
      </c>
      <c r="G697" s="27" t="s">
        <v>152</v>
      </c>
      <c r="H697" s="27" t="s">
        <v>208</v>
      </c>
      <c r="I697" s="27" t="s">
        <v>463</v>
      </c>
      <c r="J697" s="27" t="s">
        <v>491</v>
      </c>
      <c r="K697" s="27" t="s">
        <v>204</v>
      </c>
      <c r="L697" s="3" t="str">
        <f aca="false">IF(ISNUMBER(SEARCH(" m",I697)),"Range",IF(I697="offline","Offline",IF(I697="","Unknown","No echo / error")))</f>
        <v>Range</v>
      </c>
      <c r="M697" s="3" t="str">
        <f aca="false">IF(ISNUMBER(SEARCH(" m",J697)),"Range",IF(J697="offline","Offline",IF(J697="","Unknown","No echo / error")))</f>
        <v>Range</v>
      </c>
      <c r="N697" s="3" t="str">
        <f aca="false">IF(ISNUMBER(SEARCH(" m",K697)),"Range",IF(K697="offline","Offline",IF(K697="","Unknown","No echo / error")))</f>
        <v>No echo / error</v>
      </c>
      <c r="O697" s="3" t="str">
        <f aca="false">TEXT(B697,"yyyy-mm-dd")</f>
        <v>2026-10-06</v>
      </c>
    </row>
    <row r="698" customFormat="false" ht="15" hidden="false" customHeight="false" outlineLevel="0" collapsed="false">
      <c r="A698" s="27" t="n">
        <v>12</v>
      </c>
      <c r="B698" s="28" t="n">
        <v>46301.4860545486</v>
      </c>
      <c r="C698" s="29" t="n">
        <f aca="false">IF(A699=A698,B699,INDEX(Rounds!$D:$D,MATCH(A698,Rounds!$A:$A,0)))</f>
        <v>46301.4860730208</v>
      </c>
      <c r="D698" s="30" t="n">
        <f aca="false">(B698-INDEX(Rounds!$C:$C,MATCH(A698,Rounds!$A:$A,0)))*86400</f>
        <v>10.864999657</v>
      </c>
      <c r="E698" s="30" t="n">
        <f aca="false">(C698-INDEX(Rounds!$C:$C,MATCH(A698,Rounds!$A:$A,0)))*86400</f>
        <v>12.460999726</v>
      </c>
      <c r="F698" s="31" t="n">
        <f aca="false">(C698-B698)*86400</f>
        <v>1.596000068</v>
      </c>
      <c r="G698" s="27" t="s">
        <v>151</v>
      </c>
      <c r="H698" s="27" t="s">
        <v>203</v>
      </c>
      <c r="I698" s="27" t="s">
        <v>283</v>
      </c>
      <c r="J698" s="27" t="s">
        <v>435</v>
      </c>
      <c r="K698" s="27" t="s">
        <v>204</v>
      </c>
      <c r="L698" s="3" t="str">
        <f aca="false">IF(ISNUMBER(SEARCH(" m",I698)),"Range",IF(I698="offline","Offline",IF(I698="","Unknown","No echo / error")))</f>
        <v>Range</v>
      </c>
      <c r="M698" s="3" t="str">
        <f aca="false">IF(ISNUMBER(SEARCH(" m",J698)),"Range",IF(J698="offline","Offline",IF(J698="","Unknown","No echo / error")))</f>
        <v>Range</v>
      </c>
      <c r="N698" s="3" t="str">
        <f aca="false">IF(ISNUMBER(SEARCH(" m",K698)),"Range",IF(K698="offline","Offline",IF(K698="","Unknown","No echo / error")))</f>
        <v>No echo / error</v>
      </c>
      <c r="O698" s="3" t="str">
        <f aca="false">TEXT(B698,"yyyy-mm-dd")</f>
        <v>2026-10-06</v>
      </c>
    </row>
    <row r="699" customFormat="false" ht="15" hidden="false" customHeight="false" outlineLevel="0" collapsed="false">
      <c r="A699" s="27" t="n">
        <v>12</v>
      </c>
      <c r="B699" s="28" t="n">
        <v>46301.4860730208</v>
      </c>
      <c r="C699" s="29" t="n">
        <f aca="false">IF(A700=A699,B700,INDEX(Rounds!$D:$D,MATCH(A699,Rounds!$A:$A,0)))</f>
        <v>46301.4860798958</v>
      </c>
      <c r="D699" s="30" t="n">
        <f aca="false">(B699-INDEX(Rounds!$C:$C,MATCH(A699,Rounds!$A:$A,0)))*86400</f>
        <v>12.460999726</v>
      </c>
      <c r="E699" s="30" t="n">
        <f aca="false">(C699-INDEX(Rounds!$C:$C,MATCH(A699,Rounds!$A:$A,0)))*86400</f>
        <v>13.054999848</v>
      </c>
      <c r="F699" s="31" t="n">
        <f aca="false">(C699-B699)*86400</f>
        <v>0.594000122</v>
      </c>
      <c r="G699" s="27" t="s">
        <v>152</v>
      </c>
      <c r="H699" s="27" t="s">
        <v>208</v>
      </c>
      <c r="I699" s="27" t="s">
        <v>278</v>
      </c>
      <c r="J699" s="27" t="s">
        <v>435</v>
      </c>
      <c r="K699" s="27" t="s">
        <v>386</v>
      </c>
      <c r="L699" s="3" t="str">
        <f aca="false">IF(ISNUMBER(SEARCH(" m",I699)),"Range",IF(I699="offline","Offline",IF(I699="","Unknown","No echo / error")))</f>
        <v>Range</v>
      </c>
      <c r="M699" s="3" t="str">
        <f aca="false">IF(ISNUMBER(SEARCH(" m",J699)),"Range",IF(J699="offline","Offline",IF(J699="","Unknown","No echo / error")))</f>
        <v>Range</v>
      </c>
      <c r="N699" s="3" t="str">
        <f aca="false">IF(ISNUMBER(SEARCH(" m",K699)),"Range",IF(K699="offline","Offline",IF(K699="","Unknown","No echo / error")))</f>
        <v>Range</v>
      </c>
      <c r="O699" s="3" t="str">
        <f aca="false">TEXT(B699,"yyyy-mm-dd")</f>
        <v>2026-10-06</v>
      </c>
    </row>
    <row r="700" customFormat="false" ht="15" hidden="false" customHeight="false" outlineLevel="0" collapsed="false">
      <c r="A700" s="27" t="n">
        <v>12</v>
      </c>
      <c r="B700" s="28" t="n">
        <v>46301.4860798958</v>
      </c>
      <c r="C700" s="29" t="n">
        <f aca="false">IF(A701=A700,B701,INDEX(Rounds!$D:$D,MATCH(A700,Rounds!$A:$A,0)))</f>
        <v>46301.486088287</v>
      </c>
      <c r="D700" s="30" t="n">
        <f aca="false">(B700-INDEX(Rounds!$C:$C,MATCH(A700,Rounds!$A:$A,0)))*86400</f>
        <v>13.054999848</v>
      </c>
      <c r="E700" s="30" t="n">
        <f aca="false">(C700-INDEX(Rounds!$C:$C,MATCH(A700,Rounds!$A:$A,0)))*86400</f>
        <v>13.779999059</v>
      </c>
      <c r="F700" s="31" t="n">
        <f aca="false">(C700-B700)*86400</f>
        <v>0.72499921</v>
      </c>
      <c r="G700" s="27" t="s">
        <v>151</v>
      </c>
      <c r="H700" s="27" t="s">
        <v>203</v>
      </c>
      <c r="I700" s="27" t="s">
        <v>281</v>
      </c>
      <c r="J700" s="27" t="s">
        <v>426</v>
      </c>
      <c r="K700" s="27" t="s">
        <v>430</v>
      </c>
      <c r="L700" s="3" t="str">
        <f aca="false">IF(ISNUMBER(SEARCH(" m",I700)),"Range",IF(I700="offline","Offline",IF(I700="","Unknown","No echo / error")))</f>
        <v>Range</v>
      </c>
      <c r="M700" s="3" t="str">
        <f aca="false">IF(ISNUMBER(SEARCH(" m",J700)),"Range",IF(J700="offline","Offline",IF(J700="","Unknown","No echo / error")))</f>
        <v>Range</v>
      </c>
      <c r="N700" s="3" t="str">
        <f aca="false">IF(ISNUMBER(SEARCH(" m",K700)),"Range",IF(K700="offline","Offline",IF(K700="","Unknown","No echo / error")))</f>
        <v>Range</v>
      </c>
      <c r="O700" s="3" t="str">
        <f aca="false">TEXT(B700,"yyyy-mm-dd")</f>
        <v>2026-10-06</v>
      </c>
    </row>
    <row r="701" customFormat="false" ht="15" hidden="false" customHeight="false" outlineLevel="0" collapsed="false">
      <c r="A701" s="27" t="n">
        <v>12</v>
      </c>
      <c r="B701" s="28" t="n">
        <v>46301.486088287</v>
      </c>
      <c r="C701" s="29" t="n">
        <f aca="false">IF(A702=A701,B702,INDEX(Rounds!$D:$D,MATCH(A701,Rounds!$A:$A,0)))</f>
        <v>46301.4860901852</v>
      </c>
      <c r="D701" s="30" t="n">
        <f aca="false">(B701-INDEX(Rounds!$C:$C,MATCH(A701,Rounds!$A:$A,0)))*86400</f>
        <v>13.779999059</v>
      </c>
      <c r="E701" s="30" t="n">
        <f aca="false">(C701-INDEX(Rounds!$C:$C,MATCH(A701,Rounds!$A:$A,0)))*86400</f>
        <v>13.944000634</v>
      </c>
      <c r="F701" s="31" t="n">
        <f aca="false">(C701-B701)*86400</f>
        <v>0.164001574</v>
      </c>
      <c r="G701" s="27" t="s">
        <v>152</v>
      </c>
      <c r="H701" s="27" t="s">
        <v>208</v>
      </c>
      <c r="I701" s="27" t="s">
        <v>432</v>
      </c>
      <c r="J701" s="27" t="s">
        <v>393</v>
      </c>
      <c r="K701" s="27" t="s">
        <v>381</v>
      </c>
      <c r="L701" s="3" t="str">
        <f aca="false">IF(ISNUMBER(SEARCH(" m",I701)),"Range",IF(I701="offline","Offline",IF(I701="","Unknown","No echo / error")))</f>
        <v>Range</v>
      </c>
      <c r="M701" s="3" t="str">
        <f aca="false">IF(ISNUMBER(SEARCH(" m",J701)),"Range",IF(J701="offline","Offline",IF(J701="","Unknown","No echo / error")))</f>
        <v>Range</v>
      </c>
      <c r="N701" s="3" t="str">
        <f aca="false">IF(ISNUMBER(SEARCH(" m",K701)),"Range",IF(K701="offline","Offline",IF(K701="","Unknown","No echo / error")))</f>
        <v>Range</v>
      </c>
      <c r="O701" s="3" t="str">
        <f aca="false">TEXT(B701,"yyyy-mm-dd")</f>
        <v>2026-10-06</v>
      </c>
    </row>
    <row r="702" customFormat="false" ht="15" hidden="false" customHeight="false" outlineLevel="0" collapsed="false">
      <c r="A702" s="27" t="n">
        <v>12</v>
      </c>
      <c r="B702" s="28" t="n">
        <v>46301.4860901852</v>
      </c>
      <c r="C702" s="29" t="n">
        <f aca="false">IF(A703=A702,B703,INDEX(Rounds!$D:$D,MATCH(A702,Rounds!$A:$A,0)))</f>
        <v>46301.4860980324</v>
      </c>
      <c r="D702" s="30" t="n">
        <f aca="false">(B702-INDEX(Rounds!$C:$C,MATCH(A702,Rounds!$A:$A,0)))*86400</f>
        <v>13.944000634</v>
      </c>
      <c r="E702" s="30" t="n">
        <f aca="false">(C702-INDEX(Rounds!$C:$C,MATCH(A702,Rounds!$A:$A,0)))*86400</f>
        <v>14.621999999</v>
      </c>
      <c r="F702" s="31" t="n">
        <f aca="false">(C702-B702)*86400</f>
        <v>0.677999365</v>
      </c>
      <c r="G702" s="27" t="s">
        <v>151</v>
      </c>
      <c r="H702" s="27" t="s">
        <v>203</v>
      </c>
      <c r="I702" s="27" t="s">
        <v>432</v>
      </c>
      <c r="J702" s="27" t="s">
        <v>393</v>
      </c>
      <c r="K702" s="27" t="s">
        <v>287</v>
      </c>
      <c r="L702" s="3" t="str">
        <f aca="false">IF(ISNUMBER(SEARCH(" m",I702)),"Range",IF(I702="offline","Offline",IF(I702="","Unknown","No echo / error")))</f>
        <v>Range</v>
      </c>
      <c r="M702" s="3" t="str">
        <f aca="false">IF(ISNUMBER(SEARCH(" m",J702)),"Range",IF(J702="offline","Offline",IF(J702="","Unknown","No echo / error")))</f>
        <v>Range</v>
      </c>
      <c r="N702" s="3" t="str">
        <f aca="false">IF(ISNUMBER(SEARCH(" m",K702)),"Range",IF(K702="offline","Offline",IF(K702="","Unknown","No echo / error")))</f>
        <v>Range</v>
      </c>
      <c r="O702" s="3" t="str">
        <f aca="false">TEXT(B702,"yyyy-mm-dd")</f>
        <v>2026-10-06</v>
      </c>
    </row>
    <row r="703" customFormat="false" ht="15" hidden="false" customHeight="false" outlineLevel="0" collapsed="false">
      <c r="A703" s="27" t="n">
        <v>12</v>
      </c>
      <c r="B703" s="28" t="n">
        <v>46301.4860980324</v>
      </c>
      <c r="C703" s="29" t="n">
        <f aca="false">IF(A704=A703,B704,INDEX(Rounds!$D:$D,MATCH(A703,Rounds!$A:$A,0)))</f>
        <v>46301.4861077431</v>
      </c>
      <c r="D703" s="30" t="n">
        <f aca="false">(B703-INDEX(Rounds!$C:$C,MATCH(A703,Rounds!$A:$A,0)))*86400</f>
        <v>14.621999999</v>
      </c>
      <c r="E703" s="30" t="n">
        <f aca="false">(C703-INDEX(Rounds!$C:$C,MATCH(A703,Rounds!$A:$A,0)))*86400</f>
        <v>15.46099917</v>
      </c>
      <c r="F703" s="31" t="n">
        <f aca="false">(C703-B703)*86400</f>
        <v>0.83899917</v>
      </c>
      <c r="G703" s="27" t="s">
        <v>150</v>
      </c>
      <c r="H703" s="27" t="s">
        <v>206</v>
      </c>
      <c r="I703" s="27" t="s">
        <v>240</v>
      </c>
      <c r="J703" s="27" t="s">
        <v>314</v>
      </c>
      <c r="K703" s="27" t="s">
        <v>242</v>
      </c>
      <c r="L703" s="3" t="str">
        <f aca="false">IF(ISNUMBER(SEARCH(" m",I703)),"Range",IF(I703="offline","Offline",IF(I703="","Unknown","No echo / error")))</f>
        <v>Range</v>
      </c>
      <c r="M703" s="3" t="str">
        <f aca="false">IF(ISNUMBER(SEARCH(" m",J703)),"Range",IF(J703="offline","Offline",IF(J703="","Unknown","No echo / error")))</f>
        <v>Range</v>
      </c>
      <c r="N703" s="3" t="str">
        <f aca="false">IF(ISNUMBER(SEARCH(" m",K703)),"Range",IF(K703="offline","Offline",IF(K703="","Unknown","No echo / error")))</f>
        <v>Range</v>
      </c>
      <c r="O703" s="3" t="str">
        <f aca="false">TEXT(B703,"yyyy-mm-dd")</f>
        <v>2026-10-06</v>
      </c>
    </row>
    <row r="704" customFormat="false" ht="15" hidden="false" customHeight="false" outlineLevel="0" collapsed="false">
      <c r="A704" s="27" t="n">
        <v>12</v>
      </c>
      <c r="B704" s="28" t="n">
        <v>46301.4861077431</v>
      </c>
      <c r="C704" s="29" t="n">
        <f aca="false">IF(A705=A704,B705,INDEX(Rounds!$D:$D,MATCH(A704,Rounds!$A:$A,0)))</f>
        <v>46301.4861090394</v>
      </c>
      <c r="D704" s="30" t="n">
        <f aca="false">(B704-INDEX(Rounds!$C:$C,MATCH(A704,Rounds!$A:$A,0)))*86400</f>
        <v>15.46099917</v>
      </c>
      <c r="E704" s="30" t="n">
        <f aca="false">(C704-INDEX(Rounds!$C:$C,MATCH(A704,Rounds!$A:$A,0)))*86400</f>
        <v>15.573000046</v>
      </c>
      <c r="F704" s="31" t="n">
        <f aca="false">(C704-B704)*86400</f>
        <v>0.112000876</v>
      </c>
      <c r="G704" s="27" t="s">
        <v>151</v>
      </c>
      <c r="H704" s="27" t="s">
        <v>203</v>
      </c>
      <c r="I704" s="27" t="s">
        <v>385</v>
      </c>
      <c r="J704" s="27" t="s">
        <v>423</v>
      </c>
      <c r="K704" s="27" t="s">
        <v>282</v>
      </c>
      <c r="L704" s="3" t="str">
        <f aca="false">IF(ISNUMBER(SEARCH(" m",I704)),"Range",IF(I704="offline","Offline",IF(I704="","Unknown","No echo / error")))</f>
        <v>Range</v>
      </c>
      <c r="M704" s="3" t="str">
        <f aca="false">IF(ISNUMBER(SEARCH(" m",J704)),"Range",IF(J704="offline","Offline",IF(J704="","Unknown","No echo / error")))</f>
        <v>Range</v>
      </c>
      <c r="N704" s="3" t="str">
        <f aca="false">IF(ISNUMBER(SEARCH(" m",K704)),"Range",IF(K704="offline","Offline",IF(K704="","Unknown","No echo / error")))</f>
        <v>Range</v>
      </c>
      <c r="O704" s="3" t="str">
        <f aca="false">TEXT(B704,"yyyy-mm-dd")</f>
        <v>2026-10-06</v>
      </c>
    </row>
    <row r="705" customFormat="false" ht="15" hidden="false" customHeight="false" outlineLevel="0" collapsed="false">
      <c r="A705" s="27" t="n">
        <v>12</v>
      </c>
      <c r="B705" s="28" t="n">
        <v>46301.4861090394</v>
      </c>
      <c r="C705" s="29" t="n">
        <f aca="false">IF(A706=A705,B706,INDEX(Rounds!$D:$D,MATCH(A705,Rounds!$A:$A,0)))</f>
        <v>46301.4861178009</v>
      </c>
      <c r="D705" s="30" t="n">
        <f aca="false">(B705-INDEX(Rounds!$C:$C,MATCH(A705,Rounds!$A:$A,0)))*86400</f>
        <v>15.573000046</v>
      </c>
      <c r="E705" s="30" t="n">
        <f aca="false">(C705-INDEX(Rounds!$C:$C,MATCH(A705,Rounds!$A:$A,0)))*86400</f>
        <v>16.329999687</v>
      </c>
      <c r="F705" s="31" t="n">
        <f aca="false">(C705-B705)*86400</f>
        <v>0.75699964</v>
      </c>
      <c r="G705" s="27" t="s">
        <v>150</v>
      </c>
      <c r="H705" s="27" t="s">
        <v>206</v>
      </c>
      <c r="I705" s="27" t="s">
        <v>385</v>
      </c>
      <c r="J705" s="27" t="s">
        <v>264</v>
      </c>
      <c r="K705" s="27" t="s">
        <v>282</v>
      </c>
      <c r="L705" s="3" t="str">
        <f aca="false">IF(ISNUMBER(SEARCH(" m",I705)),"Range",IF(I705="offline","Offline",IF(I705="","Unknown","No echo / error")))</f>
        <v>Range</v>
      </c>
      <c r="M705" s="3" t="str">
        <f aca="false">IF(ISNUMBER(SEARCH(" m",J705)),"Range",IF(J705="offline","Offline",IF(J705="","Unknown","No echo / error")))</f>
        <v>Range</v>
      </c>
      <c r="N705" s="3" t="str">
        <f aca="false">IF(ISNUMBER(SEARCH(" m",K705)),"Range",IF(K705="offline","Offline",IF(K705="","Unknown","No echo / error")))</f>
        <v>Range</v>
      </c>
      <c r="O705" s="3" t="str">
        <f aca="false">TEXT(B705,"yyyy-mm-dd")</f>
        <v>2026-10-06</v>
      </c>
    </row>
    <row r="706" customFormat="false" ht="15" hidden="false" customHeight="false" outlineLevel="0" collapsed="false">
      <c r="A706" s="27" t="n">
        <v>12</v>
      </c>
      <c r="B706" s="28" t="n">
        <v>46301.4861178009</v>
      </c>
      <c r="C706" s="29" t="n">
        <f aca="false">IF(A707=A706,B707,INDEX(Rounds!$D:$D,MATCH(A706,Rounds!$A:$A,0)))</f>
        <v>46301.4861424769</v>
      </c>
      <c r="D706" s="30" t="n">
        <f aca="false">(B706-INDEX(Rounds!$C:$C,MATCH(A706,Rounds!$A:$A,0)))*86400</f>
        <v>16.329999687</v>
      </c>
      <c r="E706" s="30" t="n">
        <f aca="false">(C706-INDEX(Rounds!$C:$C,MATCH(A706,Rounds!$A:$A,0)))*86400</f>
        <v>18.462000042</v>
      </c>
      <c r="F706" s="31" t="n">
        <f aca="false">(C706-B706)*86400</f>
        <v>2.132000355</v>
      </c>
      <c r="G706" s="27" t="s">
        <v>152</v>
      </c>
      <c r="H706" s="27" t="s">
        <v>208</v>
      </c>
      <c r="I706" s="27" t="s">
        <v>374</v>
      </c>
      <c r="J706" s="27" t="s">
        <v>264</v>
      </c>
      <c r="K706" s="27" t="s">
        <v>287</v>
      </c>
      <c r="L706" s="3" t="str">
        <f aca="false">IF(ISNUMBER(SEARCH(" m",I706)),"Range",IF(I706="offline","Offline",IF(I706="","Unknown","No echo / error")))</f>
        <v>Range</v>
      </c>
      <c r="M706" s="3" t="str">
        <f aca="false">IF(ISNUMBER(SEARCH(" m",J706)),"Range",IF(J706="offline","Offline",IF(J706="","Unknown","No echo / error")))</f>
        <v>Range</v>
      </c>
      <c r="N706" s="3" t="str">
        <f aca="false">IF(ISNUMBER(SEARCH(" m",K706)),"Range",IF(K706="offline","Offline",IF(K706="","Unknown","No echo / error")))</f>
        <v>Range</v>
      </c>
      <c r="O706" s="3" t="str">
        <f aca="false">TEXT(B706,"yyyy-mm-dd")</f>
        <v>2026-10-06</v>
      </c>
    </row>
    <row r="707" customFormat="false" ht="15" hidden="false" customHeight="false" outlineLevel="0" collapsed="false">
      <c r="A707" s="27" t="n">
        <v>12</v>
      </c>
      <c r="B707" s="28" t="n">
        <v>46301.4861424769</v>
      </c>
      <c r="C707" s="29" t="n">
        <f aca="false">IF(A708=A707,B708,INDEX(Rounds!$D:$D,MATCH(A707,Rounds!$A:$A,0)))</f>
        <v>46301.4861521644</v>
      </c>
      <c r="D707" s="30" t="n">
        <f aca="false">(B707-INDEX(Rounds!$C:$C,MATCH(A707,Rounds!$A:$A,0)))*86400</f>
        <v>18.462000042</v>
      </c>
      <c r="E707" s="30" t="n">
        <f aca="false">(C707-INDEX(Rounds!$C:$C,MATCH(A707,Rounds!$A:$A,0)))*86400</f>
        <v>19.2989995</v>
      </c>
      <c r="F707" s="31" t="n">
        <f aca="false">(C707-B707)*86400</f>
        <v>0.836999458</v>
      </c>
      <c r="G707" s="27" t="s">
        <v>151</v>
      </c>
      <c r="H707" s="27" t="s">
        <v>203</v>
      </c>
      <c r="I707" s="27" t="s">
        <v>204</v>
      </c>
      <c r="J707" s="27" t="s">
        <v>271</v>
      </c>
      <c r="K707" s="27" t="s">
        <v>204</v>
      </c>
      <c r="L707" s="3" t="str">
        <f aca="false">IF(ISNUMBER(SEARCH(" m",I707)),"Range",IF(I707="offline","Offline",IF(I707="","Unknown","No echo / error")))</f>
        <v>No echo / error</v>
      </c>
      <c r="M707" s="3" t="str">
        <f aca="false">IF(ISNUMBER(SEARCH(" m",J707)),"Range",IF(J707="offline","Offline",IF(J707="","Unknown","No echo / error")))</f>
        <v>Range</v>
      </c>
      <c r="N707" s="3" t="str">
        <f aca="false">IF(ISNUMBER(SEARCH(" m",K707)),"Range",IF(K707="offline","Offline",IF(K707="","Unknown","No echo / error")))</f>
        <v>No echo / error</v>
      </c>
      <c r="O707" s="3" t="str">
        <f aca="false">TEXT(B707,"yyyy-mm-dd")</f>
        <v>2026-10-06</v>
      </c>
    </row>
    <row r="708" customFormat="false" ht="15" hidden="false" customHeight="false" outlineLevel="0" collapsed="false">
      <c r="A708" s="27" t="n">
        <v>12</v>
      </c>
      <c r="B708" s="28" t="n">
        <v>46301.4861521644</v>
      </c>
      <c r="C708" s="29" t="n">
        <f aca="false">IF(A709=A708,B709,INDEX(Rounds!$D:$D,MATCH(A708,Rounds!$A:$A,0)))</f>
        <v>46301.4861549421</v>
      </c>
      <c r="D708" s="30" t="n">
        <f aca="false">(B708-INDEX(Rounds!$C:$C,MATCH(A708,Rounds!$A:$A,0)))*86400</f>
        <v>19.2989995</v>
      </c>
      <c r="E708" s="30" t="n">
        <f aca="false">(C708-INDEX(Rounds!$C:$C,MATCH(A708,Rounds!$A:$A,0)))*86400</f>
        <v>19.53900021</v>
      </c>
      <c r="F708" s="31" t="n">
        <f aca="false">(C708-B708)*86400</f>
        <v>0.240000709</v>
      </c>
      <c r="G708" s="27" t="s">
        <v>152</v>
      </c>
      <c r="H708" s="27" t="s">
        <v>208</v>
      </c>
      <c r="I708" s="27" t="s">
        <v>204</v>
      </c>
      <c r="J708" s="27" t="s">
        <v>271</v>
      </c>
      <c r="K708" s="27" t="s">
        <v>204</v>
      </c>
      <c r="L708" s="3" t="str">
        <f aca="false">IF(ISNUMBER(SEARCH(" m",I708)),"Range",IF(I708="offline","Offline",IF(I708="","Unknown","No echo / error")))</f>
        <v>No echo / error</v>
      </c>
      <c r="M708" s="3" t="str">
        <f aca="false">IF(ISNUMBER(SEARCH(" m",J708)),"Range",IF(J708="offline","Offline",IF(J708="","Unknown","No echo / error")))</f>
        <v>Range</v>
      </c>
      <c r="N708" s="3" t="str">
        <f aca="false">IF(ISNUMBER(SEARCH(" m",K708)),"Range",IF(K708="offline","Offline",IF(K708="","Unknown","No echo / error")))</f>
        <v>No echo / error</v>
      </c>
      <c r="O708" s="3" t="str">
        <f aca="false">TEXT(B708,"yyyy-mm-dd")</f>
        <v>2026-10-06</v>
      </c>
    </row>
    <row r="709" customFormat="false" ht="15" hidden="false" customHeight="false" outlineLevel="0" collapsed="false">
      <c r="A709" s="27" t="n">
        <v>12</v>
      </c>
      <c r="B709" s="28" t="n">
        <v>46301.4861549421</v>
      </c>
      <c r="C709" s="29" t="n">
        <f aca="false">IF(A710=A709,B710,INDEX(Rounds!$D:$D,MATCH(A709,Rounds!$A:$A,0)))</f>
        <v>46301.4861603241</v>
      </c>
      <c r="D709" s="30" t="n">
        <f aca="false">(B709-INDEX(Rounds!$C:$C,MATCH(A709,Rounds!$A:$A,0)))*86400</f>
        <v>19.53900021</v>
      </c>
      <c r="E709" s="30" t="n">
        <f aca="false">(C709-INDEX(Rounds!$C:$C,MATCH(A709,Rounds!$A:$A,0)))*86400</f>
        <v>20.003999699</v>
      </c>
      <c r="F709" s="31" t="n">
        <f aca="false">(C709-B709)*86400</f>
        <v>0.464999489</v>
      </c>
      <c r="G709" s="27" t="s">
        <v>151</v>
      </c>
      <c r="H709" s="27" t="s">
        <v>203</v>
      </c>
      <c r="I709" s="27" t="s">
        <v>211</v>
      </c>
      <c r="J709" s="27" t="s">
        <v>271</v>
      </c>
      <c r="K709" s="27" t="s">
        <v>204</v>
      </c>
      <c r="L709" s="3" t="str">
        <f aca="false">IF(ISNUMBER(SEARCH(" m",I709)),"Range",IF(I709="offline","Offline",IF(I709="","Unknown","No echo / error")))</f>
        <v>No echo / error</v>
      </c>
      <c r="M709" s="3" t="str">
        <f aca="false">IF(ISNUMBER(SEARCH(" m",J709)),"Range",IF(J709="offline","Offline",IF(J709="","Unknown","No echo / error")))</f>
        <v>Range</v>
      </c>
      <c r="N709" s="3" t="str">
        <f aca="false">IF(ISNUMBER(SEARCH(" m",K709)),"Range",IF(K709="offline","Offline",IF(K709="","Unknown","No echo / error")))</f>
        <v>No echo / error</v>
      </c>
      <c r="O709" s="3" t="str">
        <f aca="false">TEXT(B709,"yyyy-mm-dd")</f>
        <v>2026-10-06</v>
      </c>
    </row>
    <row r="710" customFormat="false" ht="15" hidden="false" customHeight="false" outlineLevel="0" collapsed="false">
      <c r="A710" s="27" t="n">
        <v>12</v>
      </c>
      <c r="B710" s="28" t="n">
        <v>46301.4861603241</v>
      </c>
      <c r="C710" s="29" t="n">
        <f aca="false">IF(A711=A710,B711,INDEX(Rounds!$D:$D,MATCH(A710,Rounds!$A:$A,0)))</f>
        <v>46301.486180463</v>
      </c>
      <c r="D710" s="30" t="n">
        <f aca="false">(B710-INDEX(Rounds!$C:$C,MATCH(A710,Rounds!$A:$A,0)))*86400</f>
        <v>20.003999699</v>
      </c>
      <c r="E710" s="30" t="n">
        <f aca="false">(C710-INDEX(Rounds!$C:$C,MATCH(A710,Rounds!$A:$A,0)))*86400</f>
        <v>21.743999817</v>
      </c>
      <c r="F710" s="31" t="n">
        <f aca="false">(C710-B710)*86400</f>
        <v>1.740000117</v>
      </c>
      <c r="G710" s="27" t="s">
        <v>152</v>
      </c>
      <c r="H710" s="27" t="s">
        <v>208</v>
      </c>
      <c r="I710" s="27" t="s">
        <v>211</v>
      </c>
      <c r="J710" s="27" t="s">
        <v>455</v>
      </c>
      <c r="K710" s="27" t="s">
        <v>204</v>
      </c>
      <c r="L710" s="3" t="str">
        <f aca="false">IF(ISNUMBER(SEARCH(" m",I710)),"Range",IF(I710="offline","Offline",IF(I710="","Unknown","No echo / error")))</f>
        <v>No echo / error</v>
      </c>
      <c r="M710" s="3" t="str">
        <f aca="false">IF(ISNUMBER(SEARCH(" m",J710)),"Range",IF(J710="offline","Offline",IF(J710="","Unknown","No echo / error")))</f>
        <v>Range</v>
      </c>
      <c r="N710" s="3" t="str">
        <f aca="false">IF(ISNUMBER(SEARCH(" m",K710)),"Range",IF(K710="offline","Offline",IF(K710="","Unknown","No echo / error")))</f>
        <v>No echo / error</v>
      </c>
      <c r="O710" s="3" t="str">
        <f aca="false">TEXT(B710,"yyyy-mm-dd")</f>
        <v>2026-10-06</v>
      </c>
    </row>
    <row r="711" customFormat="false" ht="15" hidden="false" customHeight="false" outlineLevel="0" collapsed="false">
      <c r="A711" s="27" t="n">
        <v>12</v>
      </c>
      <c r="B711" s="28" t="n">
        <v>46301.486180463</v>
      </c>
      <c r="C711" s="29" t="n">
        <f aca="false">IF(A712=A711,B712,INDEX(Rounds!$D:$D,MATCH(A711,Rounds!$A:$A,0)))</f>
        <v>46301.4861860417</v>
      </c>
      <c r="D711" s="30" t="n">
        <f aca="false">(B711-INDEX(Rounds!$C:$C,MATCH(A711,Rounds!$A:$A,0)))*86400</f>
        <v>21.743999817</v>
      </c>
      <c r="E711" s="30" t="n">
        <f aca="false">(C711-INDEX(Rounds!$C:$C,MATCH(A711,Rounds!$A:$A,0)))*86400</f>
        <v>22.225999063</v>
      </c>
      <c r="F711" s="31" t="n">
        <f aca="false">(C711-B711)*86400</f>
        <v>0.481999246</v>
      </c>
      <c r="G711" s="27" t="s">
        <v>151</v>
      </c>
      <c r="H711" s="27" t="s">
        <v>203</v>
      </c>
      <c r="I711" s="27" t="s">
        <v>330</v>
      </c>
      <c r="J711" s="27" t="s">
        <v>455</v>
      </c>
      <c r="K711" s="27" t="s">
        <v>204</v>
      </c>
      <c r="L711" s="3" t="str">
        <f aca="false">IF(ISNUMBER(SEARCH(" m",I711)),"Range",IF(I711="offline","Offline",IF(I711="","Unknown","No echo / error")))</f>
        <v>Range</v>
      </c>
      <c r="M711" s="3" t="str">
        <f aca="false">IF(ISNUMBER(SEARCH(" m",J711)),"Range",IF(J711="offline","Offline",IF(J711="","Unknown","No echo / error")))</f>
        <v>Range</v>
      </c>
      <c r="N711" s="3" t="str">
        <f aca="false">IF(ISNUMBER(SEARCH(" m",K711)),"Range",IF(K711="offline","Offline",IF(K711="","Unknown","No echo / error")))</f>
        <v>No echo / error</v>
      </c>
      <c r="O711" s="3" t="str">
        <f aca="false">TEXT(B711,"yyyy-mm-dd")</f>
        <v>2026-10-06</v>
      </c>
    </row>
    <row r="712" customFormat="false" ht="15" hidden="false" customHeight="false" outlineLevel="0" collapsed="false">
      <c r="A712" s="27" t="n">
        <v>12</v>
      </c>
      <c r="B712" s="28" t="n">
        <v>46301.4861860417</v>
      </c>
      <c r="C712" s="29" t="n">
        <f aca="false">IF(A713=A712,B713,INDEX(Rounds!$D:$D,MATCH(A712,Rounds!$A:$A,0)))</f>
        <v>46301.486199294</v>
      </c>
      <c r="D712" s="30" t="n">
        <f aca="false">(B712-INDEX(Rounds!$C:$C,MATCH(A712,Rounds!$A:$A,0)))*86400</f>
        <v>22.225999063</v>
      </c>
      <c r="E712" s="30" t="n">
        <f aca="false">(C712-INDEX(Rounds!$C:$C,MATCH(A712,Rounds!$A:$A,0)))*86400</f>
        <v>23.370999516</v>
      </c>
      <c r="F712" s="31" t="n">
        <f aca="false">(C712-B712)*86400</f>
        <v>1.145000453</v>
      </c>
      <c r="G712" s="27" t="s">
        <v>152</v>
      </c>
      <c r="H712" s="27" t="s">
        <v>208</v>
      </c>
      <c r="I712" s="27" t="s">
        <v>460</v>
      </c>
      <c r="J712" s="27" t="s">
        <v>469</v>
      </c>
      <c r="K712" s="27" t="s">
        <v>444</v>
      </c>
      <c r="L712" s="3" t="str">
        <f aca="false">IF(ISNUMBER(SEARCH(" m",I712)),"Range",IF(I712="offline","Offline",IF(I712="","Unknown","No echo / error")))</f>
        <v>Range</v>
      </c>
      <c r="M712" s="3" t="str">
        <f aca="false">IF(ISNUMBER(SEARCH(" m",J712)),"Range",IF(J712="offline","Offline",IF(J712="","Unknown","No echo / error")))</f>
        <v>Range</v>
      </c>
      <c r="N712" s="3" t="str">
        <f aca="false">IF(ISNUMBER(SEARCH(" m",K712)),"Range",IF(K712="offline","Offline",IF(K712="","Unknown","No echo / error")))</f>
        <v>Range</v>
      </c>
      <c r="O712" s="3" t="str">
        <f aca="false">TEXT(B712,"yyyy-mm-dd")</f>
        <v>2026-10-06</v>
      </c>
    </row>
    <row r="713" customFormat="false" ht="15" hidden="false" customHeight="false" outlineLevel="0" collapsed="false">
      <c r="A713" s="27" t="n">
        <v>12</v>
      </c>
      <c r="B713" s="28" t="n">
        <v>46301.486199294</v>
      </c>
      <c r="C713" s="29" t="n">
        <f aca="false">IF(A714=A713,B714,INDEX(Rounds!$D:$D,MATCH(A713,Rounds!$A:$A,0)))</f>
        <v>46301.4862045486</v>
      </c>
      <c r="D713" s="30" t="n">
        <f aca="false">(B713-INDEX(Rounds!$C:$C,MATCH(A713,Rounds!$A:$A,0)))*86400</f>
        <v>23.370999516</v>
      </c>
      <c r="E713" s="30" t="n">
        <f aca="false">(C713-INDEX(Rounds!$C:$C,MATCH(A713,Rounds!$A:$A,0)))*86400</f>
        <v>23.824999644</v>
      </c>
      <c r="F713" s="31" t="n">
        <f aca="false">(C713-B713)*86400</f>
        <v>0.454000127</v>
      </c>
      <c r="G713" s="27" t="s">
        <v>151</v>
      </c>
      <c r="H713" s="27" t="s">
        <v>203</v>
      </c>
      <c r="I713" s="27" t="s">
        <v>287</v>
      </c>
      <c r="J713" s="27" t="s">
        <v>492</v>
      </c>
      <c r="K713" s="27" t="s">
        <v>493</v>
      </c>
      <c r="L713" s="3" t="str">
        <f aca="false">IF(ISNUMBER(SEARCH(" m",I713)),"Range",IF(I713="offline","Offline",IF(I713="","Unknown","No echo / error")))</f>
        <v>Range</v>
      </c>
      <c r="M713" s="3" t="str">
        <f aca="false">IF(ISNUMBER(SEARCH(" m",J713)),"Range",IF(J713="offline","Offline",IF(J713="","Unknown","No echo / error")))</f>
        <v>Range</v>
      </c>
      <c r="N713" s="3" t="str">
        <f aca="false">IF(ISNUMBER(SEARCH(" m",K713)),"Range",IF(K713="offline","Offline",IF(K713="","Unknown","No echo / error")))</f>
        <v>Range</v>
      </c>
      <c r="O713" s="3" t="str">
        <f aca="false">TEXT(B713,"yyyy-mm-dd")</f>
        <v>2026-10-06</v>
      </c>
    </row>
    <row r="714" customFormat="false" ht="15" hidden="false" customHeight="false" outlineLevel="0" collapsed="false">
      <c r="A714" s="27" t="n">
        <v>12</v>
      </c>
      <c r="B714" s="28" t="n">
        <v>46301.4862045486</v>
      </c>
      <c r="C714" s="29" t="n">
        <f aca="false">IF(A715=A714,B715,INDEX(Rounds!$D:$D,MATCH(A714,Rounds!$A:$A,0)))</f>
        <v>46301.486206956</v>
      </c>
      <c r="D714" s="30" t="n">
        <f aca="false">(B714-INDEX(Rounds!$C:$C,MATCH(A714,Rounds!$A:$A,0)))*86400</f>
        <v>23.824999644</v>
      </c>
      <c r="E714" s="30" t="n">
        <f aca="false">(C714-INDEX(Rounds!$C:$C,MATCH(A714,Rounds!$A:$A,0)))*86400</f>
        <v>24.032999924</v>
      </c>
      <c r="F714" s="31" t="n">
        <f aca="false">(C714-B714)*86400</f>
        <v>0.208000279</v>
      </c>
      <c r="G714" s="27" t="s">
        <v>152</v>
      </c>
      <c r="H714" s="27" t="s">
        <v>208</v>
      </c>
      <c r="I714" s="27" t="s">
        <v>393</v>
      </c>
      <c r="J714" s="27" t="s">
        <v>435</v>
      </c>
      <c r="K714" s="27" t="s">
        <v>444</v>
      </c>
      <c r="L714" s="3" t="str">
        <f aca="false">IF(ISNUMBER(SEARCH(" m",I714)),"Range",IF(I714="offline","Offline",IF(I714="","Unknown","No echo / error")))</f>
        <v>Range</v>
      </c>
      <c r="M714" s="3" t="str">
        <f aca="false">IF(ISNUMBER(SEARCH(" m",J714)),"Range",IF(J714="offline","Offline",IF(J714="","Unknown","No echo / error")))</f>
        <v>Range</v>
      </c>
      <c r="N714" s="3" t="str">
        <f aca="false">IF(ISNUMBER(SEARCH(" m",K714)),"Range",IF(K714="offline","Offline",IF(K714="","Unknown","No echo / error")))</f>
        <v>Range</v>
      </c>
      <c r="O714" s="3" t="str">
        <f aca="false">TEXT(B714,"yyyy-mm-dd")</f>
        <v>2026-10-06</v>
      </c>
    </row>
    <row r="715" customFormat="false" ht="15" hidden="false" customHeight="false" outlineLevel="0" collapsed="false">
      <c r="A715" s="27" t="n">
        <v>12</v>
      </c>
      <c r="B715" s="28" t="n">
        <v>46301.486206956</v>
      </c>
      <c r="C715" s="29" t="n">
        <f aca="false">IF(A716=A715,B716,INDEX(Rounds!$D:$D,MATCH(A715,Rounds!$A:$A,0)))</f>
        <v>46301.4862181597</v>
      </c>
      <c r="D715" s="30" t="n">
        <f aca="false">(B715-INDEX(Rounds!$C:$C,MATCH(A715,Rounds!$A:$A,0)))*86400</f>
        <v>24.032999924</v>
      </c>
      <c r="E715" s="30" t="n">
        <f aca="false">(C715-INDEX(Rounds!$C:$C,MATCH(A715,Rounds!$A:$A,0)))*86400</f>
        <v>25.000999728</v>
      </c>
      <c r="F715" s="31" t="n">
        <f aca="false">(C715-B715)*86400</f>
        <v>0.967999803</v>
      </c>
      <c r="G715" s="27" t="s">
        <v>151</v>
      </c>
      <c r="H715" s="27" t="s">
        <v>203</v>
      </c>
      <c r="I715" s="27" t="s">
        <v>259</v>
      </c>
      <c r="J715" s="27" t="s">
        <v>204</v>
      </c>
      <c r="K715" s="27" t="s">
        <v>444</v>
      </c>
      <c r="L715" s="3" t="str">
        <f aca="false">IF(ISNUMBER(SEARCH(" m",I715)),"Range",IF(I715="offline","Offline",IF(I715="","Unknown","No echo / error")))</f>
        <v>Range</v>
      </c>
      <c r="M715" s="3" t="str">
        <f aca="false">IF(ISNUMBER(SEARCH(" m",J715)),"Range",IF(J715="offline","Offline",IF(J715="","Unknown","No echo / error")))</f>
        <v>No echo / error</v>
      </c>
      <c r="N715" s="3" t="str">
        <f aca="false">IF(ISNUMBER(SEARCH(" m",K715)),"Range",IF(K715="offline","Offline",IF(K715="","Unknown","No echo / error")))</f>
        <v>Range</v>
      </c>
      <c r="O715" s="3" t="str">
        <f aca="false">TEXT(B715,"yyyy-mm-dd")</f>
        <v>2026-10-06</v>
      </c>
    </row>
    <row r="716" customFormat="false" ht="15" hidden="false" customHeight="false" outlineLevel="0" collapsed="false">
      <c r="A716" s="27" t="n">
        <v>12</v>
      </c>
      <c r="B716" s="28" t="n">
        <v>46301.4862181597</v>
      </c>
      <c r="C716" s="29" t="n">
        <f aca="false">IF(A717=A716,B717,INDEX(Rounds!$D:$D,MATCH(A716,Rounds!$A:$A,0)))</f>
        <v>46301.4862456482</v>
      </c>
      <c r="D716" s="30" t="n">
        <f aca="false">(B716-INDEX(Rounds!$C:$C,MATCH(A716,Rounds!$A:$A,0)))*86400</f>
        <v>25.000999728</v>
      </c>
      <c r="E716" s="30" t="n">
        <f aca="false">(C716-INDEX(Rounds!$C:$C,MATCH(A716,Rounds!$A:$A,0)))*86400</f>
        <v>27.376000047</v>
      </c>
      <c r="F716" s="31" t="n">
        <f aca="false">(C716-B716)*86400</f>
        <v>2.375000319</v>
      </c>
      <c r="G716" s="27" t="s">
        <v>152</v>
      </c>
      <c r="H716" s="27" t="s">
        <v>208</v>
      </c>
      <c r="I716" s="27" t="s">
        <v>264</v>
      </c>
      <c r="J716" s="27" t="s">
        <v>492</v>
      </c>
      <c r="K716" s="27" t="s">
        <v>212</v>
      </c>
      <c r="L716" s="3" t="str">
        <f aca="false">IF(ISNUMBER(SEARCH(" m",I716)),"Range",IF(I716="offline","Offline",IF(I716="","Unknown","No echo / error")))</f>
        <v>Range</v>
      </c>
      <c r="M716" s="3" t="str">
        <f aca="false">IF(ISNUMBER(SEARCH(" m",J716)),"Range",IF(J716="offline","Offline",IF(J716="","Unknown","No echo / error")))</f>
        <v>Range</v>
      </c>
      <c r="N716" s="3" t="str">
        <f aca="false">IF(ISNUMBER(SEARCH(" m",K716)),"Range",IF(K716="offline","Offline",IF(K716="","Unknown","No echo / error")))</f>
        <v>Range</v>
      </c>
      <c r="O716" s="3" t="str">
        <f aca="false">TEXT(B716,"yyyy-mm-dd")</f>
        <v>2026-10-06</v>
      </c>
    </row>
    <row r="717" customFormat="false" ht="15" hidden="false" customHeight="false" outlineLevel="0" collapsed="false">
      <c r="A717" s="27" t="n">
        <v>12</v>
      </c>
      <c r="B717" s="28" t="n">
        <v>46301.4862456482</v>
      </c>
      <c r="C717" s="29" t="n">
        <f aca="false">IF(A718=A717,B718,INDEX(Rounds!$D:$D,MATCH(A717,Rounds!$A:$A,0)))</f>
        <v>46301.4862562963</v>
      </c>
      <c r="D717" s="30" t="n">
        <f aca="false">(B717-INDEX(Rounds!$C:$C,MATCH(A717,Rounds!$A:$A,0)))*86400</f>
        <v>27.376000047</v>
      </c>
      <c r="E717" s="30" t="n">
        <f aca="false">(C717-INDEX(Rounds!$C:$C,MATCH(A717,Rounds!$A:$A,0)))*86400</f>
        <v>28.296000463</v>
      </c>
      <c r="F717" s="31" t="n">
        <f aca="false">(C717-B717)*86400</f>
        <v>0.920000416</v>
      </c>
      <c r="G717" s="27" t="s">
        <v>151</v>
      </c>
      <c r="H717" s="27" t="s">
        <v>203</v>
      </c>
      <c r="I717" s="27" t="s">
        <v>204</v>
      </c>
      <c r="J717" s="27" t="s">
        <v>435</v>
      </c>
      <c r="K717" s="27" t="s">
        <v>295</v>
      </c>
      <c r="L717" s="3" t="str">
        <f aca="false">IF(ISNUMBER(SEARCH(" m",I717)),"Range",IF(I717="offline","Offline",IF(I717="","Unknown","No echo / error")))</f>
        <v>No echo / error</v>
      </c>
      <c r="M717" s="3" t="str">
        <f aca="false">IF(ISNUMBER(SEARCH(" m",J717)),"Range",IF(J717="offline","Offline",IF(J717="","Unknown","No echo / error")))</f>
        <v>Range</v>
      </c>
      <c r="N717" s="3" t="str">
        <f aca="false">IF(ISNUMBER(SEARCH(" m",K717)),"Range",IF(K717="offline","Offline",IF(K717="","Unknown","No echo / error")))</f>
        <v>Range</v>
      </c>
      <c r="O717" s="3" t="str">
        <f aca="false">TEXT(B717,"yyyy-mm-dd")</f>
        <v>2026-10-06</v>
      </c>
    </row>
    <row r="718" customFormat="false" ht="15" hidden="false" customHeight="false" outlineLevel="0" collapsed="false">
      <c r="A718" s="27" t="n">
        <v>12</v>
      </c>
      <c r="B718" s="28" t="n">
        <v>46301.4862562963</v>
      </c>
      <c r="C718" s="29" t="n">
        <f aca="false">IF(A719=A718,B719,INDEX(Rounds!$D:$D,MATCH(A718,Rounds!$A:$A,0)))</f>
        <v>46301.4862611458</v>
      </c>
      <c r="D718" s="30" t="n">
        <f aca="false">(B718-INDEX(Rounds!$C:$C,MATCH(A718,Rounds!$A:$A,0)))*86400</f>
        <v>28.296000463</v>
      </c>
      <c r="E718" s="30" t="n">
        <f aca="false">(C718-INDEX(Rounds!$C:$C,MATCH(A718,Rounds!$A:$A,0)))*86400</f>
        <v>28.714999649</v>
      </c>
      <c r="F718" s="31" t="n">
        <f aca="false">(C718-B718)*86400</f>
        <v>0.418999185</v>
      </c>
      <c r="G718" s="27" t="s">
        <v>152</v>
      </c>
      <c r="H718" s="27" t="s">
        <v>208</v>
      </c>
      <c r="I718" s="27" t="s">
        <v>345</v>
      </c>
      <c r="J718" s="27" t="s">
        <v>393</v>
      </c>
      <c r="K718" s="27" t="s">
        <v>311</v>
      </c>
      <c r="L718" s="3" t="str">
        <f aca="false">IF(ISNUMBER(SEARCH(" m",I718)),"Range",IF(I718="offline","Offline",IF(I718="","Unknown","No echo / error")))</f>
        <v>Range</v>
      </c>
      <c r="M718" s="3" t="str">
        <f aca="false">IF(ISNUMBER(SEARCH(" m",J718)),"Range",IF(J718="offline","Offline",IF(J718="","Unknown","No echo / error")))</f>
        <v>Range</v>
      </c>
      <c r="N718" s="3" t="str">
        <f aca="false">IF(ISNUMBER(SEARCH(" m",K718)),"Range",IF(K718="offline","Offline",IF(K718="","Unknown","No echo / error")))</f>
        <v>Range</v>
      </c>
      <c r="O718" s="3" t="str">
        <f aca="false">TEXT(B718,"yyyy-mm-dd")</f>
        <v>2026-10-06</v>
      </c>
    </row>
    <row r="719" customFormat="false" ht="15" hidden="false" customHeight="false" outlineLevel="0" collapsed="false">
      <c r="A719" s="27" t="n">
        <v>12</v>
      </c>
      <c r="B719" s="28" t="n">
        <v>46301.4862611458</v>
      </c>
      <c r="C719" s="29" t="n">
        <f aca="false">IF(A720=A719,B720,INDEX(Rounds!$D:$D,MATCH(A719,Rounds!$A:$A,0)))</f>
        <v>46301.4862668056</v>
      </c>
      <c r="D719" s="30" t="n">
        <f aca="false">(B719-INDEX(Rounds!$C:$C,MATCH(A719,Rounds!$A:$A,0)))*86400</f>
        <v>28.714999649</v>
      </c>
      <c r="E719" s="30" t="n">
        <f aca="false">(C719-INDEX(Rounds!$C:$C,MATCH(A719,Rounds!$A:$A,0)))*86400</f>
        <v>29.20400009</v>
      </c>
      <c r="F719" s="31" t="n">
        <f aca="false">(C719-B719)*86400</f>
        <v>0.48900044</v>
      </c>
      <c r="G719" s="27" t="s">
        <v>151</v>
      </c>
      <c r="H719" s="27" t="s">
        <v>203</v>
      </c>
      <c r="I719" s="27" t="s">
        <v>432</v>
      </c>
      <c r="J719" s="27" t="s">
        <v>260</v>
      </c>
      <c r="K719" s="27" t="s">
        <v>204</v>
      </c>
      <c r="L719" s="3" t="str">
        <f aca="false">IF(ISNUMBER(SEARCH(" m",I719)),"Range",IF(I719="offline","Offline",IF(I719="","Unknown","No echo / error")))</f>
        <v>Range</v>
      </c>
      <c r="M719" s="3" t="str">
        <f aca="false">IF(ISNUMBER(SEARCH(" m",J719)),"Range",IF(J719="offline","Offline",IF(J719="","Unknown","No echo / error")))</f>
        <v>Range</v>
      </c>
      <c r="N719" s="3" t="str">
        <f aca="false">IF(ISNUMBER(SEARCH(" m",K719)),"Range",IF(K719="offline","Offline",IF(K719="","Unknown","No echo / error")))</f>
        <v>No echo / error</v>
      </c>
      <c r="O719" s="3" t="str">
        <f aca="false">TEXT(B719,"yyyy-mm-dd")</f>
        <v>2026-10-06</v>
      </c>
    </row>
    <row r="720" customFormat="false" ht="15" hidden="false" customHeight="false" outlineLevel="0" collapsed="false">
      <c r="A720" s="27" t="n">
        <v>12</v>
      </c>
      <c r="B720" s="28" t="n">
        <v>46301.4862668056</v>
      </c>
      <c r="C720" s="29" t="n">
        <f aca="false">IF(A721=A720,B721,INDEX(Rounds!$D:$D,MATCH(A720,Rounds!$A:$A,0)))</f>
        <v>46301.4862761111</v>
      </c>
      <c r="D720" s="30" t="n">
        <f aca="false">(B720-INDEX(Rounds!$C:$C,MATCH(A720,Rounds!$A:$A,0)))*86400</f>
        <v>29.20400009</v>
      </c>
      <c r="E720" s="30" t="n">
        <f aca="false">(C720-INDEX(Rounds!$C:$C,MATCH(A720,Rounds!$A:$A,0)))*86400</f>
        <v>30.007999576</v>
      </c>
      <c r="F720" s="31" t="n">
        <f aca="false">(C720-B720)*86400</f>
        <v>0.803999486</v>
      </c>
      <c r="G720" s="27" t="s">
        <v>152</v>
      </c>
      <c r="H720" s="27" t="s">
        <v>208</v>
      </c>
      <c r="I720" s="27" t="s">
        <v>238</v>
      </c>
      <c r="J720" s="27" t="s">
        <v>477</v>
      </c>
      <c r="K720" s="27" t="s">
        <v>264</v>
      </c>
      <c r="L720" s="3" t="str">
        <f aca="false">IF(ISNUMBER(SEARCH(" m",I720)),"Range",IF(I720="offline","Offline",IF(I720="","Unknown","No echo / error")))</f>
        <v>Range</v>
      </c>
      <c r="M720" s="3" t="str">
        <f aca="false">IF(ISNUMBER(SEARCH(" m",J720)),"Range",IF(J720="offline","Offline",IF(J720="","Unknown","No echo / error")))</f>
        <v>Range</v>
      </c>
      <c r="N720" s="3" t="str">
        <f aca="false">IF(ISNUMBER(SEARCH(" m",K720)),"Range",IF(K720="offline","Offline",IF(K720="","Unknown","No echo / error")))</f>
        <v>Range</v>
      </c>
      <c r="O720" s="3" t="str">
        <f aca="false">TEXT(B720,"yyyy-mm-dd")</f>
        <v>2026-10-06</v>
      </c>
    </row>
    <row r="721" customFormat="false" ht="15" hidden="false" customHeight="false" outlineLevel="0" collapsed="false">
      <c r="A721" s="27" t="n">
        <v>12</v>
      </c>
      <c r="B721" s="28" t="n">
        <v>46301.4862761111</v>
      </c>
      <c r="C721" s="29" t="n">
        <f aca="false">IF(A722=A721,B722,INDEX(Rounds!$D:$D,MATCH(A721,Rounds!$A:$A,0)))</f>
        <v>46301.4862778125</v>
      </c>
      <c r="D721" s="30" t="n">
        <f aca="false">(B721-INDEX(Rounds!$C:$C,MATCH(A721,Rounds!$A:$A,0)))*86400</f>
        <v>30.007999576</v>
      </c>
      <c r="E721" s="30" t="n">
        <f aca="false">(C721-INDEX(Rounds!$C:$C,MATCH(A721,Rounds!$A:$A,0)))*86400</f>
        <v>30.155000137</v>
      </c>
      <c r="F721" s="31" t="n">
        <f aca="false">(C721-B721)*86400</f>
        <v>0.14700056</v>
      </c>
      <c r="G721" s="27" t="s">
        <v>151</v>
      </c>
      <c r="H721" s="27" t="s">
        <v>203</v>
      </c>
      <c r="I721" s="27" t="s">
        <v>280</v>
      </c>
      <c r="J721" s="27" t="s">
        <v>494</v>
      </c>
      <c r="K721" s="27" t="s">
        <v>265</v>
      </c>
      <c r="L721" s="3" t="str">
        <f aca="false">IF(ISNUMBER(SEARCH(" m",I721)),"Range",IF(I721="offline","Offline",IF(I721="","Unknown","No echo / error")))</f>
        <v>Range</v>
      </c>
      <c r="M721" s="3" t="str">
        <f aca="false">IF(ISNUMBER(SEARCH(" m",J721)),"Range",IF(J721="offline","Offline",IF(J721="","Unknown","No echo / error")))</f>
        <v>Range</v>
      </c>
      <c r="N721" s="3" t="str">
        <f aca="false">IF(ISNUMBER(SEARCH(" m",K721)),"Range",IF(K721="offline","Offline",IF(K721="","Unknown","No echo / error")))</f>
        <v>Range</v>
      </c>
      <c r="O721" s="3" t="str">
        <f aca="false">TEXT(B721,"yyyy-mm-dd")</f>
        <v>2026-10-06</v>
      </c>
    </row>
    <row r="722" customFormat="false" ht="15" hidden="false" customHeight="false" outlineLevel="0" collapsed="false">
      <c r="A722" s="27" t="n">
        <v>12</v>
      </c>
      <c r="B722" s="28" t="n">
        <v>46301.4862778125</v>
      </c>
      <c r="C722" s="29" t="n">
        <f aca="false">IF(A723=A722,B723,INDEX(Rounds!$D:$D,MATCH(A722,Rounds!$A:$A,0)))</f>
        <v>46301.4862831944</v>
      </c>
      <c r="D722" s="30" t="n">
        <f aca="false">(B722-INDEX(Rounds!$C:$C,MATCH(A722,Rounds!$A:$A,0)))*86400</f>
        <v>30.155000137</v>
      </c>
      <c r="E722" s="30" t="n">
        <f aca="false">(C722-INDEX(Rounds!$C:$C,MATCH(A722,Rounds!$A:$A,0)))*86400</f>
        <v>30.619999626</v>
      </c>
      <c r="F722" s="31" t="n">
        <f aca="false">(C722-B722)*86400</f>
        <v>0.464999489</v>
      </c>
      <c r="G722" s="27" t="s">
        <v>150</v>
      </c>
      <c r="H722" s="27" t="s">
        <v>206</v>
      </c>
      <c r="I722" s="27" t="s">
        <v>280</v>
      </c>
      <c r="J722" s="27" t="s">
        <v>494</v>
      </c>
      <c r="K722" s="27" t="s">
        <v>232</v>
      </c>
      <c r="L722" s="3" t="str">
        <f aca="false">IF(ISNUMBER(SEARCH(" m",I722)),"Range",IF(I722="offline","Offline",IF(I722="","Unknown","No echo / error")))</f>
        <v>Range</v>
      </c>
      <c r="M722" s="3" t="str">
        <f aca="false">IF(ISNUMBER(SEARCH(" m",J722)),"Range",IF(J722="offline","Offline",IF(J722="","Unknown","No echo / error")))</f>
        <v>Range</v>
      </c>
      <c r="N722" s="3" t="str">
        <f aca="false">IF(ISNUMBER(SEARCH(" m",K722)),"Range",IF(K722="offline","Offline",IF(K722="","Unknown","No echo / error")))</f>
        <v>Range</v>
      </c>
      <c r="O722" s="3" t="str">
        <f aca="false">TEXT(B722,"yyyy-mm-dd")</f>
        <v>2026-10-06</v>
      </c>
    </row>
    <row r="723" customFormat="false" ht="15" hidden="false" customHeight="false" outlineLevel="0" collapsed="false">
      <c r="A723" s="27" t="n">
        <v>12</v>
      </c>
      <c r="B723" s="28" t="n">
        <v>46301.4862831944</v>
      </c>
      <c r="C723" s="29" t="n">
        <f aca="false">IF(A724=A723,B724,INDEX(Rounds!$D:$D,MATCH(A723,Rounds!$A:$A,0)))</f>
        <v>46301.4862833796</v>
      </c>
      <c r="D723" s="30" t="n">
        <f aca="false">(B723-INDEX(Rounds!$C:$C,MATCH(A723,Rounds!$A:$A,0)))*86400</f>
        <v>30.619999626</v>
      </c>
      <c r="E723" s="30" t="n">
        <f aca="false">(C723-INDEX(Rounds!$C:$C,MATCH(A723,Rounds!$A:$A,0)))*86400</f>
        <v>30.635999841</v>
      </c>
      <c r="F723" s="31" t="n">
        <f aca="false">(C723-B723)*86400</f>
        <v>0.016000214</v>
      </c>
      <c r="G723" s="27" t="s">
        <v>152</v>
      </c>
      <c r="H723" s="27" t="s">
        <v>208</v>
      </c>
      <c r="I723" s="27" t="s">
        <v>328</v>
      </c>
      <c r="J723" s="27" t="s">
        <v>365</v>
      </c>
      <c r="K723" s="27" t="s">
        <v>362</v>
      </c>
      <c r="L723" s="3" t="str">
        <f aca="false">IF(ISNUMBER(SEARCH(" m",I723)),"Range",IF(I723="offline","Offline",IF(I723="","Unknown","No echo / error")))</f>
        <v>Range</v>
      </c>
      <c r="M723" s="3" t="str">
        <f aca="false">IF(ISNUMBER(SEARCH(" m",J723)),"Range",IF(J723="offline","Offline",IF(J723="","Unknown","No echo / error")))</f>
        <v>Range</v>
      </c>
      <c r="N723" s="3" t="str">
        <f aca="false">IF(ISNUMBER(SEARCH(" m",K723)),"Range",IF(K723="offline","Offline",IF(K723="","Unknown","No echo / error")))</f>
        <v>Range</v>
      </c>
      <c r="O723" s="3" t="str">
        <f aca="false">TEXT(B723,"yyyy-mm-dd")</f>
        <v>2026-10-06</v>
      </c>
    </row>
    <row r="724" customFormat="false" ht="15" hidden="false" customHeight="false" outlineLevel="0" collapsed="false">
      <c r="A724" s="27" t="n">
        <v>12</v>
      </c>
      <c r="B724" s="28" t="n">
        <v>46301.4862833796</v>
      </c>
      <c r="C724" s="29" t="n">
        <f aca="false">IF(A725=A724,B725,INDEX(Rounds!$D:$D,MATCH(A724,Rounds!$A:$A,0)))</f>
        <v>46301.4862858102</v>
      </c>
      <c r="D724" s="30" t="n">
        <f aca="false">(B724-INDEX(Rounds!$C:$C,MATCH(A724,Rounds!$A:$A,0)))*86400</f>
        <v>30.635999841</v>
      </c>
      <c r="E724" s="30" t="n">
        <f aca="false">(C724-INDEX(Rounds!$C:$C,MATCH(A724,Rounds!$A:$A,0)))*86400</f>
        <v>30.845999205</v>
      </c>
      <c r="F724" s="31" t="n">
        <f aca="false">(C724-B724)*86400</f>
        <v>0.209999363</v>
      </c>
      <c r="G724" s="27" t="s">
        <v>151</v>
      </c>
      <c r="H724" s="27" t="s">
        <v>203</v>
      </c>
      <c r="I724" s="27" t="s">
        <v>201</v>
      </c>
      <c r="J724" s="27" t="s">
        <v>365</v>
      </c>
      <c r="K724" s="27" t="s">
        <v>362</v>
      </c>
      <c r="L724" s="3" t="str">
        <f aca="false">IF(ISNUMBER(SEARCH(" m",I724)),"Range",IF(I724="offline","Offline",IF(I724="","Unknown","No echo / error")))</f>
        <v>Range</v>
      </c>
      <c r="M724" s="3" t="str">
        <f aca="false">IF(ISNUMBER(SEARCH(" m",J724)),"Range",IF(J724="offline","Offline",IF(J724="","Unknown","No echo / error")))</f>
        <v>Range</v>
      </c>
      <c r="N724" s="3" t="str">
        <f aca="false">IF(ISNUMBER(SEARCH(" m",K724)),"Range",IF(K724="offline","Offline",IF(K724="","Unknown","No echo / error")))</f>
        <v>Range</v>
      </c>
      <c r="O724" s="3" t="str">
        <f aca="false">TEXT(B724,"yyyy-mm-dd")</f>
        <v>2026-10-06</v>
      </c>
    </row>
    <row r="725" customFormat="false" ht="15" hidden="false" customHeight="false" outlineLevel="0" collapsed="false">
      <c r="A725" s="27" t="n">
        <v>12</v>
      </c>
      <c r="B725" s="28" t="n">
        <v>46301.4862858102</v>
      </c>
      <c r="C725" s="29" t="n">
        <f aca="false">IF(A726=A725,B726,INDEX(Rounds!$D:$D,MATCH(A725,Rounds!$A:$A,0)))</f>
        <v>46301.486355081</v>
      </c>
      <c r="D725" s="30" t="n">
        <f aca="false">(B725-INDEX(Rounds!$C:$C,MATCH(A725,Rounds!$A:$A,0)))*86400</f>
        <v>30.845999205</v>
      </c>
      <c r="E725" s="30" t="n">
        <f aca="false">(C725-INDEX(Rounds!$C:$C,MATCH(A725,Rounds!$A:$A,0)))*86400</f>
        <v>36.830999935</v>
      </c>
      <c r="F725" s="31" t="n">
        <f aca="false">(C725-B725)*86400</f>
        <v>5.985000729</v>
      </c>
      <c r="G725" s="27" t="s">
        <v>150</v>
      </c>
      <c r="H725" s="27" t="s">
        <v>206</v>
      </c>
      <c r="I725" s="27" t="s">
        <v>201</v>
      </c>
      <c r="J725" s="27" t="s">
        <v>204</v>
      </c>
      <c r="K725" s="27" t="s">
        <v>240</v>
      </c>
      <c r="L725" s="3" t="str">
        <f aca="false">IF(ISNUMBER(SEARCH(" m",I725)),"Range",IF(I725="offline","Offline",IF(I725="","Unknown","No echo / error")))</f>
        <v>Range</v>
      </c>
      <c r="M725" s="3" t="str">
        <f aca="false">IF(ISNUMBER(SEARCH(" m",J725)),"Range",IF(J725="offline","Offline",IF(J725="","Unknown","No echo / error")))</f>
        <v>No echo / error</v>
      </c>
      <c r="N725" s="3" t="str">
        <f aca="false">IF(ISNUMBER(SEARCH(" m",K725)),"Range",IF(K725="offline","Offline",IF(K725="","Unknown","No echo / error")))</f>
        <v>Range</v>
      </c>
      <c r="O725" s="3" t="str">
        <f aca="false">TEXT(B725,"yyyy-mm-dd")</f>
        <v>2026-10-06</v>
      </c>
    </row>
    <row r="726" customFormat="false" ht="15" hidden="false" customHeight="false" outlineLevel="0" collapsed="false">
      <c r="A726" s="27" t="n">
        <v>12</v>
      </c>
      <c r="B726" s="28" t="n">
        <v>46301.486355081</v>
      </c>
      <c r="C726" s="29" t="n">
        <f aca="false">IF(A727=A726,B727,INDEX(Rounds!$D:$D,MATCH(A726,Rounds!$A:$A,0)))</f>
        <v>46301.4863560185</v>
      </c>
      <c r="D726" s="30" t="n">
        <f aca="false">(B726-INDEX(Rounds!$C:$C,MATCH(A726,Rounds!$A:$A,0)))*86400</f>
        <v>36.830999935</v>
      </c>
      <c r="E726" s="30" t="n">
        <f aca="false">(C726-INDEX(Rounds!$C:$C,MATCH(A726,Rounds!$A:$A,0)))*86400</f>
        <v>36.911999923</v>
      </c>
      <c r="F726" s="31" t="n">
        <f aca="false">(C726-B726)*86400</f>
        <v>0.080999988</v>
      </c>
      <c r="G726" s="27" t="s">
        <v>152</v>
      </c>
      <c r="H726" s="27" t="s">
        <v>208</v>
      </c>
      <c r="I726" s="27" t="s">
        <v>204</v>
      </c>
      <c r="J726" s="27" t="s">
        <v>258</v>
      </c>
      <c r="K726" s="27" t="s">
        <v>402</v>
      </c>
      <c r="L726" s="3" t="str">
        <f aca="false">IF(ISNUMBER(SEARCH(" m",I726)),"Range",IF(I726="offline","Offline",IF(I726="","Unknown","No echo / error")))</f>
        <v>No echo / error</v>
      </c>
      <c r="M726" s="3" t="str">
        <f aca="false">IF(ISNUMBER(SEARCH(" m",J726)),"Range",IF(J726="offline","Offline",IF(J726="","Unknown","No echo / error")))</f>
        <v>Range</v>
      </c>
      <c r="N726" s="3" t="str">
        <f aca="false">IF(ISNUMBER(SEARCH(" m",K726)),"Range",IF(K726="offline","Offline",IF(K726="","Unknown","No echo / error")))</f>
        <v>Range</v>
      </c>
      <c r="O726" s="3" t="str">
        <f aca="false">TEXT(B726,"yyyy-mm-dd")</f>
        <v>2026-10-06</v>
      </c>
    </row>
    <row r="727" customFormat="false" ht="15" hidden="false" customHeight="false" outlineLevel="0" collapsed="false">
      <c r="A727" s="27" t="n">
        <v>12</v>
      </c>
      <c r="B727" s="28" t="n">
        <v>46301.4863560185</v>
      </c>
      <c r="C727" s="29" t="n">
        <f aca="false">IF(A728=A727,B728,INDEX(Rounds!$D:$D,MATCH(A727,Rounds!$A:$A,0)))</f>
        <v>46301.4863666435</v>
      </c>
      <c r="D727" s="30" t="n">
        <f aca="false">(B727-INDEX(Rounds!$C:$C,MATCH(A727,Rounds!$A:$A,0)))*86400</f>
        <v>36.911999923</v>
      </c>
      <c r="E727" s="30" t="n">
        <f aca="false">(C727-INDEX(Rounds!$C:$C,MATCH(A727,Rounds!$A:$A,0)))*86400</f>
        <v>37.829999998</v>
      </c>
      <c r="F727" s="31" t="n">
        <f aca="false">(C727-B727)*86400</f>
        <v>0.918000075</v>
      </c>
      <c r="G727" s="27" t="s">
        <v>151</v>
      </c>
      <c r="H727" s="27" t="s">
        <v>203</v>
      </c>
      <c r="I727" s="27" t="s">
        <v>204</v>
      </c>
      <c r="J727" s="27" t="s">
        <v>441</v>
      </c>
      <c r="K727" s="27" t="s">
        <v>402</v>
      </c>
      <c r="L727" s="3" t="str">
        <f aca="false">IF(ISNUMBER(SEARCH(" m",I727)),"Range",IF(I727="offline","Offline",IF(I727="","Unknown","No echo / error")))</f>
        <v>No echo / error</v>
      </c>
      <c r="M727" s="3" t="str">
        <f aca="false">IF(ISNUMBER(SEARCH(" m",J727)),"Range",IF(J727="offline","Offline",IF(J727="","Unknown","No echo / error")))</f>
        <v>Range</v>
      </c>
      <c r="N727" s="3" t="str">
        <f aca="false">IF(ISNUMBER(SEARCH(" m",K727)),"Range",IF(K727="offline","Offline",IF(K727="","Unknown","No echo / error")))</f>
        <v>Range</v>
      </c>
      <c r="O727" s="3" t="str">
        <f aca="false">TEXT(B727,"yyyy-mm-dd")</f>
        <v>2026-10-06</v>
      </c>
    </row>
    <row r="728" customFormat="false" ht="15" hidden="false" customHeight="false" outlineLevel="0" collapsed="false">
      <c r="A728" s="27" t="n">
        <v>12</v>
      </c>
      <c r="B728" s="28" t="n">
        <v>46301.4863666435</v>
      </c>
      <c r="C728" s="29" t="n">
        <f aca="false">IF(A729=A728,B729,INDEX(Rounds!$D:$D,MATCH(A728,Rounds!$A:$A,0)))</f>
        <v>46301.4863722454</v>
      </c>
      <c r="D728" s="30" t="n">
        <f aca="false">(B728-INDEX(Rounds!$C:$C,MATCH(A728,Rounds!$A:$A,0)))*86400</f>
        <v>37.829999998</v>
      </c>
      <c r="E728" s="30" t="n">
        <f aca="false">(C728-INDEX(Rounds!$C:$C,MATCH(A728,Rounds!$A:$A,0)))*86400</f>
        <v>38.313999585</v>
      </c>
      <c r="F728" s="31" t="n">
        <f aca="false">(C728-B728)*86400</f>
        <v>0.483999587</v>
      </c>
      <c r="G728" s="27" t="s">
        <v>150</v>
      </c>
      <c r="H728" s="27" t="s">
        <v>206</v>
      </c>
      <c r="I728" s="27" t="s">
        <v>453</v>
      </c>
      <c r="J728" s="27" t="s">
        <v>271</v>
      </c>
      <c r="K728" s="27" t="s">
        <v>221</v>
      </c>
      <c r="L728" s="3" t="str">
        <f aca="false">IF(ISNUMBER(SEARCH(" m",I728)),"Range",IF(I728="offline","Offline",IF(I728="","Unknown","No echo / error")))</f>
        <v>Range</v>
      </c>
      <c r="M728" s="3" t="str">
        <f aca="false">IF(ISNUMBER(SEARCH(" m",J728)),"Range",IF(J728="offline","Offline",IF(J728="","Unknown","No echo / error")))</f>
        <v>Range</v>
      </c>
      <c r="N728" s="3" t="str">
        <f aca="false">IF(ISNUMBER(SEARCH(" m",K728)),"Range",IF(K728="offline","Offline",IF(K728="","Unknown","No echo / error")))</f>
        <v>Range</v>
      </c>
      <c r="O728" s="3" t="str">
        <f aca="false">TEXT(B728,"yyyy-mm-dd")</f>
        <v>2026-10-06</v>
      </c>
    </row>
    <row r="729" customFormat="false" ht="15" hidden="false" customHeight="false" outlineLevel="0" collapsed="false">
      <c r="A729" s="27" t="n">
        <v>12</v>
      </c>
      <c r="B729" s="28" t="n">
        <v>46301.4863722454</v>
      </c>
      <c r="C729" s="29" t="n">
        <f aca="false">IF(A730=A729,B730,INDEX(Rounds!$D:$D,MATCH(A729,Rounds!$A:$A,0)))</f>
        <v>46301.4863767361</v>
      </c>
      <c r="D729" s="30" t="n">
        <f aca="false">(B729-INDEX(Rounds!$C:$C,MATCH(A729,Rounds!$A:$A,0)))*86400</f>
        <v>38.313999585</v>
      </c>
      <c r="E729" s="30" t="n">
        <f aca="false">(C729-INDEX(Rounds!$C:$C,MATCH(A729,Rounds!$A:$A,0)))*86400</f>
        <v>38.701999769</v>
      </c>
      <c r="F729" s="31" t="n">
        <f aca="false">(C729-B729)*86400</f>
        <v>0.388000183</v>
      </c>
      <c r="G729" s="27" t="s">
        <v>152</v>
      </c>
      <c r="H729" s="27" t="s">
        <v>208</v>
      </c>
      <c r="I729" s="27" t="s">
        <v>386</v>
      </c>
      <c r="J729" s="27" t="s">
        <v>204</v>
      </c>
      <c r="K729" s="27" t="s">
        <v>221</v>
      </c>
      <c r="L729" s="3" t="str">
        <f aca="false">IF(ISNUMBER(SEARCH(" m",I729)),"Range",IF(I729="offline","Offline",IF(I729="","Unknown","No echo / error")))</f>
        <v>Range</v>
      </c>
      <c r="M729" s="3" t="str">
        <f aca="false">IF(ISNUMBER(SEARCH(" m",J729)),"Range",IF(J729="offline","Offline",IF(J729="","Unknown","No echo / error")))</f>
        <v>No echo / error</v>
      </c>
      <c r="N729" s="3" t="str">
        <f aca="false">IF(ISNUMBER(SEARCH(" m",K729)),"Range",IF(K729="offline","Offline",IF(K729="","Unknown","No echo / error")))</f>
        <v>Range</v>
      </c>
      <c r="O729" s="3" t="str">
        <f aca="false">TEXT(B729,"yyyy-mm-dd")</f>
        <v>2026-10-06</v>
      </c>
    </row>
    <row r="730" customFormat="false" ht="15" hidden="false" customHeight="false" outlineLevel="0" collapsed="false">
      <c r="A730" s="27" t="n">
        <v>12</v>
      </c>
      <c r="B730" s="28" t="n">
        <v>46301.4863767361</v>
      </c>
      <c r="C730" s="29" t="n">
        <f aca="false">IF(A731=A730,B731,INDEX(Rounds!$D:$D,MATCH(A730,Rounds!$A:$A,0)))</f>
        <v>46301.4863866088</v>
      </c>
      <c r="D730" s="30" t="n">
        <f aca="false">(B730-INDEX(Rounds!$C:$C,MATCH(A730,Rounds!$A:$A,0)))*86400</f>
        <v>38.701999769</v>
      </c>
      <c r="E730" s="30" t="n">
        <f aca="false">(C730-INDEX(Rounds!$C:$C,MATCH(A730,Rounds!$A:$A,0)))*86400</f>
        <v>39.555000071</v>
      </c>
      <c r="F730" s="31" t="n">
        <f aca="false">(C730-B730)*86400</f>
        <v>0.853000301</v>
      </c>
      <c r="G730" s="27" t="s">
        <v>151</v>
      </c>
      <c r="H730" s="27" t="s">
        <v>203</v>
      </c>
      <c r="I730" s="27" t="s">
        <v>204</v>
      </c>
      <c r="J730" s="27" t="s">
        <v>407</v>
      </c>
      <c r="K730" s="27" t="s">
        <v>204</v>
      </c>
      <c r="L730" s="3" t="str">
        <f aca="false">IF(ISNUMBER(SEARCH(" m",I730)),"Range",IF(I730="offline","Offline",IF(I730="","Unknown","No echo / error")))</f>
        <v>No echo / error</v>
      </c>
      <c r="M730" s="3" t="str">
        <f aca="false">IF(ISNUMBER(SEARCH(" m",J730)),"Range",IF(J730="offline","Offline",IF(J730="","Unknown","No echo / error")))</f>
        <v>Range</v>
      </c>
      <c r="N730" s="3" t="str">
        <f aca="false">IF(ISNUMBER(SEARCH(" m",K730)),"Range",IF(K730="offline","Offline",IF(K730="","Unknown","No echo / error")))</f>
        <v>No echo / error</v>
      </c>
      <c r="O730" s="3" t="str">
        <f aca="false">TEXT(B730,"yyyy-mm-dd")</f>
        <v>2026-10-06</v>
      </c>
    </row>
    <row r="731" customFormat="false" ht="15" hidden="false" customHeight="false" outlineLevel="0" collapsed="false">
      <c r="A731" s="27" t="n">
        <v>12</v>
      </c>
      <c r="B731" s="28" t="n">
        <v>46301.4863866088</v>
      </c>
      <c r="C731" s="29" t="n">
        <f aca="false">IF(A732=A731,B732,INDEX(Rounds!$D:$D,MATCH(A731,Rounds!$A:$A,0)))</f>
        <v>46301.4863888542</v>
      </c>
      <c r="D731" s="30" t="n">
        <f aca="false">(B731-INDEX(Rounds!$C:$C,MATCH(A731,Rounds!$A:$A,0)))*86400</f>
        <v>39.555000071</v>
      </c>
      <c r="E731" s="30" t="n">
        <f aca="false">(C731-INDEX(Rounds!$C:$C,MATCH(A731,Rounds!$A:$A,0)))*86400</f>
        <v>39.749000477</v>
      </c>
      <c r="F731" s="31" t="n">
        <f aca="false">(C731-B731)*86400</f>
        <v>0.194000406</v>
      </c>
      <c r="G731" s="27" t="s">
        <v>152</v>
      </c>
      <c r="H731" s="27" t="s">
        <v>208</v>
      </c>
      <c r="I731" s="27" t="s">
        <v>432</v>
      </c>
      <c r="J731" s="27" t="s">
        <v>204</v>
      </c>
      <c r="K731" s="27" t="s">
        <v>204</v>
      </c>
      <c r="L731" s="3" t="str">
        <f aca="false">IF(ISNUMBER(SEARCH(" m",I731)),"Range",IF(I731="offline","Offline",IF(I731="","Unknown","No echo / error")))</f>
        <v>Range</v>
      </c>
      <c r="M731" s="3" t="str">
        <f aca="false">IF(ISNUMBER(SEARCH(" m",J731)),"Range",IF(J731="offline","Offline",IF(J731="","Unknown","No echo / error")))</f>
        <v>No echo / error</v>
      </c>
      <c r="N731" s="3" t="str">
        <f aca="false">IF(ISNUMBER(SEARCH(" m",K731)),"Range",IF(K731="offline","Offline",IF(K731="","Unknown","No echo / error")))</f>
        <v>No echo / error</v>
      </c>
      <c r="O731" s="3" t="str">
        <f aca="false">TEXT(B731,"yyyy-mm-dd")</f>
        <v>2026-10-06</v>
      </c>
    </row>
    <row r="732" customFormat="false" ht="15" hidden="false" customHeight="false" outlineLevel="0" collapsed="false">
      <c r="A732" s="27" t="n">
        <v>12</v>
      </c>
      <c r="B732" s="28" t="n">
        <v>46301.4863888542</v>
      </c>
      <c r="C732" s="29" t="n">
        <f aca="false">IF(A733=A732,B733,INDEX(Rounds!$D:$D,MATCH(A732,Rounds!$A:$A,0)))</f>
        <v>46301.4863916435</v>
      </c>
      <c r="D732" s="30" t="n">
        <f aca="false">(B732-INDEX(Rounds!$C:$C,MATCH(A732,Rounds!$A:$A,0)))*86400</f>
        <v>39.749000477</v>
      </c>
      <c r="E732" s="30" t="n">
        <f aca="false">(C732-INDEX(Rounds!$C:$C,MATCH(A732,Rounds!$A:$A,0)))*86400</f>
        <v>39.9900001</v>
      </c>
      <c r="F732" s="31" t="n">
        <f aca="false">(C732-B732)*86400</f>
        <v>0.240999623</v>
      </c>
      <c r="G732" s="27" t="s">
        <v>151</v>
      </c>
      <c r="H732" s="27" t="s">
        <v>203</v>
      </c>
      <c r="I732" s="27" t="s">
        <v>432</v>
      </c>
      <c r="J732" s="27" t="s">
        <v>429</v>
      </c>
      <c r="K732" s="27" t="s">
        <v>204</v>
      </c>
      <c r="L732" s="3" t="str">
        <f aca="false">IF(ISNUMBER(SEARCH(" m",I732)),"Range",IF(I732="offline","Offline",IF(I732="","Unknown","No echo / error")))</f>
        <v>Range</v>
      </c>
      <c r="M732" s="3" t="str">
        <f aca="false">IF(ISNUMBER(SEARCH(" m",J732)),"Range",IF(J732="offline","Offline",IF(J732="","Unknown","No echo / error")))</f>
        <v>Range</v>
      </c>
      <c r="N732" s="3" t="str">
        <f aca="false">IF(ISNUMBER(SEARCH(" m",K732)),"Range",IF(K732="offline","Offline",IF(K732="","Unknown","No echo / error")))</f>
        <v>No echo / error</v>
      </c>
      <c r="O732" s="3" t="str">
        <f aca="false">TEXT(B732,"yyyy-mm-dd")</f>
        <v>2026-10-06</v>
      </c>
    </row>
    <row r="733" customFormat="false" ht="15" hidden="false" customHeight="false" outlineLevel="0" collapsed="false">
      <c r="A733" s="27" t="n">
        <v>12</v>
      </c>
      <c r="B733" s="28" t="n">
        <v>46301.4863916435</v>
      </c>
      <c r="C733" s="29" t="n">
        <f aca="false">IF(A734=A733,B734,INDEX(Rounds!$D:$D,MATCH(A733,Rounds!$A:$A,0)))</f>
        <v>46301.4864359259</v>
      </c>
      <c r="D733" s="30" t="n">
        <f aca="false">(B733-INDEX(Rounds!$C:$C,MATCH(A733,Rounds!$A:$A,0)))*86400</f>
        <v>39.9900001</v>
      </c>
      <c r="E733" s="30" t="n">
        <f aca="false">(C733-INDEX(Rounds!$C:$C,MATCH(A733,Rounds!$A:$A,0)))*86400</f>
        <v>43.815999641</v>
      </c>
      <c r="F733" s="31" t="n">
        <f aca="false">(C733-B733)*86400</f>
        <v>3.82599954</v>
      </c>
      <c r="G733" s="27" t="s">
        <v>153</v>
      </c>
      <c r="H733" s="27" t="s">
        <v>324</v>
      </c>
      <c r="I733" s="27" t="s">
        <v>495</v>
      </c>
      <c r="J733" s="27" t="s">
        <v>429</v>
      </c>
      <c r="K733" s="27" t="s">
        <v>202</v>
      </c>
      <c r="L733" s="3" t="str">
        <f aca="false">IF(ISNUMBER(SEARCH(" m",I733)),"Range",IF(I733="offline","Offline",IF(I733="","Unknown","No echo / error")))</f>
        <v>Range</v>
      </c>
      <c r="M733" s="3" t="str">
        <f aca="false">IF(ISNUMBER(SEARCH(" m",J733)),"Range",IF(J733="offline","Offline",IF(J733="","Unknown","No echo / error")))</f>
        <v>Range</v>
      </c>
      <c r="N733" s="3" t="str">
        <f aca="false">IF(ISNUMBER(SEARCH(" m",K733)),"Range",IF(K733="offline","Offline",IF(K733="","Unknown","No echo / error")))</f>
        <v>Range</v>
      </c>
      <c r="O733" s="3" t="str">
        <f aca="false">TEXT(B733,"yyyy-mm-dd")</f>
        <v>2026-10-06</v>
      </c>
    </row>
    <row r="734" customFormat="false" ht="15" hidden="false" customHeight="false" outlineLevel="0" collapsed="false">
      <c r="A734" s="27" t="n">
        <v>12</v>
      </c>
      <c r="B734" s="28" t="n">
        <v>46301.4864359259</v>
      </c>
      <c r="C734" s="29" t="n">
        <f aca="false">IF(A735=A734,B735,INDEX(Rounds!$D:$D,MATCH(A734,Rounds!$A:$A,0)))</f>
        <v>46301.4864438889</v>
      </c>
      <c r="D734" s="30" t="n">
        <f aca="false">(B734-INDEX(Rounds!$C:$C,MATCH(A734,Rounds!$A:$A,0)))*86400</f>
        <v>43.815999641</v>
      </c>
      <c r="E734" s="30" t="n">
        <f aca="false">(C734-INDEX(Rounds!$C:$C,MATCH(A734,Rounds!$A:$A,0)))*86400</f>
        <v>44.504000083</v>
      </c>
      <c r="F734" s="31" t="n">
        <f aca="false">(C734-B734)*86400</f>
        <v>0.688000442</v>
      </c>
      <c r="G734" s="27" t="s">
        <v>152</v>
      </c>
      <c r="H734" s="27" t="s">
        <v>208</v>
      </c>
      <c r="I734" s="27" t="s">
        <v>426</v>
      </c>
      <c r="J734" s="27" t="s">
        <v>204</v>
      </c>
      <c r="K734" s="27" t="s">
        <v>204</v>
      </c>
      <c r="L734" s="3" t="str">
        <f aca="false">IF(ISNUMBER(SEARCH(" m",I734)),"Range",IF(I734="offline","Offline",IF(I734="","Unknown","No echo / error")))</f>
        <v>Range</v>
      </c>
      <c r="M734" s="3" t="str">
        <f aca="false">IF(ISNUMBER(SEARCH(" m",J734)),"Range",IF(J734="offline","Offline",IF(J734="","Unknown","No echo / error")))</f>
        <v>No echo / error</v>
      </c>
      <c r="N734" s="3" t="str">
        <f aca="false">IF(ISNUMBER(SEARCH(" m",K734)),"Range",IF(K734="offline","Offline",IF(K734="","Unknown","No echo / error")))</f>
        <v>No echo / error</v>
      </c>
      <c r="O734" s="3" t="str">
        <f aca="false">TEXT(B734,"yyyy-mm-dd")</f>
        <v>2026-10-06</v>
      </c>
    </row>
    <row r="735" customFormat="false" ht="15" hidden="false" customHeight="false" outlineLevel="0" collapsed="false">
      <c r="A735" s="27" t="n">
        <v>12</v>
      </c>
      <c r="B735" s="28" t="n">
        <v>46301.4864438889</v>
      </c>
      <c r="C735" s="29" t="n">
        <f aca="false">IF(A736=A735,B736,INDEX(Rounds!$D:$D,MATCH(A735,Rounds!$A:$A,0)))</f>
        <v>46301.4864481482</v>
      </c>
      <c r="D735" s="30" t="n">
        <f aca="false">(B735-INDEX(Rounds!$C:$C,MATCH(A735,Rounds!$A:$A,0)))*86400</f>
        <v>44.504000083</v>
      </c>
      <c r="E735" s="30" t="n">
        <f aca="false">(C735-INDEX(Rounds!$C:$C,MATCH(A735,Rounds!$A:$A,0)))*86400</f>
        <v>44.871999998</v>
      </c>
      <c r="F735" s="31" t="n">
        <f aca="false">(C735-B735)*86400</f>
        <v>0.367999915</v>
      </c>
      <c r="G735" s="27" t="s">
        <v>151</v>
      </c>
      <c r="H735" s="27" t="s">
        <v>203</v>
      </c>
      <c r="I735" s="27" t="s">
        <v>201</v>
      </c>
      <c r="J735" s="27" t="s">
        <v>204</v>
      </c>
      <c r="K735" s="27" t="s">
        <v>204</v>
      </c>
      <c r="L735" s="3" t="str">
        <f aca="false">IF(ISNUMBER(SEARCH(" m",I735)),"Range",IF(I735="offline","Offline",IF(I735="","Unknown","No echo / error")))</f>
        <v>Range</v>
      </c>
      <c r="M735" s="3" t="str">
        <f aca="false">IF(ISNUMBER(SEARCH(" m",J735)),"Range",IF(J735="offline","Offline",IF(J735="","Unknown","No echo / error")))</f>
        <v>No echo / error</v>
      </c>
      <c r="N735" s="3" t="str">
        <f aca="false">IF(ISNUMBER(SEARCH(" m",K735)),"Range",IF(K735="offline","Offline",IF(K735="","Unknown","No echo / error")))</f>
        <v>No echo / error</v>
      </c>
      <c r="O735" s="3" t="str">
        <f aca="false">TEXT(B735,"yyyy-mm-dd")</f>
        <v>2026-10-06</v>
      </c>
    </row>
    <row r="736" customFormat="false" ht="15" hidden="false" customHeight="false" outlineLevel="0" collapsed="false">
      <c r="A736" s="27" t="n">
        <v>12</v>
      </c>
      <c r="B736" s="28" t="n">
        <v>46301.4864481482</v>
      </c>
      <c r="C736" s="29" t="n">
        <f aca="false">IF(A737=A736,B737,INDEX(Rounds!$D:$D,MATCH(A736,Rounds!$A:$A,0)))</f>
        <v>46301.4864481482</v>
      </c>
      <c r="D736" s="30" t="n">
        <f aca="false">(B736-INDEX(Rounds!$C:$C,MATCH(A736,Rounds!$A:$A,0)))*86400</f>
        <v>44.871999998</v>
      </c>
      <c r="E736" s="30" t="n">
        <f aca="false">(C736-INDEX(Rounds!$C:$C,MATCH(A736,Rounds!$A:$A,0)))*86400</f>
        <v>44.871999998</v>
      </c>
      <c r="F736" s="31" t="n">
        <f aca="false">(C736-B736)*86400</f>
        <v>0</v>
      </c>
      <c r="G736" s="27" t="s">
        <v>154</v>
      </c>
      <c r="H736" s="27" t="s">
        <v>203</v>
      </c>
      <c r="I736" s="27" t="s">
        <v>201</v>
      </c>
      <c r="J736" s="27" t="s">
        <v>204</v>
      </c>
      <c r="K736" s="27" t="s">
        <v>204</v>
      </c>
      <c r="L736" s="3" t="str">
        <f aca="false">IF(ISNUMBER(SEARCH(" m",I736)),"Range",IF(I736="offline","Offline",IF(I736="","Unknown","No echo / error")))</f>
        <v>Range</v>
      </c>
      <c r="M736" s="3" t="str">
        <f aca="false">IF(ISNUMBER(SEARCH(" m",J736)),"Range",IF(J736="offline","Offline",IF(J736="","Unknown","No echo / error")))</f>
        <v>No echo / error</v>
      </c>
      <c r="N736" s="3" t="str">
        <f aca="false">IF(ISNUMBER(SEARCH(" m",K736)),"Range",IF(K736="offline","Offline",IF(K736="","Unknown","No echo / error")))</f>
        <v>No echo / error</v>
      </c>
      <c r="O736" s="3" t="str">
        <f aca="false">TEXT(B736,"yyyy-mm-dd")</f>
        <v>2026-10-06</v>
      </c>
    </row>
    <row r="737" customFormat="false" ht="15" hidden="false" customHeight="false" outlineLevel="0" collapsed="false">
      <c r="A737" s="27" t="n">
        <v>12</v>
      </c>
      <c r="B737" s="28" t="n">
        <v>46301.4864481482</v>
      </c>
      <c r="C737" s="29" t="n">
        <f aca="false">IF(A738=A737,B738,INDEX(Rounds!$D:$D,MATCH(A737,Rounds!$A:$A,0)))</f>
        <v>46301.4865820139</v>
      </c>
      <c r="D737" s="30" t="n">
        <f aca="false">(B737-INDEX(Rounds!$C:$C,MATCH(A737,Rounds!$A:$A,0)))*86400</f>
        <v>44.871999998</v>
      </c>
      <c r="E737" s="30" t="n">
        <f aca="false">(C737-INDEX(Rounds!$C:$C,MATCH(A737,Rounds!$A:$A,0)))*86400</f>
        <v>56.437999801</v>
      </c>
      <c r="F737" s="31" t="n">
        <f aca="false">(C737-B737)*86400</f>
        <v>11.565999803</v>
      </c>
      <c r="G737" s="27" t="s">
        <v>154</v>
      </c>
      <c r="H737" s="27" t="s">
        <v>356</v>
      </c>
      <c r="I737" s="27" t="s">
        <v>287</v>
      </c>
      <c r="J737" s="27" t="s">
        <v>355</v>
      </c>
      <c r="K737" s="27" t="s">
        <v>204</v>
      </c>
      <c r="L737" s="3" t="str">
        <f aca="false">IF(ISNUMBER(SEARCH(" m",I737)),"Range",IF(I737="offline","Offline",IF(I737="","Unknown","No echo / error")))</f>
        <v>Range</v>
      </c>
      <c r="M737" s="3" t="str">
        <f aca="false">IF(ISNUMBER(SEARCH(" m",J737)),"Range",IF(J737="offline","Offline",IF(J737="","Unknown","No echo / error")))</f>
        <v>Range</v>
      </c>
      <c r="N737" s="3" t="str">
        <f aca="false">IF(ISNUMBER(SEARCH(" m",K737)),"Range",IF(K737="offline","Offline",IF(K737="","Unknown","No echo / error")))</f>
        <v>No echo / error</v>
      </c>
      <c r="O737" s="3" t="str">
        <f aca="false">TEXT(B737,"yyyy-mm-dd")</f>
        <v>2026-10-06</v>
      </c>
    </row>
    <row r="738" customFormat="false" ht="15" hidden="false" customHeight="false" outlineLevel="0" collapsed="false">
      <c r="A738" s="27" t="n">
        <v>12</v>
      </c>
      <c r="B738" s="28" t="n">
        <v>46301.4865820139</v>
      </c>
      <c r="C738" s="29" t="n">
        <f aca="false">IF(A739=A738,B739,INDEX(Rounds!$D:$D,MATCH(A738,Rounds!$A:$A,0)))</f>
        <v>46301.4865820139</v>
      </c>
      <c r="D738" s="30" t="n">
        <f aca="false">(B738-INDEX(Rounds!$C:$C,MATCH(A738,Rounds!$A:$A,0)))*86400</f>
        <v>56.437999801</v>
      </c>
      <c r="E738" s="30" t="n">
        <f aca="false">(C738-INDEX(Rounds!$C:$C,MATCH(A738,Rounds!$A:$A,0)))*86400</f>
        <v>56.437999801</v>
      </c>
      <c r="F738" s="31" t="n">
        <f aca="false">(C738-B738)*86400</f>
        <v>0</v>
      </c>
      <c r="G738" s="27" t="s">
        <v>154</v>
      </c>
      <c r="H738" s="27" t="s">
        <v>356</v>
      </c>
      <c r="I738" s="27" t="s">
        <v>287</v>
      </c>
      <c r="J738" s="27" t="s">
        <v>355</v>
      </c>
      <c r="K738" s="27" t="s">
        <v>204</v>
      </c>
      <c r="L738" s="3" t="str">
        <f aca="false">IF(ISNUMBER(SEARCH(" m",I738)),"Range",IF(I738="offline","Offline",IF(I738="","Unknown","No echo / error")))</f>
        <v>Range</v>
      </c>
      <c r="M738" s="3" t="str">
        <f aca="false">IF(ISNUMBER(SEARCH(" m",J738)),"Range",IF(J738="offline","Offline",IF(J738="","Unknown","No echo / error")))</f>
        <v>Range</v>
      </c>
      <c r="N738" s="3" t="str">
        <f aca="false">IF(ISNUMBER(SEARCH(" m",K738)),"Range",IF(K738="offline","Offline",IF(K738="","Unknown","No echo / error")))</f>
        <v>No echo / error</v>
      </c>
      <c r="O738" s="3" t="str">
        <f aca="false">TEXT(B738,"yyyy-mm-dd")</f>
        <v>2026-10-06</v>
      </c>
    </row>
    <row r="739" customFormat="false" ht="15" hidden="false" customHeight="false" outlineLevel="0" collapsed="false">
      <c r="A739" s="27" t="n">
        <v>12</v>
      </c>
      <c r="B739" s="28" t="n">
        <v>46301.4865820139</v>
      </c>
      <c r="C739" s="29" t="n">
        <f aca="false">IF(A740=A739,B740,INDEX(Rounds!$D:$D,MATCH(A739,Rounds!$A:$A,0)))</f>
        <v>46301.4865933912</v>
      </c>
      <c r="D739" s="30" t="n">
        <f aca="false">(B739-INDEX(Rounds!$C:$C,MATCH(A739,Rounds!$A:$A,0)))*86400</f>
        <v>56.437999801</v>
      </c>
      <c r="E739" s="30" t="n">
        <f aca="false">(C739-INDEX(Rounds!$C:$C,MATCH(A739,Rounds!$A:$A,0)))*86400</f>
        <v>57.420999649</v>
      </c>
      <c r="F739" s="31" t="n">
        <f aca="false">(C739-B739)*86400</f>
        <v>0.982999848</v>
      </c>
      <c r="G739" s="27" t="s">
        <v>152</v>
      </c>
      <c r="H739" s="27" t="s">
        <v>208</v>
      </c>
      <c r="I739" s="27" t="s">
        <v>287</v>
      </c>
      <c r="J739" s="27" t="s">
        <v>355</v>
      </c>
      <c r="K739" s="27" t="s">
        <v>204</v>
      </c>
      <c r="L739" s="3" t="str">
        <f aca="false">IF(ISNUMBER(SEARCH(" m",I739)),"Range",IF(I739="offline","Offline",IF(I739="","Unknown","No echo / error")))</f>
        <v>Range</v>
      </c>
      <c r="M739" s="3" t="str">
        <f aca="false">IF(ISNUMBER(SEARCH(" m",J739)),"Range",IF(J739="offline","Offline",IF(J739="","Unknown","No echo / error")))</f>
        <v>Range</v>
      </c>
      <c r="N739" s="3" t="str">
        <f aca="false">IF(ISNUMBER(SEARCH(" m",K739)),"Range",IF(K739="offline","Offline",IF(K739="","Unknown","No echo / error")))</f>
        <v>No echo / error</v>
      </c>
      <c r="O739" s="3" t="str">
        <f aca="false">TEXT(B739,"yyyy-mm-dd")</f>
        <v>2026-10-06</v>
      </c>
    </row>
    <row r="740" customFormat="false" ht="15" hidden="false" customHeight="false" outlineLevel="0" collapsed="false">
      <c r="A740" s="27" t="n">
        <v>12</v>
      </c>
      <c r="B740" s="28" t="n">
        <v>46301.4865933912</v>
      </c>
      <c r="C740" s="29" t="n">
        <f aca="false">IF(A741=A740,B741,INDEX(Rounds!$D:$D,MATCH(A740,Rounds!$A:$A,0)))</f>
        <v>46301.486596169</v>
      </c>
      <c r="D740" s="30" t="n">
        <f aca="false">(B740-INDEX(Rounds!$C:$C,MATCH(A740,Rounds!$A:$A,0)))*86400</f>
        <v>57.420999649</v>
      </c>
      <c r="E740" s="30" t="n">
        <f aca="false">(C740-INDEX(Rounds!$C:$C,MATCH(A740,Rounds!$A:$A,0)))*86400</f>
        <v>57.660999731</v>
      </c>
      <c r="F740" s="31" t="n">
        <f aca="false">(C740-B740)*86400</f>
        <v>0.240000081</v>
      </c>
      <c r="G740" s="27" t="s">
        <v>151</v>
      </c>
      <c r="H740" s="27" t="s">
        <v>203</v>
      </c>
      <c r="I740" s="27" t="s">
        <v>253</v>
      </c>
      <c r="J740" s="27" t="s">
        <v>294</v>
      </c>
      <c r="K740" s="27" t="s">
        <v>204</v>
      </c>
      <c r="L740" s="3" t="str">
        <f aca="false">IF(ISNUMBER(SEARCH(" m",I740)),"Range",IF(I740="offline","Offline",IF(I740="","Unknown","No echo / error")))</f>
        <v>Range</v>
      </c>
      <c r="M740" s="3" t="str">
        <f aca="false">IF(ISNUMBER(SEARCH(" m",J740)),"Range",IF(J740="offline","Offline",IF(J740="","Unknown","No echo / error")))</f>
        <v>Range</v>
      </c>
      <c r="N740" s="3" t="str">
        <f aca="false">IF(ISNUMBER(SEARCH(" m",K740)),"Range",IF(K740="offline","Offline",IF(K740="","Unknown","No echo / error")))</f>
        <v>No echo / error</v>
      </c>
      <c r="O740" s="3" t="str">
        <f aca="false">TEXT(B740,"yyyy-mm-dd")</f>
        <v>2026-10-06</v>
      </c>
    </row>
    <row r="741" customFormat="false" ht="15" hidden="false" customHeight="false" outlineLevel="0" collapsed="false">
      <c r="A741" s="27" t="n">
        <v>12</v>
      </c>
      <c r="B741" s="28" t="n">
        <v>46301.486596169</v>
      </c>
      <c r="C741" s="29" t="n">
        <f aca="false">IF(A742=A741,B742,INDEX(Rounds!$D:$D,MATCH(A741,Rounds!$A:$A,0)))</f>
        <v>46301.4866336227</v>
      </c>
      <c r="D741" s="30" t="n">
        <f aca="false">(B741-INDEX(Rounds!$C:$C,MATCH(A741,Rounds!$A:$A,0)))*86400</f>
        <v>57.660999731</v>
      </c>
      <c r="E741" s="30" t="n">
        <f aca="false">(C741-INDEX(Rounds!$C:$C,MATCH(A741,Rounds!$A:$A,0)))*86400</f>
        <v>60.896999202</v>
      </c>
      <c r="F741" s="31" t="n">
        <f aca="false">(C741-B741)*86400</f>
        <v>3.235999471</v>
      </c>
      <c r="G741" s="27" t="s">
        <v>150</v>
      </c>
      <c r="H741" s="27" t="s">
        <v>206</v>
      </c>
      <c r="I741" s="27" t="s">
        <v>253</v>
      </c>
      <c r="J741" s="27" t="s">
        <v>357</v>
      </c>
      <c r="K741" s="27" t="s">
        <v>308</v>
      </c>
      <c r="L741" s="3" t="str">
        <f aca="false">IF(ISNUMBER(SEARCH(" m",I741)),"Range",IF(I741="offline","Offline",IF(I741="","Unknown","No echo / error")))</f>
        <v>Range</v>
      </c>
      <c r="M741" s="3" t="str">
        <f aca="false">IF(ISNUMBER(SEARCH(" m",J741)),"Range",IF(J741="offline","Offline",IF(J741="","Unknown","No echo / error")))</f>
        <v>Range</v>
      </c>
      <c r="N741" s="3" t="str">
        <f aca="false">IF(ISNUMBER(SEARCH(" m",K741)),"Range",IF(K741="offline","Offline",IF(K741="","Unknown","No echo / error")))</f>
        <v>Range</v>
      </c>
      <c r="O741" s="3" t="str">
        <f aca="false">TEXT(B741,"yyyy-mm-dd")</f>
        <v>2026-10-06</v>
      </c>
    </row>
    <row r="742" customFormat="false" ht="15" hidden="false" customHeight="false" outlineLevel="0" collapsed="false">
      <c r="A742" s="27" t="n">
        <v>12</v>
      </c>
      <c r="B742" s="28" t="n">
        <v>46301.4866336227</v>
      </c>
      <c r="C742" s="29" t="n">
        <f aca="false">IF(A743=A742,B743,INDEX(Rounds!$D:$D,MATCH(A742,Rounds!$A:$A,0)))</f>
        <v>46301.4866392245</v>
      </c>
      <c r="D742" s="30" t="n">
        <f aca="false">(B742-INDEX(Rounds!$C:$C,MATCH(A742,Rounds!$A:$A,0)))*86400</f>
        <v>60.896999202</v>
      </c>
      <c r="E742" s="30" t="n">
        <f aca="false">(C742-INDEX(Rounds!$C:$C,MATCH(A742,Rounds!$A:$A,0)))*86400</f>
        <v>61.381000047</v>
      </c>
      <c r="F742" s="31" t="n">
        <f aca="false">(C742-B742)*86400</f>
        <v>0.484000844</v>
      </c>
      <c r="G742" s="27" t="s">
        <v>151</v>
      </c>
      <c r="H742" s="27" t="s">
        <v>203</v>
      </c>
      <c r="I742" s="27" t="s">
        <v>453</v>
      </c>
      <c r="J742" s="27" t="s">
        <v>289</v>
      </c>
      <c r="K742" s="27" t="s">
        <v>204</v>
      </c>
      <c r="L742" s="3" t="str">
        <f aca="false">IF(ISNUMBER(SEARCH(" m",I742)),"Range",IF(I742="offline","Offline",IF(I742="","Unknown","No echo / error")))</f>
        <v>Range</v>
      </c>
      <c r="M742" s="3" t="str">
        <f aca="false">IF(ISNUMBER(SEARCH(" m",J742)),"Range",IF(J742="offline","Offline",IF(J742="","Unknown","No echo / error")))</f>
        <v>Range</v>
      </c>
      <c r="N742" s="3" t="str">
        <f aca="false">IF(ISNUMBER(SEARCH(" m",K742)),"Range",IF(K742="offline","Offline",IF(K742="","Unknown","No echo / error")))</f>
        <v>No echo / error</v>
      </c>
      <c r="O742" s="3" t="str">
        <f aca="false">TEXT(B742,"yyyy-mm-dd")</f>
        <v>2026-10-06</v>
      </c>
    </row>
    <row r="743" customFormat="false" ht="15" hidden="false" customHeight="false" outlineLevel="0" collapsed="false">
      <c r="A743" s="27" t="n">
        <v>12</v>
      </c>
      <c r="B743" s="28" t="n">
        <v>46301.4866392245</v>
      </c>
      <c r="C743" s="29" t="n">
        <f aca="false">IF(A744=A743,B744,INDEX(Rounds!$D:$D,MATCH(A743,Rounds!$A:$A,0)))</f>
        <v>46301.4866418866</v>
      </c>
      <c r="D743" s="30" t="n">
        <f aca="false">(B743-INDEX(Rounds!$C:$C,MATCH(A743,Rounds!$A:$A,0)))*86400</f>
        <v>61.381000047</v>
      </c>
      <c r="E743" s="30" t="n">
        <f aca="false">(C743-INDEX(Rounds!$C:$C,MATCH(A743,Rounds!$A:$A,0)))*86400</f>
        <v>61.61099968</v>
      </c>
      <c r="F743" s="31" t="n">
        <f aca="false">(C743-B743)*86400</f>
        <v>0.229999632</v>
      </c>
      <c r="G743" s="27" t="s">
        <v>152</v>
      </c>
      <c r="H743" s="27" t="s">
        <v>208</v>
      </c>
      <c r="I743" s="27" t="s">
        <v>375</v>
      </c>
      <c r="J743" s="27" t="s">
        <v>412</v>
      </c>
      <c r="K743" s="27" t="s">
        <v>381</v>
      </c>
      <c r="L743" s="3" t="str">
        <f aca="false">IF(ISNUMBER(SEARCH(" m",I743)),"Range",IF(I743="offline","Offline",IF(I743="","Unknown","No echo / error")))</f>
        <v>Range</v>
      </c>
      <c r="M743" s="3" t="str">
        <f aca="false">IF(ISNUMBER(SEARCH(" m",J743)),"Range",IF(J743="offline","Offline",IF(J743="","Unknown","No echo / error")))</f>
        <v>Range</v>
      </c>
      <c r="N743" s="3" t="str">
        <f aca="false">IF(ISNUMBER(SEARCH(" m",K743)),"Range",IF(K743="offline","Offline",IF(K743="","Unknown","No echo / error")))</f>
        <v>Range</v>
      </c>
      <c r="O743" s="3" t="str">
        <f aca="false">TEXT(B743,"yyyy-mm-dd")</f>
        <v>2026-10-06</v>
      </c>
    </row>
    <row r="744" customFormat="false" ht="15" hidden="false" customHeight="false" outlineLevel="0" collapsed="false">
      <c r="A744" s="27" t="n">
        <v>12</v>
      </c>
      <c r="B744" s="28" t="n">
        <v>46301.4866418866</v>
      </c>
      <c r="C744" s="29" t="n">
        <f aca="false">IF(A745=A744,B745,INDEX(Rounds!$D:$D,MATCH(A744,Rounds!$A:$A,0)))</f>
        <v>46301.4866469213</v>
      </c>
      <c r="D744" s="30" t="n">
        <f aca="false">(B744-INDEX(Rounds!$C:$C,MATCH(A744,Rounds!$A:$A,0)))*86400</f>
        <v>61.61099968</v>
      </c>
      <c r="E744" s="30" t="n">
        <f aca="false">(C744-INDEX(Rounds!$C:$C,MATCH(A744,Rounds!$A:$A,0)))*86400</f>
        <v>62.04599908</v>
      </c>
      <c r="F744" s="31" t="n">
        <f aca="false">(C744-B744)*86400</f>
        <v>0.4349994</v>
      </c>
      <c r="G744" s="27" t="s">
        <v>151</v>
      </c>
      <c r="H744" s="27" t="s">
        <v>203</v>
      </c>
      <c r="I744" s="27" t="s">
        <v>204</v>
      </c>
      <c r="J744" s="27" t="s">
        <v>385</v>
      </c>
      <c r="K744" s="27" t="s">
        <v>287</v>
      </c>
      <c r="L744" s="3" t="str">
        <f aca="false">IF(ISNUMBER(SEARCH(" m",I744)),"Range",IF(I744="offline","Offline",IF(I744="","Unknown","No echo / error")))</f>
        <v>No echo / error</v>
      </c>
      <c r="M744" s="3" t="str">
        <f aca="false">IF(ISNUMBER(SEARCH(" m",J744)),"Range",IF(J744="offline","Offline",IF(J744="","Unknown","No echo / error")))</f>
        <v>Range</v>
      </c>
      <c r="N744" s="3" t="str">
        <f aca="false">IF(ISNUMBER(SEARCH(" m",K744)),"Range",IF(K744="offline","Offline",IF(K744="","Unknown","No echo / error")))</f>
        <v>Range</v>
      </c>
      <c r="O744" s="3" t="str">
        <f aca="false">TEXT(B744,"yyyy-mm-dd")</f>
        <v>2026-10-06</v>
      </c>
    </row>
    <row r="745" customFormat="false" ht="15" hidden="false" customHeight="false" outlineLevel="0" collapsed="false">
      <c r="A745" s="27" t="n">
        <v>12</v>
      </c>
      <c r="B745" s="28" t="n">
        <v>46301.4866469213</v>
      </c>
      <c r="C745" s="29" t="n">
        <f aca="false">IF(A746=A745,B746,INDEX(Rounds!$D:$D,MATCH(A745,Rounds!$A:$A,0)))</f>
        <v>46301.4866487732</v>
      </c>
      <c r="D745" s="30" t="n">
        <f aca="false">(B745-INDEX(Rounds!$C:$C,MATCH(A745,Rounds!$A:$A,0)))*86400</f>
        <v>62.04599908</v>
      </c>
      <c r="E745" s="30" t="n">
        <f aca="false">(C745-INDEX(Rounds!$C:$C,MATCH(A745,Rounds!$A:$A,0)))*86400</f>
        <v>62.205999973</v>
      </c>
      <c r="F745" s="31" t="n">
        <f aca="false">(C745-B745)*86400</f>
        <v>0.160000892</v>
      </c>
      <c r="G745" s="27" t="s">
        <v>150</v>
      </c>
      <c r="H745" s="27" t="s">
        <v>206</v>
      </c>
      <c r="I745" s="27" t="s">
        <v>220</v>
      </c>
      <c r="J745" s="27" t="s">
        <v>299</v>
      </c>
      <c r="K745" s="27" t="s">
        <v>287</v>
      </c>
      <c r="L745" s="3" t="str">
        <f aca="false">IF(ISNUMBER(SEARCH(" m",I745)),"Range",IF(I745="offline","Offline",IF(I745="","Unknown","No echo / error")))</f>
        <v>No echo / error</v>
      </c>
      <c r="M745" s="3" t="str">
        <f aca="false">IF(ISNUMBER(SEARCH(" m",J745)),"Range",IF(J745="offline","Offline",IF(J745="","Unknown","No echo / error")))</f>
        <v>Range</v>
      </c>
      <c r="N745" s="3" t="str">
        <f aca="false">IF(ISNUMBER(SEARCH(" m",K745)),"Range",IF(K745="offline","Offline",IF(K745="","Unknown","No echo / error")))</f>
        <v>Range</v>
      </c>
      <c r="O745" s="3" t="str">
        <f aca="false">TEXT(B745,"yyyy-mm-dd")</f>
        <v>2026-10-06</v>
      </c>
    </row>
    <row r="746" customFormat="false" ht="15" hidden="false" customHeight="false" outlineLevel="0" collapsed="false">
      <c r="A746" s="27" t="n">
        <v>12</v>
      </c>
      <c r="B746" s="28" t="n">
        <v>46301.4866487732</v>
      </c>
      <c r="C746" s="29" t="n">
        <f aca="false">IF(A747=A746,B747,INDEX(Rounds!$D:$D,MATCH(A746,Rounds!$A:$A,0)))</f>
        <v>46301.4866553241</v>
      </c>
      <c r="D746" s="30" t="n">
        <f aca="false">(B746-INDEX(Rounds!$C:$C,MATCH(A746,Rounds!$A:$A,0)))*86400</f>
        <v>62.205999973</v>
      </c>
      <c r="E746" s="30" t="n">
        <f aca="false">(C746-INDEX(Rounds!$C:$C,MATCH(A746,Rounds!$A:$A,0)))*86400</f>
        <v>62.771999719</v>
      </c>
      <c r="F746" s="31" t="n">
        <f aca="false">(C746-B746)*86400</f>
        <v>0.565999746</v>
      </c>
      <c r="G746" s="27" t="s">
        <v>151</v>
      </c>
      <c r="H746" s="27" t="s">
        <v>203</v>
      </c>
      <c r="I746" s="27" t="s">
        <v>220</v>
      </c>
      <c r="J746" s="27" t="s">
        <v>299</v>
      </c>
      <c r="K746" s="27" t="s">
        <v>241</v>
      </c>
      <c r="L746" s="3" t="str">
        <f aca="false">IF(ISNUMBER(SEARCH(" m",I746)),"Range",IF(I746="offline","Offline",IF(I746="","Unknown","No echo / error")))</f>
        <v>No echo / error</v>
      </c>
      <c r="M746" s="3" t="str">
        <f aca="false">IF(ISNUMBER(SEARCH(" m",J746)),"Range",IF(J746="offline","Offline",IF(J746="","Unknown","No echo / error")))</f>
        <v>Range</v>
      </c>
      <c r="N746" s="3" t="str">
        <f aca="false">IF(ISNUMBER(SEARCH(" m",K746)),"Range",IF(K746="offline","Offline",IF(K746="","Unknown","No echo / error")))</f>
        <v>Range</v>
      </c>
      <c r="O746" s="3" t="str">
        <f aca="false">TEXT(B746,"yyyy-mm-dd")</f>
        <v>2026-10-06</v>
      </c>
    </row>
    <row r="747" customFormat="false" ht="15" hidden="false" customHeight="false" outlineLevel="0" collapsed="false">
      <c r="A747" s="27" t="n">
        <v>12</v>
      </c>
      <c r="B747" s="28" t="n">
        <v>46301.4866553241</v>
      </c>
      <c r="C747" s="29" t="n">
        <f aca="false">IF(A748=A747,B748,INDEX(Rounds!$D:$D,MATCH(A747,Rounds!$A:$A,0)))</f>
        <v>46301.486665</v>
      </c>
      <c r="D747" s="30" t="n">
        <f aca="false">(B747-INDEX(Rounds!$C:$C,MATCH(A747,Rounds!$A:$A,0)))*86400</f>
        <v>62.771999719</v>
      </c>
      <c r="E747" s="30" t="n">
        <f aca="false">(C747-INDEX(Rounds!$C:$C,MATCH(A747,Rounds!$A:$A,0)))*86400</f>
        <v>63.607999635</v>
      </c>
      <c r="F747" s="31" t="n">
        <f aca="false">(C747-B747)*86400</f>
        <v>0.835999916</v>
      </c>
      <c r="G747" s="27" t="s">
        <v>150</v>
      </c>
      <c r="H747" s="27" t="s">
        <v>206</v>
      </c>
      <c r="I747" s="27" t="s">
        <v>204</v>
      </c>
      <c r="J747" s="27" t="s">
        <v>289</v>
      </c>
      <c r="K747" s="27" t="s">
        <v>274</v>
      </c>
      <c r="L747" s="3" t="str">
        <f aca="false">IF(ISNUMBER(SEARCH(" m",I747)),"Range",IF(I747="offline","Offline",IF(I747="","Unknown","No echo / error")))</f>
        <v>No echo / error</v>
      </c>
      <c r="M747" s="3" t="str">
        <f aca="false">IF(ISNUMBER(SEARCH(" m",J747)),"Range",IF(J747="offline","Offline",IF(J747="","Unknown","No echo / error")))</f>
        <v>Range</v>
      </c>
      <c r="N747" s="3" t="str">
        <f aca="false">IF(ISNUMBER(SEARCH(" m",K747)),"Range",IF(K747="offline","Offline",IF(K747="","Unknown","No echo / error")))</f>
        <v>Range</v>
      </c>
      <c r="O747" s="3" t="str">
        <f aca="false">TEXT(B747,"yyyy-mm-dd")</f>
        <v>2026-10-06</v>
      </c>
    </row>
    <row r="748" customFormat="false" ht="15" hidden="false" customHeight="false" outlineLevel="0" collapsed="false">
      <c r="A748" s="27" t="n">
        <v>12</v>
      </c>
      <c r="B748" s="28" t="n">
        <v>46301.486665</v>
      </c>
      <c r="C748" s="29" t="n">
        <f aca="false">IF(A749=A748,B749,INDEX(Rounds!$D:$D,MATCH(A748,Rounds!$A:$A,0)))</f>
        <v>46301.4866663195</v>
      </c>
      <c r="D748" s="30" t="n">
        <f aca="false">(B748-INDEX(Rounds!$C:$C,MATCH(A748,Rounds!$A:$A,0)))*86400</f>
        <v>63.607999635</v>
      </c>
      <c r="E748" s="30" t="n">
        <f aca="false">(C748-INDEX(Rounds!$C:$C,MATCH(A748,Rounds!$A:$A,0)))*86400</f>
        <v>63.722000224</v>
      </c>
      <c r="F748" s="31" t="n">
        <f aca="false">(C748-B748)*86400</f>
        <v>0.114000588</v>
      </c>
      <c r="G748" s="27" t="s">
        <v>151</v>
      </c>
      <c r="H748" s="27" t="s">
        <v>203</v>
      </c>
      <c r="I748" s="27" t="s">
        <v>204</v>
      </c>
      <c r="J748" s="27" t="s">
        <v>290</v>
      </c>
      <c r="K748" s="27" t="s">
        <v>278</v>
      </c>
      <c r="L748" s="3" t="str">
        <f aca="false">IF(ISNUMBER(SEARCH(" m",I748)),"Range",IF(I748="offline","Offline",IF(I748="","Unknown","No echo / error")))</f>
        <v>No echo / error</v>
      </c>
      <c r="M748" s="3" t="str">
        <f aca="false">IF(ISNUMBER(SEARCH(" m",J748)),"Range",IF(J748="offline","Offline",IF(J748="","Unknown","No echo / error")))</f>
        <v>Range</v>
      </c>
      <c r="N748" s="3" t="str">
        <f aca="false">IF(ISNUMBER(SEARCH(" m",K748)),"Range",IF(K748="offline","Offline",IF(K748="","Unknown","No echo / error")))</f>
        <v>Range</v>
      </c>
      <c r="O748" s="3" t="str">
        <f aca="false">TEXT(B748,"yyyy-mm-dd")</f>
        <v>2026-10-06</v>
      </c>
    </row>
    <row r="749" customFormat="false" ht="15" hidden="false" customHeight="false" outlineLevel="0" collapsed="false">
      <c r="A749" s="27" t="n">
        <v>12</v>
      </c>
      <c r="B749" s="28" t="n">
        <v>46301.4866663195</v>
      </c>
      <c r="C749" s="29" t="n">
        <f aca="false">IF(A750=A749,B750,INDEX(Rounds!$D:$D,MATCH(A749,Rounds!$A:$A,0)))</f>
        <v>46301.4866718866</v>
      </c>
      <c r="D749" s="30" t="n">
        <f aca="false">(B749-INDEX(Rounds!$C:$C,MATCH(A749,Rounds!$A:$A,0)))*86400</f>
        <v>63.722000224</v>
      </c>
      <c r="E749" s="30" t="n">
        <f aca="false">(C749-INDEX(Rounds!$C:$C,MATCH(A749,Rounds!$A:$A,0)))*86400</f>
        <v>64.2029993</v>
      </c>
      <c r="F749" s="31" t="n">
        <f aca="false">(C749-B749)*86400</f>
        <v>0.480999075</v>
      </c>
      <c r="G749" s="27" t="s">
        <v>150</v>
      </c>
      <c r="H749" s="27" t="s">
        <v>206</v>
      </c>
      <c r="I749" s="27" t="s">
        <v>204</v>
      </c>
      <c r="J749" s="27" t="s">
        <v>290</v>
      </c>
      <c r="K749" s="27" t="s">
        <v>259</v>
      </c>
      <c r="L749" s="3" t="str">
        <f aca="false">IF(ISNUMBER(SEARCH(" m",I749)),"Range",IF(I749="offline","Offline",IF(I749="","Unknown","No echo / error")))</f>
        <v>No echo / error</v>
      </c>
      <c r="M749" s="3" t="str">
        <f aca="false">IF(ISNUMBER(SEARCH(" m",J749)),"Range",IF(J749="offline","Offline",IF(J749="","Unknown","No echo / error")))</f>
        <v>Range</v>
      </c>
      <c r="N749" s="3" t="str">
        <f aca="false">IF(ISNUMBER(SEARCH(" m",K749)),"Range",IF(K749="offline","Offline",IF(K749="","Unknown","No echo / error")))</f>
        <v>Range</v>
      </c>
      <c r="O749" s="3" t="str">
        <f aca="false">TEXT(B749,"yyyy-mm-dd")</f>
        <v>2026-10-06</v>
      </c>
    </row>
    <row r="750" customFormat="false" ht="15" hidden="false" customHeight="false" outlineLevel="0" collapsed="false">
      <c r="A750" s="27" t="n">
        <v>12</v>
      </c>
      <c r="B750" s="28" t="n">
        <v>46301.4866718866</v>
      </c>
      <c r="C750" s="29" t="n">
        <f aca="false">IF(A751=A750,B751,INDEX(Rounds!$D:$D,MATCH(A750,Rounds!$A:$A,0)))</f>
        <v>46301.4866761574</v>
      </c>
      <c r="D750" s="30" t="n">
        <f aca="false">(B750-INDEX(Rounds!$C:$C,MATCH(A750,Rounds!$A:$A,0)))*86400</f>
        <v>64.2029993</v>
      </c>
      <c r="E750" s="30" t="n">
        <f aca="false">(C750-INDEX(Rounds!$C:$C,MATCH(A750,Rounds!$A:$A,0)))*86400</f>
        <v>64.572000014</v>
      </c>
      <c r="F750" s="31" t="n">
        <f aca="false">(C750-B750)*86400</f>
        <v>0.369000714</v>
      </c>
      <c r="G750" s="27" t="s">
        <v>152</v>
      </c>
      <c r="H750" s="27" t="s">
        <v>208</v>
      </c>
      <c r="I750" s="27" t="s">
        <v>204</v>
      </c>
      <c r="J750" s="27" t="s">
        <v>204</v>
      </c>
      <c r="K750" s="27" t="s">
        <v>385</v>
      </c>
      <c r="L750" s="3" t="str">
        <f aca="false">IF(ISNUMBER(SEARCH(" m",I750)),"Range",IF(I750="offline","Offline",IF(I750="","Unknown","No echo / error")))</f>
        <v>No echo / error</v>
      </c>
      <c r="M750" s="3" t="str">
        <f aca="false">IF(ISNUMBER(SEARCH(" m",J750)),"Range",IF(J750="offline","Offline",IF(J750="","Unknown","No echo / error")))</f>
        <v>No echo / error</v>
      </c>
      <c r="N750" s="3" t="str">
        <f aca="false">IF(ISNUMBER(SEARCH(" m",K750)),"Range",IF(K750="offline","Offline",IF(K750="","Unknown","No echo / error")))</f>
        <v>Range</v>
      </c>
      <c r="O750" s="3" t="str">
        <f aca="false">TEXT(B750,"yyyy-mm-dd")</f>
        <v>2026-10-06</v>
      </c>
    </row>
    <row r="751" customFormat="false" ht="15" hidden="false" customHeight="false" outlineLevel="0" collapsed="false">
      <c r="A751" s="27" t="n">
        <v>12</v>
      </c>
      <c r="B751" s="28" t="n">
        <v>46301.4866761574</v>
      </c>
      <c r="C751" s="29" t="n">
        <f aca="false">IF(A752=A751,B752,INDEX(Rounds!$D:$D,MATCH(A751,Rounds!$A:$A,0)))</f>
        <v>46301.4866774537</v>
      </c>
      <c r="D751" s="30" t="n">
        <f aca="false">(B751-INDEX(Rounds!$C:$C,MATCH(A751,Rounds!$A:$A,0)))*86400</f>
        <v>64.572000014</v>
      </c>
      <c r="E751" s="30" t="n">
        <f aca="false">(C751-INDEX(Rounds!$C:$C,MATCH(A751,Rounds!$A:$A,0)))*86400</f>
        <v>64.683999633</v>
      </c>
      <c r="F751" s="31" t="n">
        <f aca="false">(C751-B751)*86400</f>
        <v>0.111999618</v>
      </c>
      <c r="G751" s="27" t="s">
        <v>151</v>
      </c>
      <c r="H751" s="27" t="s">
        <v>203</v>
      </c>
      <c r="I751" s="27" t="s">
        <v>348</v>
      </c>
      <c r="J751" s="27" t="s">
        <v>441</v>
      </c>
      <c r="K751" s="27" t="s">
        <v>308</v>
      </c>
      <c r="L751" s="3" t="str">
        <f aca="false">IF(ISNUMBER(SEARCH(" m",I751)),"Range",IF(I751="offline","Offline",IF(I751="","Unknown","No echo / error")))</f>
        <v>Range</v>
      </c>
      <c r="M751" s="3" t="str">
        <f aca="false">IF(ISNUMBER(SEARCH(" m",J751)),"Range",IF(J751="offline","Offline",IF(J751="","Unknown","No echo / error")))</f>
        <v>Range</v>
      </c>
      <c r="N751" s="3" t="str">
        <f aca="false">IF(ISNUMBER(SEARCH(" m",K751)),"Range",IF(K751="offline","Offline",IF(K751="","Unknown","No echo / error")))</f>
        <v>Range</v>
      </c>
      <c r="O751" s="3" t="str">
        <f aca="false">TEXT(B751,"yyyy-mm-dd")</f>
        <v>2026-10-06</v>
      </c>
    </row>
    <row r="752" customFormat="false" ht="15" hidden="false" customHeight="false" outlineLevel="0" collapsed="false">
      <c r="A752" s="27" t="n">
        <v>12</v>
      </c>
      <c r="B752" s="28" t="n">
        <v>46301.4866774537</v>
      </c>
      <c r="C752" s="29" t="n">
        <f aca="false">IF(A753=A752,B753,INDEX(Rounds!$D:$D,MATCH(A752,Rounds!$A:$A,0)))</f>
        <v>46301.4866856134</v>
      </c>
      <c r="D752" s="30" t="n">
        <f aca="false">(B752-INDEX(Rounds!$C:$C,MATCH(A752,Rounds!$A:$A,0)))*86400</f>
        <v>64.683999633</v>
      </c>
      <c r="E752" s="30" t="n">
        <f aca="false">(C752-INDEX(Rounds!$C:$C,MATCH(A752,Rounds!$A:$A,0)))*86400</f>
        <v>65.388999204</v>
      </c>
      <c r="F752" s="31" t="n">
        <f aca="false">(C752-B752)*86400</f>
        <v>0.70499957</v>
      </c>
      <c r="G752" s="27" t="s">
        <v>150</v>
      </c>
      <c r="H752" s="27" t="s">
        <v>206</v>
      </c>
      <c r="I752" s="27" t="s">
        <v>279</v>
      </c>
      <c r="J752" s="27" t="s">
        <v>441</v>
      </c>
      <c r="K752" s="27" t="s">
        <v>308</v>
      </c>
      <c r="L752" s="3" t="str">
        <f aca="false">IF(ISNUMBER(SEARCH(" m",I752)),"Range",IF(I752="offline","Offline",IF(I752="","Unknown","No echo / error")))</f>
        <v>Range</v>
      </c>
      <c r="M752" s="3" t="str">
        <f aca="false">IF(ISNUMBER(SEARCH(" m",J752)),"Range",IF(J752="offline","Offline",IF(J752="","Unknown","No echo / error")))</f>
        <v>Range</v>
      </c>
      <c r="N752" s="3" t="str">
        <f aca="false">IF(ISNUMBER(SEARCH(" m",K752)),"Range",IF(K752="offline","Offline",IF(K752="","Unknown","No echo / error")))</f>
        <v>Range</v>
      </c>
      <c r="O752" s="3" t="str">
        <f aca="false">TEXT(B752,"yyyy-mm-dd")</f>
        <v>2026-10-06</v>
      </c>
    </row>
    <row r="753" customFormat="false" ht="15" hidden="false" customHeight="false" outlineLevel="0" collapsed="false">
      <c r="A753" s="27" t="n">
        <v>12</v>
      </c>
      <c r="B753" s="28" t="n">
        <v>46301.4866856134</v>
      </c>
      <c r="C753" s="29" t="n">
        <f aca="false">IF(A754=A753,B754,INDEX(Rounds!$D:$D,MATCH(A753,Rounds!$A:$A,0)))</f>
        <v>46301.4866912153</v>
      </c>
      <c r="D753" s="30" t="n">
        <f aca="false">(B753-INDEX(Rounds!$C:$C,MATCH(A753,Rounds!$A:$A,0)))*86400</f>
        <v>65.388999204</v>
      </c>
      <c r="E753" s="30" t="n">
        <f aca="false">(C753-INDEX(Rounds!$C:$C,MATCH(A753,Rounds!$A:$A,0)))*86400</f>
        <v>65.873000049</v>
      </c>
      <c r="F753" s="31" t="n">
        <f aca="false">(C753-B753)*86400</f>
        <v>0.484000844</v>
      </c>
      <c r="G753" s="27" t="s">
        <v>151</v>
      </c>
      <c r="H753" s="27" t="s">
        <v>203</v>
      </c>
      <c r="I753" s="27" t="s">
        <v>310</v>
      </c>
      <c r="J753" s="27" t="s">
        <v>448</v>
      </c>
      <c r="K753" s="27" t="s">
        <v>447</v>
      </c>
      <c r="L753" s="3" t="str">
        <f aca="false">IF(ISNUMBER(SEARCH(" m",I753)),"Range",IF(I753="offline","Offline",IF(I753="","Unknown","No echo / error")))</f>
        <v>Range</v>
      </c>
      <c r="M753" s="3" t="str">
        <f aca="false">IF(ISNUMBER(SEARCH(" m",J753)),"Range",IF(J753="offline","Offline",IF(J753="","Unknown","No echo / error")))</f>
        <v>Range</v>
      </c>
      <c r="N753" s="3" t="str">
        <f aca="false">IF(ISNUMBER(SEARCH(" m",K753)),"Range",IF(K753="offline","Offline",IF(K753="","Unknown","No echo / error")))</f>
        <v>Range</v>
      </c>
      <c r="O753" s="3" t="str">
        <f aca="false">TEXT(B753,"yyyy-mm-dd")</f>
        <v>2026-10-06</v>
      </c>
    </row>
    <row r="754" customFormat="false" ht="15" hidden="false" customHeight="false" outlineLevel="0" collapsed="false">
      <c r="A754" s="27" t="n">
        <v>12</v>
      </c>
      <c r="B754" s="28" t="n">
        <v>46301.4866912153</v>
      </c>
      <c r="C754" s="29" t="n">
        <f aca="false">IF(A755=A754,B755,INDEX(Rounds!$D:$D,MATCH(A754,Rounds!$A:$A,0)))</f>
        <v>46301.4866919676</v>
      </c>
      <c r="D754" s="30" t="n">
        <f aca="false">(B754-INDEX(Rounds!$C:$C,MATCH(A754,Rounds!$A:$A,0)))*86400</f>
        <v>65.873000049</v>
      </c>
      <c r="E754" s="30" t="n">
        <f aca="false">(C754-INDEX(Rounds!$C:$C,MATCH(A754,Rounds!$A:$A,0)))*86400</f>
        <v>65.937999822</v>
      </c>
      <c r="F754" s="31" t="n">
        <f aca="false">(C754-B754)*86400</f>
        <v>0.064999773</v>
      </c>
      <c r="G754" s="27" t="s">
        <v>152</v>
      </c>
      <c r="H754" s="27" t="s">
        <v>208</v>
      </c>
      <c r="I754" s="27" t="s">
        <v>204</v>
      </c>
      <c r="J754" s="27" t="s">
        <v>376</v>
      </c>
      <c r="K754" s="27" t="s">
        <v>204</v>
      </c>
      <c r="L754" s="3" t="str">
        <f aca="false">IF(ISNUMBER(SEARCH(" m",I754)),"Range",IF(I754="offline","Offline",IF(I754="","Unknown","No echo / error")))</f>
        <v>No echo / error</v>
      </c>
      <c r="M754" s="3" t="str">
        <f aca="false">IF(ISNUMBER(SEARCH(" m",J754)),"Range",IF(J754="offline","Offline",IF(J754="","Unknown","No echo / error")))</f>
        <v>Range</v>
      </c>
      <c r="N754" s="3" t="str">
        <f aca="false">IF(ISNUMBER(SEARCH(" m",K754)),"Range",IF(K754="offline","Offline",IF(K754="","Unknown","No echo / error")))</f>
        <v>No echo / error</v>
      </c>
      <c r="O754" s="3" t="str">
        <f aca="false">TEXT(B754,"yyyy-mm-dd")</f>
        <v>2026-10-06</v>
      </c>
    </row>
    <row r="755" customFormat="false" ht="15" hidden="false" customHeight="false" outlineLevel="0" collapsed="false">
      <c r="A755" s="27" t="n">
        <v>12</v>
      </c>
      <c r="B755" s="28" t="n">
        <v>46301.4866919676</v>
      </c>
      <c r="C755" s="29" t="n">
        <f aca="false">IF(A756=A755,B756,INDEX(Rounds!$D:$D,MATCH(A755,Rounds!$A:$A,0)))</f>
        <v>46301.4866974074</v>
      </c>
      <c r="D755" s="30" t="n">
        <f aca="false">(B755-INDEX(Rounds!$C:$C,MATCH(A755,Rounds!$A:$A,0)))*86400</f>
        <v>65.937999822</v>
      </c>
      <c r="E755" s="30" t="n">
        <f aca="false">(C755-INDEX(Rounds!$C:$C,MATCH(A755,Rounds!$A:$A,0)))*86400</f>
        <v>66.408000164</v>
      </c>
      <c r="F755" s="31" t="n">
        <f aca="false">(C755-B755)*86400</f>
        <v>0.470000342</v>
      </c>
      <c r="G755" s="27" t="s">
        <v>151</v>
      </c>
      <c r="H755" s="27" t="s">
        <v>203</v>
      </c>
      <c r="I755" s="27" t="s">
        <v>204</v>
      </c>
      <c r="J755" s="27" t="s">
        <v>310</v>
      </c>
      <c r="K755" s="27" t="s">
        <v>204</v>
      </c>
      <c r="L755" s="3" t="str">
        <f aca="false">IF(ISNUMBER(SEARCH(" m",I755)),"Range",IF(I755="offline","Offline",IF(I755="","Unknown","No echo / error")))</f>
        <v>No echo / error</v>
      </c>
      <c r="M755" s="3" t="str">
        <f aca="false">IF(ISNUMBER(SEARCH(" m",J755)),"Range",IF(J755="offline","Offline",IF(J755="","Unknown","No echo / error")))</f>
        <v>Range</v>
      </c>
      <c r="N755" s="3" t="str">
        <f aca="false">IF(ISNUMBER(SEARCH(" m",K755)),"Range",IF(K755="offline","Offline",IF(K755="","Unknown","No echo / error")))</f>
        <v>No echo / error</v>
      </c>
      <c r="O755" s="3" t="str">
        <f aca="false">TEXT(B755,"yyyy-mm-dd")</f>
        <v>2026-10-06</v>
      </c>
    </row>
    <row r="756" customFormat="false" ht="15" hidden="false" customHeight="false" outlineLevel="0" collapsed="false">
      <c r="A756" s="27" t="n">
        <v>12</v>
      </c>
      <c r="B756" s="28" t="n">
        <v>46301.4866974074</v>
      </c>
      <c r="C756" s="29" t="n">
        <f aca="false">IF(A757=A756,B757,INDEX(Rounds!$D:$D,MATCH(A756,Rounds!$A:$A,0)))</f>
        <v>46301.4867070949</v>
      </c>
      <c r="D756" s="30" t="n">
        <f aca="false">(B756-INDEX(Rounds!$C:$C,MATCH(A756,Rounds!$A:$A,0)))*86400</f>
        <v>66.408000164</v>
      </c>
      <c r="E756" s="30" t="n">
        <f aca="false">(C756-INDEX(Rounds!$C:$C,MATCH(A756,Rounds!$A:$A,0)))*86400</f>
        <v>67.244998994</v>
      </c>
      <c r="F756" s="31" t="n">
        <f aca="false">(C756-B756)*86400</f>
        <v>0.836998829</v>
      </c>
      <c r="G756" s="27" t="s">
        <v>150</v>
      </c>
      <c r="H756" s="27" t="s">
        <v>206</v>
      </c>
      <c r="I756" s="27" t="s">
        <v>415</v>
      </c>
      <c r="J756" s="27" t="s">
        <v>436</v>
      </c>
      <c r="K756" s="27" t="s">
        <v>447</v>
      </c>
      <c r="L756" s="3" t="str">
        <f aca="false">IF(ISNUMBER(SEARCH(" m",I756)),"Range",IF(I756="offline","Offline",IF(I756="","Unknown","No echo / error")))</f>
        <v>Range</v>
      </c>
      <c r="M756" s="3" t="str">
        <f aca="false">IF(ISNUMBER(SEARCH(" m",J756)),"Range",IF(J756="offline","Offline",IF(J756="","Unknown","No echo / error")))</f>
        <v>Range</v>
      </c>
      <c r="N756" s="3" t="str">
        <f aca="false">IF(ISNUMBER(SEARCH(" m",K756)),"Range",IF(K756="offline","Offline",IF(K756="","Unknown","No echo / error")))</f>
        <v>Range</v>
      </c>
      <c r="O756" s="3" t="str">
        <f aca="false">TEXT(B756,"yyyy-mm-dd")</f>
        <v>2026-10-06</v>
      </c>
    </row>
    <row r="757" customFormat="false" ht="15" hidden="false" customHeight="false" outlineLevel="0" collapsed="false">
      <c r="A757" s="27" t="n">
        <v>12</v>
      </c>
      <c r="B757" s="28" t="n">
        <v>46301.4867070949</v>
      </c>
      <c r="C757" s="29" t="n">
        <f aca="false">IF(A758=A757,B758,INDEX(Rounds!$D:$D,MATCH(A757,Rounds!$A:$A,0)))</f>
        <v>46301.4867087732</v>
      </c>
      <c r="D757" s="30" t="n">
        <f aca="false">(B757-INDEX(Rounds!$C:$C,MATCH(A757,Rounds!$A:$A,0)))*86400</f>
        <v>67.244998994</v>
      </c>
      <c r="E757" s="30" t="n">
        <f aca="false">(C757-INDEX(Rounds!$C:$C,MATCH(A757,Rounds!$A:$A,0)))*86400</f>
        <v>67.389999842</v>
      </c>
      <c r="F757" s="31" t="n">
        <f aca="false">(C757-B757)*86400</f>
        <v>0.145000847</v>
      </c>
      <c r="G757" s="27" t="s">
        <v>152</v>
      </c>
      <c r="H757" s="27" t="s">
        <v>208</v>
      </c>
      <c r="I757" s="27" t="s">
        <v>329</v>
      </c>
      <c r="J757" s="27" t="s">
        <v>430</v>
      </c>
      <c r="K757" s="27" t="s">
        <v>204</v>
      </c>
      <c r="L757" s="3" t="str">
        <f aca="false">IF(ISNUMBER(SEARCH(" m",I757)),"Range",IF(I757="offline","Offline",IF(I757="","Unknown","No echo / error")))</f>
        <v>Range</v>
      </c>
      <c r="M757" s="3" t="str">
        <f aca="false">IF(ISNUMBER(SEARCH(" m",J757)),"Range",IF(J757="offline","Offline",IF(J757="","Unknown","No echo / error")))</f>
        <v>Range</v>
      </c>
      <c r="N757" s="3" t="str">
        <f aca="false">IF(ISNUMBER(SEARCH(" m",K757)),"Range",IF(K757="offline","Offline",IF(K757="","Unknown","No echo / error")))</f>
        <v>No echo / error</v>
      </c>
      <c r="O757" s="3" t="str">
        <f aca="false">TEXT(B757,"yyyy-mm-dd")</f>
        <v>2026-10-06</v>
      </c>
    </row>
    <row r="758" customFormat="false" ht="15" hidden="false" customHeight="false" outlineLevel="0" collapsed="false">
      <c r="A758" s="27" t="n">
        <v>12</v>
      </c>
      <c r="B758" s="28" t="n">
        <v>46301.4867087732</v>
      </c>
      <c r="C758" s="29" t="n">
        <f aca="false">IF(A759=A758,B759,INDEX(Rounds!$D:$D,MATCH(A758,Rounds!$A:$A,0)))</f>
        <v>46301.486710081</v>
      </c>
      <c r="D758" s="30" t="n">
        <f aca="false">(B758-INDEX(Rounds!$C:$C,MATCH(A758,Rounds!$A:$A,0)))*86400</f>
        <v>67.389999842</v>
      </c>
      <c r="E758" s="30" t="n">
        <f aca="false">(C758-INDEX(Rounds!$C:$C,MATCH(A758,Rounds!$A:$A,0)))*86400</f>
        <v>67.50300026</v>
      </c>
      <c r="F758" s="31" t="n">
        <f aca="false">(C758-B758)*86400</f>
        <v>0.113000418</v>
      </c>
      <c r="G758" s="27" t="s">
        <v>151</v>
      </c>
      <c r="H758" s="27" t="s">
        <v>203</v>
      </c>
      <c r="I758" s="27" t="s">
        <v>336</v>
      </c>
      <c r="J758" s="27" t="s">
        <v>430</v>
      </c>
      <c r="K758" s="27" t="s">
        <v>204</v>
      </c>
      <c r="L758" s="3" t="str">
        <f aca="false">IF(ISNUMBER(SEARCH(" m",I758)),"Range",IF(I758="offline","Offline",IF(I758="","Unknown","No echo / error")))</f>
        <v>Range</v>
      </c>
      <c r="M758" s="3" t="str">
        <f aca="false">IF(ISNUMBER(SEARCH(" m",J758)),"Range",IF(J758="offline","Offline",IF(J758="","Unknown","No echo / error")))</f>
        <v>Range</v>
      </c>
      <c r="N758" s="3" t="str">
        <f aca="false">IF(ISNUMBER(SEARCH(" m",K758)),"Range",IF(K758="offline","Offline",IF(K758="","Unknown","No echo / error")))</f>
        <v>No echo / error</v>
      </c>
      <c r="O758" s="3" t="str">
        <f aca="false">TEXT(B758,"yyyy-mm-dd")</f>
        <v>2026-10-06</v>
      </c>
    </row>
    <row r="759" customFormat="false" ht="15" hidden="false" customHeight="false" outlineLevel="0" collapsed="false">
      <c r="A759" s="27" t="n">
        <v>12</v>
      </c>
      <c r="B759" s="28" t="n">
        <v>46301.486710081</v>
      </c>
      <c r="C759" s="29" t="n">
        <f aca="false">IF(A760=A759,B760,INDEX(Rounds!$D:$D,MATCH(A759,Rounds!$A:$A,0)))</f>
        <v>46301.4867153241</v>
      </c>
      <c r="D759" s="30" t="n">
        <f aca="false">(B759-INDEX(Rounds!$C:$C,MATCH(A759,Rounds!$A:$A,0)))*86400</f>
        <v>67.50300026</v>
      </c>
      <c r="E759" s="30" t="n">
        <f aca="false">(C759-INDEX(Rounds!$C:$C,MATCH(A759,Rounds!$A:$A,0)))*86400</f>
        <v>67.956000217</v>
      </c>
      <c r="F759" s="31" t="n">
        <f aca="false">(C759-B759)*86400</f>
        <v>0.452999956</v>
      </c>
      <c r="G759" s="27" t="s">
        <v>150</v>
      </c>
      <c r="H759" s="27" t="s">
        <v>206</v>
      </c>
      <c r="I759" s="27" t="s">
        <v>336</v>
      </c>
      <c r="J759" s="27" t="s">
        <v>253</v>
      </c>
      <c r="K759" s="27" t="s">
        <v>204</v>
      </c>
      <c r="L759" s="3" t="str">
        <f aca="false">IF(ISNUMBER(SEARCH(" m",I759)),"Range",IF(I759="offline","Offline",IF(I759="","Unknown","No echo / error")))</f>
        <v>Range</v>
      </c>
      <c r="M759" s="3" t="str">
        <f aca="false">IF(ISNUMBER(SEARCH(" m",J759)),"Range",IF(J759="offline","Offline",IF(J759="","Unknown","No echo / error")))</f>
        <v>Range</v>
      </c>
      <c r="N759" s="3" t="str">
        <f aca="false">IF(ISNUMBER(SEARCH(" m",K759)),"Range",IF(K759="offline","Offline",IF(K759="","Unknown","No echo / error")))</f>
        <v>No echo / error</v>
      </c>
      <c r="O759" s="3" t="str">
        <f aca="false">TEXT(B759,"yyyy-mm-dd")</f>
        <v>2026-10-06</v>
      </c>
    </row>
    <row r="760" customFormat="false" ht="15" hidden="false" customHeight="false" outlineLevel="0" collapsed="false">
      <c r="A760" s="27" t="n">
        <v>12</v>
      </c>
      <c r="B760" s="28" t="n">
        <v>46301.4867153241</v>
      </c>
      <c r="C760" s="29" t="n">
        <f aca="false">IF(A761=A760,B761,INDEX(Rounds!$D:$D,MATCH(A760,Rounds!$A:$A,0)))</f>
        <v>46301.4867190509</v>
      </c>
      <c r="D760" s="30" t="n">
        <f aca="false">(B760-INDEX(Rounds!$C:$C,MATCH(A760,Rounds!$A:$A,0)))*86400</f>
        <v>67.956000217</v>
      </c>
      <c r="E760" s="30" t="n">
        <f aca="false">(C760-INDEX(Rounds!$C:$C,MATCH(A760,Rounds!$A:$A,0)))*86400</f>
        <v>68.277999199</v>
      </c>
      <c r="F760" s="31" t="n">
        <f aca="false">(C760-B760)*86400</f>
        <v>0.321998982</v>
      </c>
      <c r="G760" s="27" t="s">
        <v>151</v>
      </c>
      <c r="H760" s="27" t="s">
        <v>203</v>
      </c>
      <c r="I760" s="27" t="s">
        <v>220</v>
      </c>
      <c r="J760" s="27" t="s">
        <v>218</v>
      </c>
      <c r="K760" s="27" t="s">
        <v>387</v>
      </c>
      <c r="L760" s="3" t="str">
        <f aca="false">IF(ISNUMBER(SEARCH(" m",I760)),"Range",IF(I760="offline","Offline",IF(I760="","Unknown","No echo / error")))</f>
        <v>No echo / error</v>
      </c>
      <c r="M760" s="3" t="str">
        <f aca="false">IF(ISNUMBER(SEARCH(" m",J760)),"Range",IF(J760="offline","Offline",IF(J760="","Unknown","No echo / error")))</f>
        <v>Range</v>
      </c>
      <c r="N760" s="3" t="str">
        <f aca="false">IF(ISNUMBER(SEARCH(" m",K760)),"Range",IF(K760="offline","Offline",IF(K760="","Unknown","No echo / error")))</f>
        <v>Range</v>
      </c>
      <c r="O760" s="3" t="str">
        <f aca="false">TEXT(B760,"yyyy-mm-dd")</f>
        <v>2026-10-06</v>
      </c>
    </row>
    <row r="761" customFormat="false" ht="15" hidden="false" customHeight="false" outlineLevel="0" collapsed="false">
      <c r="A761" s="27" t="n">
        <v>12</v>
      </c>
      <c r="B761" s="28" t="n">
        <v>46301.4867190509</v>
      </c>
      <c r="C761" s="29" t="n">
        <f aca="false">IF(A762=A761,B762,INDEX(Rounds!$D:$D,MATCH(A761,Rounds!$A:$A,0)))</f>
        <v>46301.4867240394</v>
      </c>
      <c r="D761" s="30" t="n">
        <f aca="false">(B761-INDEX(Rounds!$C:$C,MATCH(A761,Rounds!$A:$A,0)))*86400</f>
        <v>68.277999199</v>
      </c>
      <c r="E761" s="30" t="n">
        <f aca="false">(C761-INDEX(Rounds!$C:$C,MATCH(A761,Rounds!$A:$A,0)))*86400</f>
        <v>68.708999804</v>
      </c>
      <c r="F761" s="31" t="n">
        <f aca="false">(C761-B761)*86400</f>
        <v>0.431000604</v>
      </c>
      <c r="G761" s="27" t="s">
        <v>150</v>
      </c>
      <c r="H761" s="27" t="s">
        <v>206</v>
      </c>
      <c r="I761" s="27" t="s">
        <v>347</v>
      </c>
      <c r="J761" s="27" t="s">
        <v>218</v>
      </c>
      <c r="K761" s="27" t="s">
        <v>319</v>
      </c>
      <c r="L761" s="3" t="str">
        <f aca="false">IF(ISNUMBER(SEARCH(" m",I761)),"Range",IF(I761="offline","Offline",IF(I761="","Unknown","No echo / error")))</f>
        <v>Range</v>
      </c>
      <c r="M761" s="3" t="str">
        <f aca="false">IF(ISNUMBER(SEARCH(" m",J761)),"Range",IF(J761="offline","Offline",IF(J761="","Unknown","No echo / error")))</f>
        <v>Range</v>
      </c>
      <c r="N761" s="3" t="str">
        <f aca="false">IF(ISNUMBER(SEARCH(" m",K761)),"Range",IF(K761="offline","Offline",IF(K761="","Unknown","No echo / error")))</f>
        <v>Range</v>
      </c>
      <c r="O761" s="3" t="str">
        <f aca="false">TEXT(B761,"yyyy-mm-dd")</f>
        <v>2026-10-06</v>
      </c>
    </row>
    <row r="762" customFormat="false" ht="15" hidden="false" customHeight="false" outlineLevel="0" collapsed="false">
      <c r="A762" s="27" t="n">
        <v>12</v>
      </c>
      <c r="B762" s="28" t="n">
        <v>46301.4867240394</v>
      </c>
      <c r="C762" s="29" t="n">
        <f aca="false">IF(A763=A762,B763,INDEX(Rounds!$D:$D,MATCH(A762,Rounds!$A:$A,0)))</f>
        <v>46301.4867247917</v>
      </c>
      <c r="D762" s="30" t="n">
        <f aca="false">(B762-INDEX(Rounds!$C:$C,MATCH(A762,Rounds!$A:$A,0)))*86400</f>
        <v>68.708999804</v>
      </c>
      <c r="E762" s="30" t="n">
        <f aca="false">(C762-INDEX(Rounds!$C:$C,MATCH(A762,Rounds!$A:$A,0)))*86400</f>
        <v>68.774000206</v>
      </c>
      <c r="F762" s="31" t="n">
        <f aca="false">(C762-B762)*86400</f>
        <v>0.065000401</v>
      </c>
      <c r="G762" s="27" t="s">
        <v>152</v>
      </c>
      <c r="H762" s="27" t="s">
        <v>208</v>
      </c>
      <c r="I762" s="27" t="s">
        <v>347</v>
      </c>
      <c r="J762" s="27" t="s">
        <v>220</v>
      </c>
      <c r="K762" s="27" t="s">
        <v>204</v>
      </c>
      <c r="L762" s="3" t="str">
        <f aca="false">IF(ISNUMBER(SEARCH(" m",I762)),"Range",IF(I762="offline","Offline",IF(I762="","Unknown","No echo / error")))</f>
        <v>Range</v>
      </c>
      <c r="M762" s="3" t="str">
        <f aca="false">IF(ISNUMBER(SEARCH(" m",J762)),"Range",IF(J762="offline","Offline",IF(J762="","Unknown","No echo / error")))</f>
        <v>No echo / error</v>
      </c>
      <c r="N762" s="3" t="str">
        <f aca="false">IF(ISNUMBER(SEARCH(" m",K762)),"Range",IF(K762="offline","Offline",IF(K762="","Unknown","No echo / error")))</f>
        <v>No echo / error</v>
      </c>
      <c r="O762" s="3" t="str">
        <f aca="false">TEXT(B762,"yyyy-mm-dd")</f>
        <v>2026-10-06</v>
      </c>
    </row>
    <row r="763" customFormat="false" ht="15" hidden="false" customHeight="false" outlineLevel="0" collapsed="false">
      <c r="A763" s="27" t="n">
        <v>12</v>
      </c>
      <c r="B763" s="28" t="n">
        <v>46301.4867247917</v>
      </c>
      <c r="C763" s="29" t="n">
        <f aca="false">IF(A764=A763,B764,INDEX(Rounds!$D:$D,MATCH(A763,Rounds!$A:$A,0)))</f>
        <v>46301.4867264815</v>
      </c>
      <c r="D763" s="30" t="n">
        <f aca="false">(B763-INDEX(Rounds!$C:$C,MATCH(A763,Rounds!$A:$A,0)))*86400</f>
        <v>68.774000206</v>
      </c>
      <c r="E763" s="30" t="n">
        <f aca="false">(C763-INDEX(Rounds!$C:$C,MATCH(A763,Rounds!$A:$A,0)))*86400</f>
        <v>68.919999967</v>
      </c>
      <c r="F763" s="31" t="n">
        <f aca="false">(C763-B763)*86400</f>
        <v>0.145999761</v>
      </c>
      <c r="G763" s="27" t="s">
        <v>151</v>
      </c>
      <c r="H763" s="27" t="s">
        <v>203</v>
      </c>
      <c r="I763" s="27" t="s">
        <v>407</v>
      </c>
      <c r="J763" s="27" t="s">
        <v>220</v>
      </c>
      <c r="K763" s="27" t="s">
        <v>204</v>
      </c>
      <c r="L763" s="3" t="str">
        <f aca="false">IF(ISNUMBER(SEARCH(" m",I763)),"Range",IF(I763="offline","Offline",IF(I763="","Unknown","No echo / error")))</f>
        <v>Range</v>
      </c>
      <c r="M763" s="3" t="str">
        <f aca="false">IF(ISNUMBER(SEARCH(" m",J763)),"Range",IF(J763="offline","Offline",IF(J763="","Unknown","No echo / error")))</f>
        <v>No echo / error</v>
      </c>
      <c r="N763" s="3" t="str">
        <f aca="false">IF(ISNUMBER(SEARCH(" m",K763)),"Range",IF(K763="offline","Offline",IF(K763="","Unknown","No echo / error")))</f>
        <v>No echo / error</v>
      </c>
      <c r="O763" s="3" t="str">
        <f aca="false">TEXT(B763,"yyyy-mm-dd")</f>
        <v>2026-10-06</v>
      </c>
    </row>
    <row r="764" customFormat="false" ht="15" hidden="false" customHeight="false" outlineLevel="0" collapsed="false">
      <c r="A764" s="27" t="n">
        <v>12</v>
      </c>
      <c r="B764" s="28" t="n">
        <v>46301.4867264815</v>
      </c>
      <c r="C764" s="29" t="n">
        <f aca="false">IF(A765=A764,B765,INDEX(Rounds!$D:$D,MATCH(A764,Rounds!$A:$A,0)))</f>
        <v>46301.486731875</v>
      </c>
      <c r="D764" s="30" t="n">
        <f aca="false">(B764-INDEX(Rounds!$C:$C,MATCH(A764,Rounds!$A:$A,0)))*86400</f>
        <v>68.919999967</v>
      </c>
      <c r="E764" s="30" t="n">
        <f aca="false">(C764-INDEX(Rounds!$C:$C,MATCH(A764,Rounds!$A:$A,0)))*86400</f>
        <v>69.385999627</v>
      </c>
      <c r="F764" s="31" t="n">
        <f aca="false">(C764-B764)*86400</f>
        <v>0.46599966</v>
      </c>
      <c r="G764" s="27" t="s">
        <v>150</v>
      </c>
      <c r="H764" s="27" t="s">
        <v>206</v>
      </c>
      <c r="I764" s="27" t="s">
        <v>407</v>
      </c>
      <c r="J764" s="27" t="s">
        <v>463</v>
      </c>
      <c r="K764" s="27" t="s">
        <v>204</v>
      </c>
      <c r="L764" s="3" t="str">
        <f aca="false">IF(ISNUMBER(SEARCH(" m",I764)),"Range",IF(I764="offline","Offline",IF(I764="","Unknown","No echo / error")))</f>
        <v>Range</v>
      </c>
      <c r="M764" s="3" t="str">
        <f aca="false">IF(ISNUMBER(SEARCH(" m",J764)),"Range",IF(J764="offline","Offline",IF(J764="","Unknown","No echo / error")))</f>
        <v>Range</v>
      </c>
      <c r="N764" s="3" t="str">
        <f aca="false">IF(ISNUMBER(SEARCH(" m",K764)),"Range",IF(K764="offline","Offline",IF(K764="","Unknown","No echo / error")))</f>
        <v>No echo / error</v>
      </c>
      <c r="O764" s="3" t="str">
        <f aca="false">TEXT(B764,"yyyy-mm-dd")</f>
        <v>2026-10-06</v>
      </c>
    </row>
    <row r="765" customFormat="false" ht="15" hidden="false" customHeight="false" outlineLevel="0" collapsed="false">
      <c r="A765" s="27" t="n">
        <v>12</v>
      </c>
      <c r="B765" s="28" t="n">
        <v>46301.486731875</v>
      </c>
      <c r="C765" s="29" t="n">
        <f aca="false">IF(A766=A765,B766,INDEX(Rounds!$D:$D,MATCH(A765,Rounds!$A:$A,0)))</f>
        <v>46301.4867352315</v>
      </c>
      <c r="D765" s="30" t="n">
        <f aca="false">(B765-INDEX(Rounds!$C:$C,MATCH(A765,Rounds!$A:$A,0)))*86400</f>
        <v>69.385999627</v>
      </c>
      <c r="E765" s="30" t="n">
        <f aca="false">(C765-INDEX(Rounds!$C:$C,MATCH(A765,Rounds!$A:$A,0)))*86400</f>
        <v>69.676000066</v>
      </c>
      <c r="F765" s="31" t="n">
        <f aca="false">(C765-B765)*86400</f>
        <v>0.290000438</v>
      </c>
      <c r="G765" s="27" t="s">
        <v>152</v>
      </c>
      <c r="H765" s="27" t="s">
        <v>208</v>
      </c>
      <c r="I765" s="27" t="s">
        <v>204</v>
      </c>
      <c r="J765" s="27" t="s">
        <v>434</v>
      </c>
      <c r="K765" s="27" t="s">
        <v>204</v>
      </c>
      <c r="L765" s="3" t="str">
        <f aca="false">IF(ISNUMBER(SEARCH(" m",I765)),"Range",IF(I765="offline","Offline",IF(I765="","Unknown","No echo / error")))</f>
        <v>No echo / error</v>
      </c>
      <c r="M765" s="3" t="str">
        <f aca="false">IF(ISNUMBER(SEARCH(" m",J765)),"Range",IF(J765="offline","Offline",IF(J765="","Unknown","No echo / error")))</f>
        <v>Range</v>
      </c>
      <c r="N765" s="3" t="str">
        <f aca="false">IF(ISNUMBER(SEARCH(" m",K765)),"Range",IF(K765="offline","Offline",IF(K765="","Unknown","No echo / error")))</f>
        <v>No echo / error</v>
      </c>
      <c r="O765" s="3" t="str">
        <f aca="false">TEXT(B765,"yyyy-mm-dd")</f>
        <v>2026-10-06</v>
      </c>
    </row>
    <row r="766" customFormat="false" ht="15" hidden="false" customHeight="false" outlineLevel="0" collapsed="false">
      <c r="A766" s="27" t="n">
        <v>12</v>
      </c>
      <c r="B766" s="28" t="n">
        <v>46301.4867352315</v>
      </c>
      <c r="C766" s="29" t="n">
        <f aca="false">IF(A767=A766,B767,INDEX(Rounds!$D:$D,MATCH(A766,Rounds!$A:$A,0)))</f>
        <v>46301.4867363542</v>
      </c>
      <c r="D766" s="30" t="n">
        <f aca="false">(B766-INDEX(Rounds!$C:$C,MATCH(A766,Rounds!$A:$A,0)))*86400</f>
        <v>69.676000066</v>
      </c>
      <c r="E766" s="30" t="n">
        <f aca="false">(C766-INDEX(Rounds!$C:$C,MATCH(A766,Rounds!$A:$A,0)))*86400</f>
        <v>69.77299964</v>
      </c>
      <c r="F766" s="31" t="n">
        <f aca="false">(C766-B766)*86400</f>
        <v>0.096999574</v>
      </c>
      <c r="G766" s="27" t="s">
        <v>151</v>
      </c>
      <c r="H766" s="27" t="s">
        <v>203</v>
      </c>
      <c r="I766" s="27" t="s">
        <v>432</v>
      </c>
      <c r="J766" s="27" t="s">
        <v>434</v>
      </c>
      <c r="K766" s="27" t="s">
        <v>496</v>
      </c>
      <c r="L766" s="3" t="str">
        <f aca="false">IF(ISNUMBER(SEARCH(" m",I766)),"Range",IF(I766="offline","Offline",IF(I766="","Unknown","No echo / error")))</f>
        <v>Range</v>
      </c>
      <c r="M766" s="3" t="str">
        <f aca="false">IF(ISNUMBER(SEARCH(" m",J766)),"Range",IF(J766="offline","Offline",IF(J766="","Unknown","No echo / error")))</f>
        <v>Range</v>
      </c>
      <c r="N766" s="3" t="str">
        <f aca="false">IF(ISNUMBER(SEARCH(" m",K766)),"Range",IF(K766="offline","Offline",IF(K766="","Unknown","No echo / error")))</f>
        <v>Range</v>
      </c>
      <c r="O766" s="3" t="str">
        <f aca="false">TEXT(B766,"yyyy-mm-dd")</f>
        <v>2026-10-06</v>
      </c>
    </row>
    <row r="767" customFormat="false" ht="15" hidden="false" customHeight="false" outlineLevel="0" collapsed="false">
      <c r="A767" s="27" t="n">
        <v>12</v>
      </c>
      <c r="B767" s="28" t="n">
        <v>46301.4867363542</v>
      </c>
      <c r="C767" s="29" t="n">
        <f aca="false">IF(A768=A767,B768,INDEX(Rounds!$D:$D,MATCH(A767,Rounds!$A:$A,0)))</f>
        <v>46301.4867419213</v>
      </c>
      <c r="D767" s="30" t="n">
        <f aca="false">(B767-INDEX(Rounds!$C:$C,MATCH(A767,Rounds!$A:$A,0)))*86400</f>
        <v>69.77299964</v>
      </c>
      <c r="E767" s="30" t="n">
        <f aca="false">(C767-INDEX(Rounds!$C:$C,MATCH(A767,Rounds!$A:$A,0)))*86400</f>
        <v>70.253999973</v>
      </c>
      <c r="F767" s="31" t="n">
        <f aca="false">(C767-B767)*86400</f>
        <v>0.481000333</v>
      </c>
      <c r="G767" s="27" t="s">
        <v>150</v>
      </c>
      <c r="H767" s="27" t="s">
        <v>206</v>
      </c>
      <c r="I767" s="27" t="s">
        <v>432</v>
      </c>
      <c r="J767" s="27" t="s">
        <v>286</v>
      </c>
      <c r="K767" s="27" t="s">
        <v>496</v>
      </c>
      <c r="L767" s="3" t="str">
        <f aca="false">IF(ISNUMBER(SEARCH(" m",I767)),"Range",IF(I767="offline","Offline",IF(I767="","Unknown","No echo / error")))</f>
        <v>Range</v>
      </c>
      <c r="M767" s="3" t="str">
        <f aca="false">IF(ISNUMBER(SEARCH(" m",J767)),"Range",IF(J767="offline","Offline",IF(J767="","Unknown","No echo / error")))</f>
        <v>Range</v>
      </c>
      <c r="N767" s="3" t="str">
        <f aca="false">IF(ISNUMBER(SEARCH(" m",K767)),"Range",IF(K767="offline","Offline",IF(K767="","Unknown","No echo / error")))</f>
        <v>Range</v>
      </c>
      <c r="O767" s="3" t="str">
        <f aca="false">TEXT(B767,"yyyy-mm-dd")</f>
        <v>2026-10-06</v>
      </c>
    </row>
    <row r="768" customFormat="false" ht="15" hidden="false" customHeight="false" outlineLevel="0" collapsed="false">
      <c r="A768" s="27" t="n">
        <v>12</v>
      </c>
      <c r="B768" s="28" t="n">
        <v>46301.4867419213</v>
      </c>
      <c r="C768" s="29" t="n">
        <f aca="false">IF(A769=A768,B769,INDEX(Rounds!$D:$D,MATCH(A768,Rounds!$A:$A,0)))</f>
        <v>46301.4867560995</v>
      </c>
      <c r="D768" s="30" t="n">
        <f aca="false">(B768-INDEX(Rounds!$C:$C,MATCH(A768,Rounds!$A:$A,0)))*86400</f>
        <v>70.253999973</v>
      </c>
      <c r="E768" s="30" t="n">
        <f aca="false">(C768-INDEX(Rounds!$C:$C,MATCH(A768,Rounds!$A:$A,0)))*86400</f>
        <v>71.478999615</v>
      </c>
      <c r="F768" s="31" t="n">
        <f aca="false">(C768-B768)*86400</f>
        <v>1.224999641</v>
      </c>
      <c r="G768" s="27" t="s">
        <v>152</v>
      </c>
      <c r="H768" s="27" t="s">
        <v>208</v>
      </c>
      <c r="I768" s="27" t="s">
        <v>432</v>
      </c>
      <c r="J768" s="27" t="s">
        <v>286</v>
      </c>
      <c r="K768" s="27" t="s">
        <v>447</v>
      </c>
      <c r="L768" s="3" t="str">
        <f aca="false">IF(ISNUMBER(SEARCH(" m",I768)),"Range",IF(I768="offline","Offline",IF(I768="","Unknown","No echo / error")))</f>
        <v>Range</v>
      </c>
      <c r="M768" s="3" t="str">
        <f aca="false">IF(ISNUMBER(SEARCH(" m",J768)),"Range",IF(J768="offline","Offline",IF(J768="","Unknown","No echo / error")))</f>
        <v>Range</v>
      </c>
      <c r="N768" s="3" t="str">
        <f aca="false">IF(ISNUMBER(SEARCH(" m",K768)),"Range",IF(K768="offline","Offline",IF(K768="","Unknown","No echo / error")))</f>
        <v>Range</v>
      </c>
      <c r="O768" s="3" t="str">
        <f aca="false">TEXT(B768,"yyyy-mm-dd")</f>
        <v>2026-10-06</v>
      </c>
    </row>
    <row r="769" customFormat="false" ht="15" hidden="false" customHeight="false" outlineLevel="0" collapsed="false">
      <c r="A769" s="27" t="n">
        <v>12</v>
      </c>
      <c r="B769" s="28" t="n">
        <v>46301.4867560995</v>
      </c>
      <c r="C769" s="29" t="n">
        <f aca="false">IF(A770=A769,B770,INDEX(Rounds!$D:$D,MATCH(A769,Rounds!$A:$A,0)))</f>
        <v>46301.4867616551</v>
      </c>
      <c r="D769" s="30" t="n">
        <f aca="false">(B769-INDEX(Rounds!$C:$C,MATCH(A769,Rounds!$A:$A,0)))*86400</f>
        <v>71.478999615</v>
      </c>
      <c r="E769" s="30" t="n">
        <f aca="false">(C769-INDEX(Rounds!$C:$C,MATCH(A769,Rounds!$A:$A,0)))*86400</f>
        <v>71.958999778</v>
      </c>
      <c r="F769" s="31" t="n">
        <f aca="false">(C769-B769)*86400</f>
        <v>0.480000162</v>
      </c>
      <c r="G769" s="27" t="s">
        <v>151</v>
      </c>
      <c r="H769" s="27" t="s">
        <v>203</v>
      </c>
      <c r="I769" s="27" t="s">
        <v>204</v>
      </c>
      <c r="J769" s="27" t="s">
        <v>349</v>
      </c>
      <c r="K769" s="27" t="s">
        <v>311</v>
      </c>
      <c r="L769" s="3" t="str">
        <f aca="false">IF(ISNUMBER(SEARCH(" m",I769)),"Range",IF(I769="offline","Offline",IF(I769="","Unknown","No echo / error")))</f>
        <v>No echo / error</v>
      </c>
      <c r="M769" s="3" t="str">
        <f aca="false">IF(ISNUMBER(SEARCH(" m",J769)),"Range",IF(J769="offline","Offline",IF(J769="","Unknown","No echo / error")))</f>
        <v>Range</v>
      </c>
      <c r="N769" s="3" t="str">
        <f aca="false">IF(ISNUMBER(SEARCH(" m",K769)),"Range",IF(K769="offline","Offline",IF(K769="","Unknown","No echo / error")))</f>
        <v>Range</v>
      </c>
      <c r="O769" s="3" t="str">
        <f aca="false">TEXT(B769,"yyyy-mm-dd")</f>
        <v>2026-10-06</v>
      </c>
    </row>
    <row r="770" customFormat="false" ht="15" hidden="false" customHeight="false" outlineLevel="0" collapsed="false">
      <c r="A770" s="27" t="n">
        <v>12</v>
      </c>
      <c r="B770" s="28" t="n">
        <v>46301.4867616551</v>
      </c>
      <c r="C770" s="29" t="n">
        <f aca="false">IF(A771=A770,B771,INDEX(Rounds!$D:$D,MATCH(A770,Rounds!$A:$A,0)))</f>
        <v>46301.486767257</v>
      </c>
      <c r="D770" s="30" t="n">
        <f aca="false">(B770-INDEX(Rounds!$C:$C,MATCH(A770,Rounds!$A:$A,0)))*86400</f>
        <v>71.958999778</v>
      </c>
      <c r="E770" s="30" t="n">
        <f aca="false">(C770-INDEX(Rounds!$C:$C,MATCH(A770,Rounds!$A:$A,0)))*86400</f>
        <v>72.443000623</v>
      </c>
      <c r="F770" s="31" t="n">
        <f aca="false">(C770-B770)*86400</f>
        <v>0.484000844</v>
      </c>
      <c r="G770" s="27" t="s">
        <v>152</v>
      </c>
      <c r="H770" s="27" t="s">
        <v>208</v>
      </c>
      <c r="I770" s="27" t="s">
        <v>204</v>
      </c>
      <c r="J770" s="27" t="s">
        <v>349</v>
      </c>
      <c r="K770" s="27" t="s">
        <v>311</v>
      </c>
      <c r="L770" s="3" t="str">
        <f aca="false">IF(ISNUMBER(SEARCH(" m",I770)),"Range",IF(I770="offline","Offline",IF(I770="","Unknown","No echo / error")))</f>
        <v>No echo / error</v>
      </c>
      <c r="M770" s="3" t="str">
        <f aca="false">IF(ISNUMBER(SEARCH(" m",J770)),"Range",IF(J770="offline","Offline",IF(J770="","Unknown","No echo / error")))</f>
        <v>Range</v>
      </c>
      <c r="N770" s="3" t="str">
        <f aca="false">IF(ISNUMBER(SEARCH(" m",K770)),"Range",IF(K770="offline","Offline",IF(K770="","Unknown","No echo / error")))</f>
        <v>Range</v>
      </c>
      <c r="O770" s="3" t="str">
        <f aca="false">TEXT(B770,"yyyy-mm-dd")</f>
        <v>2026-10-06</v>
      </c>
    </row>
    <row r="771" customFormat="false" ht="15" hidden="false" customHeight="false" outlineLevel="0" collapsed="false">
      <c r="A771" s="27" t="n">
        <v>12</v>
      </c>
      <c r="B771" s="28" t="n">
        <v>46301.486767257</v>
      </c>
      <c r="C771" s="29" t="n">
        <f aca="false">IF(A772=A771,B772,INDEX(Rounds!$D:$D,MATCH(A771,Rounds!$A:$A,0)))</f>
        <v>46301.4867771528</v>
      </c>
      <c r="D771" s="30" t="n">
        <f aca="false">(B771-INDEX(Rounds!$C:$C,MATCH(A771,Rounds!$A:$A,0)))*86400</f>
        <v>72.443000623</v>
      </c>
      <c r="E771" s="30" t="n">
        <f aca="false">(C771-INDEX(Rounds!$C:$C,MATCH(A771,Rounds!$A:$A,0)))*86400</f>
        <v>73.298000008</v>
      </c>
      <c r="F771" s="31" t="n">
        <f aca="false">(C771-B771)*86400</f>
        <v>0.854999385</v>
      </c>
      <c r="G771" s="27" t="s">
        <v>151</v>
      </c>
      <c r="H771" s="27" t="s">
        <v>203</v>
      </c>
      <c r="I771" s="27" t="s">
        <v>211</v>
      </c>
      <c r="J771" s="27" t="s">
        <v>313</v>
      </c>
      <c r="K771" s="27" t="s">
        <v>311</v>
      </c>
      <c r="L771" s="3" t="str">
        <f aca="false">IF(ISNUMBER(SEARCH(" m",I771)),"Range",IF(I771="offline","Offline",IF(I771="","Unknown","No echo / error")))</f>
        <v>No echo / error</v>
      </c>
      <c r="M771" s="3" t="str">
        <f aca="false">IF(ISNUMBER(SEARCH(" m",J771)),"Range",IF(J771="offline","Offline",IF(J771="","Unknown","No echo / error")))</f>
        <v>Range</v>
      </c>
      <c r="N771" s="3" t="str">
        <f aca="false">IF(ISNUMBER(SEARCH(" m",K771)),"Range",IF(K771="offline","Offline",IF(K771="","Unknown","No echo / error")))</f>
        <v>Range</v>
      </c>
      <c r="O771" s="3" t="str">
        <f aca="false">TEXT(B771,"yyyy-mm-dd")</f>
        <v>2026-10-06</v>
      </c>
    </row>
    <row r="772" customFormat="false" ht="15" hidden="false" customHeight="false" outlineLevel="0" collapsed="false">
      <c r="A772" s="27" t="n">
        <v>12</v>
      </c>
      <c r="B772" s="28" t="n">
        <v>46301.4867771528</v>
      </c>
      <c r="C772" s="29" t="n">
        <f aca="false">IF(A773=A772,B773,INDEX(Rounds!$D:$D,MATCH(A772,Rounds!$A:$A,0)))</f>
        <v>46301.4867918866</v>
      </c>
      <c r="D772" s="30" t="n">
        <f aca="false">(B772-INDEX(Rounds!$C:$C,MATCH(A772,Rounds!$A:$A,0)))*86400</f>
        <v>73.298000008</v>
      </c>
      <c r="E772" s="30" t="n">
        <f aca="false">(C772-INDEX(Rounds!$C:$C,MATCH(A772,Rounds!$A:$A,0)))*86400</f>
        <v>74.570999667</v>
      </c>
      <c r="F772" s="31" t="n">
        <f aca="false">(C772-B772)*86400</f>
        <v>1.272999658</v>
      </c>
      <c r="G772" s="27" t="s">
        <v>150</v>
      </c>
      <c r="H772" s="27" t="s">
        <v>206</v>
      </c>
      <c r="I772" s="27" t="s">
        <v>399</v>
      </c>
      <c r="J772" s="27" t="s">
        <v>253</v>
      </c>
      <c r="K772" s="27" t="s">
        <v>448</v>
      </c>
      <c r="L772" s="3" t="str">
        <f aca="false">IF(ISNUMBER(SEARCH(" m",I772)),"Range",IF(I772="offline","Offline",IF(I772="","Unknown","No echo / error")))</f>
        <v>Range</v>
      </c>
      <c r="M772" s="3" t="str">
        <f aca="false">IF(ISNUMBER(SEARCH(" m",J772)),"Range",IF(J772="offline","Offline",IF(J772="","Unknown","No echo / error")))</f>
        <v>Range</v>
      </c>
      <c r="N772" s="3" t="str">
        <f aca="false">IF(ISNUMBER(SEARCH(" m",K772)),"Range",IF(K772="offline","Offline",IF(K772="","Unknown","No echo / error")))</f>
        <v>Range</v>
      </c>
      <c r="O772" s="3" t="str">
        <f aca="false">TEXT(B772,"yyyy-mm-dd")</f>
        <v>2026-10-06</v>
      </c>
    </row>
    <row r="773" customFormat="false" ht="15" hidden="false" customHeight="false" outlineLevel="0" collapsed="false">
      <c r="A773" s="27" t="n">
        <v>12</v>
      </c>
      <c r="B773" s="28" t="n">
        <v>46301.4867918866</v>
      </c>
      <c r="C773" s="29" t="n">
        <f aca="false">IF(A774=A773,B774,INDEX(Rounds!$D:$D,MATCH(A773,Rounds!$A:$A,0)))</f>
        <v>46301.4867969445</v>
      </c>
      <c r="D773" s="30" t="n">
        <f aca="false">(B773-INDEX(Rounds!$C:$C,MATCH(A773,Rounds!$A:$A,0)))*86400</f>
        <v>74.570999667</v>
      </c>
      <c r="E773" s="30" t="n">
        <f aca="false">(C773-INDEX(Rounds!$C:$C,MATCH(A773,Rounds!$A:$A,0)))*86400</f>
        <v>75.008000666</v>
      </c>
      <c r="F773" s="31" t="n">
        <f aca="false">(C773-B773)*86400</f>
        <v>0.437000999</v>
      </c>
      <c r="G773" s="27" t="s">
        <v>152</v>
      </c>
      <c r="H773" s="27" t="s">
        <v>208</v>
      </c>
      <c r="I773" s="27" t="s">
        <v>424</v>
      </c>
      <c r="J773" s="27" t="s">
        <v>469</v>
      </c>
      <c r="K773" s="27" t="s">
        <v>447</v>
      </c>
      <c r="L773" s="3" t="str">
        <f aca="false">IF(ISNUMBER(SEARCH(" m",I773)),"Range",IF(I773="offline","Offline",IF(I773="","Unknown","No echo / error")))</f>
        <v>Range</v>
      </c>
      <c r="M773" s="3" t="str">
        <f aca="false">IF(ISNUMBER(SEARCH(" m",J773)),"Range",IF(J773="offline","Offline",IF(J773="","Unknown","No echo / error")))</f>
        <v>Range</v>
      </c>
      <c r="N773" s="3" t="str">
        <f aca="false">IF(ISNUMBER(SEARCH(" m",K773)),"Range",IF(K773="offline","Offline",IF(K773="","Unknown","No echo / error")))</f>
        <v>Range</v>
      </c>
      <c r="O773" s="3" t="str">
        <f aca="false">TEXT(B773,"yyyy-mm-dd")</f>
        <v>2026-10-06</v>
      </c>
    </row>
    <row r="774" customFormat="false" ht="15" hidden="false" customHeight="false" outlineLevel="0" collapsed="false">
      <c r="A774" s="27" t="n">
        <v>12</v>
      </c>
      <c r="B774" s="28" t="n">
        <v>46301.4867969445</v>
      </c>
      <c r="C774" s="29" t="n">
        <f aca="false">IF(A775=A774,B775,INDEX(Rounds!$D:$D,MATCH(A774,Rounds!$A:$A,0)))</f>
        <v>46301.4868150116</v>
      </c>
      <c r="D774" s="30" t="n">
        <f aca="false">(B774-INDEX(Rounds!$C:$C,MATCH(A774,Rounds!$A:$A,0)))*86400</f>
        <v>75.008000666</v>
      </c>
      <c r="E774" s="30" t="n">
        <f aca="false">(C774-INDEX(Rounds!$C:$C,MATCH(A774,Rounds!$A:$A,0)))*86400</f>
        <v>76.568999793</v>
      </c>
      <c r="F774" s="31" t="n">
        <f aca="false">(C774-B774)*86400</f>
        <v>1.560999127</v>
      </c>
      <c r="G774" s="27" t="s">
        <v>151</v>
      </c>
      <c r="H774" s="27" t="s">
        <v>203</v>
      </c>
      <c r="I774" s="27" t="s">
        <v>283</v>
      </c>
      <c r="J774" s="27" t="s">
        <v>384</v>
      </c>
      <c r="K774" s="27" t="s">
        <v>447</v>
      </c>
      <c r="L774" s="3" t="str">
        <f aca="false">IF(ISNUMBER(SEARCH(" m",I774)),"Range",IF(I774="offline","Offline",IF(I774="","Unknown","No echo / error")))</f>
        <v>Range</v>
      </c>
      <c r="M774" s="3" t="str">
        <f aca="false">IF(ISNUMBER(SEARCH(" m",J774)),"Range",IF(J774="offline","Offline",IF(J774="","Unknown","No echo / error")))</f>
        <v>Range</v>
      </c>
      <c r="N774" s="3" t="str">
        <f aca="false">IF(ISNUMBER(SEARCH(" m",K774)),"Range",IF(K774="offline","Offline",IF(K774="","Unknown","No echo / error")))</f>
        <v>Range</v>
      </c>
      <c r="O774" s="3" t="str">
        <f aca="false">TEXT(B774,"yyyy-mm-dd")</f>
        <v>2026-10-06</v>
      </c>
    </row>
    <row r="775" customFormat="false" ht="15" hidden="false" customHeight="false" outlineLevel="0" collapsed="false">
      <c r="A775" s="27" t="n">
        <v>12</v>
      </c>
      <c r="B775" s="28" t="n">
        <v>46301.4868150116</v>
      </c>
      <c r="C775" s="29" t="n">
        <f aca="false">IF(A776=A775,B776,INDEX(Rounds!$D:$D,MATCH(A775,Rounds!$A:$A,0)))</f>
        <v>46301.4868157523</v>
      </c>
      <c r="D775" s="30" t="n">
        <f aca="false">(B775-INDEX(Rounds!$C:$C,MATCH(A775,Rounds!$A:$A,0)))*86400</f>
        <v>76.568999793</v>
      </c>
      <c r="E775" s="30" t="n">
        <f aca="false">(C775-INDEX(Rounds!$C:$C,MATCH(A775,Rounds!$A:$A,0)))*86400</f>
        <v>76.633000653</v>
      </c>
      <c r="F775" s="31" t="n">
        <f aca="false">(C775-B775)*86400</f>
        <v>0.064000859</v>
      </c>
      <c r="G775" s="27" t="s">
        <v>152</v>
      </c>
      <c r="H775" s="27" t="s">
        <v>208</v>
      </c>
      <c r="I775" s="27" t="s">
        <v>220</v>
      </c>
      <c r="J775" s="27" t="s">
        <v>373</v>
      </c>
      <c r="K775" s="27" t="s">
        <v>204</v>
      </c>
      <c r="L775" s="3" t="str">
        <f aca="false">IF(ISNUMBER(SEARCH(" m",I775)),"Range",IF(I775="offline","Offline",IF(I775="","Unknown","No echo / error")))</f>
        <v>No echo / error</v>
      </c>
      <c r="M775" s="3" t="str">
        <f aca="false">IF(ISNUMBER(SEARCH(" m",J775)),"Range",IF(J775="offline","Offline",IF(J775="","Unknown","No echo / error")))</f>
        <v>Range</v>
      </c>
      <c r="N775" s="3" t="str">
        <f aca="false">IF(ISNUMBER(SEARCH(" m",K775)),"Range",IF(K775="offline","Offline",IF(K775="","Unknown","No echo / error")))</f>
        <v>No echo / error</v>
      </c>
      <c r="O775" s="3" t="str">
        <f aca="false">TEXT(B775,"yyyy-mm-dd")</f>
        <v>2026-10-06</v>
      </c>
    </row>
    <row r="776" customFormat="false" ht="15" hidden="false" customHeight="false" outlineLevel="0" collapsed="false">
      <c r="A776" s="27" t="n">
        <v>12</v>
      </c>
      <c r="B776" s="28" t="n">
        <v>46301.4868157523</v>
      </c>
      <c r="C776" s="29" t="n">
        <f aca="false">IF(A777=A776,B777,INDEX(Rounds!$D:$D,MATCH(A776,Rounds!$A:$A,0)))</f>
        <v>46301.4868183681</v>
      </c>
      <c r="D776" s="30" t="n">
        <f aca="false">(B776-INDEX(Rounds!$C:$C,MATCH(A776,Rounds!$A:$A,0)))*86400</f>
        <v>76.633000653</v>
      </c>
      <c r="E776" s="30" t="n">
        <f aca="false">(C776-INDEX(Rounds!$C:$C,MATCH(A776,Rounds!$A:$A,0)))*86400</f>
        <v>76.859000232</v>
      </c>
      <c r="F776" s="31" t="n">
        <f aca="false">(C776-B776)*86400</f>
        <v>0.225999578</v>
      </c>
      <c r="G776" s="27" t="s">
        <v>151</v>
      </c>
      <c r="H776" s="27" t="s">
        <v>203</v>
      </c>
      <c r="I776" s="27" t="s">
        <v>220</v>
      </c>
      <c r="J776" s="27" t="s">
        <v>243</v>
      </c>
      <c r="K776" s="27" t="s">
        <v>204</v>
      </c>
      <c r="L776" s="3" t="str">
        <f aca="false">IF(ISNUMBER(SEARCH(" m",I776)),"Range",IF(I776="offline","Offline",IF(I776="","Unknown","No echo / error")))</f>
        <v>No echo / error</v>
      </c>
      <c r="M776" s="3" t="str">
        <f aca="false">IF(ISNUMBER(SEARCH(" m",J776)),"Range",IF(J776="offline","Offline",IF(J776="","Unknown","No echo / error")))</f>
        <v>Range</v>
      </c>
      <c r="N776" s="3" t="str">
        <f aca="false">IF(ISNUMBER(SEARCH(" m",K776)),"Range",IF(K776="offline","Offline",IF(K776="","Unknown","No echo / error")))</f>
        <v>No echo / error</v>
      </c>
      <c r="O776" s="3" t="str">
        <f aca="false">TEXT(B776,"yyyy-mm-dd")</f>
        <v>2026-10-06</v>
      </c>
    </row>
    <row r="777" customFormat="false" ht="15" hidden="false" customHeight="false" outlineLevel="0" collapsed="false">
      <c r="A777" s="27" t="n">
        <v>12</v>
      </c>
      <c r="B777" s="28" t="n">
        <v>46301.4868183681</v>
      </c>
      <c r="C777" s="29" t="n">
        <f aca="false">IF(A778=A777,B778,INDEX(Rounds!$D:$D,MATCH(A777,Rounds!$A:$A,0)))</f>
        <v>46301.4868290162</v>
      </c>
      <c r="D777" s="30" t="n">
        <f aca="false">(B777-INDEX(Rounds!$C:$C,MATCH(A777,Rounds!$A:$A,0)))*86400</f>
        <v>76.859000232</v>
      </c>
      <c r="E777" s="30" t="n">
        <f aca="false">(C777-INDEX(Rounds!$C:$C,MATCH(A777,Rounds!$A:$A,0)))*86400</f>
        <v>77.778999391</v>
      </c>
      <c r="F777" s="31" t="n">
        <f aca="false">(C777-B777)*86400</f>
        <v>0.919999158</v>
      </c>
      <c r="G777" s="27" t="s">
        <v>150</v>
      </c>
      <c r="H777" s="27" t="s">
        <v>206</v>
      </c>
      <c r="I777" s="27" t="s">
        <v>281</v>
      </c>
      <c r="J777" s="27" t="s">
        <v>243</v>
      </c>
      <c r="K777" s="27" t="s">
        <v>204</v>
      </c>
      <c r="L777" s="3" t="str">
        <f aca="false">IF(ISNUMBER(SEARCH(" m",I777)),"Range",IF(I777="offline","Offline",IF(I777="","Unknown","No echo / error")))</f>
        <v>Range</v>
      </c>
      <c r="M777" s="3" t="str">
        <f aca="false">IF(ISNUMBER(SEARCH(" m",J777)),"Range",IF(J777="offline","Offline",IF(J777="","Unknown","No echo / error")))</f>
        <v>Range</v>
      </c>
      <c r="N777" s="3" t="str">
        <f aca="false">IF(ISNUMBER(SEARCH(" m",K777)),"Range",IF(K777="offline","Offline",IF(K777="","Unknown","No echo / error")))</f>
        <v>No echo / error</v>
      </c>
      <c r="O777" s="3" t="str">
        <f aca="false">TEXT(B777,"yyyy-mm-dd")</f>
        <v>2026-10-06</v>
      </c>
    </row>
    <row r="778" customFormat="false" ht="15" hidden="false" customHeight="false" outlineLevel="0" collapsed="false">
      <c r="A778" s="27" t="n">
        <v>12</v>
      </c>
      <c r="B778" s="28" t="n">
        <v>46301.4868290162</v>
      </c>
      <c r="C778" s="29" t="n">
        <f aca="false">IF(A779=A778,B779,INDEX(Rounds!$D:$D,MATCH(A778,Rounds!$A:$A,0)))</f>
        <v>46301.4868290162</v>
      </c>
      <c r="D778" s="30" t="n">
        <f aca="false">(B778-INDEX(Rounds!$C:$C,MATCH(A778,Rounds!$A:$A,0)))*86400</f>
        <v>77.778999391</v>
      </c>
      <c r="E778" s="30" t="n">
        <f aca="false">(C778-INDEX(Rounds!$C:$C,MATCH(A778,Rounds!$A:$A,0)))*86400</f>
        <v>77.778999391</v>
      </c>
      <c r="F778" s="31" t="n">
        <f aca="false">(C778-B778)*86400</f>
        <v>0</v>
      </c>
      <c r="G778" s="27" t="s">
        <v>154</v>
      </c>
      <c r="H778" s="27" t="s">
        <v>206</v>
      </c>
      <c r="I778" s="27" t="s">
        <v>281</v>
      </c>
      <c r="J778" s="27" t="s">
        <v>243</v>
      </c>
      <c r="K778" s="27" t="s">
        <v>204</v>
      </c>
      <c r="L778" s="3" t="str">
        <f aca="false">IF(ISNUMBER(SEARCH(" m",I778)),"Range",IF(I778="offline","Offline",IF(I778="","Unknown","No echo / error")))</f>
        <v>Range</v>
      </c>
      <c r="M778" s="3" t="str">
        <f aca="false">IF(ISNUMBER(SEARCH(" m",J778)),"Range",IF(J778="offline","Offline",IF(J778="","Unknown","No echo / error")))</f>
        <v>Range</v>
      </c>
      <c r="N778" s="3" t="str">
        <f aca="false">IF(ISNUMBER(SEARCH(" m",K778)),"Range",IF(K778="offline","Offline",IF(K778="","Unknown","No echo / error")))</f>
        <v>No echo / error</v>
      </c>
      <c r="O778" s="3" t="str">
        <f aca="false">TEXT(B778,"yyyy-mm-dd")</f>
        <v>2026-10-06</v>
      </c>
    </row>
    <row r="779" customFormat="false" ht="15" hidden="false" customHeight="false" outlineLevel="0" collapsed="false">
      <c r="A779" s="27" t="n">
        <v>13</v>
      </c>
      <c r="B779" s="28" t="n">
        <v>46301.5214552546</v>
      </c>
      <c r="C779" s="29" t="n">
        <f aca="false">IF(A780=A779,B780,INDEX(Rounds!$D:$D,MATCH(A779,Rounds!$A:$A,0)))</f>
        <v>46301.5214552662</v>
      </c>
      <c r="D779" s="30" t="n">
        <f aca="false">(B779-INDEX(Rounds!$C:$C,MATCH(A779,Rounds!$A:$A,0)))*86400</f>
        <v>0</v>
      </c>
      <c r="E779" s="30" t="n">
        <f aca="false">(C779-INDEX(Rounds!$C:$C,MATCH(A779,Rounds!$A:$A,0)))*86400</f>
        <v>0.00100017</v>
      </c>
      <c r="F779" s="31" t="n">
        <f aca="false">(C779-B779)*86400</f>
        <v>0.00100017</v>
      </c>
      <c r="G779" s="27" t="s">
        <v>154</v>
      </c>
      <c r="H779" s="27" t="s">
        <v>411</v>
      </c>
      <c r="I779" s="27" t="s">
        <v>200</v>
      </c>
      <c r="J779" s="27" t="s">
        <v>200</v>
      </c>
      <c r="K779" s="27" t="s">
        <v>200</v>
      </c>
      <c r="L779" s="3" t="str">
        <f aca="false">IF(ISNUMBER(SEARCH(" m",I779)),"Range",IF(I779="offline","Offline",IF(I779="","Unknown","No echo / error")))</f>
        <v>Offline</v>
      </c>
      <c r="M779" s="3" t="str">
        <f aca="false">IF(ISNUMBER(SEARCH(" m",J779)),"Range",IF(J779="offline","Offline",IF(J779="","Unknown","No echo / error")))</f>
        <v>Offline</v>
      </c>
      <c r="N779" s="3" t="str">
        <f aca="false">IF(ISNUMBER(SEARCH(" m",K779)),"Range",IF(K779="offline","Offline",IF(K779="","Unknown","No echo / error")))</f>
        <v>Offline</v>
      </c>
      <c r="O779" s="3" t="str">
        <f aca="false">TEXT(B779,"yyyy-mm-dd")</f>
        <v>2026-10-06</v>
      </c>
    </row>
    <row r="780" customFormat="false" ht="15" hidden="false" customHeight="false" outlineLevel="0" collapsed="false">
      <c r="A780" s="27" t="n">
        <v>13</v>
      </c>
      <c r="B780" s="28" t="n">
        <v>46301.5214552662</v>
      </c>
      <c r="C780" s="29" t="n">
        <f aca="false">IF(A781=A780,B781,INDEX(Rounds!$D:$D,MATCH(A780,Rounds!$A:$A,0)))</f>
        <v>46301.5214552662</v>
      </c>
      <c r="D780" s="30" t="n">
        <f aca="false">(B780-INDEX(Rounds!$C:$C,MATCH(A780,Rounds!$A:$A,0)))*86400</f>
        <v>0.00100017</v>
      </c>
      <c r="E780" s="30" t="n">
        <f aca="false">(C780-INDEX(Rounds!$C:$C,MATCH(A780,Rounds!$A:$A,0)))*86400</f>
        <v>0.00100017</v>
      </c>
      <c r="F780" s="31" t="n">
        <f aca="false">(C780-B780)*86400</f>
        <v>0</v>
      </c>
      <c r="G780" s="27" t="s">
        <v>154</v>
      </c>
      <c r="H780" s="27" t="s">
        <v>411</v>
      </c>
      <c r="I780" s="27" t="s">
        <v>200</v>
      </c>
      <c r="J780" s="27" t="s">
        <v>200</v>
      </c>
      <c r="K780" s="27" t="s">
        <v>200</v>
      </c>
      <c r="L780" s="3" t="str">
        <f aca="false">IF(ISNUMBER(SEARCH(" m",I780)),"Range",IF(I780="offline","Offline",IF(I780="","Unknown","No echo / error")))</f>
        <v>Offline</v>
      </c>
      <c r="M780" s="3" t="str">
        <f aca="false">IF(ISNUMBER(SEARCH(" m",J780)),"Range",IF(J780="offline","Offline",IF(J780="","Unknown","No echo / error")))</f>
        <v>Offline</v>
      </c>
      <c r="N780" s="3" t="str">
        <f aca="false">IF(ISNUMBER(SEARCH(" m",K780)),"Range",IF(K780="offline","Offline",IF(K780="","Unknown","No echo / error")))</f>
        <v>Offline</v>
      </c>
      <c r="O780" s="3" t="str">
        <f aca="false">TEXT(B780,"yyyy-mm-dd")</f>
        <v>2026-10-06</v>
      </c>
    </row>
    <row r="781" customFormat="false" ht="15" hidden="false" customHeight="false" outlineLevel="0" collapsed="false">
      <c r="A781" s="27" t="n">
        <v>13</v>
      </c>
      <c r="B781" s="28" t="n">
        <v>46301.5214552662</v>
      </c>
      <c r="C781" s="29" t="n">
        <f aca="false">IF(A782=A781,B782,INDEX(Rounds!$D:$D,MATCH(A781,Rounds!$A:$A,0)))</f>
        <v>46301.5214684838</v>
      </c>
      <c r="D781" s="30" t="n">
        <f aca="false">(B781-INDEX(Rounds!$C:$C,MATCH(A781,Rounds!$A:$A,0)))*86400</f>
        <v>0.00100017</v>
      </c>
      <c r="E781" s="30" t="n">
        <f aca="false">(C781-INDEX(Rounds!$C:$C,MATCH(A781,Rounds!$A:$A,0)))*86400</f>
        <v>1.143000111</v>
      </c>
      <c r="F781" s="31" t="n">
        <f aca="false">(C781-B781)*86400</f>
        <v>1.141999941</v>
      </c>
      <c r="G781" s="27" t="s">
        <v>152</v>
      </c>
      <c r="H781" s="27" t="s">
        <v>199</v>
      </c>
      <c r="I781" s="27" t="s">
        <v>366</v>
      </c>
      <c r="J781" s="27" t="s">
        <v>497</v>
      </c>
      <c r="K781" s="27" t="s">
        <v>368</v>
      </c>
      <c r="L781" s="3" t="str">
        <f aca="false">IF(ISNUMBER(SEARCH(" m",I781)),"Range",IF(I781="offline","Offline",IF(I781="","Unknown","No echo / error")))</f>
        <v>No echo / error</v>
      </c>
      <c r="M781" s="3" t="str">
        <f aca="false">IF(ISNUMBER(SEARCH(" m",J781)),"Range",IF(J781="offline","Offline",IF(J781="","Unknown","No echo / error")))</f>
        <v>No echo / error</v>
      </c>
      <c r="N781" s="3" t="str">
        <f aca="false">IF(ISNUMBER(SEARCH(" m",K781)),"Range",IF(K781="offline","Offline",IF(K781="","Unknown","No echo / error")))</f>
        <v>No echo / error</v>
      </c>
      <c r="O781" s="3" t="str">
        <f aca="false">TEXT(B781,"yyyy-mm-dd")</f>
        <v>2026-10-06</v>
      </c>
    </row>
    <row r="782" customFormat="false" ht="15" hidden="false" customHeight="false" outlineLevel="0" collapsed="false">
      <c r="A782" s="27" t="n">
        <v>13</v>
      </c>
      <c r="B782" s="28" t="n">
        <v>46301.5214684838</v>
      </c>
      <c r="C782" s="29" t="n">
        <f aca="false">IF(A783=A782,B783,INDEX(Rounds!$D:$D,MATCH(A782,Rounds!$A:$A,0)))</f>
        <v>46301.5214790625</v>
      </c>
      <c r="D782" s="30" t="n">
        <f aca="false">(B782-INDEX(Rounds!$C:$C,MATCH(A782,Rounds!$A:$A,0)))*86400</f>
        <v>1.143000111</v>
      </c>
      <c r="E782" s="30" t="n">
        <f aca="false">(C782-INDEX(Rounds!$C:$C,MATCH(A782,Rounds!$A:$A,0)))*86400</f>
        <v>2.057000133</v>
      </c>
      <c r="F782" s="31" t="n">
        <f aca="false">(C782-B782)*86400</f>
        <v>0.914000021</v>
      </c>
      <c r="G782" s="27" t="s">
        <v>151</v>
      </c>
      <c r="H782" s="27" t="s">
        <v>203</v>
      </c>
      <c r="I782" s="27" t="s">
        <v>453</v>
      </c>
      <c r="J782" s="27" t="s">
        <v>498</v>
      </c>
      <c r="K782" s="27" t="s">
        <v>379</v>
      </c>
      <c r="L782" s="3" t="str">
        <f aca="false">IF(ISNUMBER(SEARCH(" m",I782)),"Range",IF(I782="offline","Offline",IF(I782="","Unknown","No echo / error")))</f>
        <v>Range</v>
      </c>
      <c r="M782" s="3" t="str">
        <f aca="false">IF(ISNUMBER(SEARCH(" m",J782)),"Range",IF(J782="offline","Offline",IF(J782="","Unknown","No echo / error")))</f>
        <v>Range</v>
      </c>
      <c r="N782" s="3" t="str">
        <f aca="false">IF(ISNUMBER(SEARCH(" m",K782)),"Range",IF(K782="offline","Offline",IF(K782="","Unknown","No echo / error")))</f>
        <v>Range</v>
      </c>
      <c r="O782" s="3" t="str">
        <f aca="false">TEXT(B782,"yyyy-mm-dd")</f>
        <v>2026-10-06</v>
      </c>
    </row>
    <row r="783" customFormat="false" ht="15" hidden="false" customHeight="false" outlineLevel="0" collapsed="false">
      <c r="A783" s="27" t="n">
        <v>13</v>
      </c>
      <c r="B783" s="28" t="n">
        <v>46301.5214790625</v>
      </c>
      <c r="C783" s="29" t="n">
        <f aca="false">IF(A784=A783,B784,INDEX(Rounds!$D:$D,MATCH(A783,Rounds!$A:$A,0)))</f>
        <v>46301.521484294</v>
      </c>
      <c r="D783" s="30" t="n">
        <f aca="false">(B783-INDEX(Rounds!$C:$C,MATCH(A783,Rounds!$A:$A,0)))*86400</f>
        <v>2.057000133</v>
      </c>
      <c r="E783" s="30" t="n">
        <f aca="false">(C783-INDEX(Rounds!$C:$C,MATCH(A783,Rounds!$A:$A,0)))*86400</f>
        <v>2.508999919</v>
      </c>
      <c r="F783" s="31" t="n">
        <f aca="false">(C783-B783)*86400</f>
        <v>0.451999786</v>
      </c>
      <c r="G783" s="27" t="s">
        <v>152</v>
      </c>
      <c r="H783" s="27" t="s">
        <v>208</v>
      </c>
      <c r="I783" s="27" t="s">
        <v>275</v>
      </c>
      <c r="J783" s="27" t="s">
        <v>222</v>
      </c>
      <c r="K783" s="27" t="s">
        <v>444</v>
      </c>
      <c r="L783" s="3" t="str">
        <f aca="false">IF(ISNUMBER(SEARCH(" m",I783)),"Range",IF(I783="offline","Offline",IF(I783="","Unknown","No echo / error")))</f>
        <v>Range</v>
      </c>
      <c r="M783" s="3" t="str">
        <f aca="false">IF(ISNUMBER(SEARCH(" m",J783)),"Range",IF(J783="offline","Offline",IF(J783="","Unknown","No echo / error")))</f>
        <v>Range</v>
      </c>
      <c r="N783" s="3" t="str">
        <f aca="false">IF(ISNUMBER(SEARCH(" m",K783)),"Range",IF(K783="offline","Offline",IF(K783="","Unknown","No echo / error")))</f>
        <v>Range</v>
      </c>
      <c r="O783" s="3" t="str">
        <f aca="false">TEXT(B783,"yyyy-mm-dd")</f>
        <v>2026-10-06</v>
      </c>
    </row>
    <row r="784" customFormat="false" ht="15" hidden="false" customHeight="false" outlineLevel="0" collapsed="false">
      <c r="A784" s="27" t="n">
        <v>13</v>
      </c>
      <c r="B784" s="28" t="n">
        <v>46301.521484294</v>
      </c>
      <c r="C784" s="29" t="n">
        <f aca="false">IF(A785=A784,B785,INDEX(Rounds!$D:$D,MATCH(A784,Rounds!$A:$A,0)))</f>
        <v>46301.5214878472</v>
      </c>
      <c r="D784" s="30" t="n">
        <f aca="false">(B784-INDEX(Rounds!$C:$C,MATCH(A784,Rounds!$A:$A,0)))*86400</f>
        <v>2.508999919</v>
      </c>
      <c r="E784" s="30" t="n">
        <f aca="false">(C784-INDEX(Rounds!$C:$C,MATCH(A784,Rounds!$A:$A,0)))*86400</f>
        <v>2.816000743</v>
      </c>
      <c r="F784" s="31" t="n">
        <f aca="false">(C784-B784)*86400</f>
        <v>0.307000824</v>
      </c>
      <c r="G784" s="27" t="s">
        <v>151</v>
      </c>
      <c r="H784" s="27" t="s">
        <v>203</v>
      </c>
      <c r="I784" s="27" t="s">
        <v>207</v>
      </c>
      <c r="J784" s="27" t="s">
        <v>204</v>
      </c>
      <c r="K784" s="27" t="s">
        <v>234</v>
      </c>
      <c r="L784" s="3" t="str">
        <f aca="false">IF(ISNUMBER(SEARCH(" m",I784)),"Range",IF(I784="offline","Offline",IF(I784="","Unknown","No echo / error")))</f>
        <v>Range</v>
      </c>
      <c r="M784" s="3" t="str">
        <f aca="false">IF(ISNUMBER(SEARCH(" m",J784)),"Range",IF(J784="offline","Offline",IF(J784="","Unknown","No echo / error")))</f>
        <v>No echo / error</v>
      </c>
      <c r="N784" s="3" t="str">
        <f aca="false">IF(ISNUMBER(SEARCH(" m",K784)),"Range",IF(K784="offline","Offline",IF(K784="","Unknown","No echo / error")))</f>
        <v>Range</v>
      </c>
      <c r="O784" s="3" t="str">
        <f aca="false">TEXT(B784,"yyyy-mm-dd")</f>
        <v>2026-10-06</v>
      </c>
    </row>
    <row r="785" customFormat="false" ht="15" hidden="false" customHeight="false" outlineLevel="0" collapsed="false">
      <c r="A785" s="27" t="n">
        <v>13</v>
      </c>
      <c r="B785" s="28" t="n">
        <v>46301.5214878472</v>
      </c>
      <c r="C785" s="29" t="n">
        <f aca="false">IF(A786=A785,B786,INDEX(Rounds!$D:$D,MATCH(A785,Rounds!$A:$A,0)))</f>
        <v>46301.5214891551</v>
      </c>
      <c r="D785" s="30" t="n">
        <f aca="false">(B785-INDEX(Rounds!$C:$C,MATCH(A785,Rounds!$A:$A,0)))*86400</f>
        <v>2.816000743</v>
      </c>
      <c r="E785" s="30" t="n">
        <f aca="false">(C785-INDEX(Rounds!$C:$C,MATCH(A785,Rounds!$A:$A,0)))*86400</f>
        <v>2.928999904</v>
      </c>
      <c r="F785" s="31" t="n">
        <f aca="false">(C785-B785)*86400</f>
        <v>0.11299916</v>
      </c>
      <c r="G785" s="27" t="s">
        <v>150</v>
      </c>
      <c r="H785" s="27" t="s">
        <v>206</v>
      </c>
      <c r="I785" s="27" t="s">
        <v>278</v>
      </c>
      <c r="J785" s="27" t="s">
        <v>277</v>
      </c>
      <c r="K785" s="27" t="s">
        <v>444</v>
      </c>
      <c r="L785" s="3" t="str">
        <f aca="false">IF(ISNUMBER(SEARCH(" m",I785)),"Range",IF(I785="offline","Offline",IF(I785="","Unknown","No echo / error")))</f>
        <v>Range</v>
      </c>
      <c r="M785" s="3" t="str">
        <f aca="false">IF(ISNUMBER(SEARCH(" m",J785)),"Range",IF(J785="offline","Offline",IF(J785="","Unknown","No echo / error")))</f>
        <v>Range</v>
      </c>
      <c r="N785" s="3" t="str">
        <f aca="false">IF(ISNUMBER(SEARCH(" m",K785)),"Range",IF(K785="offline","Offline",IF(K785="","Unknown","No echo / error")))</f>
        <v>Range</v>
      </c>
      <c r="O785" s="3" t="str">
        <f aca="false">TEXT(B785,"yyyy-mm-dd")</f>
        <v>2026-10-06</v>
      </c>
    </row>
    <row r="786" customFormat="false" ht="15" hidden="false" customHeight="false" outlineLevel="0" collapsed="false">
      <c r="A786" s="27" t="n">
        <v>13</v>
      </c>
      <c r="B786" s="28" t="n">
        <v>46301.5214891551</v>
      </c>
      <c r="C786" s="29" t="n">
        <f aca="false">IF(A787=A786,B787,INDEX(Rounds!$D:$D,MATCH(A786,Rounds!$A:$A,0)))</f>
        <v>46301.521529838</v>
      </c>
      <c r="D786" s="30" t="n">
        <f aca="false">(B786-INDEX(Rounds!$C:$C,MATCH(A786,Rounds!$A:$A,0)))*86400</f>
        <v>2.928999904</v>
      </c>
      <c r="E786" s="30" t="n">
        <f aca="false">(C786-INDEX(Rounds!$C:$C,MATCH(A786,Rounds!$A:$A,0)))*86400</f>
        <v>6.443999824</v>
      </c>
      <c r="F786" s="31" t="n">
        <f aca="false">(C786-B786)*86400</f>
        <v>3.514999919</v>
      </c>
      <c r="G786" s="27" t="s">
        <v>153</v>
      </c>
      <c r="H786" s="27" t="s">
        <v>324</v>
      </c>
      <c r="I786" s="27" t="s">
        <v>241</v>
      </c>
      <c r="J786" s="27" t="s">
        <v>277</v>
      </c>
      <c r="K786" s="27" t="s">
        <v>444</v>
      </c>
      <c r="L786" s="3" t="str">
        <f aca="false">IF(ISNUMBER(SEARCH(" m",I786)),"Range",IF(I786="offline","Offline",IF(I786="","Unknown","No echo / error")))</f>
        <v>Range</v>
      </c>
      <c r="M786" s="3" t="str">
        <f aca="false">IF(ISNUMBER(SEARCH(" m",J786)),"Range",IF(J786="offline","Offline",IF(J786="","Unknown","No echo / error")))</f>
        <v>Range</v>
      </c>
      <c r="N786" s="3" t="str">
        <f aca="false">IF(ISNUMBER(SEARCH(" m",K786)),"Range",IF(K786="offline","Offline",IF(K786="","Unknown","No echo / error")))</f>
        <v>Range</v>
      </c>
      <c r="O786" s="3" t="str">
        <f aca="false">TEXT(B786,"yyyy-mm-dd")</f>
        <v>2026-10-06</v>
      </c>
    </row>
    <row r="787" customFormat="false" ht="15" hidden="false" customHeight="false" outlineLevel="0" collapsed="false">
      <c r="A787" s="27" t="n">
        <v>13</v>
      </c>
      <c r="B787" s="28" t="n">
        <v>46301.521529838</v>
      </c>
      <c r="C787" s="29" t="n">
        <f aca="false">IF(A788=A787,B788,INDEX(Rounds!$D:$D,MATCH(A787,Rounds!$A:$A,0)))</f>
        <v>46301.5215302083</v>
      </c>
      <c r="D787" s="30" t="n">
        <f aca="false">(B787-INDEX(Rounds!$C:$C,MATCH(A787,Rounds!$A:$A,0)))*86400</f>
        <v>6.443999824</v>
      </c>
      <c r="E787" s="30" t="n">
        <f aca="false">(C787-INDEX(Rounds!$C:$C,MATCH(A787,Rounds!$A:$A,0)))*86400</f>
        <v>6.475999625</v>
      </c>
      <c r="F787" s="31" t="n">
        <f aca="false">(C787-B787)*86400</f>
        <v>0.031999801</v>
      </c>
      <c r="G787" s="27" t="s">
        <v>150</v>
      </c>
      <c r="H787" s="27" t="s">
        <v>206</v>
      </c>
      <c r="I787" s="27" t="s">
        <v>204</v>
      </c>
      <c r="J787" s="27" t="s">
        <v>435</v>
      </c>
      <c r="K787" s="27" t="s">
        <v>460</v>
      </c>
      <c r="L787" s="3" t="str">
        <f aca="false">IF(ISNUMBER(SEARCH(" m",I787)),"Range",IF(I787="offline","Offline",IF(I787="","Unknown","No echo / error")))</f>
        <v>No echo / error</v>
      </c>
      <c r="M787" s="3" t="str">
        <f aca="false">IF(ISNUMBER(SEARCH(" m",J787)),"Range",IF(J787="offline","Offline",IF(J787="","Unknown","No echo / error")))</f>
        <v>Range</v>
      </c>
      <c r="N787" s="3" t="str">
        <f aca="false">IF(ISNUMBER(SEARCH(" m",K787)),"Range",IF(K787="offline","Offline",IF(K787="","Unknown","No echo / error")))</f>
        <v>Range</v>
      </c>
      <c r="O787" s="3" t="str">
        <f aca="false">TEXT(B787,"yyyy-mm-dd")</f>
        <v>2026-10-06</v>
      </c>
    </row>
    <row r="788" customFormat="false" ht="15" hidden="false" customHeight="false" outlineLevel="0" collapsed="false">
      <c r="A788" s="27" t="n">
        <v>13</v>
      </c>
      <c r="B788" s="28" t="n">
        <v>46301.5215302083</v>
      </c>
      <c r="C788" s="29" t="n">
        <f aca="false">IF(A789=A788,B789,INDEX(Rounds!$D:$D,MATCH(A788,Rounds!$A:$A,0)))</f>
        <v>46301.5215305787</v>
      </c>
      <c r="D788" s="30" t="n">
        <f aca="false">(B788-INDEX(Rounds!$C:$C,MATCH(A788,Rounds!$A:$A,0)))*86400</f>
        <v>6.475999625</v>
      </c>
      <c r="E788" s="30" t="n">
        <f aca="false">(C788-INDEX(Rounds!$C:$C,MATCH(A788,Rounds!$A:$A,0)))*86400</f>
        <v>6.508000683</v>
      </c>
      <c r="F788" s="31" t="n">
        <f aca="false">(C788-B788)*86400</f>
        <v>0.032001058</v>
      </c>
      <c r="G788" s="27" t="s">
        <v>152</v>
      </c>
      <c r="H788" s="27" t="s">
        <v>208</v>
      </c>
      <c r="I788" s="27" t="s">
        <v>204</v>
      </c>
      <c r="J788" s="27" t="s">
        <v>435</v>
      </c>
      <c r="K788" s="27" t="s">
        <v>460</v>
      </c>
      <c r="L788" s="3" t="str">
        <f aca="false">IF(ISNUMBER(SEARCH(" m",I788)),"Range",IF(I788="offline","Offline",IF(I788="","Unknown","No echo / error")))</f>
        <v>No echo / error</v>
      </c>
      <c r="M788" s="3" t="str">
        <f aca="false">IF(ISNUMBER(SEARCH(" m",J788)),"Range",IF(J788="offline","Offline",IF(J788="","Unknown","No echo / error")))</f>
        <v>Range</v>
      </c>
      <c r="N788" s="3" t="str">
        <f aca="false">IF(ISNUMBER(SEARCH(" m",K788)),"Range",IF(K788="offline","Offline",IF(K788="","Unknown","No echo / error")))</f>
        <v>Range</v>
      </c>
      <c r="O788" s="3" t="str">
        <f aca="false">TEXT(B788,"yyyy-mm-dd")</f>
        <v>2026-10-06</v>
      </c>
    </row>
    <row r="789" customFormat="false" ht="15" hidden="false" customHeight="false" outlineLevel="0" collapsed="false">
      <c r="A789" s="27" t="n">
        <v>13</v>
      </c>
      <c r="B789" s="28" t="n">
        <v>46301.5215305787</v>
      </c>
      <c r="C789" s="29" t="n">
        <f aca="false">IF(A790=A789,B790,INDEX(Rounds!$D:$D,MATCH(A789,Rounds!$A:$A,0)))</f>
        <v>46301.5215331713</v>
      </c>
      <c r="D789" s="30" t="n">
        <f aca="false">(B789-INDEX(Rounds!$C:$C,MATCH(A789,Rounds!$A:$A,0)))*86400</f>
        <v>6.508000683</v>
      </c>
      <c r="E789" s="30" t="n">
        <f aca="false">(C789-INDEX(Rounds!$C:$C,MATCH(A789,Rounds!$A:$A,0)))*86400</f>
        <v>6.731999921</v>
      </c>
      <c r="F789" s="31" t="n">
        <f aca="false">(C789-B789)*86400</f>
        <v>0.223999237</v>
      </c>
      <c r="G789" s="27" t="s">
        <v>151</v>
      </c>
      <c r="H789" s="27" t="s">
        <v>203</v>
      </c>
      <c r="I789" s="27" t="s">
        <v>204</v>
      </c>
      <c r="J789" s="27" t="s">
        <v>435</v>
      </c>
      <c r="K789" s="27" t="s">
        <v>310</v>
      </c>
      <c r="L789" s="3" t="str">
        <f aca="false">IF(ISNUMBER(SEARCH(" m",I789)),"Range",IF(I789="offline","Offline",IF(I789="","Unknown","No echo / error")))</f>
        <v>No echo / error</v>
      </c>
      <c r="M789" s="3" t="str">
        <f aca="false">IF(ISNUMBER(SEARCH(" m",J789)),"Range",IF(J789="offline","Offline",IF(J789="","Unknown","No echo / error")))</f>
        <v>Range</v>
      </c>
      <c r="N789" s="3" t="str">
        <f aca="false">IF(ISNUMBER(SEARCH(" m",K789)),"Range",IF(K789="offline","Offline",IF(K789="","Unknown","No echo / error")))</f>
        <v>Range</v>
      </c>
      <c r="O789" s="3" t="str">
        <f aca="false">TEXT(B789,"yyyy-mm-dd")</f>
        <v>2026-10-06</v>
      </c>
    </row>
    <row r="790" customFormat="false" ht="15" hidden="false" customHeight="false" outlineLevel="0" collapsed="false">
      <c r="A790" s="27" t="n">
        <v>13</v>
      </c>
      <c r="B790" s="28" t="n">
        <v>46301.5215331713</v>
      </c>
      <c r="C790" s="29" t="n">
        <f aca="false">IF(A791=A790,B791,INDEX(Rounds!$D:$D,MATCH(A790,Rounds!$A:$A,0)))</f>
        <v>46301.5215566088</v>
      </c>
      <c r="D790" s="30" t="n">
        <f aca="false">(B790-INDEX(Rounds!$C:$C,MATCH(A790,Rounds!$A:$A,0)))*86400</f>
        <v>6.731999921</v>
      </c>
      <c r="E790" s="30" t="n">
        <f aca="false">(C790-INDEX(Rounds!$C:$C,MATCH(A790,Rounds!$A:$A,0)))*86400</f>
        <v>8.756999624</v>
      </c>
      <c r="F790" s="31" t="n">
        <f aca="false">(C790-B790)*86400</f>
        <v>2.024999703</v>
      </c>
      <c r="G790" s="27" t="s">
        <v>150</v>
      </c>
      <c r="H790" s="27" t="s">
        <v>206</v>
      </c>
      <c r="I790" s="27" t="s">
        <v>245</v>
      </c>
      <c r="J790" s="27" t="s">
        <v>431</v>
      </c>
      <c r="K790" s="27" t="s">
        <v>310</v>
      </c>
      <c r="L790" s="3" t="str">
        <f aca="false">IF(ISNUMBER(SEARCH(" m",I790)),"Range",IF(I790="offline","Offline",IF(I790="","Unknown","No echo / error")))</f>
        <v>Range</v>
      </c>
      <c r="M790" s="3" t="str">
        <f aca="false">IF(ISNUMBER(SEARCH(" m",J790)),"Range",IF(J790="offline","Offline",IF(J790="","Unknown","No echo / error")))</f>
        <v>Range</v>
      </c>
      <c r="N790" s="3" t="str">
        <f aca="false">IF(ISNUMBER(SEARCH(" m",K790)),"Range",IF(K790="offline","Offline",IF(K790="","Unknown","No echo / error")))</f>
        <v>Range</v>
      </c>
      <c r="O790" s="3" t="str">
        <f aca="false">TEXT(B790,"yyyy-mm-dd")</f>
        <v>2026-10-06</v>
      </c>
    </row>
    <row r="791" customFormat="false" ht="15" hidden="false" customHeight="false" outlineLevel="0" collapsed="false">
      <c r="A791" s="27" t="n">
        <v>13</v>
      </c>
      <c r="B791" s="28" t="n">
        <v>46301.5215566088</v>
      </c>
      <c r="C791" s="29" t="n">
        <f aca="false">IF(A792=A791,B792,INDEX(Rounds!$D:$D,MATCH(A791,Rounds!$A:$A,0)))</f>
        <v>46301.5215633218</v>
      </c>
      <c r="D791" s="30" t="n">
        <f aca="false">(B791-INDEX(Rounds!$C:$C,MATCH(A791,Rounds!$A:$A,0)))*86400</f>
        <v>8.756999624</v>
      </c>
      <c r="E791" s="30" t="n">
        <f aca="false">(C791-INDEX(Rounds!$C:$C,MATCH(A791,Rounds!$A:$A,0)))*86400</f>
        <v>9.336999873</v>
      </c>
      <c r="F791" s="31" t="n">
        <f aca="false">(C791-B791)*86400</f>
        <v>0.580000248</v>
      </c>
      <c r="G791" s="27" t="s">
        <v>152</v>
      </c>
      <c r="H791" s="27" t="s">
        <v>208</v>
      </c>
      <c r="I791" s="27" t="s">
        <v>453</v>
      </c>
      <c r="J791" s="27" t="s">
        <v>305</v>
      </c>
      <c r="K791" s="27" t="s">
        <v>412</v>
      </c>
      <c r="L791" s="3" t="str">
        <f aca="false">IF(ISNUMBER(SEARCH(" m",I791)),"Range",IF(I791="offline","Offline",IF(I791="","Unknown","No echo / error")))</f>
        <v>Range</v>
      </c>
      <c r="M791" s="3" t="str">
        <f aca="false">IF(ISNUMBER(SEARCH(" m",J791)),"Range",IF(J791="offline","Offline",IF(J791="","Unknown","No echo / error")))</f>
        <v>Range</v>
      </c>
      <c r="N791" s="3" t="str">
        <f aca="false">IF(ISNUMBER(SEARCH(" m",K791)),"Range",IF(K791="offline","Offline",IF(K791="","Unknown","No echo / error")))</f>
        <v>Range</v>
      </c>
      <c r="O791" s="3" t="str">
        <f aca="false">TEXT(B791,"yyyy-mm-dd")</f>
        <v>2026-10-06</v>
      </c>
    </row>
    <row r="792" customFormat="false" ht="15" hidden="false" customHeight="false" outlineLevel="0" collapsed="false">
      <c r="A792" s="27" t="n">
        <v>13</v>
      </c>
      <c r="B792" s="28" t="n">
        <v>46301.5215633218</v>
      </c>
      <c r="C792" s="29" t="n">
        <f aca="false">IF(A793=A792,B793,INDEX(Rounds!$D:$D,MATCH(A792,Rounds!$A:$A,0)))</f>
        <v>46301.5215633218</v>
      </c>
      <c r="D792" s="30" t="n">
        <f aca="false">(B792-INDEX(Rounds!$C:$C,MATCH(A792,Rounds!$A:$A,0)))*86400</f>
        <v>9.336999873</v>
      </c>
      <c r="E792" s="30" t="n">
        <f aca="false">(C792-INDEX(Rounds!$C:$C,MATCH(A792,Rounds!$A:$A,0)))*86400</f>
        <v>9.336999873</v>
      </c>
      <c r="F792" s="31" t="n">
        <f aca="false">(C792-B792)*86400</f>
        <v>0</v>
      </c>
      <c r="G792" s="27" t="s">
        <v>154</v>
      </c>
      <c r="H792" s="27" t="s">
        <v>208</v>
      </c>
      <c r="I792" s="27" t="s">
        <v>453</v>
      </c>
      <c r="J792" s="27" t="s">
        <v>305</v>
      </c>
      <c r="K792" s="27" t="s">
        <v>412</v>
      </c>
      <c r="L792" s="3" t="str">
        <f aca="false">IF(ISNUMBER(SEARCH(" m",I792)),"Range",IF(I792="offline","Offline",IF(I792="","Unknown","No echo / error")))</f>
        <v>Range</v>
      </c>
      <c r="M792" s="3" t="str">
        <f aca="false">IF(ISNUMBER(SEARCH(" m",J792)),"Range",IF(J792="offline","Offline",IF(J792="","Unknown","No echo / error")))</f>
        <v>Range</v>
      </c>
      <c r="N792" s="3" t="str">
        <f aca="false">IF(ISNUMBER(SEARCH(" m",K792)),"Range",IF(K792="offline","Offline",IF(K792="","Unknown","No echo / error")))</f>
        <v>Range</v>
      </c>
      <c r="O792" s="3" t="str">
        <f aca="false">TEXT(B792,"yyyy-mm-dd")</f>
        <v>2026-10-06</v>
      </c>
    </row>
    <row r="793" customFormat="false" ht="15" hidden="false" customHeight="false" outlineLevel="0" collapsed="false">
      <c r="A793" s="27" t="n">
        <v>13</v>
      </c>
      <c r="B793" s="28" t="n">
        <v>46301.5215633218</v>
      </c>
      <c r="C793" s="29" t="n">
        <f aca="false">IF(A794=A793,B794,INDEX(Rounds!$D:$D,MATCH(A793,Rounds!$A:$A,0)))</f>
        <v>46301.5216479514</v>
      </c>
      <c r="D793" s="30" t="n">
        <f aca="false">(B793-INDEX(Rounds!$C:$C,MATCH(A793,Rounds!$A:$A,0)))*86400</f>
        <v>9.336999873</v>
      </c>
      <c r="E793" s="30" t="n">
        <f aca="false">(C793-INDEX(Rounds!$C:$C,MATCH(A793,Rounds!$A:$A,0)))*86400</f>
        <v>16.649000043</v>
      </c>
      <c r="F793" s="31" t="n">
        <f aca="false">(C793-B793)*86400</f>
        <v>7.31200017</v>
      </c>
      <c r="G793" s="27" t="s">
        <v>154</v>
      </c>
      <c r="H793" s="27" t="s">
        <v>411</v>
      </c>
      <c r="I793" s="27" t="s">
        <v>453</v>
      </c>
      <c r="J793" s="27" t="s">
        <v>204</v>
      </c>
      <c r="K793" s="27" t="s">
        <v>462</v>
      </c>
      <c r="L793" s="3" t="str">
        <f aca="false">IF(ISNUMBER(SEARCH(" m",I793)),"Range",IF(I793="offline","Offline",IF(I793="","Unknown","No echo / error")))</f>
        <v>Range</v>
      </c>
      <c r="M793" s="3" t="str">
        <f aca="false">IF(ISNUMBER(SEARCH(" m",J793)),"Range",IF(J793="offline","Offline",IF(J793="","Unknown","No echo / error")))</f>
        <v>No echo / error</v>
      </c>
      <c r="N793" s="3" t="str">
        <f aca="false">IF(ISNUMBER(SEARCH(" m",K793)),"Range",IF(K793="offline","Offline",IF(K793="","Unknown","No echo / error")))</f>
        <v>Range</v>
      </c>
      <c r="O793" s="3" t="str">
        <f aca="false">TEXT(B793,"yyyy-mm-dd")</f>
        <v>2026-10-06</v>
      </c>
    </row>
    <row r="794" customFormat="false" ht="15" hidden="false" customHeight="false" outlineLevel="0" collapsed="false">
      <c r="A794" s="27" t="n">
        <v>13</v>
      </c>
      <c r="B794" s="28" t="n">
        <v>46301.5216479514</v>
      </c>
      <c r="C794" s="29" t="n">
        <f aca="false">IF(A795=A794,B795,INDEX(Rounds!$D:$D,MATCH(A794,Rounds!$A:$A,0)))</f>
        <v>46301.5216479514</v>
      </c>
      <c r="D794" s="30" t="n">
        <f aca="false">(B794-INDEX(Rounds!$C:$C,MATCH(A794,Rounds!$A:$A,0)))*86400</f>
        <v>16.649000043</v>
      </c>
      <c r="E794" s="30" t="n">
        <f aca="false">(C794-INDEX(Rounds!$C:$C,MATCH(A794,Rounds!$A:$A,0)))*86400</f>
        <v>16.649000043</v>
      </c>
      <c r="F794" s="31" t="n">
        <f aca="false">(C794-B794)*86400</f>
        <v>0</v>
      </c>
      <c r="G794" s="27" t="s">
        <v>154</v>
      </c>
      <c r="H794" s="27" t="s">
        <v>411</v>
      </c>
      <c r="I794" s="27" t="s">
        <v>453</v>
      </c>
      <c r="J794" s="27" t="s">
        <v>204</v>
      </c>
      <c r="K794" s="27" t="s">
        <v>462</v>
      </c>
      <c r="L794" s="3" t="str">
        <f aca="false">IF(ISNUMBER(SEARCH(" m",I794)),"Range",IF(I794="offline","Offline",IF(I794="","Unknown","No echo / error")))</f>
        <v>Range</v>
      </c>
      <c r="M794" s="3" t="str">
        <f aca="false">IF(ISNUMBER(SEARCH(" m",J794)),"Range",IF(J794="offline","Offline",IF(J794="","Unknown","No echo / error")))</f>
        <v>No echo / error</v>
      </c>
      <c r="N794" s="3" t="str">
        <f aca="false">IF(ISNUMBER(SEARCH(" m",K794)),"Range",IF(K794="offline","Offline",IF(K794="","Unknown","No echo / error")))</f>
        <v>Range</v>
      </c>
      <c r="O794" s="3" t="str">
        <f aca="false">TEXT(B794,"yyyy-mm-dd")</f>
        <v>2026-10-06</v>
      </c>
    </row>
    <row r="795" customFormat="false" ht="15" hidden="false" customHeight="false" outlineLevel="0" collapsed="false">
      <c r="A795" s="27" t="n">
        <v>13</v>
      </c>
      <c r="B795" s="28" t="n">
        <v>46301.5216479514</v>
      </c>
      <c r="C795" s="29" t="n">
        <f aca="false">IF(A796=A795,B796,INDEX(Rounds!$D:$D,MATCH(A795,Rounds!$A:$A,0)))</f>
        <v>46301.521659132</v>
      </c>
      <c r="D795" s="30" t="n">
        <f aca="false">(B795-INDEX(Rounds!$C:$C,MATCH(A795,Rounds!$A:$A,0)))*86400</f>
        <v>16.649000043</v>
      </c>
      <c r="E795" s="30" t="n">
        <f aca="false">(C795-INDEX(Rounds!$C:$C,MATCH(A795,Rounds!$A:$A,0)))*86400</f>
        <v>17.615000135</v>
      </c>
      <c r="F795" s="31" t="n">
        <f aca="false">(C795-B795)*86400</f>
        <v>0.966000091</v>
      </c>
      <c r="G795" s="27" t="s">
        <v>152</v>
      </c>
      <c r="H795" s="27" t="s">
        <v>208</v>
      </c>
      <c r="I795" s="27" t="s">
        <v>453</v>
      </c>
      <c r="J795" s="27" t="s">
        <v>204</v>
      </c>
      <c r="K795" s="27" t="s">
        <v>462</v>
      </c>
      <c r="L795" s="3" t="str">
        <f aca="false">IF(ISNUMBER(SEARCH(" m",I795)),"Range",IF(I795="offline","Offline",IF(I795="","Unknown","No echo / error")))</f>
        <v>Range</v>
      </c>
      <c r="M795" s="3" t="str">
        <f aca="false">IF(ISNUMBER(SEARCH(" m",J795)),"Range",IF(J795="offline","Offline",IF(J795="","Unknown","No echo / error")))</f>
        <v>No echo / error</v>
      </c>
      <c r="N795" s="3" t="str">
        <f aca="false">IF(ISNUMBER(SEARCH(" m",K795)),"Range",IF(K795="offline","Offline",IF(K795="","Unknown","No echo / error")))</f>
        <v>Range</v>
      </c>
      <c r="O795" s="3" t="str">
        <f aca="false">TEXT(B795,"yyyy-mm-dd")</f>
        <v>2026-10-06</v>
      </c>
    </row>
    <row r="796" customFormat="false" ht="15" hidden="false" customHeight="false" outlineLevel="0" collapsed="false">
      <c r="A796" s="27" t="n">
        <v>13</v>
      </c>
      <c r="B796" s="28" t="n">
        <v>46301.521659132</v>
      </c>
      <c r="C796" s="29" t="n">
        <f aca="false">IF(A797=A796,B797,INDEX(Rounds!$D:$D,MATCH(A796,Rounds!$A:$A,0)))</f>
        <v>46301.5216619213</v>
      </c>
      <c r="D796" s="30" t="n">
        <f aca="false">(B796-INDEX(Rounds!$C:$C,MATCH(A796,Rounds!$A:$A,0)))*86400</f>
        <v>17.615000135</v>
      </c>
      <c r="E796" s="30" t="n">
        <f aca="false">(C796-INDEX(Rounds!$C:$C,MATCH(A796,Rounds!$A:$A,0)))*86400</f>
        <v>17.856000387</v>
      </c>
      <c r="F796" s="31" t="n">
        <f aca="false">(C796-B796)*86400</f>
        <v>0.241000251</v>
      </c>
      <c r="G796" s="27" t="s">
        <v>151</v>
      </c>
      <c r="H796" s="27" t="s">
        <v>203</v>
      </c>
      <c r="I796" s="27" t="s">
        <v>499</v>
      </c>
      <c r="J796" s="27" t="s">
        <v>337</v>
      </c>
      <c r="K796" s="27" t="s">
        <v>338</v>
      </c>
      <c r="L796" s="3" t="str">
        <f aca="false">IF(ISNUMBER(SEARCH(" m",I796)),"Range",IF(I796="offline","Offline",IF(I796="","Unknown","No echo / error")))</f>
        <v>Range</v>
      </c>
      <c r="M796" s="3" t="str">
        <f aca="false">IF(ISNUMBER(SEARCH(" m",J796)),"Range",IF(J796="offline","Offline",IF(J796="","Unknown","No echo / error")))</f>
        <v>Range</v>
      </c>
      <c r="N796" s="3" t="str">
        <f aca="false">IF(ISNUMBER(SEARCH(" m",K796)),"Range",IF(K796="offline","Offline",IF(K796="","Unknown","No echo / error")))</f>
        <v>Range</v>
      </c>
      <c r="O796" s="3" t="str">
        <f aca="false">TEXT(B796,"yyyy-mm-dd")</f>
        <v>2026-10-06</v>
      </c>
    </row>
    <row r="797" customFormat="false" ht="15" hidden="false" customHeight="false" outlineLevel="0" collapsed="false">
      <c r="A797" s="27" t="n">
        <v>13</v>
      </c>
      <c r="B797" s="28" t="n">
        <v>46301.5216619213</v>
      </c>
      <c r="C797" s="29" t="n">
        <f aca="false">IF(A798=A797,B798,INDEX(Rounds!$D:$D,MATCH(A797,Rounds!$A:$A,0)))</f>
        <v>46301.5216632176</v>
      </c>
      <c r="D797" s="30" t="n">
        <f aca="false">(B797-INDEX(Rounds!$C:$C,MATCH(A797,Rounds!$A:$A,0)))*86400</f>
        <v>17.856000387</v>
      </c>
      <c r="E797" s="30" t="n">
        <f aca="false">(C797-INDEX(Rounds!$C:$C,MATCH(A797,Rounds!$A:$A,0)))*86400</f>
        <v>17.967999377</v>
      </c>
      <c r="F797" s="31" t="n">
        <f aca="false">(C797-B797)*86400</f>
        <v>0.11199899</v>
      </c>
      <c r="G797" s="27" t="s">
        <v>150</v>
      </c>
      <c r="H797" s="27" t="s">
        <v>206</v>
      </c>
      <c r="I797" s="27" t="s">
        <v>204</v>
      </c>
      <c r="J797" s="27" t="s">
        <v>400</v>
      </c>
      <c r="K797" s="27" t="s">
        <v>338</v>
      </c>
      <c r="L797" s="3" t="str">
        <f aca="false">IF(ISNUMBER(SEARCH(" m",I797)),"Range",IF(I797="offline","Offline",IF(I797="","Unknown","No echo / error")))</f>
        <v>No echo / error</v>
      </c>
      <c r="M797" s="3" t="str">
        <f aca="false">IF(ISNUMBER(SEARCH(" m",J797)),"Range",IF(J797="offline","Offline",IF(J797="","Unknown","No echo / error")))</f>
        <v>Range</v>
      </c>
      <c r="N797" s="3" t="str">
        <f aca="false">IF(ISNUMBER(SEARCH(" m",K797)),"Range",IF(K797="offline","Offline",IF(K797="","Unknown","No echo / error")))</f>
        <v>Range</v>
      </c>
      <c r="O797" s="3" t="str">
        <f aca="false">TEXT(B797,"yyyy-mm-dd")</f>
        <v>2026-10-06</v>
      </c>
    </row>
    <row r="798" customFormat="false" ht="15" hidden="false" customHeight="false" outlineLevel="0" collapsed="false">
      <c r="A798" s="27" t="n">
        <v>13</v>
      </c>
      <c r="B798" s="28" t="n">
        <v>46301.5216632176</v>
      </c>
      <c r="C798" s="29" t="n">
        <f aca="false">IF(A799=A798,B799,INDEX(Rounds!$D:$D,MATCH(A798,Rounds!$A:$A,0)))</f>
        <v>46301.5216645255</v>
      </c>
      <c r="D798" s="30" t="n">
        <f aca="false">(B798-INDEX(Rounds!$C:$C,MATCH(A798,Rounds!$A:$A,0)))*86400</f>
        <v>17.967999377</v>
      </c>
      <c r="E798" s="30" t="n">
        <f aca="false">(C798-INDEX(Rounds!$C:$C,MATCH(A798,Rounds!$A:$A,0)))*86400</f>
        <v>18.080999795</v>
      </c>
      <c r="F798" s="31" t="n">
        <f aca="false">(C798-B798)*86400</f>
        <v>0.113000418</v>
      </c>
      <c r="G798" s="27" t="s">
        <v>151</v>
      </c>
      <c r="H798" s="27" t="s">
        <v>203</v>
      </c>
      <c r="I798" s="27" t="s">
        <v>204</v>
      </c>
      <c r="J798" s="27" t="s">
        <v>400</v>
      </c>
      <c r="K798" s="27" t="s">
        <v>286</v>
      </c>
      <c r="L798" s="3" t="str">
        <f aca="false">IF(ISNUMBER(SEARCH(" m",I798)),"Range",IF(I798="offline","Offline",IF(I798="","Unknown","No echo / error")))</f>
        <v>No echo / error</v>
      </c>
      <c r="M798" s="3" t="str">
        <f aca="false">IF(ISNUMBER(SEARCH(" m",J798)),"Range",IF(J798="offline","Offline",IF(J798="","Unknown","No echo / error")))</f>
        <v>Range</v>
      </c>
      <c r="N798" s="3" t="str">
        <f aca="false">IF(ISNUMBER(SEARCH(" m",K798)),"Range",IF(K798="offline","Offline",IF(K798="","Unknown","No echo / error")))</f>
        <v>Range</v>
      </c>
      <c r="O798" s="3" t="str">
        <f aca="false">TEXT(B798,"yyyy-mm-dd")</f>
        <v>2026-10-06</v>
      </c>
    </row>
    <row r="799" customFormat="false" ht="15" hidden="false" customHeight="false" outlineLevel="0" collapsed="false">
      <c r="A799" s="27" t="n">
        <v>13</v>
      </c>
      <c r="B799" s="28" t="n">
        <v>46301.5216645255</v>
      </c>
      <c r="C799" s="29" t="n">
        <f aca="false">IF(A800=A799,B800,INDEX(Rounds!$D:$D,MATCH(A799,Rounds!$A:$A,0)))</f>
        <v>46301.5217172222</v>
      </c>
      <c r="D799" s="30" t="n">
        <f aca="false">(B799-INDEX(Rounds!$C:$C,MATCH(A799,Rounds!$A:$A,0)))*86400</f>
        <v>18.080999795</v>
      </c>
      <c r="E799" s="30" t="n">
        <f aca="false">(C799-INDEX(Rounds!$C:$C,MATCH(A799,Rounds!$A:$A,0)))*86400</f>
        <v>22.634000773</v>
      </c>
      <c r="F799" s="31" t="n">
        <f aca="false">(C799-B799)*86400</f>
        <v>4.553000978</v>
      </c>
      <c r="G799" s="27" t="s">
        <v>150</v>
      </c>
      <c r="H799" s="27" t="s">
        <v>206</v>
      </c>
      <c r="I799" s="27" t="s">
        <v>500</v>
      </c>
      <c r="J799" s="27" t="s">
        <v>400</v>
      </c>
      <c r="K799" s="27" t="s">
        <v>286</v>
      </c>
      <c r="L799" s="3" t="str">
        <f aca="false">IF(ISNUMBER(SEARCH(" m",I799)),"Range",IF(I799="offline","Offline",IF(I799="","Unknown","No echo / error")))</f>
        <v>Range</v>
      </c>
      <c r="M799" s="3" t="str">
        <f aca="false">IF(ISNUMBER(SEARCH(" m",J799)),"Range",IF(J799="offline","Offline",IF(J799="","Unknown","No echo / error")))</f>
        <v>Range</v>
      </c>
      <c r="N799" s="3" t="str">
        <f aca="false">IF(ISNUMBER(SEARCH(" m",K799)),"Range",IF(K799="offline","Offline",IF(K799="","Unknown","No echo / error")))</f>
        <v>Range</v>
      </c>
      <c r="O799" s="3" t="str">
        <f aca="false">TEXT(B799,"yyyy-mm-dd")</f>
        <v>2026-10-06</v>
      </c>
    </row>
    <row r="800" customFormat="false" ht="15" hidden="false" customHeight="false" outlineLevel="0" collapsed="false">
      <c r="A800" s="27" t="n">
        <v>13</v>
      </c>
      <c r="B800" s="28" t="n">
        <v>46301.5217172222</v>
      </c>
      <c r="C800" s="29" t="n">
        <f aca="false">IF(A801=A800,B801,INDEX(Rounds!$D:$D,MATCH(A800,Rounds!$A:$A,0)))</f>
        <v>46301.5217200116</v>
      </c>
      <c r="D800" s="30" t="n">
        <f aca="false">(B800-INDEX(Rounds!$C:$C,MATCH(A800,Rounds!$A:$A,0)))*86400</f>
        <v>22.634000773</v>
      </c>
      <c r="E800" s="30" t="n">
        <f aca="false">(C800-INDEX(Rounds!$C:$C,MATCH(A800,Rounds!$A:$A,0)))*86400</f>
        <v>22.874999768</v>
      </c>
      <c r="F800" s="31" t="n">
        <f aca="false">(C800-B800)*86400</f>
        <v>0.240998994</v>
      </c>
      <c r="G800" s="27" t="s">
        <v>152</v>
      </c>
      <c r="H800" s="27" t="s">
        <v>208</v>
      </c>
      <c r="I800" s="27" t="s">
        <v>204</v>
      </c>
      <c r="J800" s="27" t="s">
        <v>365</v>
      </c>
      <c r="K800" s="27" t="s">
        <v>216</v>
      </c>
      <c r="L800" s="3" t="str">
        <f aca="false">IF(ISNUMBER(SEARCH(" m",I800)),"Range",IF(I800="offline","Offline",IF(I800="","Unknown","No echo / error")))</f>
        <v>No echo / error</v>
      </c>
      <c r="M800" s="3" t="str">
        <f aca="false">IF(ISNUMBER(SEARCH(" m",J800)),"Range",IF(J800="offline","Offline",IF(J800="","Unknown","No echo / error")))</f>
        <v>Range</v>
      </c>
      <c r="N800" s="3" t="str">
        <f aca="false">IF(ISNUMBER(SEARCH(" m",K800)),"Range",IF(K800="offline","Offline",IF(K800="","Unknown","No echo / error")))</f>
        <v>Range</v>
      </c>
      <c r="O800" s="3" t="str">
        <f aca="false">TEXT(B800,"yyyy-mm-dd")</f>
        <v>2026-10-06</v>
      </c>
    </row>
    <row r="801" customFormat="false" ht="15" hidden="false" customHeight="false" outlineLevel="0" collapsed="false">
      <c r="A801" s="27" t="n">
        <v>13</v>
      </c>
      <c r="B801" s="28" t="n">
        <v>46301.5217200116</v>
      </c>
      <c r="C801" s="29" t="n">
        <f aca="false">IF(A802=A801,B802,INDEX(Rounds!$D:$D,MATCH(A801,Rounds!$A:$A,0)))</f>
        <v>46301.5217220718</v>
      </c>
      <c r="D801" s="30" t="n">
        <f aca="false">(B801-INDEX(Rounds!$C:$C,MATCH(A801,Rounds!$A:$A,0)))*86400</f>
        <v>22.874999768</v>
      </c>
      <c r="E801" s="30" t="n">
        <f aca="false">(C801-INDEX(Rounds!$C:$C,MATCH(A801,Rounds!$A:$A,0)))*86400</f>
        <v>23.052999959</v>
      </c>
      <c r="F801" s="31" t="n">
        <f aca="false">(C801-B801)*86400</f>
        <v>0.178000191</v>
      </c>
      <c r="G801" s="27" t="s">
        <v>151</v>
      </c>
      <c r="H801" s="27" t="s">
        <v>203</v>
      </c>
      <c r="I801" s="27" t="s">
        <v>374</v>
      </c>
      <c r="J801" s="27" t="s">
        <v>234</v>
      </c>
      <c r="K801" s="27" t="s">
        <v>294</v>
      </c>
      <c r="L801" s="3" t="str">
        <f aca="false">IF(ISNUMBER(SEARCH(" m",I801)),"Range",IF(I801="offline","Offline",IF(I801="","Unknown","No echo / error")))</f>
        <v>Range</v>
      </c>
      <c r="M801" s="3" t="str">
        <f aca="false">IF(ISNUMBER(SEARCH(" m",J801)),"Range",IF(J801="offline","Offline",IF(J801="","Unknown","No echo / error")))</f>
        <v>Range</v>
      </c>
      <c r="N801" s="3" t="str">
        <f aca="false">IF(ISNUMBER(SEARCH(" m",K801)),"Range",IF(K801="offline","Offline",IF(K801="","Unknown","No echo / error")))</f>
        <v>Range</v>
      </c>
      <c r="O801" s="3" t="str">
        <f aca="false">TEXT(B801,"yyyy-mm-dd")</f>
        <v>2026-10-06</v>
      </c>
    </row>
    <row r="802" customFormat="false" ht="15" hidden="false" customHeight="false" outlineLevel="0" collapsed="false">
      <c r="A802" s="27" t="n">
        <v>13</v>
      </c>
      <c r="B802" s="28" t="n">
        <v>46301.5217220718</v>
      </c>
      <c r="C802" s="29" t="n">
        <f aca="false">IF(A803=A802,B803,INDEX(Rounds!$D:$D,MATCH(A802,Rounds!$A:$A,0)))</f>
        <v>46301.5217502662</v>
      </c>
      <c r="D802" s="30" t="n">
        <f aca="false">(B802-INDEX(Rounds!$C:$C,MATCH(A802,Rounds!$A:$A,0)))*86400</f>
        <v>23.052999959</v>
      </c>
      <c r="E802" s="30" t="n">
        <f aca="false">(C802-INDEX(Rounds!$C:$C,MATCH(A802,Rounds!$A:$A,0)))*86400</f>
        <v>25.489000626</v>
      </c>
      <c r="F802" s="31" t="n">
        <f aca="false">(C802-B802)*86400</f>
        <v>2.436000667</v>
      </c>
      <c r="G802" s="27" t="s">
        <v>150</v>
      </c>
      <c r="H802" s="27" t="s">
        <v>206</v>
      </c>
      <c r="I802" s="27" t="s">
        <v>370</v>
      </c>
      <c r="J802" s="27" t="s">
        <v>234</v>
      </c>
      <c r="K802" s="27" t="s">
        <v>245</v>
      </c>
      <c r="L802" s="3" t="str">
        <f aca="false">IF(ISNUMBER(SEARCH(" m",I802)),"Range",IF(I802="offline","Offline",IF(I802="","Unknown","No echo / error")))</f>
        <v>Range</v>
      </c>
      <c r="M802" s="3" t="str">
        <f aca="false">IF(ISNUMBER(SEARCH(" m",J802)),"Range",IF(J802="offline","Offline",IF(J802="","Unknown","No echo / error")))</f>
        <v>Range</v>
      </c>
      <c r="N802" s="3" t="str">
        <f aca="false">IF(ISNUMBER(SEARCH(" m",K802)),"Range",IF(K802="offline","Offline",IF(K802="","Unknown","No echo / error")))</f>
        <v>Range</v>
      </c>
      <c r="O802" s="3" t="str">
        <f aca="false">TEXT(B802,"yyyy-mm-dd")</f>
        <v>2026-10-06</v>
      </c>
    </row>
    <row r="803" customFormat="false" ht="15" hidden="false" customHeight="false" outlineLevel="0" collapsed="false">
      <c r="A803" s="27" t="n">
        <v>13</v>
      </c>
      <c r="B803" s="28" t="n">
        <v>46301.5217502662</v>
      </c>
      <c r="C803" s="29" t="n">
        <f aca="false">IF(A804=A803,B804,INDEX(Rounds!$D:$D,MATCH(A803,Rounds!$A:$A,0)))</f>
        <v>46301.5217631019</v>
      </c>
      <c r="D803" s="30" t="n">
        <f aca="false">(B803-INDEX(Rounds!$C:$C,MATCH(A803,Rounds!$A:$A,0)))*86400</f>
        <v>25.489000626</v>
      </c>
      <c r="E803" s="30" t="n">
        <f aca="false">(C803-INDEX(Rounds!$C:$C,MATCH(A803,Rounds!$A:$A,0)))*86400</f>
        <v>26.597999967</v>
      </c>
      <c r="F803" s="31" t="n">
        <f aca="false">(C803-B803)*86400</f>
        <v>1.10899934</v>
      </c>
      <c r="G803" s="27" t="s">
        <v>152</v>
      </c>
      <c r="H803" s="27" t="s">
        <v>208</v>
      </c>
      <c r="I803" s="27" t="s">
        <v>204</v>
      </c>
      <c r="J803" s="27" t="s">
        <v>260</v>
      </c>
      <c r="K803" s="27" t="s">
        <v>242</v>
      </c>
      <c r="L803" s="3" t="str">
        <f aca="false">IF(ISNUMBER(SEARCH(" m",I803)),"Range",IF(I803="offline","Offline",IF(I803="","Unknown","No echo / error")))</f>
        <v>No echo / error</v>
      </c>
      <c r="M803" s="3" t="str">
        <f aca="false">IF(ISNUMBER(SEARCH(" m",J803)),"Range",IF(J803="offline","Offline",IF(J803="","Unknown","No echo / error")))</f>
        <v>Range</v>
      </c>
      <c r="N803" s="3" t="str">
        <f aca="false">IF(ISNUMBER(SEARCH(" m",K803)),"Range",IF(K803="offline","Offline",IF(K803="","Unknown","No echo / error")))</f>
        <v>Range</v>
      </c>
      <c r="O803" s="3" t="str">
        <f aca="false">TEXT(B803,"yyyy-mm-dd")</f>
        <v>2026-10-06</v>
      </c>
    </row>
    <row r="804" customFormat="false" ht="15" hidden="false" customHeight="false" outlineLevel="0" collapsed="false">
      <c r="A804" s="27" t="n">
        <v>13</v>
      </c>
      <c r="B804" s="28" t="n">
        <v>46301.5217631019</v>
      </c>
      <c r="C804" s="29" t="n">
        <f aca="false">IF(A805=A804,B805,INDEX(Rounds!$D:$D,MATCH(A804,Rounds!$A:$A,0)))</f>
        <v>46301.5217653588</v>
      </c>
      <c r="D804" s="30" t="n">
        <f aca="false">(B804-INDEX(Rounds!$C:$C,MATCH(A804,Rounds!$A:$A,0)))*86400</f>
        <v>26.597999967</v>
      </c>
      <c r="E804" s="30" t="n">
        <f aca="false">(C804-INDEX(Rounds!$C:$C,MATCH(A804,Rounds!$A:$A,0)))*86400</f>
        <v>26.792999915</v>
      </c>
      <c r="F804" s="31" t="n">
        <f aca="false">(C804-B804)*86400</f>
        <v>0.194999948</v>
      </c>
      <c r="G804" s="27" t="s">
        <v>151</v>
      </c>
      <c r="H804" s="27" t="s">
        <v>203</v>
      </c>
      <c r="I804" s="27" t="s">
        <v>204</v>
      </c>
      <c r="J804" s="27" t="s">
        <v>255</v>
      </c>
      <c r="K804" s="27" t="s">
        <v>244</v>
      </c>
      <c r="L804" s="3" t="str">
        <f aca="false">IF(ISNUMBER(SEARCH(" m",I804)),"Range",IF(I804="offline","Offline",IF(I804="","Unknown","No echo / error")))</f>
        <v>No echo / error</v>
      </c>
      <c r="M804" s="3" t="str">
        <f aca="false">IF(ISNUMBER(SEARCH(" m",J804)),"Range",IF(J804="offline","Offline",IF(J804="","Unknown","No echo / error")))</f>
        <v>Range</v>
      </c>
      <c r="N804" s="3" t="str">
        <f aca="false">IF(ISNUMBER(SEARCH(" m",K804)),"Range",IF(K804="offline","Offline",IF(K804="","Unknown","No echo / error")))</f>
        <v>Range</v>
      </c>
      <c r="O804" s="3" t="str">
        <f aca="false">TEXT(B804,"yyyy-mm-dd")</f>
        <v>2026-10-06</v>
      </c>
    </row>
    <row r="805" customFormat="false" ht="15" hidden="false" customHeight="false" outlineLevel="0" collapsed="false">
      <c r="A805" s="27" t="n">
        <v>13</v>
      </c>
      <c r="B805" s="28" t="n">
        <v>46301.5217653588</v>
      </c>
      <c r="C805" s="29" t="n">
        <f aca="false">IF(A806=A805,B806,INDEX(Rounds!$D:$D,MATCH(A805,Rounds!$A:$A,0)))</f>
        <v>46301.5218126273</v>
      </c>
      <c r="D805" s="30" t="n">
        <f aca="false">(B805-INDEX(Rounds!$C:$C,MATCH(A805,Rounds!$A:$A,0)))*86400</f>
        <v>26.792999915</v>
      </c>
      <c r="E805" s="30" t="n">
        <f aca="false">(C805-INDEX(Rounds!$C:$C,MATCH(A805,Rounds!$A:$A,0)))*86400</f>
        <v>30.877000093</v>
      </c>
      <c r="F805" s="31" t="n">
        <f aca="false">(C805-B805)*86400</f>
        <v>4.084000177</v>
      </c>
      <c r="G805" s="27" t="s">
        <v>150</v>
      </c>
      <c r="H805" s="27" t="s">
        <v>206</v>
      </c>
      <c r="I805" s="27" t="s">
        <v>275</v>
      </c>
      <c r="J805" s="27" t="s">
        <v>255</v>
      </c>
      <c r="K805" s="27" t="s">
        <v>240</v>
      </c>
      <c r="L805" s="3" t="str">
        <f aca="false">IF(ISNUMBER(SEARCH(" m",I805)),"Range",IF(I805="offline","Offline",IF(I805="","Unknown","No echo / error")))</f>
        <v>Range</v>
      </c>
      <c r="M805" s="3" t="str">
        <f aca="false">IF(ISNUMBER(SEARCH(" m",J805)),"Range",IF(J805="offline","Offline",IF(J805="","Unknown","No echo / error")))</f>
        <v>Range</v>
      </c>
      <c r="N805" s="3" t="str">
        <f aca="false">IF(ISNUMBER(SEARCH(" m",K805)),"Range",IF(K805="offline","Offline",IF(K805="","Unknown","No echo / error")))</f>
        <v>Range</v>
      </c>
      <c r="O805" s="3" t="str">
        <f aca="false">TEXT(B805,"yyyy-mm-dd")</f>
        <v>2026-10-06</v>
      </c>
    </row>
    <row r="806" customFormat="false" ht="15" hidden="false" customHeight="false" outlineLevel="0" collapsed="false">
      <c r="A806" s="27" t="n">
        <v>13</v>
      </c>
      <c r="B806" s="28" t="n">
        <v>46301.5218126273</v>
      </c>
      <c r="C806" s="29" t="n">
        <f aca="false">IF(A807=A806,B807,INDEX(Rounds!$D:$D,MATCH(A806,Rounds!$A:$A,0)))</f>
        <v>46301.5218206366</v>
      </c>
      <c r="D806" s="30" t="n">
        <f aca="false">(B806-INDEX(Rounds!$C:$C,MATCH(A806,Rounds!$A:$A,0)))*86400</f>
        <v>30.877000093</v>
      </c>
      <c r="E806" s="30" t="n">
        <f aca="false">(C806-INDEX(Rounds!$C:$C,MATCH(A806,Rounds!$A:$A,0)))*86400</f>
        <v>31.569000589</v>
      </c>
      <c r="F806" s="31" t="n">
        <f aca="false">(C806-B806)*86400</f>
        <v>0.692000496</v>
      </c>
      <c r="G806" s="27" t="s">
        <v>151</v>
      </c>
      <c r="H806" s="27" t="s">
        <v>203</v>
      </c>
      <c r="I806" s="27" t="s">
        <v>265</v>
      </c>
      <c r="J806" s="27" t="s">
        <v>346</v>
      </c>
      <c r="K806" s="27" t="s">
        <v>447</v>
      </c>
      <c r="L806" s="3" t="str">
        <f aca="false">IF(ISNUMBER(SEARCH(" m",I806)),"Range",IF(I806="offline","Offline",IF(I806="","Unknown","No echo / error")))</f>
        <v>Range</v>
      </c>
      <c r="M806" s="3" t="str">
        <f aca="false">IF(ISNUMBER(SEARCH(" m",J806)),"Range",IF(J806="offline","Offline",IF(J806="","Unknown","No echo / error")))</f>
        <v>Range</v>
      </c>
      <c r="N806" s="3" t="str">
        <f aca="false">IF(ISNUMBER(SEARCH(" m",K806)),"Range",IF(K806="offline","Offline",IF(K806="","Unknown","No echo / error")))</f>
        <v>Range</v>
      </c>
      <c r="O806" s="3" t="str">
        <f aca="false">TEXT(B806,"yyyy-mm-dd")</f>
        <v>2026-10-06</v>
      </c>
    </row>
    <row r="807" customFormat="false" ht="15" hidden="false" customHeight="false" outlineLevel="0" collapsed="false">
      <c r="A807" s="27" t="n">
        <v>13</v>
      </c>
      <c r="B807" s="28" t="n">
        <v>46301.5218206366</v>
      </c>
      <c r="C807" s="29" t="n">
        <f aca="false">IF(A808=A807,B808,INDEX(Rounds!$D:$D,MATCH(A807,Rounds!$A:$A,0)))</f>
        <v>46301.5218211921</v>
      </c>
      <c r="D807" s="30" t="n">
        <f aca="false">(B807-INDEX(Rounds!$C:$C,MATCH(A807,Rounds!$A:$A,0)))*86400</f>
        <v>31.569000589</v>
      </c>
      <c r="E807" s="30" t="n">
        <f aca="false">(C807-INDEX(Rounds!$C:$C,MATCH(A807,Rounds!$A:$A,0)))*86400</f>
        <v>31.616999977</v>
      </c>
      <c r="F807" s="31" t="n">
        <f aca="false">(C807-B807)*86400</f>
        <v>0.047999387</v>
      </c>
      <c r="G807" s="27" t="s">
        <v>152</v>
      </c>
      <c r="H807" s="27" t="s">
        <v>208</v>
      </c>
      <c r="I807" s="27" t="s">
        <v>388</v>
      </c>
      <c r="J807" s="27" t="s">
        <v>204</v>
      </c>
      <c r="K807" s="27" t="s">
        <v>204</v>
      </c>
      <c r="L807" s="3" t="str">
        <f aca="false">IF(ISNUMBER(SEARCH(" m",I807)),"Range",IF(I807="offline","Offline",IF(I807="","Unknown","No echo / error")))</f>
        <v>Range</v>
      </c>
      <c r="M807" s="3" t="str">
        <f aca="false">IF(ISNUMBER(SEARCH(" m",J807)),"Range",IF(J807="offline","Offline",IF(J807="","Unknown","No echo / error")))</f>
        <v>No echo / error</v>
      </c>
      <c r="N807" s="3" t="str">
        <f aca="false">IF(ISNUMBER(SEARCH(" m",K807)),"Range",IF(K807="offline","Offline",IF(K807="","Unknown","No echo / error")))</f>
        <v>No echo / error</v>
      </c>
      <c r="O807" s="3" t="str">
        <f aca="false">TEXT(B807,"yyyy-mm-dd")</f>
        <v>2026-10-06</v>
      </c>
    </row>
    <row r="808" customFormat="false" ht="15" hidden="false" customHeight="false" outlineLevel="0" collapsed="false">
      <c r="A808" s="27" t="n">
        <v>13</v>
      </c>
      <c r="B808" s="28" t="n">
        <v>46301.5218211921</v>
      </c>
      <c r="C808" s="29" t="n">
        <f aca="false">IF(A809=A808,B809,INDEX(Rounds!$D:$D,MATCH(A808,Rounds!$A:$A,0)))</f>
        <v>46301.5218293634</v>
      </c>
      <c r="D808" s="30" t="n">
        <f aca="false">(B808-INDEX(Rounds!$C:$C,MATCH(A808,Rounds!$A:$A,0)))*86400</f>
        <v>31.616999977</v>
      </c>
      <c r="E808" s="30" t="n">
        <f aca="false">(C808-INDEX(Rounds!$C:$C,MATCH(A808,Rounds!$A:$A,0)))*86400</f>
        <v>32.322999089</v>
      </c>
      <c r="F808" s="31" t="n">
        <f aca="false">(C808-B808)*86400</f>
        <v>0.705999112</v>
      </c>
      <c r="G808" s="27" t="s">
        <v>151</v>
      </c>
      <c r="H808" s="27" t="s">
        <v>203</v>
      </c>
      <c r="I808" s="27" t="s">
        <v>262</v>
      </c>
      <c r="J808" s="27" t="s">
        <v>204</v>
      </c>
      <c r="K808" s="27" t="s">
        <v>204</v>
      </c>
      <c r="L808" s="3" t="str">
        <f aca="false">IF(ISNUMBER(SEARCH(" m",I808)),"Range",IF(I808="offline","Offline",IF(I808="","Unknown","No echo / error")))</f>
        <v>Range</v>
      </c>
      <c r="M808" s="3" t="str">
        <f aca="false">IF(ISNUMBER(SEARCH(" m",J808)),"Range",IF(J808="offline","Offline",IF(J808="","Unknown","No echo / error")))</f>
        <v>No echo / error</v>
      </c>
      <c r="N808" s="3" t="str">
        <f aca="false">IF(ISNUMBER(SEARCH(" m",K808)),"Range",IF(K808="offline","Offline",IF(K808="","Unknown","No echo / error")))</f>
        <v>No echo / error</v>
      </c>
      <c r="O808" s="3" t="str">
        <f aca="false">TEXT(B808,"yyyy-mm-dd")</f>
        <v>2026-10-06</v>
      </c>
    </row>
    <row r="809" customFormat="false" ht="15" hidden="false" customHeight="false" outlineLevel="0" collapsed="false">
      <c r="A809" s="27" t="n">
        <v>13</v>
      </c>
      <c r="B809" s="28" t="n">
        <v>46301.5218293634</v>
      </c>
      <c r="C809" s="29" t="n">
        <f aca="false">IF(A810=A809,B810,INDEX(Rounds!$D:$D,MATCH(A809,Rounds!$A:$A,0)))</f>
        <v>46301.5218660995</v>
      </c>
      <c r="D809" s="30" t="n">
        <f aca="false">(B809-INDEX(Rounds!$C:$C,MATCH(A809,Rounds!$A:$A,0)))*86400</f>
        <v>32.322999089</v>
      </c>
      <c r="E809" s="30" t="n">
        <f aca="false">(C809-INDEX(Rounds!$C:$C,MATCH(A809,Rounds!$A:$A,0)))*86400</f>
        <v>35.496999928</v>
      </c>
      <c r="F809" s="31" t="n">
        <f aca="false">(C809-B809)*86400</f>
        <v>3.174000838</v>
      </c>
      <c r="G809" s="27" t="s">
        <v>150</v>
      </c>
      <c r="H809" s="27" t="s">
        <v>206</v>
      </c>
      <c r="I809" s="27" t="s">
        <v>277</v>
      </c>
      <c r="J809" s="27" t="s">
        <v>469</v>
      </c>
      <c r="K809" s="27" t="s">
        <v>315</v>
      </c>
      <c r="L809" s="3" t="str">
        <f aca="false">IF(ISNUMBER(SEARCH(" m",I809)),"Range",IF(I809="offline","Offline",IF(I809="","Unknown","No echo / error")))</f>
        <v>Range</v>
      </c>
      <c r="M809" s="3" t="str">
        <f aca="false">IF(ISNUMBER(SEARCH(" m",J809)),"Range",IF(J809="offline","Offline",IF(J809="","Unknown","No echo / error")))</f>
        <v>Range</v>
      </c>
      <c r="N809" s="3" t="str">
        <f aca="false">IF(ISNUMBER(SEARCH(" m",K809)),"Range",IF(K809="offline","Offline",IF(K809="","Unknown","No echo / error")))</f>
        <v>Range</v>
      </c>
      <c r="O809" s="3" t="str">
        <f aca="false">TEXT(B809,"yyyy-mm-dd")</f>
        <v>2026-10-06</v>
      </c>
    </row>
    <row r="810" customFormat="false" ht="15" hidden="false" customHeight="false" outlineLevel="0" collapsed="false">
      <c r="A810" s="27" t="n">
        <v>13</v>
      </c>
      <c r="B810" s="28" t="n">
        <v>46301.5218660995</v>
      </c>
      <c r="C810" s="29" t="n">
        <f aca="false">IF(A811=A810,B811,INDEX(Rounds!$D:$D,MATCH(A810,Rounds!$A:$A,0)))</f>
        <v>46301.5218916898</v>
      </c>
      <c r="D810" s="30" t="n">
        <f aca="false">(B810-INDEX(Rounds!$C:$C,MATCH(A810,Rounds!$A:$A,0)))*86400</f>
        <v>35.496999928</v>
      </c>
      <c r="E810" s="30" t="n">
        <f aca="false">(C810-INDEX(Rounds!$C:$C,MATCH(A810,Rounds!$A:$A,0)))*86400</f>
        <v>37.708000559</v>
      </c>
      <c r="F810" s="31" t="n">
        <f aca="false">(C810-B810)*86400</f>
        <v>2.21100063</v>
      </c>
      <c r="G810" s="27" t="s">
        <v>152</v>
      </c>
      <c r="H810" s="27" t="s">
        <v>208</v>
      </c>
      <c r="I810" s="27" t="s">
        <v>393</v>
      </c>
      <c r="J810" s="27" t="s">
        <v>501</v>
      </c>
      <c r="K810" s="27" t="s">
        <v>313</v>
      </c>
      <c r="L810" s="3" t="str">
        <f aca="false">IF(ISNUMBER(SEARCH(" m",I810)),"Range",IF(I810="offline","Offline",IF(I810="","Unknown","No echo / error")))</f>
        <v>Range</v>
      </c>
      <c r="M810" s="3" t="str">
        <f aca="false">IF(ISNUMBER(SEARCH(" m",J810)),"Range",IF(J810="offline","Offline",IF(J810="","Unknown","No echo / error")))</f>
        <v>Range</v>
      </c>
      <c r="N810" s="3" t="str">
        <f aca="false">IF(ISNUMBER(SEARCH(" m",K810)),"Range",IF(K810="offline","Offline",IF(K810="","Unknown","No echo / error")))</f>
        <v>Range</v>
      </c>
      <c r="O810" s="3" t="str">
        <f aca="false">TEXT(B810,"yyyy-mm-dd")</f>
        <v>2026-10-06</v>
      </c>
    </row>
    <row r="811" customFormat="false" ht="15" hidden="false" customHeight="false" outlineLevel="0" collapsed="false">
      <c r="A811" s="27" t="n">
        <v>13</v>
      </c>
      <c r="B811" s="28" t="n">
        <v>46301.5218916898</v>
      </c>
      <c r="C811" s="29" t="n">
        <f aca="false">IF(A812=A811,B812,INDEX(Rounds!$D:$D,MATCH(A811,Rounds!$A:$A,0)))</f>
        <v>46301.5218931713</v>
      </c>
      <c r="D811" s="30" t="n">
        <f aca="false">(B811-INDEX(Rounds!$C:$C,MATCH(A811,Rounds!$A:$A,0)))*86400</f>
        <v>37.708000559</v>
      </c>
      <c r="E811" s="30" t="n">
        <f aca="false">(C811-INDEX(Rounds!$C:$C,MATCH(A811,Rounds!$A:$A,0)))*86400</f>
        <v>37.836000393</v>
      </c>
      <c r="F811" s="31" t="n">
        <f aca="false">(C811-B811)*86400</f>
        <v>0.127999833</v>
      </c>
      <c r="G811" s="27" t="s">
        <v>151</v>
      </c>
      <c r="H811" s="27" t="s">
        <v>203</v>
      </c>
      <c r="I811" s="27" t="s">
        <v>496</v>
      </c>
      <c r="J811" s="27" t="s">
        <v>393</v>
      </c>
      <c r="K811" s="27" t="s">
        <v>220</v>
      </c>
      <c r="L811" s="3" t="str">
        <f aca="false">IF(ISNUMBER(SEARCH(" m",I811)),"Range",IF(I811="offline","Offline",IF(I811="","Unknown","No echo / error")))</f>
        <v>Range</v>
      </c>
      <c r="M811" s="3" t="str">
        <f aca="false">IF(ISNUMBER(SEARCH(" m",J811)),"Range",IF(J811="offline","Offline",IF(J811="","Unknown","No echo / error")))</f>
        <v>Range</v>
      </c>
      <c r="N811" s="3" t="str">
        <f aca="false">IF(ISNUMBER(SEARCH(" m",K811)),"Range",IF(K811="offline","Offline",IF(K811="","Unknown","No echo / error")))</f>
        <v>No echo / error</v>
      </c>
      <c r="O811" s="3" t="str">
        <f aca="false">TEXT(B811,"yyyy-mm-dd")</f>
        <v>2026-10-06</v>
      </c>
    </row>
    <row r="812" customFormat="false" ht="15" hidden="false" customHeight="false" outlineLevel="0" collapsed="false">
      <c r="A812" s="27" t="n">
        <v>13</v>
      </c>
      <c r="B812" s="28" t="n">
        <v>46301.5218931713</v>
      </c>
      <c r="C812" s="29" t="n">
        <f aca="false">IF(A813=A812,B813,INDEX(Rounds!$D:$D,MATCH(A812,Rounds!$A:$A,0)))</f>
        <v>46301.5218987384</v>
      </c>
      <c r="D812" s="30" t="n">
        <f aca="false">(B812-INDEX(Rounds!$C:$C,MATCH(A812,Rounds!$A:$A,0)))*86400</f>
        <v>37.836000393</v>
      </c>
      <c r="E812" s="30" t="n">
        <f aca="false">(C812-INDEX(Rounds!$C:$C,MATCH(A812,Rounds!$A:$A,0)))*86400</f>
        <v>38.317000097</v>
      </c>
      <c r="F812" s="31" t="n">
        <f aca="false">(C812-B812)*86400</f>
        <v>0.480999704</v>
      </c>
      <c r="G812" s="27" t="s">
        <v>150</v>
      </c>
      <c r="H812" s="27" t="s">
        <v>206</v>
      </c>
      <c r="I812" s="27" t="s">
        <v>496</v>
      </c>
      <c r="J812" s="27" t="s">
        <v>234</v>
      </c>
      <c r="K812" s="27" t="s">
        <v>220</v>
      </c>
      <c r="L812" s="3" t="str">
        <f aca="false">IF(ISNUMBER(SEARCH(" m",I812)),"Range",IF(I812="offline","Offline",IF(I812="","Unknown","No echo / error")))</f>
        <v>Range</v>
      </c>
      <c r="M812" s="3" t="str">
        <f aca="false">IF(ISNUMBER(SEARCH(" m",J812)),"Range",IF(J812="offline","Offline",IF(J812="","Unknown","No echo / error")))</f>
        <v>Range</v>
      </c>
      <c r="N812" s="3" t="str">
        <f aca="false">IF(ISNUMBER(SEARCH(" m",K812)),"Range",IF(K812="offline","Offline",IF(K812="","Unknown","No echo / error")))</f>
        <v>No echo / error</v>
      </c>
      <c r="O812" s="3" t="str">
        <f aca="false">TEXT(B812,"yyyy-mm-dd")</f>
        <v>2026-10-06</v>
      </c>
    </row>
    <row r="813" customFormat="false" ht="15" hidden="false" customHeight="false" outlineLevel="0" collapsed="false">
      <c r="A813" s="27" t="n">
        <v>13</v>
      </c>
      <c r="B813" s="28" t="n">
        <v>46301.5218987384</v>
      </c>
      <c r="C813" s="29" t="n">
        <f aca="false">IF(A814=A813,B814,INDEX(Rounds!$D:$D,MATCH(A813,Rounds!$A:$A,0)))</f>
        <v>46301.5218989236</v>
      </c>
      <c r="D813" s="30" t="n">
        <f aca="false">(B813-INDEX(Rounds!$C:$C,MATCH(A813,Rounds!$A:$A,0)))*86400</f>
        <v>38.317000097</v>
      </c>
      <c r="E813" s="30" t="n">
        <f aca="false">(C813-INDEX(Rounds!$C:$C,MATCH(A813,Rounds!$A:$A,0)))*86400</f>
        <v>38.332999683</v>
      </c>
      <c r="F813" s="31" t="n">
        <f aca="false">(C813-B813)*86400</f>
        <v>0.015999586</v>
      </c>
      <c r="G813" s="27" t="s">
        <v>152</v>
      </c>
      <c r="H813" s="27" t="s">
        <v>208</v>
      </c>
      <c r="I813" s="27" t="s">
        <v>220</v>
      </c>
      <c r="J813" s="27" t="s">
        <v>234</v>
      </c>
      <c r="K813" s="27" t="s">
        <v>298</v>
      </c>
      <c r="L813" s="3" t="str">
        <f aca="false">IF(ISNUMBER(SEARCH(" m",I813)),"Range",IF(I813="offline","Offline",IF(I813="","Unknown","No echo / error")))</f>
        <v>No echo / error</v>
      </c>
      <c r="M813" s="3" t="str">
        <f aca="false">IF(ISNUMBER(SEARCH(" m",J813)),"Range",IF(J813="offline","Offline",IF(J813="","Unknown","No echo / error")))</f>
        <v>Range</v>
      </c>
      <c r="N813" s="3" t="str">
        <f aca="false">IF(ISNUMBER(SEARCH(" m",K813)),"Range",IF(K813="offline","Offline",IF(K813="","Unknown","No echo / error")))</f>
        <v>Range</v>
      </c>
      <c r="O813" s="3" t="str">
        <f aca="false">TEXT(B813,"yyyy-mm-dd")</f>
        <v>2026-10-06</v>
      </c>
    </row>
    <row r="814" customFormat="false" ht="15" hidden="false" customHeight="false" outlineLevel="0" collapsed="false">
      <c r="A814" s="27" t="n">
        <v>13</v>
      </c>
      <c r="B814" s="28" t="n">
        <v>46301.5218989236</v>
      </c>
      <c r="C814" s="29" t="n">
        <f aca="false">IF(A815=A814,B815,INDEX(Rounds!$D:$D,MATCH(A814,Rounds!$A:$A,0)))</f>
        <v>46301.5219045023</v>
      </c>
      <c r="D814" s="30" t="n">
        <f aca="false">(B814-INDEX(Rounds!$C:$C,MATCH(A814,Rounds!$A:$A,0)))*86400</f>
        <v>38.332999683</v>
      </c>
      <c r="E814" s="30" t="n">
        <f aca="false">(C814-INDEX(Rounds!$C:$C,MATCH(A814,Rounds!$A:$A,0)))*86400</f>
        <v>38.814999558</v>
      </c>
      <c r="F814" s="31" t="n">
        <f aca="false">(C814-B814)*86400</f>
        <v>0.481999875</v>
      </c>
      <c r="G814" s="27" t="s">
        <v>151</v>
      </c>
      <c r="H814" s="27" t="s">
        <v>203</v>
      </c>
      <c r="I814" s="27" t="s">
        <v>220</v>
      </c>
      <c r="J814" s="27" t="s">
        <v>234</v>
      </c>
      <c r="K814" s="27" t="s">
        <v>298</v>
      </c>
      <c r="L814" s="3" t="str">
        <f aca="false">IF(ISNUMBER(SEARCH(" m",I814)),"Range",IF(I814="offline","Offline",IF(I814="","Unknown","No echo / error")))</f>
        <v>No echo / error</v>
      </c>
      <c r="M814" s="3" t="str">
        <f aca="false">IF(ISNUMBER(SEARCH(" m",J814)),"Range",IF(J814="offline","Offline",IF(J814="","Unknown","No echo / error")))</f>
        <v>Range</v>
      </c>
      <c r="N814" s="3" t="str">
        <f aca="false">IF(ISNUMBER(SEARCH(" m",K814)),"Range",IF(K814="offline","Offline",IF(K814="","Unknown","No echo / error")))</f>
        <v>Range</v>
      </c>
      <c r="O814" s="3" t="str">
        <f aca="false">TEXT(B814,"yyyy-mm-dd")</f>
        <v>2026-10-06</v>
      </c>
    </row>
    <row r="815" customFormat="false" ht="15" hidden="false" customHeight="false" outlineLevel="0" collapsed="false">
      <c r="A815" s="27" t="n">
        <v>13</v>
      </c>
      <c r="B815" s="28" t="n">
        <v>46301.5219045023</v>
      </c>
      <c r="C815" s="29" t="n">
        <f aca="false">IF(A816=A815,B816,INDEX(Rounds!$D:$D,MATCH(A815,Rounds!$A:$A,0)))</f>
        <v>46301.5219184607</v>
      </c>
      <c r="D815" s="30" t="n">
        <f aca="false">(B815-INDEX(Rounds!$C:$C,MATCH(A815,Rounds!$A:$A,0)))*86400</f>
        <v>38.814999558</v>
      </c>
      <c r="E815" s="30" t="n">
        <f aca="false">(C815-INDEX(Rounds!$C:$C,MATCH(A815,Rounds!$A:$A,0)))*86400</f>
        <v>40.020999731</v>
      </c>
      <c r="F815" s="31" t="n">
        <f aca="false">(C815-B815)*86400</f>
        <v>1.206000172</v>
      </c>
      <c r="G815" s="27" t="s">
        <v>152</v>
      </c>
      <c r="H815" s="27" t="s">
        <v>208</v>
      </c>
      <c r="I815" s="27" t="s">
        <v>220</v>
      </c>
      <c r="J815" s="27" t="s">
        <v>234</v>
      </c>
      <c r="K815" s="27" t="s">
        <v>298</v>
      </c>
      <c r="L815" s="3" t="str">
        <f aca="false">IF(ISNUMBER(SEARCH(" m",I815)),"Range",IF(I815="offline","Offline",IF(I815="","Unknown","No echo / error")))</f>
        <v>No echo / error</v>
      </c>
      <c r="M815" s="3" t="str">
        <f aca="false">IF(ISNUMBER(SEARCH(" m",J815)),"Range",IF(J815="offline","Offline",IF(J815="","Unknown","No echo / error")))</f>
        <v>Range</v>
      </c>
      <c r="N815" s="3" t="str">
        <f aca="false">IF(ISNUMBER(SEARCH(" m",K815)),"Range",IF(K815="offline","Offline",IF(K815="","Unknown","No echo / error")))</f>
        <v>Range</v>
      </c>
      <c r="O815" s="3" t="str">
        <f aca="false">TEXT(B815,"yyyy-mm-dd")</f>
        <v>2026-10-06</v>
      </c>
    </row>
    <row r="816" customFormat="false" ht="15" hidden="false" customHeight="false" outlineLevel="0" collapsed="false">
      <c r="A816" s="27" t="n">
        <v>13</v>
      </c>
      <c r="B816" s="28" t="n">
        <v>46301.5219184607</v>
      </c>
      <c r="C816" s="29" t="n">
        <f aca="false">IF(A817=A816,B817,INDEX(Rounds!$D:$D,MATCH(A816,Rounds!$A:$A,0)))</f>
        <v>46301.5219266782</v>
      </c>
      <c r="D816" s="30" t="n">
        <f aca="false">(B816-INDEX(Rounds!$C:$C,MATCH(A816,Rounds!$A:$A,0)))*86400</f>
        <v>40.020999731</v>
      </c>
      <c r="E816" s="30" t="n">
        <f aca="false">(C816-INDEX(Rounds!$C:$C,MATCH(A816,Rounds!$A:$A,0)))*86400</f>
        <v>40.730999526</v>
      </c>
      <c r="F816" s="31" t="n">
        <f aca="false">(C816-B816)*86400</f>
        <v>0.709999795</v>
      </c>
      <c r="G816" s="27" t="s">
        <v>151</v>
      </c>
      <c r="H816" s="27" t="s">
        <v>203</v>
      </c>
      <c r="I816" s="27" t="s">
        <v>213</v>
      </c>
      <c r="J816" s="27" t="s">
        <v>272</v>
      </c>
      <c r="K816" s="27" t="s">
        <v>298</v>
      </c>
      <c r="L816" s="3" t="str">
        <f aca="false">IF(ISNUMBER(SEARCH(" m",I816)),"Range",IF(I816="offline","Offline",IF(I816="","Unknown","No echo / error")))</f>
        <v>Range</v>
      </c>
      <c r="M816" s="3" t="str">
        <f aca="false">IF(ISNUMBER(SEARCH(" m",J816)),"Range",IF(J816="offline","Offline",IF(J816="","Unknown","No echo / error")))</f>
        <v>Range</v>
      </c>
      <c r="N816" s="3" t="str">
        <f aca="false">IF(ISNUMBER(SEARCH(" m",K816)),"Range",IF(K816="offline","Offline",IF(K816="","Unknown","No echo / error")))</f>
        <v>Range</v>
      </c>
      <c r="O816" s="3" t="str">
        <f aca="false">TEXT(B816,"yyyy-mm-dd")</f>
        <v>2026-10-06</v>
      </c>
    </row>
    <row r="817" customFormat="false" ht="15" hidden="false" customHeight="false" outlineLevel="0" collapsed="false">
      <c r="A817" s="27" t="n">
        <v>13</v>
      </c>
      <c r="B817" s="28" t="n">
        <v>46301.5219266782</v>
      </c>
      <c r="C817" s="29" t="n">
        <f aca="false">IF(A818=A817,B818,INDEX(Rounds!$D:$D,MATCH(A817,Rounds!$A:$A,0)))</f>
        <v>46301.5219621181</v>
      </c>
      <c r="D817" s="30" t="n">
        <f aca="false">(B817-INDEX(Rounds!$C:$C,MATCH(A817,Rounds!$A:$A,0)))*86400</f>
        <v>40.730999526</v>
      </c>
      <c r="E817" s="30" t="n">
        <f aca="false">(C817-INDEX(Rounds!$C:$C,MATCH(A817,Rounds!$A:$A,0)))*86400</f>
        <v>43.793000117</v>
      </c>
      <c r="F817" s="31" t="n">
        <f aca="false">(C817-B817)*86400</f>
        <v>3.062000591</v>
      </c>
      <c r="G817" s="27" t="s">
        <v>152</v>
      </c>
      <c r="H817" s="27" t="s">
        <v>208</v>
      </c>
      <c r="I817" s="27" t="s">
        <v>213</v>
      </c>
      <c r="J817" s="27" t="s">
        <v>248</v>
      </c>
      <c r="K817" s="27" t="s">
        <v>306</v>
      </c>
      <c r="L817" s="3" t="str">
        <f aca="false">IF(ISNUMBER(SEARCH(" m",I817)),"Range",IF(I817="offline","Offline",IF(I817="","Unknown","No echo / error")))</f>
        <v>Range</v>
      </c>
      <c r="M817" s="3" t="str">
        <f aca="false">IF(ISNUMBER(SEARCH(" m",J817)),"Range",IF(J817="offline","Offline",IF(J817="","Unknown","No echo / error")))</f>
        <v>Range</v>
      </c>
      <c r="N817" s="3" t="str">
        <f aca="false">IF(ISNUMBER(SEARCH(" m",K817)),"Range",IF(K817="offline","Offline",IF(K817="","Unknown","No echo / error")))</f>
        <v>Range</v>
      </c>
      <c r="O817" s="3" t="str">
        <f aca="false">TEXT(B817,"yyyy-mm-dd")</f>
        <v>2026-10-06</v>
      </c>
    </row>
    <row r="818" customFormat="false" ht="15" hidden="false" customHeight="false" outlineLevel="0" collapsed="false">
      <c r="A818" s="27" t="n">
        <v>13</v>
      </c>
      <c r="B818" s="28" t="n">
        <v>46301.5219621181</v>
      </c>
      <c r="C818" s="29" t="n">
        <f aca="false">IF(A819=A818,B819,INDEX(Rounds!$D:$D,MATCH(A818,Rounds!$A:$A,0)))</f>
        <v>46301.5219639699</v>
      </c>
      <c r="D818" s="30" t="n">
        <f aca="false">(B818-INDEX(Rounds!$C:$C,MATCH(A818,Rounds!$A:$A,0)))*86400</f>
        <v>43.793000117</v>
      </c>
      <c r="E818" s="30" t="n">
        <f aca="false">(C818-INDEX(Rounds!$C:$C,MATCH(A818,Rounds!$A:$A,0)))*86400</f>
        <v>43.953000381</v>
      </c>
      <c r="F818" s="31" t="n">
        <f aca="false">(C818-B818)*86400</f>
        <v>0.160000263</v>
      </c>
      <c r="G818" s="27" t="s">
        <v>151</v>
      </c>
      <c r="H818" s="27" t="s">
        <v>203</v>
      </c>
      <c r="I818" s="27" t="s">
        <v>334</v>
      </c>
      <c r="J818" s="27" t="s">
        <v>235</v>
      </c>
      <c r="K818" s="27" t="s">
        <v>211</v>
      </c>
      <c r="L818" s="3" t="str">
        <f aca="false">IF(ISNUMBER(SEARCH(" m",I818)),"Range",IF(I818="offline","Offline",IF(I818="","Unknown","No echo / error")))</f>
        <v>Range</v>
      </c>
      <c r="M818" s="3" t="str">
        <f aca="false">IF(ISNUMBER(SEARCH(" m",J818)),"Range",IF(J818="offline","Offline",IF(J818="","Unknown","No echo / error")))</f>
        <v>Range</v>
      </c>
      <c r="N818" s="3" t="str">
        <f aca="false">IF(ISNUMBER(SEARCH(" m",K818)),"Range",IF(K818="offline","Offline",IF(K818="","Unknown","No echo / error")))</f>
        <v>No echo / error</v>
      </c>
      <c r="O818" s="3" t="str">
        <f aca="false">TEXT(B818,"yyyy-mm-dd")</f>
        <v>2026-10-06</v>
      </c>
    </row>
    <row r="819" customFormat="false" ht="15" hidden="false" customHeight="false" outlineLevel="0" collapsed="false">
      <c r="A819" s="27" t="n">
        <v>13</v>
      </c>
      <c r="B819" s="28" t="n">
        <v>46301.5219639699</v>
      </c>
      <c r="C819" s="29" t="n">
        <f aca="false">IF(A820=A819,B820,INDEX(Rounds!$D:$D,MATCH(A819,Rounds!$A:$A,0)))</f>
        <v>46301.5219897685</v>
      </c>
      <c r="D819" s="30" t="n">
        <f aca="false">(B819-INDEX(Rounds!$C:$C,MATCH(A819,Rounds!$A:$A,0)))*86400</f>
        <v>43.953000381</v>
      </c>
      <c r="E819" s="30" t="n">
        <f aca="false">(C819-INDEX(Rounds!$C:$C,MATCH(A819,Rounds!$A:$A,0)))*86400</f>
        <v>46.181999682</v>
      </c>
      <c r="F819" s="31" t="n">
        <f aca="false">(C819-B819)*86400</f>
        <v>2.2289993</v>
      </c>
      <c r="G819" s="27" t="s">
        <v>150</v>
      </c>
      <c r="H819" s="27" t="s">
        <v>206</v>
      </c>
      <c r="I819" s="27" t="s">
        <v>315</v>
      </c>
      <c r="J819" s="27" t="s">
        <v>235</v>
      </c>
      <c r="K819" s="27" t="s">
        <v>211</v>
      </c>
      <c r="L819" s="3" t="str">
        <f aca="false">IF(ISNUMBER(SEARCH(" m",I819)),"Range",IF(I819="offline","Offline",IF(I819="","Unknown","No echo / error")))</f>
        <v>Range</v>
      </c>
      <c r="M819" s="3" t="str">
        <f aca="false">IF(ISNUMBER(SEARCH(" m",J819)),"Range",IF(J819="offline","Offline",IF(J819="","Unknown","No echo / error")))</f>
        <v>Range</v>
      </c>
      <c r="N819" s="3" t="str">
        <f aca="false">IF(ISNUMBER(SEARCH(" m",K819)),"Range",IF(K819="offline","Offline",IF(K819="","Unknown","No echo / error")))</f>
        <v>No echo / error</v>
      </c>
      <c r="O819" s="3" t="str">
        <f aca="false">TEXT(B819,"yyyy-mm-dd")</f>
        <v>2026-10-06</v>
      </c>
    </row>
    <row r="820" customFormat="false" ht="15" hidden="false" customHeight="false" outlineLevel="0" collapsed="false">
      <c r="A820" s="27" t="n">
        <v>13</v>
      </c>
      <c r="B820" s="28" t="n">
        <v>46301.5219897685</v>
      </c>
      <c r="C820" s="29" t="n">
        <f aca="false">IF(A821=A820,B821,INDEX(Rounds!$D:$D,MATCH(A820,Rounds!$A:$A,0)))</f>
        <v>46301.521998125</v>
      </c>
      <c r="D820" s="30" t="n">
        <f aca="false">(B820-INDEX(Rounds!$C:$C,MATCH(A820,Rounds!$A:$A,0)))*86400</f>
        <v>46.181999682</v>
      </c>
      <c r="E820" s="30" t="n">
        <f aca="false">(C820-INDEX(Rounds!$C:$C,MATCH(A820,Rounds!$A:$A,0)))*86400</f>
        <v>46.903999638</v>
      </c>
      <c r="F820" s="31" t="n">
        <f aca="false">(C820-B820)*86400</f>
        <v>0.721999956</v>
      </c>
      <c r="G820" s="27" t="s">
        <v>152</v>
      </c>
      <c r="H820" s="27" t="s">
        <v>208</v>
      </c>
      <c r="I820" s="27" t="s">
        <v>220</v>
      </c>
      <c r="J820" s="27" t="s">
        <v>240</v>
      </c>
      <c r="K820" s="27" t="s">
        <v>383</v>
      </c>
      <c r="L820" s="3" t="str">
        <f aca="false">IF(ISNUMBER(SEARCH(" m",I820)),"Range",IF(I820="offline","Offline",IF(I820="","Unknown","No echo / error")))</f>
        <v>No echo / error</v>
      </c>
      <c r="M820" s="3" t="str">
        <f aca="false">IF(ISNUMBER(SEARCH(" m",J820)),"Range",IF(J820="offline","Offline",IF(J820="","Unknown","No echo / error")))</f>
        <v>Range</v>
      </c>
      <c r="N820" s="3" t="str">
        <f aca="false">IF(ISNUMBER(SEARCH(" m",K820)),"Range",IF(K820="offline","Offline",IF(K820="","Unknown","No echo / error")))</f>
        <v>No echo / error</v>
      </c>
      <c r="O820" s="3" t="str">
        <f aca="false">TEXT(B820,"yyyy-mm-dd")</f>
        <v>2026-10-06</v>
      </c>
    </row>
    <row r="821" customFormat="false" ht="15" hidden="false" customHeight="false" outlineLevel="0" collapsed="false">
      <c r="A821" s="27" t="n">
        <v>13</v>
      </c>
      <c r="B821" s="28" t="n">
        <v>46301.521998125</v>
      </c>
      <c r="C821" s="29" t="n">
        <f aca="false">IF(A822=A821,B822,INDEX(Rounds!$D:$D,MATCH(A821,Rounds!$A:$A,0)))</f>
        <v>46301.5220080556</v>
      </c>
      <c r="D821" s="30" t="n">
        <f aca="false">(B821-INDEX(Rounds!$C:$C,MATCH(A821,Rounds!$A:$A,0)))*86400</f>
        <v>46.903999638</v>
      </c>
      <c r="E821" s="30" t="n">
        <f aca="false">(C821-INDEX(Rounds!$C:$C,MATCH(A821,Rounds!$A:$A,0)))*86400</f>
        <v>47.762000164</v>
      </c>
      <c r="F821" s="31" t="n">
        <f aca="false">(C821-B821)*86400</f>
        <v>0.858000526</v>
      </c>
      <c r="G821" s="27" t="s">
        <v>151</v>
      </c>
      <c r="H821" s="27" t="s">
        <v>203</v>
      </c>
      <c r="I821" s="27" t="s">
        <v>352</v>
      </c>
      <c r="J821" s="27" t="s">
        <v>220</v>
      </c>
      <c r="K821" s="27" t="s">
        <v>383</v>
      </c>
      <c r="L821" s="3" t="str">
        <f aca="false">IF(ISNUMBER(SEARCH(" m",I821)),"Range",IF(I821="offline","Offline",IF(I821="","Unknown","No echo / error")))</f>
        <v>Range</v>
      </c>
      <c r="M821" s="3" t="str">
        <f aca="false">IF(ISNUMBER(SEARCH(" m",J821)),"Range",IF(J821="offline","Offline",IF(J821="","Unknown","No echo / error")))</f>
        <v>No echo / error</v>
      </c>
      <c r="N821" s="3" t="str">
        <f aca="false">IF(ISNUMBER(SEARCH(" m",K821)),"Range",IF(K821="offline","Offline",IF(K821="","Unknown","No echo / error")))</f>
        <v>No echo / error</v>
      </c>
      <c r="O821" s="3" t="str">
        <f aca="false">TEXT(B821,"yyyy-mm-dd")</f>
        <v>2026-10-06</v>
      </c>
    </row>
    <row r="822" customFormat="false" ht="15" hidden="false" customHeight="false" outlineLevel="0" collapsed="false">
      <c r="A822" s="27" t="n">
        <v>13</v>
      </c>
      <c r="B822" s="28" t="n">
        <v>46301.5220080556</v>
      </c>
      <c r="C822" s="29" t="n">
        <f aca="false">IF(A823=A822,B823,INDEX(Rounds!$D:$D,MATCH(A822,Rounds!$A:$A,0)))</f>
        <v>46301.5220272454</v>
      </c>
      <c r="D822" s="30" t="n">
        <f aca="false">(B822-INDEX(Rounds!$C:$C,MATCH(A822,Rounds!$A:$A,0)))*86400</f>
        <v>47.762000164</v>
      </c>
      <c r="E822" s="30" t="n">
        <f aca="false">(C822-INDEX(Rounds!$C:$C,MATCH(A822,Rounds!$A:$A,0)))*86400</f>
        <v>49.420000123</v>
      </c>
      <c r="F822" s="31" t="n">
        <f aca="false">(C822-B822)*86400</f>
        <v>1.657999958</v>
      </c>
      <c r="G822" s="27" t="s">
        <v>150</v>
      </c>
      <c r="H822" s="27" t="s">
        <v>206</v>
      </c>
      <c r="I822" s="27" t="s">
        <v>342</v>
      </c>
      <c r="J822" s="27" t="s">
        <v>309</v>
      </c>
      <c r="K822" s="27" t="s">
        <v>383</v>
      </c>
      <c r="L822" s="3" t="str">
        <f aca="false">IF(ISNUMBER(SEARCH(" m",I822)),"Range",IF(I822="offline","Offline",IF(I822="","Unknown","No echo / error")))</f>
        <v>Range</v>
      </c>
      <c r="M822" s="3" t="str">
        <f aca="false">IF(ISNUMBER(SEARCH(" m",J822)),"Range",IF(J822="offline","Offline",IF(J822="","Unknown","No echo / error")))</f>
        <v>Range</v>
      </c>
      <c r="N822" s="3" t="str">
        <f aca="false">IF(ISNUMBER(SEARCH(" m",K822)),"Range",IF(K822="offline","Offline",IF(K822="","Unknown","No echo / error")))</f>
        <v>No echo / error</v>
      </c>
      <c r="O822" s="3" t="str">
        <f aca="false">TEXT(B822,"yyyy-mm-dd")</f>
        <v>2026-10-06</v>
      </c>
    </row>
    <row r="823" customFormat="false" ht="15" hidden="false" customHeight="false" outlineLevel="0" collapsed="false">
      <c r="A823" s="27" t="n">
        <v>13</v>
      </c>
      <c r="B823" s="28" t="n">
        <v>46301.5220272454</v>
      </c>
      <c r="C823" s="29" t="n">
        <f aca="false">IF(A824=A823,B824,INDEX(Rounds!$D:$D,MATCH(A823,Rounds!$A:$A,0)))</f>
        <v>46301.522028912</v>
      </c>
      <c r="D823" s="30" t="n">
        <f aca="false">(B823-INDEX(Rounds!$C:$C,MATCH(A823,Rounds!$A:$A,0)))*86400</f>
        <v>49.420000123</v>
      </c>
      <c r="E823" s="30" t="n">
        <f aca="false">(C823-INDEX(Rounds!$C:$C,MATCH(A823,Rounds!$A:$A,0)))*86400</f>
        <v>49.563999543</v>
      </c>
      <c r="F823" s="31" t="n">
        <f aca="false">(C823-B823)*86400</f>
        <v>0.14399942</v>
      </c>
      <c r="G823" s="27" t="s">
        <v>152</v>
      </c>
      <c r="H823" s="27" t="s">
        <v>208</v>
      </c>
      <c r="I823" s="27" t="s">
        <v>328</v>
      </c>
      <c r="J823" s="27" t="s">
        <v>371</v>
      </c>
      <c r="K823" s="27" t="s">
        <v>200</v>
      </c>
      <c r="L823" s="3" t="str">
        <f aca="false">IF(ISNUMBER(SEARCH(" m",I823)),"Range",IF(I823="offline","Offline",IF(I823="","Unknown","No echo / error")))</f>
        <v>Range</v>
      </c>
      <c r="M823" s="3" t="str">
        <f aca="false">IF(ISNUMBER(SEARCH(" m",J823)),"Range",IF(J823="offline","Offline",IF(J823="","Unknown","No echo / error")))</f>
        <v>Range</v>
      </c>
      <c r="N823" s="3" t="str">
        <f aca="false">IF(ISNUMBER(SEARCH(" m",K823)),"Range",IF(K823="offline","Offline",IF(K823="","Unknown","No echo / error")))</f>
        <v>Offline</v>
      </c>
      <c r="O823" s="3" t="str">
        <f aca="false">TEXT(B823,"yyyy-mm-dd")</f>
        <v>2026-10-06</v>
      </c>
    </row>
    <row r="824" customFormat="false" ht="15" hidden="false" customHeight="false" outlineLevel="0" collapsed="false">
      <c r="A824" s="27" t="n">
        <v>13</v>
      </c>
      <c r="B824" s="28" t="n">
        <v>46301.522028912</v>
      </c>
      <c r="C824" s="29" t="n">
        <f aca="false">IF(A825=A824,B825,INDEX(Rounds!$D:$D,MATCH(A824,Rounds!$A:$A,0)))</f>
        <v>46301.5220409954</v>
      </c>
      <c r="D824" s="30" t="n">
        <f aca="false">(B824-INDEX(Rounds!$C:$C,MATCH(A824,Rounds!$A:$A,0)))*86400</f>
        <v>49.563999543</v>
      </c>
      <c r="E824" s="30" t="n">
        <f aca="false">(C824-INDEX(Rounds!$C:$C,MATCH(A824,Rounds!$A:$A,0)))*86400</f>
        <v>50.60799974</v>
      </c>
      <c r="F824" s="31" t="n">
        <f aca="false">(C824-B824)*86400</f>
        <v>1.044000196</v>
      </c>
      <c r="G824" s="27" t="s">
        <v>151</v>
      </c>
      <c r="H824" s="27" t="s">
        <v>203</v>
      </c>
      <c r="I824" s="27" t="s">
        <v>243</v>
      </c>
      <c r="J824" s="27" t="s">
        <v>419</v>
      </c>
      <c r="K824" s="27" t="s">
        <v>200</v>
      </c>
      <c r="L824" s="3" t="str">
        <f aca="false">IF(ISNUMBER(SEARCH(" m",I824)),"Range",IF(I824="offline","Offline",IF(I824="","Unknown","No echo / error")))</f>
        <v>Range</v>
      </c>
      <c r="M824" s="3" t="str">
        <f aca="false">IF(ISNUMBER(SEARCH(" m",J824)),"Range",IF(J824="offline","Offline",IF(J824="","Unknown","No echo / error")))</f>
        <v>Range</v>
      </c>
      <c r="N824" s="3" t="str">
        <f aca="false">IF(ISNUMBER(SEARCH(" m",K824)),"Range",IF(K824="offline","Offline",IF(K824="","Unknown","No echo / error")))</f>
        <v>Offline</v>
      </c>
      <c r="O824" s="3" t="str">
        <f aca="false">TEXT(B824,"yyyy-mm-dd")</f>
        <v>2026-10-06</v>
      </c>
    </row>
    <row r="825" customFormat="false" ht="15" hidden="false" customHeight="false" outlineLevel="0" collapsed="false">
      <c r="A825" s="27" t="n">
        <v>13</v>
      </c>
      <c r="B825" s="28" t="n">
        <v>46301.5220409954</v>
      </c>
      <c r="C825" s="29" t="n">
        <f aca="false">IF(A826=A825,B826,INDEX(Rounds!$D:$D,MATCH(A825,Rounds!$A:$A,0)))</f>
        <v>46301.5220551505</v>
      </c>
      <c r="D825" s="30" t="n">
        <f aca="false">(B825-INDEX(Rounds!$C:$C,MATCH(A825,Rounds!$A:$A,0)))*86400</f>
        <v>50.60799974</v>
      </c>
      <c r="E825" s="30" t="n">
        <f aca="false">(C825-INDEX(Rounds!$C:$C,MATCH(A825,Rounds!$A:$A,0)))*86400</f>
        <v>51.830999669</v>
      </c>
      <c r="F825" s="31" t="n">
        <f aca="false">(C825-B825)*86400</f>
        <v>1.222999929</v>
      </c>
      <c r="G825" s="27" t="s">
        <v>150</v>
      </c>
      <c r="H825" s="27" t="s">
        <v>206</v>
      </c>
      <c r="I825" s="27" t="s">
        <v>219</v>
      </c>
      <c r="J825" s="27" t="s">
        <v>478</v>
      </c>
      <c r="K825" s="27" t="s">
        <v>200</v>
      </c>
      <c r="L825" s="3" t="str">
        <f aca="false">IF(ISNUMBER(SEARCH(" m",I825)),"Range",IF(I825="offline","Offline",IF(I825="","Unknown","No echo / error")))</f>
        <v>Range</v>
      </c>
      <c r="M825" s="3" t="str">
        <f aca="false">IF(ISNUMBER(SEARCH(" m",J825)),"Range",IF(J825="offline","Offline",IF(J825="","Unknown","No echo / error")))</f>
        <v>Range</v>
      </c>
      <c r="N825" s="3" t="str">
        <f aca="false">IF(ISNUMBER(SEARCH(" m",K825)),"Range",IF(K825="offline","Offline",IF(K825="","Unknown","No echo / error")))</f>
        <v>Offline</v>
      </c>
      <c r="O825" s="3" t="str">
        <f aca="false">TEXT(B825,"yyyy-mm-dd")</f>
        <v>2026-10-06</v>
      </c>
    </row>
    <row r="826" customFormat="false" ht="15" hidden="false" customHeight="false" outlineLevel="0" collapsed="false">
      <c r="A826" s="27" t="n">
        <v>13</v>
      </c>
      <c r="B826" s="28" t="n">
        <v>46301.5220551505</v>
      </c>
      <c r="C826" s="29" t="n">
        <f aca="false">IF(A827=A826,B827,INDEX(Rounds!$D:$D,MATCH(A826,Rounds!$A:$A,0)))</f>
        <v>46301.5220689815</v>
      </c>
      <c r="D826" s="30" t="n">
        <f aca="false">(B826-INDEX(Rounds!$C:$C,MATCH(A826,Rounds!$A:$A,0)))*86400</f>
        <v>51.830999669</v>
      </c>
      <c r="E826" s="30" t="n">
        <f aca="false">(C826-INDEX(Rounds!$C:$C,MATCH(A826,Rounds!$A:$A,0)))*86400</f>
        <v>53.025999851</v>
      </c>
      <c r="F826" s="31" t="n">
        <f aca="false">(C826-B826)*86400</f>
        <v>1.195000181</v>
      </c>
      <c r="G826" s="27" t="s">
        <v>151</v>
      </c>
      <c r="H826" s="27" t="s">
        <v>203</v>
      </c>
      <c r="I826" s="27" t="s">
        <v>210</v>
      </c>
      <c r="J826" s="27" t="s">
        <v>326</v>
      </c>
      <c r="K826" s="27" t="s">
        <v>200</v>
      </c>
      <c r="L826" s="3" t="str">
        <f aca="false">IF(ISNUMBER(SEARCH(" m",I826)),"Range",IF(I826="offline","Offline",IF(I826="","Unknown","No echo / error")))</f>
        <v>Range</v>
      </c>
      <c r="M826" s="3" t="str">
        <f aca="false">IF(ISNUMBER(SEARCH(" m",J826)),"Range",IF(J826="offline","Offline",IF(J826="","Unknown","No echo / error")))</f>
        <v>Range</v>
      </c>
      <c r="N826" s="3" t="str">
        <f aca="false">IF(ISNUMBER(SEARCH(" m",K826)),"Range",IF(K826="offline","Offline",IF(K826="","Unknown","No echo / error")))</f>
        <v>Offline</v>
      </c>
      <c r="O826" s="3" t="str">
        <f aca="false">TEXT(B826,"yyyy-mm-dd")</f>
        <v>2026-10-06</v>
      </c>
    </row>
    <row r="827" customFormat="false" ht="15" hidden="false" customHeight="false" outlineLevel="0" collapsed="false">
      <c r="A827" s="27" t="n">
        <v>13</v>
      </c>
      <c r="B827" s="28" t="n">
        <v>46301.5220689815</v>
      </c>
      <c r="C827" s="29" t="n">
        <f aca="false">IF(A828=A827,B828,INDEX(Rounds!$D:$D,MATCH(A827,Rounds!$A:$A,0)))</f>
        <v>46301.5220760532</v>
      </c>
      <c r="D827" s="30" t="n">
        <f aca="false">(B827-INDEX(Rounds!$C:$C,MATCH(A827,Rounds!$A:$A,0)))*86400</f>
        <v>53.025999851</v>
      </c>
      <c r="E827" s="30" t="n">
        <f aca="false">(C827-INDEX(Rounds!$C:$C,MATCH(A827,Rounds!$A:$A,0)))*86400</f>
        <v>53.63699973</v>
      </c>
      <c r="F827" s="31" t="n">
        <f aca="false">(C827-B827)*86400</f>
        <v>0.610999879</v>
      </c>
      <c r="G827" s="27" t="s">
        <v>152</v>
      </c>
      <c r="H827" s="27" t="s">
        <v>208</v>
      </c>
      <c r="I827" s="27" t="s">
        <v>210</v>
      </c>
      <c r="J827" s="27" t="s">
        <v>220</v>
      </c>
      <c r="K827" s="27" t="s">
        <v>200</v>
      </c>
      <c r="L827" s="3" t="str">
        <f aca="false">IF(ISNUMBER(SEARCH(" m",I827)),"Range",IF(I827="offline","Offline",IF(I827="","Unknown","No echo / error")))</f>
        <v>Range</v>
      </c>
      <c r="M827" s="3" t="str">
        <f aca="false">IF(ISNUMBER(SEARCH(" m",J827)),"Range",IF(J827="offline","Offline",IF(J827="","Unknown","No echo / error")))</f>
        <v>No echo / error</v>
      </c>
      <c r="N827" s="3" t="str">
        <f aca="false">IF(ISNUMBER(SEARCH(" m",K827)),"Range",IF(K827="offline","Offline",IF(K827="","Unknown","No echo / error")))</f>
        <v>Offline</v>
      </c>
      <c r="O827" s="3" t="str">
        <f aca="false">TEXT(B827,"yyyy-mm-dd")</f>
        <v>2026-10-06</v>
      </c>
    </row>
    <row r="828" customFormat="false" ht="15" hidden="false" customHeight="false" outlineLevel="0" collapsed="false">
      <c r="A828" s="27" t="n">
        <v>13</v>
      </c>
      <c r="B828" s="28" t="n">
        <v>46301.5220760532</v>
      </c>
      <c r="C828" s="29" t="n">
        <f aca="false">IF(A829=A828,B829,INDEX(Rounds!$D:$D,MATCH(A828,Rounds!$A:$A,0)))</f>
        <v>46301.5220909607</v>
      </c>
      <c r="D828" s="30" t="n">
        <f aca="false">(B828-INDEX(Rounds!$C:$C,MATCH(A828,Rounds!$A:$A,0)))*86400</f>
        <v>53.63699973</v>
      </c>
      <c r="E828" s="30" t="n">
        <f aca="false">(C828-INDEX(Rounds!$C:$C,MATCH(A828,Rounds!$A:$A,0)))*86400</f>
        <v>54.925000062</v>
      </c>
      <c r="F828" s="31" t="n">
        <f aca="false">(C828-B828)*86400</f>
        <v>1.288000331</v>
      </c>
      <c r="G828" s="27" t="s">
        <v>151</v>
      </c>
      <c r="H828" s="27" t="s">
        <v>203</v>
      </c>
      <c r="I828" s="27" t="s">
        <v>220</v>
      </c>
      <c r="J828" s="27" t="s">
        <v>235</v>
      </c>
      <c r="K828" s="27" t="s">
        <v>200</v>
      </c>
      <c r="L828" s="3" t="str">
        <f aca="false">IF(ISNUMBER(SEARCH(" m",I828)),"Range",IF(I828="offline","Offline",IF(I828="","Unknown","No echo / error")))</f>
        <v>No echo / error</v>
      </c>
      <c r="M828" s="3" t="str">
        <f aca="false">IF(ISNUMBER(SEARCH(" m",J828)),"Range",IF(J828="offline","Offline",IF(J828="","Unknown","No echo / error")))</f>
        <v>Range</v>
      </c>
      <c r="N828" s="3" t="str">
        <f aca="false">IF(ISNUMBER(SEARCH(" m",K828)),"Range",IF(K828="offline","Offline",IF(K828="","Unknown","No echo / error")))</f>
        <v>Offline</v>
      </c>
      <c r="O828" s="3" t="str">
        <f aca="false">TEXT(B828,"yyyy-mm-dd")</f>
        <v>2026-10-06</v>
      </c>
    </row>
    <row r="829" customFormat="false" ht="15" hidden="false" customHeight="false" outlineLevel="0" collapsed="false">
      <c r="A829" s="27" t="n">
        <v>13</v>
      </c>
      <c r="B829" s="28" t="n">
        <v>46301.5220909607</v>
      </c>
      <c r="C829" s="29" t="n">
        <f aca="false">IF(A830=A829,B830,INDEX(Rounds!$D:$D,MATCH(A829,Rounds!$A:$A,0)))</f>
        <v>46301.5220937616</v>
      </c>
      <c r="D829" s="30" t="n">
        <f aca="false">(B829-INDEX(Rounds!$C:$C,MATCH(A829,Rounds!$A:$A,0)))*86400</f>
        <v>54.925000062</v>
      </c>
      <c r="E829" s="30" t="n">
        <f aca="false">(C829-INDEX(Rounds!$C:$C,MATCH(A829,Rounds!$A:$A,0)))*86400</f>
        <v>55.166999227</v>
      </c>
      <c r="F829" s="31" t="n">
        <f aca="false">(C829-B829)*86400</f>
        <v>0.241999165</v>
      </c>
      <c r="G829" s="27" t="s">
        <v>152</v>
      </c>
      <c r="H829" s="27" t="s">
        <v>208</v>
      </c>
      <c r="I829" s="27" t="s">
        <v>204</v>
      </c>
      <c r="J829" s="27" t="s">
        <v>435</v>
      </c>
      <c r="K829" s="27" t="s">
        <v>200</v>
      </c>
      <c r="L829" s="3" t="str">
        <f aca="false">IF(ISNUMBER(SEARCH(" m",I829)),"Range",IF(I829="offline","Offline",IF(I829="","Unknown","No echo / error")))</f>
        <v>No echo / error</v>
      </c>
      <c r="M829" s="3" t="str">
        <f aca="false">IF(ISNUMBER(SEARCH(" m",J829)),"Range",IF(J829="offline","Offline",IF(J829="","Unknown","No echo / error")))</f>
        <v>Range</v>
      </c>
      <c r="N829" s="3" t="str">
        <f aca="false">IF(ISNUMBER(SEARCH(" m",K829)),"Range",IF(K829="offline","Offline",IF(K829="","Unknown","No echo / error")))</f>
        <v>Offline</v>
      </c>
      <c r="O829" s="3" t="str">
        <f aca="false">TEXT(B829,"yyyy-mm-dd")</f>
        <v>2026-10-06</v>
      </c>
    </row>
    <row r="830" customFormat="false" ht="15" hidden="false" customHeight="false" outlineLevel="0" collapsed="false">
      <c r="A830" s="27" t="n">
        <v>13</v>
      </c>
      <c r="B830" s="28" t="n">
        <v>46301.5220937616</v>
      </c>
      <c r="C830" s="29" t="n">
        <f aca="false">IF(A831=A830,B831,INDEX(Rounds!$D:$D,MATCH(A830,Rounds!$A:$A,0)))</f>
        <v>46301.5221171065</v>
      </c>
      <c r="D830" s="30" t="n">
        <f aca="false">(B830-INDEX(Rounds!$C:$C,MATCH(A830,Rounds!$A:$A,0)))*86400</f>
        <v>55.166999227</v>
      </c>
      <c r="E830" s="30" t="n">
        <f aca="false">(C830-INDEX(Rounds!$C:$C,MATCH(A830,Rounds!$A:$A,0)))*86400</f>
        <v>57.183999451</v>
      </c>
      <c r="F830" s="31" t="n">
        <f aca="false">(C830-B830)*86400</f>
        <v>2.017000224</v>
      </c>
      <c r="G830" s="27" t="s">
        <v>151</v>
      </c>
      <c r="H830" s="27" t="s">
        <v>203</v>
      </c>
      <c r="I830" s="27" t="s">
        <v>399</v>
      </c>
      <c r="J830" s="27" t="s">
        <v>434</v>
      </c>
      <c r="K830" s="27" t="s">
        <v>200</v>
      </c>
      <c r="L830" s="3" t="str">
        <f aca="false">IF(ISNUMBER(SEARCH(" m",I830)),"Range",IF(I830="offline","Offline",IF(I830="","Unknown","No echo / error")))</f>
        <v>Range</v>
      </c>
      <c r="M830" s="3" t="str">
        <f aca="false">IF(ISNUMBER(SEARCH(" m",J830)),"Range",IF(J830="offline","Offline",IF(J830="","Unknown","No echo / error")))</f>
        <v>Range</v>
      </c>
      <c r="N830" s="3" t="str">
        <f aca="false">IF(ISNUMBER(SEARCH(" m",K830)),"Range",IF(K830="offline","Offline",IF(K830="","Unknown","No echo / error")))</f>
        <v>Offline</v>
      </c>
      <c r="O830" s="3" t="str">
        <f aca="false">TEXT(B830,"yyyy-mm-dd")</f>
        <v>2026-10-06</v>
      </c>
    </row>
    <row r="831" customFormat="false" ht="15" hidden="false" customHeight="false" outlineLevel="0" collapsed="false">
      <c r="A831" s="27" t="n">
        <v>13</v>
      </c>
      <c r="B831" s="28" t="n">
        <v>46301.5221171065</v>
      </c>
      <c r="C831" s="29" t="n">
        <f aca="false">IF(A832=A831,B832,INDEX(Rounds!$D:$D,MATCH(A831,Rounds!$A:$A,0)))</f>
        <v>46301.5221189583</v>
      </c>
      <c r="D831" s="30" t="n">
        <f aca="false">(B831-INDEX(Rounds!$C:$C,MATCH(A831,Rounds!$A:$A,0)))*86400</f>
        <v>57.183999451</v>
      </c>
      <c r="E831" s="30" t="n">
        <f aca="false">(C831-INDEX(Rounds!$C:$C,MATCH(A831,Rounds!$A:$A,0)))*86400</f>
        <v>57.343999715</v>
      </c>
      <c r="F831" s="31" t="n">
        <f aca="false">(C831-B831)*86400</f>
        <v>0.160000263</v>
      </c>
      <c r="G831" s="27" t="s">
        <v>150</v>
      </c>
      <c r="H831" s="27" t="s">
        <v>206</v>
      </c>
      <c r="I831" s="27" t="s">
        <v>436</v>
      </c>
      <c r="J831" s="27" t="s">
        <v>277</v>
      </c>
      <c r="K831" s="27" t="s">
        <v>200</v>
      </c>
      <c r="L831" s="3" t="str">
        <f aca="false">IF(ISNUMBER(SEARCH(" m",I831)),"Range",IF(I831="offline","Offline",IF(I831="","Unknown","No echo / error")))</f>
        <v>Range</v>
      </c>
      <c r="M831" s="3" t="str">
        <f aca="false">IF(ISNUMBER(SEARCH(" m",J831)),"Range",IF(J831="offline","Offline",IF(J831="","Unknown","No echo / error")))</f>
        <v>Range</v>
      </c>
      <c r="N831" s="3" t="str">
        <f aca="false">IF(ISNUMBER(SEARCH(" m",K831)),"Range",IF(K831="offline","Offline",IF(K831="","Unknown","No echo / error")))</f>
        <v>Offline</v>
      </c>
      <c r="O831" s="3" t="str">
        <f aca="false">TEXT(B831,"yyyy-mm-dd")</f>
        <v>2026-10-06</v>
      </c>
    </row>
    <row r="832" customFormat="false" ht="15" hidden="false" customHeight="false" outlineLevel="0" collapsed="false">
      <c r="A832" s="27" t="n">
        <v>13</v>
      </c>
      <c r="B832" s="28" t="n">
        <v>46301.5221189583</v>
      </c>
      <c r="C832" s="29" t="n">
        <f aca="false">IF(A833=A832,B833,INDEX(Rounds!$D:$D,MATCH(A832,Rounds!$A:$A,0)))</f>
        <v>46301.522129132</v>
      </c>
      <c r="D832" s="30" t="n">
        <f aca="false">(B832-INDEX(Rounds!$C:$C,MATCH(A832,Rounds!$A:$A,0)))*86400</f>
        <v>57.343999715</v>
      </c>
      <c r="E832" s="30" t="n">
        <f aca="false">(C832-INDEX(Rounds!$C:$C,MATCH(A832,Rounds!$A:$A,0)))*86400</f>
        <v>58.223000052</v>
      </c>
      <c r="F832" s="31" t="n">
        <f aca="false">(C832-B832)*86400</f>
        <v>0.879000336</v>
      </c>
      <c r="G832" s="27" t="s">
        <v>151</v>
      </c>
      <c r="H832" s="27" t="s">
        <v>203</v>
      </c>
      <c r="I832" s="27" t="s">
        <v>436</v>
      </c>
      <c r="J832" s="27" t="s">
        <v>205</v>
      </c>
      <c r="K832" s="27" t="s">
        <v>200</v>
      </c>
      <c r="L832" s="3" t="str">
        <f aca="false">IF(ISNUMBER(SEARCH(" m",I832)),"Range",IF(I832="offline","Offline",IF(I832="","Unknown","No echo / error")))</f>
        <v>Range</v>
      </c>
      <c r="M832" s="3" t="str">
        <f aca="false">IF(ISNUMBER(SEARCH(" m",J832)),"Range",IF(J832="offline","Offline",IF(J832="","Unknown","No echo / error")))</f>
        <v>Range</v>
      </c>
      <c r="N832" s="3" t="str">
        <f aca="false">IF(ISNUMBER(SEARCH(" m",K832)),"Range",IF(K832="offline","Offline",IF(K832="","Unknown","No echo / error")))</f>
        <v>Offline</v>
      </c>
      <c r="O832" s="3" t="str">
        <f aca="false">TEXT(B832,"yyyy-mm-dd")</f>
        <v>2026-10-06</v>
      </c>
    </row>
    <row r="833" customFormat="false" ht="15" hidden="false" customHeight="false" outlineLevel="0" collapsed="false">
      <c r="A833" s="27" t="n">
        <v>13</v>
      </c>
      <c r="B833" s="28" t="n">
        <v>46301.522129132</v>
      </c>
      <c r="C833" s="29" t="n">
        <f aca="false">IF(A834=A833,B834,INDEX(Rounds!$D:$D,MATCH(A833,Rounds!$A:$A,0)))</f>
        <v>46301.5221298727</v>
      </c>
      <c r="D833" s="30" t="n">
        <f aca="false">(B833-INDEX(Rounds!$C:$C,MATCH(A833,Rounds!$A:$A,0)))*86400</f>
        <v>58.223000052</v>
      </c>
      <c r="E833" s="30" t="n">
        <f aca="false">(C833-INDEX(Rounds!$C:$C,MATCH(A833,Rounds!$A:$A,0)))*86400</f>
        <v>58.286999654</v>
      </c>
      <c r="F833" s="31" t="n">
        <f aca="false">(C833-B833)*86400</f>
        <v>0.063999602</v>
      </c>
      <c r="G833" s="27" t="s">
        <v>152</v>
      </c>
      <c r="H833" s="27" t="s">
        <v>208</v>
      </c>
      <c r="I833" s="27" t="s">
        <v>213</v>
      </c>
      <c r="J833" s="27" t="s">
        <v>502</v>
      </c>
      <c r="K833" s="27" t="s">
        <v>200</v>
      </c>
      <c r="L833" s="3" t="str">
        <f aca="false">IF(ISNUMBER(SEARCH(" m",I833)),"Range",IF(I833="offline","Offline",IF(I833="","Unknown","No echo / error")))</f>
        <v>Range</v>
      </c>
      <c r="M833" s="3" t="str">
        <f aca="false">IF(ISNUMBER(SEARCH(" m",J833)),"Range",IF(J833="offline","Offline",IF(J833="","Unknown","No echo / error")))</f>
        <v>Range</v>
      </c>
      <c r="N833" s="3" t="str">
        <f aca="false">IF(ISNUMBER(SEARCH(" m",K833)),"Range",IF(K833="offline","Offline",IF(K833="","Unknown","No echo / error")))</f>
        <v>Offline</v>
      </c>
      <c r="O833" s="3" t="str">
        <f aca="false">TEXT(B833,"yyyy-mm-dd")</f>
        <v>2026-10-06</v>
      </c>
    </row>
    <row r="834" customFormat="false" ht="15" hidden="false" customHeight="false" outlineLevel="0" collapsed="false">
      <c r="A834" s="27" t="n">
        <v>13</v>
      </c>
      <c r="B834" s="28" t="n">
        <v>46301.5221298727</v>
      </c>
      <c r="C834" s="29" t="n">
        <f aca="false">IF(A835=A834,B835,INDEX(Rounds!$D:$D,MATCH(A834,Rounds!$A:$A,0)))</f>
        <v>46301.5221352431</v>
      </c>
      <c r="D834" s="30" t="n">
        <f aca="false">(B834-INDEX(Rounds!$C:$C,MATCH(A834,Rounds!$A:$A,0)))*86400</f>
        <v>58.286999654</v>
      </c>
      <c r="E834" s="30" t="n">
        <f aca="false">(C834-INDEX(Rounds!$C:$C,MATCH(A834,Rounds!$A:$A,0)))*86400</f>
        <v>58.750999602</v>
      </c>
      <c r="F834" s="31" t="n">
        <f aca="false">(C834-B834)*86400</f>
        <v>0.463999947</v>
      </c>
      <c r="G834" s="27" t="s">
        <v>151</v>
      </c>
      <c r="H834" s="27" t="s">
        <v>203</v>
      </c>
      <c r="I834" s="27" t="s">
        <v>213</v>
      </c>
      <c r="J834" s="27" t="s">
        <v>313</v>
      </c>
      <c r="K834" s="27" t="s">
        <v>200</v>
      </c>
      <c r="L834" s="3" t="str">
        <f aca="false">IF(ISNUMBER(SEARCH(" m",I834)),"Range",IF(I834="offline","Offline",IF(I834="","Unknown","No echo / error")))</f>
        <v>Range</v>
      </c>
      <c r="M834" s="3" t="str">
        <f aca="false">IF(ISNUMBER(SEARCH(" m",J834)),"Range",IF(J834="offline","Offline",IF(J834="","Unknown","No echo / error")))</f>
        <v>Range</v>
      </c>
      <c r="N834" s="3" t="str">
        <f aca="false">IF(ISNUMBER(SEARCH(" m",K834)),"Range",IF(K834="offline","Offline",IF(K834="","Unknown","No echo / error")))</f>
        <v>Offline</v>
      </c>
      <c r="O834" s="3" t="str">
        <f aca="false">TEXT(B834,"yyyy-mm-dd")</f>
        <v>2026-10-06</v>
      </c>
    </row>
    <row r="835" customFormat="false" ht="15" hidden="false" customHeight="false" outlineLevel="0" collapsed="false">
      <c r="A835" s="27" t="n">
        <v>13</v>
      </c>
      <c r="B835" s="28" t="n">
        <v>46301.5221352431</v>
      </c>
      <c r="C835" s="29" t="n">
        <f aca="false">IF(A836=A835,B836,INDEX(Rounds!$D:$D,MATCH(A835,Rounds!$A:$A,0)))</f>
        <v>46301.522138044</v>
      </c>
      <c r="D835" s="30" t="n">
        <f aca="false">(B835-INDEX(Rounds!$C:$C,MATCH(A835,Rounds!$A:$A,0)))*86400</f>
        <v>58.750999602</v>
      </c>
      <c r="E835" s="30" t="n">
        <f aca="false">(C835-INDEX(Rounds!$C:$C,MATCH(A835,Rounds!$A:$A,0)))*86400</f>
        <v>58.993000024</v>
      </c>
      <c r="F835" s="31" t="n">
        <f aca="false">(C835-B835)*86400</f>
        <v>0.242000422</v>
      </c>
      <c r="G835" s="27" t="s">
        <v>152</v>
      </c>
      <c r="H835" s="27" t="s">
        <v>208</v>
      </c>
      <c r="I835" s="27" t="s">
        <v>503</v>
      </c>
      <c r="J835" s="27" t="s">
        <v>246</v>
      </c>
      <c r="K835" s="27" t="s">
        <v>200</v>
      </c>
      <c r="L835" s="3" t="str">
        <f aca="false">IF(ISNUMBER(SEARCH(" m",I835)),"Range",IF(I835="offline","Offline",IF(I835="","Unknown","No echo / error")))</f>
        <v>Range</v>
      </c>
      <c r="M835" s="3" t="str">
        <f aca="false">IF(ISNUMBER(SEARCH(" m",J835)),"Range",IF(J835="offline","Offline",IF(J835="","Unknown","No echo / error")))</f>
        <v>Range</v>
      </c>
      <c r="N835" s="3" t="str">
        <f aca="false">IF(ISNUMBER(SEARCH(" m",K835)),"Range",IF(K835="offline","Offline",IF(K835="","Unknown","No echo / error")))</f>
        <v>Offline</v>
      </c>
      <c r="O835" s="3" t="str">
        <f aca="false">TEXT(B835,"yyyy-mm-dd")</f>
        <v>2026-10-06</v>
      </c>
    </row>
    <row r="836" customFormat="false" ht="15" hidden="false" customHeight="false" outlineLevel="0" collapsed="false">
      <c r="A836" s="27" t="n">
        <v>13</v>
      </c>
      <c r="B836" s="28" t="n">
        <v>46301.522138044</v>
      </c>
      <c r="C836" s="29" t="n">
        <f aca="false">IF(A837=A836,B837,INDEX(Rounds!$D:$D,MATCH(A836,Rounds!$A:$A,0)))</f>
        <v>46301.5221429051</v>
      </c>
      <c r="D836" s="30" t="n">
        <f aca="false">(B836-INDEX(Rounds!$C:$C,MATCH(A836,Rounds!$A:$A,0)))*86400</f>
        <v>58.993000024</v>
      </c>
      <c r="E836" s="30" t="n">
        <f aca="false">(C836-INDEX(Rounds!$C:$C,MATCH(A836,Rounds!$A:$A,0)))*86400</f>
        <v>59.412999381</v>
      </c>
      <c r="F836" s="31" t="n">
        <f aca="false">(C836-B836)*86400</f>
        <v>0.419999356</v>
      </c>
      <c r="G836" s="27" t="s">
        <v>151</v>
      </c>
      <c r="H836" s="27" t="s">
        <v>203</v>
      </c>
      <c r="I836" s="27" t="s">
        <v>204</v>
      </c>
      <c r="J836" s="27" t="s">
        <v>347</v>
      </c>
      <c r="K836" s="27" t="s">
        <v>200</v>
      </c>
      <c r="L836" s="3" t="str">
        <f aca="false">IF(ISNUMBER(SEARCH(" m",I836)),"Range",IF(I836="offline","Offline",IF(I836="","Unknown","No echo / error")))</f>
        <v>No echo / error</v>
      </c>
      <c r="M836" s="3" t="str">
        <f aca="false">IF(ISNUMBER(SEARCH(" m",J836)),"Range",IF(J836="offline","Offline",IF(J836="","Unknown","No echo / error")))</f>
        <v>Range</v>
      </c>
      <c r="N836" s="3" t="str">
        <f aca="false">IF(ISNUMBER(SEARCH(" m",K836)),"Range",IF(K836="offline","Offline",IF(K836="","Unknown","No echo / error")))</f>
        <v>Offline</v>
      </c>
      <c r="O836" s="3" t="str">
        <f aca="false">TEXT(B836,"yyyy-mm-dd")</f>
        <v>2026-10-06</v>
      </c>
    </row>
    <row r="837" customFormat="false" ht="15" hidden="false" customHeight="false" outlineLevel="0" collapsed="false">
      <c r="A837" s="27" t="n">
        <v>13</v>
      </c>
      <c r="B837" s="28" t="n">
        <v>46301.5221429051</v>
      </c>
      <c r="C837" s="29" t="n">
        <f aca="false">IF(A838=A837,B838,INDEX(Rounds!$D:$D,MATCH(A837,Rounds!$A:$A,0)))</f>
        <v>46301.5221511111</v>
      </c>
      <c r="D837" s="30" t="n">
        <f aca="false">(B837-INDEX(Rounds!$C:$C,MATCH(A837,Rounds!$A:$A,0)))*86400</f>
        <v>59.412999381</v>
      </c>
      <c r="E837" s="30" t="n">
        <f aca="false">(C837-INDEX(Rounds!$C:$C,MATCH(A837,Rounds!$A:$A,0)))*86400</f>
        <v>60.121999634</v>
      </c>
      <c r="F837" s="31" t="n">
        <f aca="false">(C837-B837)*86400</f>
        <v>0.709000253</v>
      </c>
      <c r="G837" s="27" t="s">
        <v>150</v>
      </c>
      <c r="H837" s="27" t="s">
        <v>206</v>
      </c>
      <c r="I837" s="27" t="s">
        <v>504</v>
      </c>
      <c r="J837" s="27" t="s">
        <v>330</v>
      </c>
      <c r="K837" s="27" t="s">
        <v>200</v>
      </c>
      <c r="L837" s="3" t="str">
        <f aca="false">IF(ISNUMBER(SEARCH(" m",I837)),"Range",IF(I837="offline","Offline",IF(I837="","Unknown","No echo / error")))</f>
        <v>Range</v>
      </c>
      <c r="M837" s="3" t="str">
        <f aca="false">IF(ISNUMBER(SEARCH(" m",J837)),"Range",IF(J837="offline","Offline",IF(J837="","Unknown","No echo / error")))</f>
        <v>Range</v>
      </c>
      <c r="N837" s="3" t="str">
        <f aca="false">IF(ISNUMBER(SEARCH(" m",K837)),"Range",IF(K837="offline","Offline",IF(K837="","Unknown","No echo / error")))</f>
        <v>Offline</v>
      </c>
      <c r="O837" s="3" t="str">
        <f aca="false">TEXT(B837,"yyyy-mm-dd")</f>
        <v>2026-10-06</v>
      </c>
    </row>
    <row r="838" customFormat="false" ht="15" hidden="false" customHeight="false" outlineLevel="0" collapsed="false">
      <c r="A838" s="27" t="n">
        <v>13</v>
      </c>
      <c r="B838" s="28" t="n">
        <v>46301.5221511111</v>
      </c>
      <c r="C838" s="29" t="n">
        <f aca="false">IF(A839=A838,B839,INDEX(Rounds!$D:$D,MATCH(A838,Rounds!$A:$A,0)))</f>
        <v>46301.5221555556</v>
      </c>
      <c r="D838" s="30" t="n">
        <f aca="false">(B838-INDEX(Rounds!$C:$C,MATCH(A838,Rounds!$A:$A,0)))*86400</f>
        <v>60.121999634</v>
      </c>
      <c r="E838" s="30" t="n">
        <f aca="false">(C838-INDEX(Rounds!$C:$C,MATCH(A838,Rounds!$A:$A,0)))*86400</f>
        <v>60.505999135</v>
      </c>
      <c r="F838" s="31" t="n">
        <f aca="false">(C838-B838)*86400</f>
        <v>0.383999501</v>
      </c>
      <c r="G838" s="27" t="s">
        <v>151</v>
      </c>
      <c r="H838" s="27" t="s">
        <v>203</v>
      </c>
      <c r="I838" s="27" t="s">
        <v>204</v>
      </c>
      <c r="J838" s="27" t="s">
        <v>441</v>
      </c>
      <c r="K838" s="27" t="s">
        <v>200</v>
      </c>
      <c r="L838" s="3" t="str">
        <f aca="false">IF(ISNUMBER(SEARCH(" m",I838)),"Range",IF(I838="offline","Offline",IF(I838="","Unknown","No echo / error")))</f>
        <v>No echo / error</v>
      </c>
      <c r="M838" s="3" t="str">
        <f aca="false">IF(ISNUMBER(SEARCH(" m",J838)),"Range",IF(J838="offline","Offline",IF(J838="","Unknown","No echo / error")))</f>
        <v>Range</v>
      </c>
      <c r="N838" s="3" t="str">
        <f aca="false">IF(ISNUMBER(SEARCH(" m",K838)),"Range",IF(K838="offline","Offline",IF(K838="","Unknown","No echo / error")))</f>
        <v>Offline</v>
      </c>
      <c r="O838" s="3" t="str">
        <f aca="false">TEXT(B838,"yyyy-mm-dd")</f>
        <v>2026-10-06</v>
      </c>
    </row>
    <row r="839" customFormat="false" ht="15" hidden="false" customHeight="false" outlineLevel="0" collapsed="false">
      <c r="A839" s="27" t="n">
        <v>13</v>
      </c>
      <c r="B839" s="28" t="n">
        <v>46301.5221555556</v>
      </c>
      <c r="C839" s="29" t="n">
        <f aca="false">IF(A840=A839,B840,INDEX(Rounds!$D:$D,MATCH(A839,Rounds!$A:$A,0)))</f>
        <v>46301.5221699306</v>
      </c>
      <c r="D839" s="30" t="n">
        <f aca="false">(B839-INDEX(Rounds!$C:$C,MATCH(A839,Rounds!$A:$A,0)))*86400</f>
        <v>60.505999135</v>
      </c>
      <c r="E839" s="30" t="n">
        <f aca="false">(C839-INDEX(Rounds!$C:$C,MATCH(A839,Rounds!$A:$A,0)))*86400</f>
        <v>61.747999163</v>
      </c>
      <c r="F839" s="31" t="n">
        <f aca="false">(C839-B839)*86400</f>
        <v>1.242000027</v>
      </c>
      <c r="G839" s="27" t="s">
        <v>150</v>
      </c>
      <c r="H839" s="27" t="s">
        <v>206</v>
      </c>
      <c r="I839" s="27" t="s">
        <v>450</v>
      </c>
      <c r="J839" s="27" t="s">
        <v>349</v>
      </c>
      <c r="K839" s="27" t="s">
        <v>200</v>
      </c>
      <c r="L839" s="3" t="str">
        <f aca="false">IF(ISNUMBER(SEARCH(" m",I839)),"Range",IF(I839="offline","Offline",IF(I839="","Unknown","No echo / error")))</f>
        <v>Range</v>
      </c>
      <c r="M839" s="3" t="str">
        <f aca="false">IF(ISNUMBER(SEARCH(" m",J839)),"Range",IF(J839="offline","Offline",IF(J839="","Unknown","No echo / error")))</f>
        <v>Range</v>
      </c>
      <c r="N839" s="3" t="str">
        <f aca="false">IF(ISNUMBER(SEARCH(" m",K839)),"Range",IF(K839="offline","Offline",IF(K839="","Unknown","No echo / error")))</f>
        <v>Offline</v>
      </c>
      <c r="O839" s="3" t="str">
        <f aca="false">TEXT(B839,"yyyy-mm-dd")</f>
        <v>2026-10-06</v>
      </c>
    </row>
    <row r="840" customFormat="false" ht="15" hidden="false" customHeight="false" outlineLevel="0" collapsed="false">
      <c r="A840" s="27" t="n">
        <v>13</v>
      </c>
      <c r="B840" s="28" t="n">
        <v>46301.5221699306</v>
      </c>
      <c r="C840" s="29" t="n">
        <f aca="false">IF(A841=A840,B841,INDEX(Rounds!$D:$D,MATCH(A840,Rounds!$A:$A,0)))</f>
        <v>46301.5221710532</v>
      </c>
      <c r="D840" s="30" t="n">
        <f aca="false">(B840-INDEX(Rounds!$C:$C,MATCH(A840,Rounds!$A:$A,0)))*86400</f>
        <v>61.747999163</v>
      </c>
      <c r="E840" s="30" t="n">
        <f aca="false">(C840-INDEX(Rounds!$C:$C,MATCH(A840,Rounds!$A:$A,0)))*86400</f>
        <v>61.844999995</v>
      </c>
      <c r="F840" s="31" t="n">
        <f aca="false">(C840-B840)*86400</f>
        <v>0.097000831</v>
      </c>
      <c r="G840" s="27" t="s">
        <v>152</v>
      </c>
      <c r="H840" s="27" t="s">
        <v>208</v>
      </c>
      <c r="I840" s="27" t="s">
        <v>328</v>
      </c>
      <c r="J840" s="27" t="s">
        <v>455</v>
      </c>
      <c r="K840" s="27" t="s">
        <v>200</v>
      </c>
      <c r="L840" s="3" t="str">
        <f aca="false">IF(ISNUMBER(SEARCH(" m",I840)),"Range",IF(I840="offline","Offline",IF(I840="","Unknown","No echo / error")))</f>
        <v>Range</v>
      </c>
      <c r="M840" s="3" t="str">
        <f aca="false">IF(ISNUMBER(SEARCH(" m",J840)),"Range",IF(J840="offline","Offline",IF(J840="","Unknown","No echo / error")))</f>
        <v>Range</v>
      </c>
      <c r="N840" s="3" t="str">
        <f aca="false">IF(ISNUMBER(SEARCH(" m",K840)),"Range",IF(K840="offline","Offline",IF(K840="","Unknown","No echo / error")))</f>
        <v>Offline</v>
      </c>
      <c r="O840" s="3" t="str">
        <f aca="false">TEXT(B840,"yyyy-mm-dd")</f>
        <v>2026-10-06</v>
      </c>
    </row>
    <row r="841" customFormat="false" ht="15" hidden="false" customHeight="false" outlineLevel="0" collapsed="false">
      <c r="A841" s="27" t="n">
        <v>13</v>
      </c>
      <c r="B841" s="28" t="n">
        <v>46301.5221710532</v>
      </c>
      <c r="C841" s="29" t="n">
        <f aca="false">IF(A842=A841,B842,INDEX(Rounds!$D:$D,MATCH(A841,Rounds!$A:$A,0)))</f>
        <v>46301.5221734838</v>
      </c>
      <c r="D841" s="30" t="n">
        <f aca="false">(B841-INDEX(Rounds!$C:$C,MATCH(A841,Rounds!$A:$A,0)))*86400</f>
        <v>61.844999995</v>
      </c>
      <c r="E841" s="30" t="n">
        <f aca="false">(C841-INDEX(Rounds!$C:$C,MATCH(A841,Rounds!$A:$A,0)))*86400</f>
        <v>62.054999987</v>
      </c>
      <c r="F841" s="31" t="n">
        <f aca="false">(C841-B841)*86400</f>
        <v>0.209999992</v>
      </c>
      <c r="G841" s="27" t="s">
        <v>151</v>
      </c>
      <c r="H841" s="27" t="s">
        <v>203</v>
      </c>
      <c r="I841" s="27" t="s">
        <v>283</v>
      </c>
      <c r="J841" s="27" t="s">
        <v>455</v>
      </c>
      <c r="K841" s="27" t="s">
        <v>200</v>
      </c>
      <c r="L841" s="3" t="str">
        <f aca="false">IF(ISNUMBER(SEARCH(" m",I841)),"Range",IF(I841="offline","Offline",IF(I841="","Unknown","No echo / error")))</f>
        <v>Range</v>
      </c>
      <c r="M841" s="3" t="str">
        <f aca="false">IF(ISNUMBER(SEARCH(" m",J841)),"Range",IF(J841="offline","Offline",IF(J841="","Unknown","No echo / error")))</f>
        <v>Range</v>
      </c>
      <c r="N841" s="3" t="str">
        <f aca="false">IF(ISNUMBER(SEARCH(" m",K841)),"Range",IF(K841="offline","Offline",IF(K841="","Unknown","No echo / error")))</f>
        <v>Offline</v>
      </c>
      <c r="O841" s="3" t="str">
        <f aca="false">TEXT(B841,"yyyy-mm-dd")</f>
        <v>2026-10-06</v>
      </c>
    </row>
    <row r="842" customFormat="false" ht="15" hidden="false" customHeight="false" outlineLevel="0" collapsed="false">
      <c r="A842" s="27" t="n">
        <v>13</v>
      </c>
      <c r="B842" s="28" t="n">
        <v>46301.5221734838</v>
      </c>
      <c r="C842" s="29" t="n">
        <f aca="false">IF(A843=A842,B843,INDEX(Rounds!$D:$D,MATCH(A842,Rounds!$A:$A,0)))</f>
        <v>46301.5221764931</v>
      </c>
      <c r="D842" s="30" t="n">
        <f aca="false">(B842-INDEX(Rounds!$C:$C,MATCH(A842,Rounds!$A:$A,0)))*86400</f>
        <v>62.054999987</v>
      </c>
      <c r="E842" s="30" t="n">
        <f aca="false">(C842-INDEX(Rounds!$C:$C,MATCH(A842,Rounds!$A:$A,0)))*86400</f>
        <v>62.31499908</v>
      </c>
      <c r="F842" s="31" t="n">
        <f aca="false">(C842-B842)*86400</f>
        <v>0.259999092</v>
      </c>
      <c r="G842" s="27" t="s">
        <v>150</v>
      </c>
      <c r="H842" s="27" t="s">
        <v>206</v>
      </c>
      <c r="I842" s="27" t="s">
        <v>283</v>
      </c>
      <c r="J842" s="27" t="s">
        <v>357</v>
      </c>
      <c r="K842" s="27" t="s">
        <v>200</v>
      </c>
      <c r="L842" s="3" t="str">
        <f aca="false">IF(ISNUMBER(SEARCH(" m",I842)),"Range",IF(I842="offline","Offline",IF(I842="","Unknown","No echo / error")))</f>
        <v>Range</v>
      </c>
      <c r="M842" s="3" t="str">
        <f aca="false">IF(ISNUMBER(SEARCH(" m",J842)),"Range",IF(J842="offline","Offline",IF(J842="","Unknown","No echo / error")))</f>
        <v>Range</v>
      </c>
      <c r="N842" s="3" t="str">
        <f aca="false">IF(ISNUMBER(SEARCH(" m",K842)),"Range",IF(K842="offline","Offline",IF(K842="","Unknown","No echo / error")))</f>
        <v>Offline</v>
      </c>
      <c r="O842" s="3" t="str">
        <f aca="false">TEXT(B842,"yyyy-mm-dd")</f>
        <v>2026-10-06</v>
      </c>
    </row>
    <row r="843" customFormat="false" ht="15" hidden="false" customHeight="false" outlineLevel="0" collapsed="false">
      <c r="A843" s="27" t="n">
        <v>13</v>
      </c>
      <c r="B843" s="28" t="n">
        <v>46301.5221764931</v>
      </c>
      <c r="C843" s="29" t="n">
        <f aca="false">IF(A844=A843,B844,INDEX(Rounds!$D:$D,MATCH(A843,Rounds!$A:$A,0)))</f>
        <v>46301.5221820486</v>
      </c>
      <c r="D843" s="30" t="n">
        <f aca="false">(B843-INDEX(Rounds!$C:$C,MATCH(A843,Rounds!$A:$A,0)))*86400</f>
        <v>62.31499908</v>
      </c>
      <c r="E843" s="30" t="n">
        <f aca="false">(C843-INDEX(Rounds!$C:$C,MATCH(A843,Rounds!$A:$A,0)))*86400</f>
        <v>62.794999871</v>
      </c>
      <c r="F843" s="31" t="n">
        <f aca="false">(C843-B843)*86400</f>
        <v>0.480000791</v>
      </c>
      <c r="G843" s="27" t="s">
        <v>151</v>
      </c>
      <c r="H843" s="27" t="s">
        <v>203</v>
      </c>
      <c r="I843" s="27" t="s">
        <v>274</v>
      </c>
      <c r="J843" s="27" t="s">
        <v>357</v>
      </c>
      <c r="K843" s="27" t="s">
        <v>200</v>
      </c>
      <c r="L843" s="3" t="str">
        <f aca="false">IF(ISNUMBER(SEARCH(" m",I843)),"Range",IF(I843="offline","Offline",IF(I843="","Unknown","No echo / error")))</f>
        <v>Range</v>
      </c>
      <c r="M843" s="3" t="str">
        <f aca="false">IF(ISNUMBER(SEARCH(" m",J843)),"Range",IF(J843="offline","Offline",IF(J843="","Unknown","No echo / error")))</f>
        <v>Range</v>
      </c>
      <c r="N843" s="3" t="str">
        <f aca="false">IF(ISNUMBER(SEARCH(" m",K843)),"Range",IF(K843="offline","Offline",IF(K843="","Unknown","No echo / error")))</f>
        <v>Offline</v>
      </c>
      <c r="O843" s="3" t="str">
        <f aca="false">TEXT(B843,"yyyy-mm-dd")</f>
        <v>2026-10-06</v>
      </c>
    </row>
    <row r="844" customFormat="false" ht="15" hidden="false" customHeight="false" outlineLevel="0" collapsed="false">
      <c r="A844" s="27" t="n">
        <v>13</v>
      </c>
      <c r="B844" s="28" t="n">
        <v>46301.5221820486</v>
      </c>
      <c r="C844" s="29" t="n">
        <f aca="false">IF(A845=A844,B845,INDEX(Rounds!$D:$D,MATCH(A844,Rounds!$A:$A,0)))</f>
        <v>46301.5221828009</v>
      </c>
      <c r="D844" s="30" t="n">
        <f aca="false">(B844-INDEX(Rounds!$C:$C,MATCH(A844,Rounds!$A:$A,0)))*86400</f>
        <v>62.794999871</v>
      </c>
      <c r="E844" s="30" t="n">
        <f aca="false">(C844-INDEX(Rounds!$C:$C,MATCH(A844,Rounds!$A:$A,0)))*86400</f>
        <v>62.859999644</v>
      </c>
      <c r="F844" s="31" t="n">
        <f aca="false">(C844-B844)*86400</f>
        <v>0.064999773</v>
      </c>
      <c r="G844" s="27" t="s">
        <v>152</v>
      </c>
      <c r="H844" s="27" t="s">
        <v>208</v>
      </c>
      <c r="I844" s="27" t="s">
        <v>220</v>
      </c>
      <c r="J844" s="27" t="s">
        <v>344</v>
      </c>
      <c r="K844" s="27" t="s">
        <v>200</v>
      </c>
      <c r="L844" s="3" t="str">
        <f aca="false">IF(ISNUMBER(SEARCH(" m",I844)),"Range",IF(I844="offline","Offline",IF(I844="","Unknown","No echo / error")))</f>
        <v>No echo / error</v>
      </c>
      <c r="M844" s="3" t="str">
        <f aca="false">IF(ISNUMBER(SEARCH(" m",J844)),"Range",IF(J844="offline","Offline",IF(J844="","Unknown","No echo / error")))</f>
        <v>Range</v>
      </c>
      <c r="N844" s="3" t="str">
        <f aca="false">IF(ISNUMBER(SEARCH(" m",K844)),"Range",IF(K844="offline","Offline",IF(K844="","Unknown","No echo / error")))</f>
        <v>Offline</v>
      </c>
      <c r="O844" s="3" t="str">
        <f aca="false">TEXT(B844,"yyyy-mm-dd")</f>
        <v>2026-10-06</v>
      </c>
    </row>
    <row r="845" customFormat="false" ht="15" hidden="false" customHeight="false" outlineLevel="0" collapsed="false">
      <c r="A845" s="27" t="n">
        <v>13</v>
      </c>
      <c r="B845" s="28" t="n">
        <v>46301.5221828009</v>
      </c>
      <c r="C845" s="29" t="n">
        <f aca="false">IF(A846=A845,B846,INDEX(Rounds!$D:$D,MATCH(A845,Rounds!$A:$A,0)))</f>
        <v>46301.5221884144</v>
      </c>
      <c r="D845" s="30" t="n">
        <f aca="false">(B845-INDEX(Rounds!$C:$C,MATCH(A845,Rounds!$A:$A,0)))*86400</f>
        <v>62.859999644</v>
      </c>
      <c r="E845" s="30" t="n">
        <f aca="false">(C845-INDEX(Rounds!$C:$C,MATCH(A845,Rounds!$A:$A,0)))*86400</f>
        <v>63.344999402</v>
      </c>
      <c r="F845" s="31" t="n">
        <f aca="false">(C845-B845)*86400</f>
        <v>0.484999758</v>
      </c>
      <c r="G845" s="27" t="s">
        <v>151</v>
      </c>
      <c r="H845" s="27" t="s">
        <v>203</v>
      </c>
      <c r="I845" s="27" t="s">
        <v>220</v>
      </c>
      <c r="J845" s="27" t="s">
        <v>234</v>
      </c>
      <c r="K845" s="27" t="s">
        <v>200</v>
      </c>
      <c r="L845" s="3" t="str">
        <f aca="false">IF(ISNUMBER(SEARCH(" m",I845)),"Range",IF(I845="offline","Offline",IF(I845="","Unknown","No echo / error")))</f>
        <v>No echo / error</v>
      </c>
      <c r="M845" s="3" t="str">
        <f aca="false">IF(ISNUMBER(SEARCH(" m",J845)),"Range",IF(J845="offline","Offline",IF(J845="","Unknown","No echo / error")))</f>
        <v>Range</v>
      </c>
      <c r="N845" s="3" t="str">
        <f aca="false">IF(ISNUMBER(SEARCH(" m",K845)),"Range",IF(K845="offline","Offline",IF(K845="","Unknown","No echo / error")))</f>
        <v>Offline</v>
      </c>
      <c r="O845" s="3" t="str">
        <f aca="false">TEXT(B845,"yyyy-mm-dd")</f>
        <v>2026-10-06</v>
      </c>
    </row>
    <row r="846" customFormat="false" ht="15" hidden="false" customHeight="false" outlineLevel="0" collapsed="false">
      <c r="A846" s="27" t="n">
        <v>13</v>
      </c>
      <c r="B846" s="28" t="n">
        <v>46301.5221884144</v>
      </c>
      <c r="C846" s="29" t="n">
        <f aca="false">IF(A847=A846,B847,INDEX(Rounds!$D:$D,MATCH(A846,Rounds!$A:$A,0)))</f>
        <v>46301.5221906482</v>
      </c>
      <c r="D846" s="30" t="n">
        <f aca="false">(B846-INDEX(Rounds!$C:$C,MATCH(A846,Rounds!$A:$A,0)))*86400</f>
        <v>63.344999402</v>
      </c>
      <c r="E846" s="30" t="n">
        <f aca="false">(C846-INDEX(Rounds!$C:$C,MATCH(A846,Rounds!$A:$A,0)))*86400</f>
        <v>63.538000266</v>
      </c>
      <c r="F846" s="31" t="n">
        <f aca="false">(C846-B846)*86400</f>
        <v>0.193000864</v>
      </c>
      <c r="G846" s="27" t="s">
        <v>152</v>
      </c>
      <c r="H846" s="27" t="s">
        <v>208</v>
      </c>
      <c r="I846" s="27" t="s">
        <v>220</v>
      </c>
      <c r="J846" s="27" t="s">
        <v>247</v>
      </c>
      <c r="K846" s="27" t="s">
        <v>200</v>
      </c>
      <c r="L846" s="3" t="str">
        <f aca="false">IF(ISNUMBER(SEARCH(" m",I846)),"Range",IF(I846="offline","Offline",IF(I846="","Unknown","No echo / error")))</f>
        <v>No echo / error</v>
      </c>
      <c r="M846" s="3" t="str">
        <f aca="false">IF(ISNUMBER(SEARCH(" m",J846)),"Range",IF(J846="offline","Offline",IF(J846="","Unknown","No echo / error")))</f>
        <v>Range</v>
      </c>
      <c r="N846" s="3" t="str">
        <f aca="false">IF(ISNUMBER(SEARCH(" m",K846)),"Range",IF(K846="offline","Offline",IF(K846="","Unknown","No echo / error")))</f>
        <v>Offline</v>
      </c>
      <c r="O846" s="3" t="str">
        <f aca="false">TEXT(B846,"yyyy-mm-dd")</f>
        <v>2026-10-06</v>
      </c>
    </row>
    <row r="847" customFormat="false" ht="15" hidden="false" customHeight="false" outlineLevel="0" collapsed="false">
      <c r="A847" s="27" t="n">
        <v>13</v>
      </c>
      <c r="B847" s="28" t="n">
        <v>46301.5221906482</v>
      </c>
      <c r="C847" s="29" t="n">
        <f aca="false">IF(A848=A847,B848,INDEX(Rounds!$D:$D,MATCH(A847,Rounds!$A:$A,0)))</f>
        <v>46301.5221925</v>
      </c>
      <c r="D847" s="30" t="n">
        <f aca="false">(B847-INDEX(Rounds!$C:$C,MATCH(A847,Rounds!$A:$A,0)))*86400</f>
        <v>63.538000266</v>
      </c>
      <c r="E847" s="30" t="n">
        <f aca="false">(C847-INDEX(Rounds!$C:$C,MATCH(A847,Rounds!$A:$A,0)))*86400</f>
        <v>63.697999902</v>
      </c>
      <c r="F847" s="31" t="n">
        <f aca="false">(C847-B847)*86400</f>
        <v>0.159999635</v>
      </c>
      <c r="G847" s="27" t="s">
        <v>151</v>
      </c>
      <c r="H847" s="27" t="s">
        <v>203</v>
      </c>
      <c r="I847" s="27" t="s">
        <v>215</v>
      </c>
      <c r="J847" s="27" t="s">
        <v>346</v>
      </c>
      <c r="K847" s="27" t="s">
        <v>200</v>
      </c>
      <c r="L847" s="3" t="str">
        <f aca="false">IF(ISNUMBER(SEARCH(" m",I847)),"Range",IF(I847="offline","Offline",IF(I847="","Unknown","No echo / error")))</f>
        <v>Range</v>
      </c>
      <c r="M847" s="3" t="str">
        <f aca="false">IF(ISNUMBER(SEARCH(" m",J847)),"Range",IF(J847="offline","Offline",IF(J847="","Unknown","No echo / error")))</f>
        <v>Range</v>
      </c>
      <c r="N847" s="3" t="str">
        <f aca="false">IF(ISNUMBER(SEARCH(" m",K847)),"Range",IF(K847="offline","Offline",IF(K847="","Unknown","No echo / error")))</f>
        <v>Offline</v>
      </c>
      <c r="O847" s="3" t="str">
        <f aca="false">TEXT(B847,"yyyy-mm-dd")</f>
        <v>2026-10-06</v>
      </c>
    </row>
    <row r="848" customFormat="false" ht="15" hidden="false" customHeight="false" outlineLevel="0" collapsed="false">
      <c r="A848" s="27" t="n">
        <v>13</v>
      </c>
      <c r="B848" s="28" t="n">
        <v>46301.5221925</v>
      </c>
      <c r="C848" s="29" t="n">
        <f aca="false">IF(A849=A848,B849,INDEX(Rounds!$D:$D,MATCH(A848,Rounds!$A:$A,0)))</f>
        <v>46301.5222339236</v>
      </c>
      <c r="D848" s="30" t="n">
        <f aca="false">(B848-INDEX(Rounds!$C:$C,MATCH(A848,Rounds!$A:$A,0)))*86400</f>
        <v>63.697999902</v>
      </c>
      <c r="E848" s="30" t="n">
        <f aca="false">(C848-INDEX(Rounds!$C:$C,MATCH(A848,Rounds!$A:$A,0)))*86400</f>
        <v>67.277000052</v>
      </c>
      <c r="F848" s="31" t="n">
        <f aca="false">(C848-B848)*86400</f>
        <v>3.57900015</v>
      </c>
      <c r="G848" s="27" t="s">
        <v>150</v>
      </c>
      <c r="H848" s="27" t="s">
        <v>206</v>
      </c>
      <c r="I848" s="27" t="s">
        <v>307</v>
      </c>
      <c r="J848" s="27" t="s">
        <v>346</v>
      </c>
      <c r="K848" s="27" t="s">
        <v>200</v>
      </c>
      <c r="L848" s="3" t="str">
        <f aca="false">IF(ISNUMBER(SEARCH(" m",I848)),"Range",IF(I848="offline","Offline",IF(I848="","Unknown","No echo / error")))</f>
        <v>Range</v>
      </c>
      <c r="M848" s="3" t="str">
        <f aca="false">IF(ISNUMBER(SEARCH(" m",J848)),"Range",IF(J848="offline","Offline",IF(J848="","Unknown","No echo / error")))</f>
        <v>Range</v>
      </c>
      <c r="N848" s="3" t="str">
        <f aca="false">IF(ISNUMBER(SEARCH(" m",K848)),"Range",IF(K848="offline","Offline",IF(K848="","Unknown","No echo / error")))</f>
        <v>Offline</v>
      </c>
      <c r="O848" s="3" t="str">
        <f aca="false">TEXT(B848,"yyyy-mm-dd")</f>
        <v>2026-10-06</v>
      </c>
    </row>
    <row r="849" customFormat="false" ht="15" hidden="false" customHeight="false" outlineLevel="0" collapsed="false">
      <c r="A849" s="27" t="n">
        <v>13</v>
      </c>
      <c r="B849" s="28" t="n">
        <v>46301.5222339236</v>
      </c>
      <c r="C849" s="29" t="n">
        <f aca="false">IF(A850=A849,B850,INDEX(Rounds!$D:$D,MATCH(A849,Rounds!$A:$A,0)))</f>
        <v>46301.5222341204</v>
      </c>
      <c r="D849" s="30" t="n">
        <f aca="false">(B849-INDEX(Rounds!$C:$C,MATCH(A849,Rounds!$A:$A,0)))*86400</f>
        <v>67.277000052</v>
      </c>
      <c r="E849" s="30" t="n">
        <f aca="false">(C849-INDEX(Rounds!$C:$C,MATCH(A849,Rounds!$A:$A,0)))*86400</f>
        <v>67.293999809</v>
      </c>
      <c r="F849" s="31" t="n">
        <f aca="false">(C849-B849)*86400</f>
        <v>0.016999756</v>
      </c>
      <c r="G849" s="27" t="s">
        <v>152</v>
      </c>
      <c r="H849" s="27" t="s">
        <v>208</v>
      </c>
      <c r="I849" s="27" t="s">
        <v>216</v>
      </c>
      <c r="J849" s="27" t="s">
        <v>204</v>
      </c>
      <c r="K849" s="27" t="s">
        <v>200</v>
      </c>
      <c r="L849" s="3" t="str">
        <f aca="false">IF(ISNUMBER(SEARCH(" m",I849)),"Range",IF(I849="offline","Offline",IF(I849="","Unknown","No echo / error")))</f>
        <v>Range</v>
      </c>
      <c r="M849" s="3" t="str">
        <f aca="false">IF(ISNUMBER(SEARCH(" m",J849)),"Range",IF(J849="offline","Offline",IF(J849="","Unknown","No echo / error")))</f>
        <v>No echo / error</v>
      </c>
      <c r="N849" s="3" t="str">
        <f aca="false">IF(ISNUMBER(SEARCH(" m",K849)),"Range",IF(K849="offline","Offline",IF(K849="","Unknown","No echo / error")))</f>
        <v>Offline</v>
      </c>
      <c r="O849" s="3" t="str">
        <f aca="false">TEXT(B849,"yyyy-mm-dd")</f>
        <v>2026-10-06</v>
      </c>
    </row>
    <row r="850" customFormat="false" ht="15" hidden="false" customHeight="false" outlineLevel="0" collapsed="false">
      <c r="A850" s="27" t="n">
        <v>13</v>
      </c>
      <c r="B850" s="28" t="n">
        <v>46301.5222341204</v>
      </c>
      <c r="C850" s="29" t="n">
        <f aca="false">IF(A851=A850,B851,INDEX(Rounds!$D:$D,MATCH(A850,Rounds!$A:$A,0)))</f>
        <v>46301.5222432639</v>
      </c>
      <c r="D850" s="30" t="n">
        <f aca="false">(B850-INDEX(Rounds!$C:$C,MATCH(A850,Rounds!$A:$A,0)))*86400</f>
        <v>67.293999809</v>
      </c>
      <c r="E850" s="30" t="n">
        <f aca="false">(C850-INDEX(Rounds!$C:$C,MATCH(A850,Rounds!$A:$A,0)))*86400</f>
        <v>68.084000051</v>
      </c>
      <c r="F850" s="31" t="n">
        <f aca="false">(C850-B850)*86400</f>
        <v>0.790000241</v>
      </c>
      <c r="G850" s="27" t="s">
        <v>151</v>
      </c>
      <c r="H850" s="27" t="s">
        <v>203</v>
      </c>
      <c r="I850" s="27" t="s">
        <v>327</v>
      </c>
      <c r="J850" s="27" t="s">
        <v>204</v>
      </c>
      <c r="K850" s="27" t="s">
        <v>200</v>
      </c>
      <c r="L850" s="3" t="str">
        <f aca="false">IF(ISNUMBER(SEARCH(" m",I850)),"Range",IF(I850="offline","Offline",IF(I850="","Unknown","No echo / error")))</f>
        <v>Range</v>
      </c>
      <c r="M850" s="3" t="str">
        <f aca="false">IF(ISNUMBER(SEARCH(" m",J850)),"Range",IF(J850="offline","Offline",IF(J850="","Unknown","No echo / error")))</f>
        <v>No echo / error</v>
      </c>
      <c r="N850" s="3" t="str">
        <f aca="false">IF(ISNUMBER(SEARCH(" m",K850)),"Range",IF(K850="offline","Offline",IF(K850="","Unknown","No echo / error")))</f>
        <v>Offline</v>
      </c>
      <c r="O850" s="3" t="str">
        <f aca="false">TEXT(B850,"yyyy-mm-dd")</f>
        <v>2026-10-06</v>
      </c>
    </row>
    <row r="851" customFormat="false" ht="15" hidden="false" customHeight="false" outlineLevel="0" collapsed="false">
      <c r="A851" s="27" t="n">
        <v>13</v>
      </c>
      <c r="B851" s="28" t="n">
        <v>46301.5222432639</v>
      </c>
      <c r="C851" s="29" t="n">
        <f aca="false">IF(A852=A851,B852,INDEX(Rounds!$D:$D,MATCH(A851,Rounds!$A:$A,0)))</f>
        <v>46301.5222471759</v>
      </c>
      <c r="D851" s="30" t="n">
        <f aca="false">(B851-INDEX(Rounds!$C:$C,MATCH(A851,Rounds!$A:$A,0)))*86400</f>
        <v>68.084000051</v>
      </c>
      <c r="E851" s="30" t="n">
        <f aca="false">(C851-INDEX(Rounds!$C:$C,MATCH(A851,Rounds!$A:$A,0)))*86400</f>
        <v>68.422000505</v>
      </c>
      <c r="F851" s="31" t="n">
        <f aca="false">(C851-B851)*86400</f>
        <v>0.338000454</v>
      </c>
      <c r="G851" s="27" t="s">
        <v>152</v>
      </c>
      <c r="H851" s="27" t="s">
        <v>208</v>
      </c>
      <c r="I851" s="27" t="s">
        <v>466</v>
      </c>
      <c r="J851" s="27" t="s">
        <v>460</v>
      </c>
      <c r="K851" s="27" t="s">
        <v>200</v>
      </c>
      <c r="L851" s="3" t="str">
        <f aca="false">IF(ISNUMBER(SEARCH(" m",I851)),"Range",IF(I851="offline","Offline",IF(I851="","Unknown","No echo / error")))</f>
        <v>Range</v>
      </c>
      <c r="M851" s="3" t="str">
        <f aca="false">IF(ISNUMBER(SEARCH(" m",J851)),"Range",IF(J851="offline","Offline",IF(J851="","Unknown","No echo / error")))</f>
        <v>Range</v>
      </c>
      <c r="N851" s="3" t="str">
        <f aca="false">IF(ISNUMBER(SEARCH(" m",K851)),"Range",IF(K851="offline","Offline",IF(K851="","Unknown","No echo / error")))</f>
        <v>Offline</v>
      </c>
      <c r="O851" s="3" t="str">
        <f aca="false">TEXT(B851,"yyyy-mm-dd")</f>
        <v>2026-10-06</v>
      </c>
    </row>
    <row r="852" customFormat="false" ht="15" hidden="false" customHeight="false" outlineLevel="0" collapsed="false">
      <c r="A852" s="27" t="n">
        <v>13</v>
      </c>
      <c r="B852" s="28" t="n">
        <v>46301.5222471759</v>
      </c>
      <c r="C852" s="29" t="n">
        <f aca="false">IF(A853=A852,B853,INDEX(Rounds!$D:$D,MATCH(A852,Rounds!$A:$A,0)))</f>
        <v>46301.5222585185</v>
      </c>
      <c r="D852" s="30" t="n">
        <f aca="false">(B852-INDEX(Rounds!$C:$C,MATCH(A852,Rounds!$A:$A,0)))*86400</f>
        <v>68.422000505</v>
      </c>
      <c r="E852" s="30" t="n">
        <f aca="false">(C852-INDEX(Rounds!$C:$C,MATCH(A852,Rounds!$A:$A,0)))*86400</f>
        <v>69.401999842</v>
      </c>
      <c r="F852" s="31" t="n">
        <f aca="false">(C852-B852)*86400</f>
        <v>0.979999336</v>
      </c>
      <c r="G852" s="27" t="s">
        <v>151</v>
      </c>
      <c r="H852" s="27" t="s">
        <v>203</v>
      </c>
      <c r="I852" s="27" t="s">
        <v>204</v>
      </c>
      <c r="J852" s="27" t="s">
        <v>279</v>
      </c>
      <c r="K852" s="27" t="s">
        <v>200</v>
      </c>
      <c r="L852" s="3" t="str">
        <f aca="false">IF(ISNUMBER(SEARCH(" m",I852)),"Range",IF(I852="offline","Offline",IF(I852="","Unknown","No echo / error")))</f>
        <v>No echo / error</v>
      </c>
      <c r="M852" s="3" t="str">
        <f aca="false">IF(ISNUMBER(SEARCH(" m",J852)),"Range",IF(J852="offline","Offline",IF(J852="","Unknown","No echo / error")))</f>
        <v>Range</v>
      </c>
      <c r="N852" s="3" t="str">
        <f aca="false">IF(ISNUMBER(SEARCH(" m",K852)),"Range",IF(K852="offline","Offline",IF(K852="","Unknown","No echo / error")))</f>
        <v>Offline</v>
      </c>
      <c r="O852" s="3" t="str">
        <f aca="false">TEXT(B852,"yyyy-mm-dd")</f>
        <v>2026-10-06</v>
      </c>
    </row>
    <row r="853" customFormat="false" ht="15" hidden="false" customHeight="false" outlineLevel="0" collapsed="false">
      <c r="A853" s="27" t="n">
        <v>13</v>
      </c>
      <c r="B853" s="28" t="n">
        <v>46301.5222585185</v>
      </c>
      <c r="C853" s="29" t="n">
        <f aca="false">IF(A854=A853,B854,INDEX(Rounds!$D:$D,MATCH(A853,Rounds!$A:$A,0)))</f>
        <v>46301.522262419</v>
      </c>
      <c r="D853" s="30" t="n">
        <f aca="false">(B853-INDEX(Rounds!$C:$C,MATCH(A853,Rounds!$A:$A,0)))*86400</f>
        <v>69.401999842</v>
      </c>
      <c r="E853" s="30" t="n">
        <f aca="false">(C853-INDEX(Rounds!$C:$C,MATCH(A853,Rounds!$A:$A,0)))*86400</f>
        <v>69.738999498</v>
      </c>
      <c r="F853" s="31" t="n">
        <f aca="false">(C853-B853)*86400</f>
        <v>0.336999655</v>
      </c>
      <c r="G853" s="27" t="s">
        <v>152</v>
      </c>
      <c r="H853" s="27" t="s">
        <v>208</v>
      </c>
      <c r="I853" s="27" t="s">
        <v>204</v>
      </c>
      <c r="J853" s="27" t="s">
        <v>220</v>
      </c>
      <c r="K853" s="27" t="s">
        <v>200</v>
      </c>
      <c r="L853" s="3" t="str">
        <f aca="false">IF(ISNUMBER(SEARCH(" m",I853)),"Range",IF(I853="offline","Offline",IF(I853="","Unknown","No echo / error")))</f>
        <v>No echo / error</v>
      </c>
      <c r="M853" s="3" t="str">
        <f aca="false">IF(ISNUMBER(SEARCH(" m",J853)),"Range",IF(J853="offline","Offline",IF(J853="","Unknown","No echo / error")))</f>
        <v>No echo / error</v>
      </c>
      <c r="N853" s="3" t="str">
        <f aca="false">IF(ISNUMBER(SEARCH(" m",K853)),"Range",IF(K853="offline","Offline",IF(K853="","Unknown","No echo / error")))</f>
        <v>Offline</v>
      </c>
      <c r="O853" s="3" t="str">
        <f aca="false">TEXT(B853,"yyyy-mm-dd")</f>
        <v>2026-10-06</v>
      </c>
    </row>
    <row r="854" customFormat="false" ht="15" hidden="false" customHeight="false" outlineLevel="0" collapsed="false">
      <c r="A854" s="27" t="n">
        <v>13</v>
      </c>
      <c r="B854" s="28" t="n">
        <v>46301.522262419</v>
      </c>
      <c r="C854" s="29" t="n">
        <f aca="false">IF(A855=A854,B855,INDEX(Rounds!$D:$D,MATCH(A854,Rounds!$A:$A,0)))</f>
        <v>46301.5222693866</v>
      </c>
      <c r="D854" s="30" t="n">
        <f aca="false">(B854-INDEX(Rounds!$C:$C,MATCH(A854,Rounds!$A:$A,0)))*86400</f>
        <v>69.738999498</v>
      </c>
      <c r="E854" s="30" t="n">
        <f aca="false">(C854-INDEX(Rounds!$C:$C,MATCH(A854,Rounds!$A:$A,0)))*86400</f>
        <v>70.340999728</v>
      </c>
      <c r="F854" s="31" t="n">
        <f aca="false">(C854-B854)*86400</f>
        <v>0.602000229</v>
      </c>
      <c r="G854" s="27" t="s">
        <v>151</v>
      </c>
      <c r="H854" s="27" t="s">
        <v>203</v>
      </c>
      <c r="I854" s="27" t="s">
        <v>204</v>
      </c>
      <c r="J854" s="27" t="s">
        <v>253</v>
      </c>
      <c r="K854" s="27" t="s">
        <v>200</v>
      </c>
      <c r="L854" s="3" t="str">
        <f aca="false">IF(ISNUMBER(SEARCH(" m",I854)),"Range",IF(I854="offline","Offline",IF(I854="","Unknown","No echo / error")))</f>
        <v>No echo / error</v>
      </c>
      <c r="M854" s="3" t="str">
        <f aca="false">IF(ISNUMBER(SEARCH(" m",J854)),"Range",IF(J854="offline","Offline",IF(J854="","Unknown","No echo / error")))</f>
        <v>Range</v>
      </c>
      <c r="N854" s="3" t="str">
        <f aca="false">IF(ISNUMBER(SEARCH(" m",K854)),"Range",IF(K854="offline","Offline",IF(K854="","Unknown","No echo / error")))</f>
        <v>Offline</v>
      </c>
      <c r="O854" s="3" t="str">
        <f aca="false">TEXT(B854,"yyyy-mm-dd")</f>
        <v>2026-10-06</v>
      </c>
    </row>
    <row r="855" customFormat="false" ht="15" hidden="false" customHeight="false" outlineLevel="0" collapsed="false">
      <c r="A855" s="27" t="n">
        <v>13</v>
      </c>
      <c r="B855" s="28" t="n">
        <v>46301.5222693866</v>
      </c>
      <c r="C855" s="29" t="n">
        <f aca="false">IF(A856=A855,B856,INDEX(Rounds!$D:$D,MATCH(A855,Rounds!$A:$A,0)))</f>
        <v>46301.5222837153</v>
      </c>
      <c r="D855" s="30" t="n">
        <f aca="false">(B855-INDEX(Rounds!$C:$C,MATCH(A855,Rounds!$A:$A,0)))*86400</f>
        <v>70.340999728</v>
      </c>
      <c r="E855" s="30" t="n">
        <f aca="false">(C855-INDEX(Rounds!$C:$C,MATCH(A855,Rounds!$A:$A,0)))*86400</f>
        <v>71.57900033</v>
      </c>
      <c r="F855" s="31" t="n">
        <f aca="false">(C855-B855)*86400</f>
        <v>1.238000602</v>
      </c>
      <c r="G855" s="27" t="s">
        <v>152</v>
      </c>
      <c r="H855" s="27" t="s">
        <v>208</v>
      </c>
      <c r="I855" s="27" t="s">
        <v>204</v>
      </c>
      <c r="J855" s="27" t="s">
        <v>253</v>
      </c>
      <c r="K855" s="27" t="s">
        <v>200</v>
      </c>
      <c r="L855" s="3" t="str">
        <f aca="false">IF(ISNUMBER(SEARCH(" m",I855)),"Range",IF(I855="offline","Offline",IF(I855="","Unknown","No echo / error")))</f>
        <v>No echo / error</v>
      </c>
      <c r="M855" s="3" t="str">
        <f aca="false">IF(ISNUMBER(SEARCH(" m",J855)),"Range",IF(J855="offline","Offline",IF(J855="","Unknown","No echo / error")))</f>
        <v>Range</v>
      </c>
      <c r="N855" s="3" t="str">
        <f aca="false">IF(ISNUMBER(SEARCH(" m",K855)),"Range",IF(K855="offline","Offline",IF(K855="","Unknown","No echo / error")))</f>
        <v>Offline</v>
      </c>
      <c r="O855" s="3" t="str">
        <f aca="false">TEXT(B855,"yyyy-mm-dd")</f>
        <v>2026-10-06</v>
      </c>
    </row>
    <row r="856" customFormat="false" ht="15" hidden="false" customHeight="false" outlineLevel="0" collapsed="false">
      <c r="A856" s="27" t="n">
        <v>13</v>
      </c>
      <c r="B856" s="28" t="n">
        <v>46301.5222837153</v>
      </c>
      <c r="C856" s="29" t="n">
        <f aca="false">IF(A857=A856,B857,INDEX(Rounds!$D:$D,MATCH(A856,Rounds!$A:$A,0)))</f>
        <v>46301.5222995255</v>
      </c>
      <c r="D856" s="30" t="n">
        <f aca="false">(B856-INDEX(Rounds!$C:$C,MATCH(A856,Rounds!$A:$A,0)))*86400</f>
        <v>71.57900033</v>
      </c>
      <c r="E856" s="30" t="n">
        <f aca="false">(C856-INDEX(Rounds!$C:$C,MATCH(A856,Rounds!$A:$A,0)))*86400</f>
        <v>72.945000766</v>
      </c>
      <c r="F856" s="31" t="n">
        <f aca="false">(C856-B856)*86400</f>
        <v>1.366000436</v>
      </c>
      <c r="G856" s="27" t="s">
        <v>151</v>
      </c>
      <c r="H856" s="27" t="s">
        <v>203</v>
      </c>
      <c r="I856" s="27" t="s">
        <v>204</v>
      </c>
      <c r="J856" s="27" t="s">
        <v>396</v>
      </c>
      <c r="K856" s="27" t="s">
        <v>200</v>
      </c>
      <c r="L856" s="3" t="str">
        <f aca="false">IF(ISNUMBER(SEARCH(" m",I856)),"Range",IF(I856="offline","Offline",IF(I856="","Unknown","No echo / error")))</f>
        <v>No echo / error</v>
      </c>
      <c r="M856" s="3" t="str">
        <f aca="false">IF(ISNUMBER(SEARCH(" m",J856)),"Range",IF(J856="offline","Offline",IF(J856="","Unknown","No echo / error")))</f>
        <v>Range</v>
      </c>
      <c r="N856" s="3" t="str">
        <f aca="false">IF(ISNUMBER(SEARCH(" m",K856)),"Range",IF(K856="offline","Offline",IF(K856="","Unknown","No echo / error")))</f>
        <v>Offline</v>
      </c>
      <c r="O856" s="3" t="str">
        <f aca="false">TEXT(B856,"yyyy-mm-dd")</f>
        <v>2026-10-06</v>
      </c>
    </row>
    <row r="857" customFormat="false" ht="15" hidden="false" customHeight="false" outlineLevel="0" collapsed="false">
      <c r="A857" s="27" t="n">
        <v>13</v>
      </c>
      <c r="B857" s="28" t="n">
        <v>46301.5222995255</v>
      </c>
      <c r="C857" s="29" t="n">
        <f aca="false">IF(A858=A857,B858,INDEX(Rounds!$D:$D,MATCH(A857,Rounds!$A:$A,0)))</f>
        <v>46301.5223064005</v>
      </c>
      <c r="D857" s="30" t="n">
        <f aca="false">(B857-INDEX(Rounds!$C:$C,MATCH(A857,Rounds!$A:$A,0)))*86400</f>
        <v>72.945000766</v>
      </c>
      <c r="E857" s="30" t="n">
        <f aca="false">(C857-INDEX(Rounds!$C:$C,MATCH(A857,Rounds!$A:$A,0)))*86400</f>
        <v>73.538999632</v>
      </c>
      <c r="F857" s="31" t="n">
        <f aca="false">(C857-B857)*86400</f>
        <v>0.593998865</v>
      </c>
      <c r="G857" s="27" t="s">
        <v>150</v>
      </c>
      <c r="H857" s="27" t="s">
        <v>206</v>
      </c>
      <c r="I857" s="27" t="s">
        <v>218</v>
      </c>
      <c r="J857" s="27" t="s">
        <v>225</v>
      </c>
      <c r="K857" s="27" t="s">
        <v>200</v>
      </c>
      <c r="L857" s="3" t="str">
        <f aca="false">IF(ISNUMBER(SEARCH(" m",I857)),"Range",IF(I857="offline","Offline",IF(I857="","Unknown","No echo / error")))</f>
        <v>Range</v>
      </c>
      <c r="M857" s="3" t="str">
        <f aca="false">IF(ISNUMBER(SEARCH(" m",J857)),"Range",IF(J857="offline","Offline",IF(J857="","Unknown","No echo / error")))</f>
        <v>Range</v>
      </c>
      <c r="N857" s="3" t="str">
        <f aca="false">IF(ISNUMBER(SEARCH(" m",K857)),"Range",IF(K857="offline","Offline",IF(K857="","Unknown","No echo / error")))</f>
        <v>Offline</v>
      </c>
      <c r="O857" s="3" t="str">
        <f aca="false">TEXT(B857,"yyyy-mm-dd")</f>
        <v>2026-10-06</v>
      </c>
    </row>
    <row r="858" customFormat="false" ht="15" hidden="false" customHeight="false" outlineLevel="0" collapsed="false">
      <c r="A858" s="27" t="n">
        <v>13</v>
      </c>
      <c r="B858" s="28" t="n">
        <v>46301.5223064005</v>
      </c>
      <c r="C858" s="29" t="n">
        <f aca="false">IF(A859=A858,B859,INDEX(Rounds!$D:$D,MATCH(A858,Rounds!$A:$A,0)))</f>
        <v>46301.5223202083</v>
      </c>
      <c r="D858" s="30" t="n">
        <f aca="false">(B858-INDEX(Rounds!$C:$C,MATCH(A858,Rounds!$A:$A,0)))*86400</f>
        <v>73.538999632</v>
      </c>
      <c r="E858" s="30" t="n">
        <f aca="false">(C858-INDEX(Rounds!$C:$C,MATCH(A858,Rounds!$A:$A,0)))*86400</f>
        <v>74.73200073</v>
      </c>
      <c r="F858" s="31" t="n">
        <f aca="false">(C858-B858)*86400</f>
        <v>1.193001097</v>
      </c>
      <c r="G858" s="27" t="s">
        <v>152</v>
      </c>
      <c r="H858" s="27" t="s">
        <v>208</v>
      </c>
      <c r="I858" s="27" t="s">
        <v>218</v>
      </c>
      <c r="J858" s="27" t="s">
        <v>312</v>
      </c>
      <c r="K858" s="27" t="s">
        <v>200</v>
      </c>
      <c r="L858" s="3" t="str">
        <f aca="false">IF(ISNUMBER(SEARCH(" m",I858)),"Range",IF(I858="offline","Offline",IF(I858="","Unknown","No echo / error")))</f>
        <v>Range</v>
      </c>
      <c r="M858" s="3" t="str">
        <f aca="false">IF(ISNUMBER(SEARCH(" m",J858)),"Range",IF(J858="offline","Offline",IF(J858="","Unknown","No echo / error")))</f>
        <v>Range</v>
      </c>
      <c r="N858" s="3" t="str">
        <f aca="false">IF(ISNUMBER(SEARCH(" m",K858)),"Range",IF(K858="offline","Offline",IF(K858="","Unknown","No echo / error")))</f>
        <v>Offline</v>
      </c>
      <c r="O858" s="3" t="str">
        <f aca="false">TEXT(B858,"yyyy-mm-dd")</f>
        <v>2026-10-06</v>
      </c>
    </row>
    <row r="859" customFormat="false" ht="15" hidden="false" customHeight="false" outlineLevel="0" collapsed="false">
      <c r="A859" s="27" t="n">
        <v>13</v>
      </c>
      <c r="B859" s="28" t="n">
        <v>46301.5223202083</v>
      </c>
      <c r="C859" s="29" t="n">
        <f aca="false">IF(A860=A859,B860,INDEX(Rounds!$D:$D,MATCH(A859,Rounds!$A:$A,0)))</f>
        <v>46301.5223203935</v>
      </c>
      <c r="D859" s="30" t="n">
        <f aca="false">(B859-INDEX(Rounds!$C:$C,MATCH(A859,Rounds!$A:$A,0)))*86400</f>
        <v>74.73200073</v>
      </c>
      <c r="E859" s="30" t="n">
        <f aca="false">(C859-INDEX(Rounds!$C:$C,MATCH(A859,Rounds!$A:$A,0)))*86400</f>
        <v>74.747999687</v>
      </c>
      <c r="F859" s="31" t="n">
        <f aca="false">(C859-B859)*86400</f>
        <v>0.015998957</v>
      </c>
      <c r="G859" s="27" t="s">
        <v>151</v>
      </c>
      <c r="H859" s="27" t="s">
        <v>203</v>
      </c>
      <c r="I859" s="27" t="s">
        <v>357</v>
      </c>
      <c r="J859" s="27" t="s">
        <v>344</v>
      </c>
      <c r="K859" s="27" t="s">
        <v>200</v>
      </c>
      <c r="L859" s="3" t="str">
        <f aca="false">IF(ISNUMBER(SEARCH(" m",I859)),"Range",IF(I859="offline","Offline",IF(I859="","Unknown","No echo / error")))</f>
        <v>Range</v>
      </c>
      <c r="M859" s="3" t="str">
        <f aca="false">IF(ISNUMBER(SEARCH(" m",J859)),"Range",IF(J859="offline","Offline",IF(J859="","Unknown","No echo / error")))</f>
        <v>Range</v>
      </c>
      <c r="N859" s="3" t="str">
        <f aca="false">IF(ISNUMBER(SEARCH(" m",K859)),"Range",IF(K859="offline","Offline",IF(K859="","Unknown","No echo / error")))</f>
        <v>Offline</v>
      </c>
      <c r="O859" s="3" t="str">
        <f aca="false">TEXT(B859,"yyyy-mm-dd")</f>
        <v>2026-10-06</v>
      </c>
    </row>
    <row r="860" customFormat="false" ht="15" hidden="false" customHeight="false" outlineLevel="0" collapsed="false">
      <c r="A860" s="27" t="n">
        <v>13</v>
      </c>
      <c r="B860" s="28" t="n">
        <v>46301.5223203935</v>
      </c>
      <c r="C860" s="29" t="n">
        <f aca="false">IF(A861=A860,B861,INDEX(Rounds!$D:$D,MATCH(A860,Rounds!$A:$A,0)))</f>
        <v>46301.5223203935</v>
      </c>
      <c r="D860" s="30" t="n">
        <f aca="false">(B860-INDEX(Rounds!$C:$C,MATCH(A860,Rounds!$A:$A,0)))*86400</f>
        <v>74.747999687</v>
      </c>
      <c r="E860" s="30" t="n">
        <f aca="false">(C860-INDEX(Rounds!$C:$C,MATCH(A860,Rounds!$A:$A,0)))*86400</f>
        <v>74.747999687</v>
      </c>
      <c r="F860" s="31" t="n">
        <f aca="false">(C860-B860)*86400</f>
        <v>0</v>
      </c>
      <c r="G860" s="27" t="s">
        <v>154</v>
      </c>
      <c r="H860" s="27" t="s">
        <v>203</v>
      </c>
      <c r="I860" s="27" t="s">
        <v>357</v>
      </c>
      <c r="J860" s="27" t="s">
        <v>344</v>
      </c>
      <c r="K860" s="27" t="s">
        <v>200</v>
      </c>
      <c r="L860" s="3" t="str">
        <f aca="false">IF(ISNUMBER(SEARCH(" m",I860)),"Range",IF(I860="offline","Offline",IF(I860="","Unknown","No echo / error")))</f>
        <v>Range</v>
      </c>
      <c r="M860" s="3" t="str">
        <f aca="false">IF(ISNUMBER(SEARCH(" m",J860)),"Range",IF(J860="offline","Offline",IF(J860="","Unknown","No echo / error")))</f>
        <v>Range</v>
      </c>
      <c r="N860" s="3" t="str">
        <f aca="false">IF(ISNUMBER(SEARCH(" m",K860)),"Range",IF(K860="offline","Offline",IF(K860="","Unknown","No echo / error")))</f>
        <v>Offline</v>
      </c>
      <c r="O860" s="3" t="str">
        <f aca="false">TEXT(B860,"yyyy-mm-dd")</f>
        <v>2026-10-06</v>
      </c>
    </row>
    <row r="861" customFormat="false" ht="15" hidden="false" customHeight="false" outlineLevel="0" collapsed="false">
      <c r="A861" s="27" t="n">
        <v>14</v>
      </c>
      <c r="B861" s="28" t="n">
        <v>46301.5228270949</v>
      </c>
      <c r="C861" s="29" t="n">
        <f aca="false">IF(A862=A861,B862,INDEX(Rounds!$D:$D,MATCH(A861,Rounds!$A:$A,0)))</f>
        <v>46301.5228270949</v>
      </c>
      <c r="D861" s="30" t="n">
        <f aca="false">(B861-INDEX(Rounds!$C:$C,MATCH(A861,Rounds!$A:$A,0)))*86400</f>
        <v>0</v>
      </c>
      <c r="E861" s="30" t="n">
        <f aca="false">(C861-INDEX(Rounds!$C:$C,MATCH(A861,Rounds!$A:$A,0)))*86400</f>
        <v>0</v>
      </c>
      <c r="F861" s="31" t="n">
        <f aca="false">(C861-B861)*86400</f>
        <v>0</v>
      </c>
      <c r="G861" s="27" t="s">
        <v>151</v>
      </c>
      <c r="H861" s="27" t="s">
        <v>203</v>
      </c>
      <c r="I861" s="27" t="s">
        <v>357</v>
      </c>
      <c r="J861" s="27" t="s">
        <v>344</v>
      </c>
      <c r="K861" s="27" t="s">
        <v>200</v>
      </c>
      <c r="L861" s="3" t="str">
        <f aca="false">IF(ISNUMBER(SEARCH(" m",I861)),"Range",IF(I861="offline","Offline",IF(I861="","Unknown","No echo / error")))</f>
        <v>Range</v>
      </c>
      <c r="M861" s="3" t="str">
        <f aca="false">IF(ISNUMBER(SEARCH(" m",J861)),"Range",IF(J861="offline","Offline",IF(J861="","Unknown","No echo / error")))</f>
        <v>Range</v>
      </c>
      <c r="N861" s="3" t="str">
        <f aca="false">IF(ISNUMBER(SEARCH(" m",K861)),"Range",IF(K861="offline","Offline",IF(K861="","Unknown","No echo / error")))</f>
        <v>Offline</v>
      </c>
      <c r="O861" s="3" t="str">
        <f aca="false">TEXT(B861,"yyyy-mm-dd")</f>
        <v>2026-10-06</v>
      </c>
    </row>
    <row r="862" customFormat="false" ht="15" hidden="false" customHeight="false" outlineLevel="0" collapsed="false">
      <c r="A862" s="27" t="n">
        <v>14</v>
      </c>
      <c r="B862" s="28" t="n">
        <v>46301.5228270949</v>
      </c>
      <c r="C862" s="29" t="n">
        <f aca="false">IF(A863=A862,B863,INDEX(Rounds!$D:$D,MATCH(A862,Rounds!$A:$A,0)))</f>
        <v>46301.5228270949</v>
      </c>
      <c r="D862" s="30" t="n">
        <f aca="false">(B862-INDEX(Rounds!$C:$C,MATCH(A862,Rounds!$A:$A,0)))*86400</f>
        <v>0</v>
      </c>
      <c r="E862" s="30" t="n">
        <f aca="false">(C862-INDEX(Rounds!$C:$C,MATCH(A862,Rounds!$A:$A,0)))*86400</f>
        <v>0</v>
      </c>
      <c r="F862" s="31" t="n">
        <f aca="false">(C862-B862)*86400</f>
        <v>0</v>
      </c>
      <c r="G862" s="27" t="s">
        <v>151</v>
      </c>
      <c r="H862" s="27" t="s">
        <v>203</v>
      </c>
      <c r="I862" s="27" t="s">
        <v>357</v>
      </c>
      <c r="J862" s="27" t="s">
        <v>344</v>
      </c>
      <c r="K862" s="27" t="s">
        <v>200</v>
      </c>
      <c r="L862" s="3" t="str">
        <f aca="false">IF(ISNUMBER(SEARCH(" m",I862)),"Range",IF(I862="offline","Offline",IF(I862="","Unknown","No echo / error")))</f>
        <v>Range</v>
      </c>
      <c r="M862" s="3" t="str">
        <f aca="false">IF(ISNUMBER(SEARCH(" m",J862)),"Range",IF(J862="offline","Offline",IF(J862="","Unknown","No echo / error")))</f>
        <v>Range</v>
      </c>
      <c r="N862" s="3" t="str">
        <f aca="false">IF(ISNUMBER(SEARCH(" m",K862)),"Range",IF(K862="offline","Offline",IF(K862="","Unknown","No echo / error")))</f>
        <v>Offline</v>
      </c>
      <c r="O862" s="3" t="str">
        <f aca="false">TEXT(B862,"yyyy-mm-dd")</f>
        <v>2026-10-06</v>
      </c>
    </row>
    <row r="863" customFormat="false" ht="15" hidden="false" customHeight="false" outlineLevel="0" collapsed="false">
      <c r="A863" s="27" t="n">
        <v>14</v>
      </c>
      <c r="B863" s="28" t="n">
        <v>46301.5228270949</v>
      </c>
      <c r="C863" s="29" t="n">
        <f aca="false">IF(A864=A863,B864,INDEX(Rounds!$D:$D,MATCH(A863,Rounds!$A:$A,0)))</f>
        <v>46301.5228375463</v>
      </c>
      <c r="D863" s="30" t="n">
        <f aca="false">(B863-INDEX(Rounds!$C:$C,MATCH(A863,Rounds!$A:$A,0)))*86400</f>
        <v>0</v>
      </c>
      <c r="E863" s="30" t="n">
        <f aca="false">(C863-INDEX(Rounds!$C:$C,MATCH(A863,Rounds!$A:$A,0)))*86400</f>
        <v>0.90300003</v>
      </c>
      <c r="F863" s="31" t="n">
        <f aca="false">(C863-B863)*86400</f>
        <v>0.90300003</v>
      </c>
      <c r="G863" s="27" t="s">
        <v>152</v>
      </c>
      <c r="H863" s="27" t="s">
        <v>199</v>
      </c>
      <c r="I863" s="27" t="s">
        <v>357</v>
      </c>
      <c r="J863" s="27" t="s">
        <v>344</v>
      </c>
      <c r="K863" s="27" t="s">
        <v>200</v>
      </c>
      <c r="L863" s="3" t="str">
        <f aca="false">IF(ISNUMBER(SEARCH(" m",I863)),"Range",IF(I863="offline","Offline",IF(I863="","Unknown","No echo / error")))</f>
        <v>Range</v>
      </c>
      <c r="M863" s="3" t="str">
        <f aca="false">IF(ISNUMBER(SEARCH(" m",J863)),"Range",IF(J863="offline","Offline",IF(J863="","Unknown","No echo / error")))</f>
        <v>Range</v>
      </c>
      <c r="N863" s="3" t="str">
        <f aca="false">IF(ISNUMBER(SEARCH(" m",K863)),"Range",IF(K863="offline","Offline",IF(K863="","Unknown","No echo / error")))</f>
        <v>Offline</v>
      </c>
      <c r="O863" s="3" t="str">
        <f aca="false">TEXT(B863,"yyyy-mm-dd")</f>
        <v>2026-10-06</v>
      </c>
    </row>
    <row r="864" customFormat="false" ht="15" hidden="false" customHeight="false" outlineLevel="0" collapsed="false">
      <c r="A864" s="27" t="n">
        <v>14</v>
      </c>
      <c r="B864" s="28" t="n">
        <v>46301.5228375463</v>
      </c>
      <c r="C864" s="29" t="n">
        <f aca="false">IF(A865=A864,B865,INDEX(Rounds!$D:$D,MATCH(A864,Rounds!$A:$A,0)))</f>
        <v>46301.52284125</v>
      </c>
      <c r="D864" s="30" t="n">
        <f aca="false">(B864-INDEX(Rounds!$C:$C,MATCH(A864,Rounds!$A:$A,0)))*86400</f>
        <v>0.90300003</v>
      </c>
      <c r="E864" s="30" t="n">
        <f aca="false">(C864-INDEX(Rounds!$C:$C,MATCH(A864,Rounds!$A:$A,0)))*86400</f>
        <v>1.222999929</v>
      </c>
      <c r="F864" s="31" t="n">
        <f aca="false">(C864-B864)*86400</f>
        <v>0.319999898</v>
      </c>
      <c r="G864" s="27" t="s">
        <v>151</v>
      </c>
      <c r="H864" s="27" t="s">
        <v>203</v>
      </c>
      <c r="I864" s="27" t="s">
        <v>258</v>
      </c>
      <c r="J864" s="27" t="s">
        <v>346</v>
      </c>
      <c r="K864" s="27" t="s">
        <v>200</v>
      </c>
      <c r="L864" s="3" t="str">
        <f aca="false">IF(ISNUMBER(SEARCH(" m",I864)),"Range",IF(I864="offline","Offline",IF(I864="","Unknown","No echo / error")))</f>
        <v>Range</v>
      </c>
      <c r="M864" s="3" t="str">
        <f aca="false">IF(ISNUMBER(SEARCH(" m",J864)),"Range",IF(J864="offline","Offline",IF(J864="","Unknown","No echo / error")))</f>
        <v>Range</v>
      </c>
      <c r="N864" s="3" t="str">
        <f aca="false">IF(ISNUMBER(SEARCH(" m",K864)),"Range",IF(K864="offline","Offline",IF(K864="","Unknown","No echo / error")))</f>
        <v>Offline</v>
      </c>
      <c r="O864" s="3" t="str">
        <f aca="false">TEXT(B864,"yyyy-mm-dd")</f>
        <v>2026-10-06</v>
      </c>
    </row>
    <row r="865" customFormat="false" ht="15" hidden="false" customHeight="false" outlineLevel="0" collapsed="false">
      <c r="A865" s="27" t="n">
        <v>14</v>
      </c>
      <c r="B865" s="28" t="n">
        <v>46301.52284125</v>
      </c>
      <c r="C865" s="29" t="n">
        <f aca="false">IF(A866=A865,B866,INDEX(Rounds!$D:$D,MATCH(A865,Rounds!$A:$A,0)))</f>
        <v>46301.5228961806</v>
      </c>
      <c r="D865" s="30" t="n">
        <f aca="false">(B865-INDEX(Rounds!$C:$C,MATCH(A865,Rounds!$A:$A,0)))*86400</f>
        <v>1.222999929</v>
      </c>
      <c r="E865" s="30" t="n">
        <f aca="false">(C865-INDEX(Rounds!$C:$C,MATCH(A865,Rounds!$A:$A,0)))*86400</f>
        <v>5.969000514</v>
      </c>
      <c r="F865" s="31" t="n">
        <f aca="false">(C865-B865)*86400</f>
        <v>4.746000585</v>
      </c>
      <c r="G865" s="27" t="s">
        <v>150</v>
      </c>
      <c r="H865" s="27" t="s">
        <v>206</v>
      </c>
      <c r="I865" s="27" t="s">
        <v>284</v>
      </c>
      <c r="J865" s="27" t="s">
        <v>305</v>
      </c>
      <c r="K865" s="27" t="s">
        <v>200</v>
      </c>
      <c r="L865" s="3" t="str">
        <f aca="false">IF(ISNUMBER(SEARCH(" m",I865)),"Range",IF(I865="offline","Offline",IF(I865="","Unknown","No echo / error")))</f>
        <v>Range</v>
      </c>
      <c r="M865" s="3" t="str">
        <f aca="false">IF(ISNUMBER(SEARCH(" m",J865)),"Range",IF(J865="offline","Offline",IF(J865="","Unknown","No echo / error")))</f>
        <v>Range</v>
      </c>
      <c r="N865" s="3" t="str">
        <f aca="false">IF(ISNUMBER(SEARCH(" m",K865)),"Range",IF(K865="offline","Offline",IF(K865="","Unknown","No echo / error")))</f>
        <v>Offline</v>
      </c>
      <c r="O865" s="3" t="str">
        <f aca="false">TEXT(B865,"yyyy-mm-dd")</f>
        <v>2026-10-06</v>
      </c>
    </row>
    <row r="866" customFormat="false" ht="15" hidden="false" customHeight="false" outlineLevel="0" collapsed="false">
      <c r="A866" s="27" t="n">
        <v>14</v>
      </c>
      <c r="B866" s="28" t="n">
        <v>46301.5228961806</v>
      </c>
      <c r="C866" s="29" t="n">
        <f aca="false">IF(A867=A866,B867,INDEX(Rounds!$D:$D,MATCH(A866,Rounds!$A:$A,0)))</f>
        <v>46301.522906007</v>
      </c>
      <c r="D866" s="30" t="n">
        <f aca="false">(B866-INDEX(Rounds!$C:$C,MATCH(A866,Rounds!$A:$A,0)))*86400</f>
        <v>5.969000514</v>
      </c>
      <c r="E866" s="30" t="n">
        <f aca="false">(C866-INDEX(Rounds!$C:$C,MATCH(A866,Rounds!$A:$A,0)))*86400</f>
        <v>6.818000134</v>
      </c>
      <c r="F866" s="31" t="n">
        <f aca="false">(C866-B866)*86400</f>
        <v>0.848999619</v>
      </c>
      <c r="G866" s="27" t="s">
        <v>152</v>
      </c>
      <c r="H866" s="27" t="s">
        <v>208</v>
      </c>
      <c r="I866" s="27" t="s">
        <v>315</v>
      </c>
      <c r="J866" s="27" t="s">
        <v>284</v>
      </c>
      <c r="K866" s="27" t="s">
        <v>200</v>
      </c>
      <c r="L866" s="3" t="str">
        <f aca="false">IF(ISNUMBER(SEARCH(" m",I866)),"Range",IF(I866="offline","Offline",IF(I866="","Unknown","No echo / error")))</f>
        <v>Range</v>
      </c>
      <c r="M866" s="3" t="str">
        <f aca="false">IF(ISNUMBER(SEARCH(" m",J866)),"Range",IF(J866="offline","Offline",IF(J866="","Unknown","No echo / error")))</f>
        <v>Range</v>
      </c>
      <c r="N866" s="3" t="str">
        <f aca="false">IF(ISNUMBER(SEARCH(" m",K866)),"Range",IF(K866="offline","Offline",IF(K866="","Unknown","No echo / error")))</f>
        <v>Offline</v>
      </c>
      <c r="O866" s="3" t="str">
        <f aca="false">TEXT(B866,"yyyy-mm-dd")</f>
        <v>2026-10-06</v>
      </c>
    </row>
    <row r="867" customFormat="false" ht="15" hidden="false" customHeight="false" outlineLevel="0" collapsed="false">
      <c r="A867" s="27" t="n">
        <v>14</v>
      </c>
      <c r="B867" s="28" t="n">
        <v>46301.522906007</v>
      </c>
      <c r="C867" s="29" t="n">
        <f aca="false">IF(A868=A867,B868,INDEX(Rounds!$D:$D,MATCH(A867,Rounds!$A:$A,0)))</f>
        <v>46301.5229143866</v>
      </c>
      <c r="D867" s="30" t="n">
        <f aca="false">(B867-INDEX(Rounds!$C:$C,MATCH(A867,Rounds!$A:$A,0)))*86400</f>
        <v>6.818000134</v>
      </c>
      <c r="E867" s="30" t="n">
        <f aca="false">(C867-INDEX(Rounds!$C:$C,MATCH(A867,Rounds!$A:$A,0)))*86400</f>
        <v>7.541999802</v>
      </c>
      <c r="F867" s="31" t="n">
        <f aca="false">(C867-B867)*86400</f>
        <v>0.723999668</v>
      </c>
      <c r="G867" s="27" t="s">
        <v>151</v>
      </c>
      <c r="H867" s="27" t="s">
        <v>203</v>
      </c>
      <c r="I867" s="27" t="s">
        <v>315</v>
      </c>
      <c r="J867" s="27" t="s">
        <v>255</v>
      </c>
      <c r="K867" s="27" t="s">
        <v>200</v>
      </c>
      <c r="L867" s="3" t="str">
        <f aca="false">IF(ISNUMBER(SEARCH(" m",I867)),"Range",IF(I867="offline","Offline",IF(I867="","Unknown","No echo / error")))</f>
        <v>Range</v>
      </c>
      <c r="M867" s="3" t="str">
        <f aca="false">IF(ISNUMBER(SEARCH(" m",J867)),"Range",IF(J867="offline","Offline",IF(J867="","Unknown","No echo / error")))</f>
        <v>Range</v>
      </c>
      <c r="N867" s="3" t="str">
        <f aca="false">IF(ISNUMBER(SEARCH(" m",K867)),"Range",IF(K867="offline","Offline",IF(K867="","Unknown","No echo / error")))</f>
        <v>Offline</v>
      </c>
      <c r="O867" s="3" t="str">
        <f aca="false">TEXT(B867,"yyyy-mm-dd")</f>
        <v>2026-10-06</v>
      </c>
    </row>
    <row r="868" customFormat="false" ht="15" hidden="false" customHeight="false" outlineLevel="0" collapsed="false">
      <c r="A868" s="27" t="n">
        <v>14</v>
      </c>
      <c r="B868" s="28" t="n">
        <v>46301.5229143866</v>
      </c>
      <c r="C868" s="29" t="n">
        <f aca="false">IF(A869=A868,B869,INDEX(Rounds!$D:$D,MATCH(A868,Rounds!$A:$A,0)))</f>
        <v>46301.522939537</v>
      </c>
      <c r="D868" s="30" t="n">
        <f aca="false">(B868-INDEX(Rounds!$C:$C,MATCH(A868,Rounds!$A:$A,0)))*86400</f>
        <v>7.541999802</v>
      </c>
      <c r="E868" s="30" t="n">
        <f aca="false">(C868-INDEX(Rounds!$C:$C,MATCH(A868,Rounds!$A:$A,0)))*86400</f>
        <v>9.715000237</v>
      </c>
      <c r="F868" s="31" t="n">
        <f aca="false">(C868-B868)*86400</f>
        <v>2.173000434</v>
      </c>
      <c r="G868" s="27" t="s">
        <v>150</v>
      </c>
      <c r="H868" s="27" t="s">
        <v>206</v>
      </c>
      <c r="I868" s="27" t="s">
        <v>407</v>
      </c>
      <c r="J868" s="27" t="s">
        <v>255</v>
      </c>
      <c r="K868" s="27" t="s">
        <v>200</v>
      </c>
      <c r="L868" s="3" t="str">
        <f aca="false">IF(ISNUMBER(SEARCH(" m",I868)),"Range",IF(I868="offline","Offline",IF(I868="","Unknown","No echo / error")))</f>
        <v>Range</v>
      </c>
      <c r="M868" s="3" t="str">
        <f aca="false">IF(ISNUMBER(SEARCH(" m",J868)),"Range",IF(J868="offline","Offline",IF(J868="","Unknown","No echo / error")))</f>
        <v>Range</v>
      </c>
      <c r="N868" s="3" t="str">
        <f aca="false">IF(ISNUMBER(SEARCH(" m",K868)),"Range",IF(K868="offline","Offline",IF(K868="","Unknown","No echo / error")))</f>
        <v>Offline</v>
      </c>
      <c r="O868" s="3" t="str">
        <f aca="false">TEXT(B868,"yyyy-mm-dd")</f>
        <v>2026-10-06</v>
      </c>
    </row>
    <row r="869" customFormat="false" ht="15" hidden="false" customHeight="false" outlineLevel="0" collapsed="false">
      <c r="A869" s="27" t="n">
        <v>14</v>
      </c>
      <c r="B869" s="28" t="n">
        <v>46301.522939537</v>
      </c>
      <c r="C869" s="29" t="n">
        <f aca="false">IF(A870=A869,B870,INDEX(Rounds!$D:$D,MATCH(A869,Rounds!$A:$A,0)))</f>
        <v>46301.5229884028</v>
      </c>
      <c r="D869" s="30" t="n">
        <f aca="false">(B869-INDEX(Rounds!$C:$C,MATCH(A869,Rounds!$A:$A,0)))*86400</f>
        <v>9.715000237</v>
      </c>
      <c r="E869" s="30" t="n">
        <f aca="false">(C869-INDEX(Rounds!$C:$C,MATCH(A869,Rounds!$A:$A,0)))*86400</f>
        <v>13.937000068</v>
      </c>
      <c r="F869" s="31" t="n">
        <f aca="false">(C869-B869)*86400</f>
        <v>4.221999831</v>
      </c>
      <c r="G869" s="27" t="s">
        <v>151</v>
      </c>
      <c r="H869" s="27" t="s">
        <v>203</v>
      </c>
      <c r="I869" s="27" t="s">
        <v>204</v>
      </c>
      <c r="J869" s="27" t="s">
        <v>255</v>
      </c>
      <c r="K869" s="27" t="s">
        <v>200</v>
      </c>
      <c r="L869" s="3" t="str">
        <f aca="false">IF(ISNUMBER(SEARCH(" m",I869)),"Range",IF(I869="offline","Offline",IF(I869="","Unknown","No echo / error")))</f>
        <v>No echo / error</v>
      </c>
      <c r="M869" s="3" t="str">
        <f aca="false">IF(ISNUMBER(SEARCH(" m",J869)),"Range",IF(J869="offline","Offline",IF(J869="","Unknown","No echo / error")))</f>
        <v>Range</v>
      </c>
      <c r="N869" s="3" t="str">
        <f aca="false">IF(ISNUMBER(SEARCH(" m",K869)),"Range",IF(K869="offline","Offline",IF(K869="","Unknown","No echo / error")))</f>
        <v>Offline</v>
      </c>
      <c r="O869" s="3" t="str">
        <f aca="false">TEXT(B869,"yyyy-mm-dd")</f>
        <v>2026-10-06</v>
      </c>
    </row>
    <row r="870" customFormat="false" ht="15" hidden="false" customHeight="false" outlineLevel="0" collapsed="false">
      <c r="A870" s="27" t="n">
        <v>14</v>
      </c>
      <c r="B870" s="28" t="n">
        <v>46301.5229884028</v>
      </c>
      <c r="C870" s="29" t="n">
        <f aca="false">IF(A871=A870,B871,INDEX(Rounds!$D:$D,MATCH(A870,Rounds!$A:$A,0)))</f>
        <v>46301.5230026157</v>
      </c>
      <c r="D870" s="30" t="n">
        <f aca="false">(B870-INDEX(Rounds!$C:$C,MATCH(A870,Rounds!$A:$A,0)))*86400</f>
        <v>13.937000068</v>
      </c>
      <c r="E870" s="30" t="n">
        <f aca="false">(C870-INDEX(Rounds!$C:$C,MATCH(A870,Rounds!$A:$A,0)))*86400</f>
        <v>15.164999593</v>
      </c>
      <c r="F870" s="31" t="n">
        <f aca="false">(C870-B870)*86400</f>
        <v>1.227999525</v>
      </c>
      <c r="G870" s="27" t="s">
        <v>150</v>
      </c>
      <c r="H870" s="27" t="s">
        <v>206</v>
      </c>
      <c r="I870" s="27" t="s">
        <v>342</v>
      </c>
      <c r="J870" s="27" t="s">
        <v>255</v>
      </c>
      <c r="K870" s="27" t="s">
        <v>200</v>
      </c>
      <c r="L870" s="3" t="str">
        <f aca="false">IF(ISNUMBER(SEARCH(" m",I870)),"Range",IF(I870="offline","Offline",IF(I870="","Unknown","No echo / error")))</f>
        <v>Range</v>
      </c>
      <c r="M870" s="3" t="str">
        <f aca="false">IF(ISNUMBER(SEARCH(" m",J870)),"Range",IF(J870="offline","Offline",IF(J870="","Unknown","No echo / error")))</f>
        <v>Range</v>
      </c>
      <c r="N870" s="3" t="str">
        <f aca="false">IF(ISNUMBER(SEARCH(" m",K870)),"Range",IF(K870="offline","Offline",IF(K870="","Unknown","No echo / error")))</f>
        <v>Offline</v>
      </c>
      <c r="O870" s="3" t="str">
        <f aca="false">TEXT(B870,"yyyy-mm-dd")</f>
        <v>2026-10-06</v>
      </c>
    </row>
    <row r="871" customFormat="false" ht="15" hidden="false" customHeight="false" outlineLevel="0" collapsed="false">
      <c r="A871" s="27" t="n">
        <v>14</v>
      </c>
      <c r="B871" s="28" t="n">
        <v>46301.5230026157</v>
      </c>
      <c r="C871" s="29" t="n">
        <f aca="false">IF(A872=A871,B872,INDEX(Rounds!$D:$D,MATCH(A871,Rounds!$A:$A,0)))</f>
        <v>46301.5230041204</v>
      </c>
      <c r="D871" s="30" t="n">
        <f aca="false">(B871-INDEX(Rounds!$C:$C,MATCH(A871,Rounds!$A:$A,0)))*86400</f>
        <v>15.164999593</v>
      </c>
      <c r="E871" s="30" t="n">
        <f aca="false">(C871-INDEX(Rounds!$C:$C,MATCH(A871,Rounds!$A:$A,0)))*86400</f>
        <v>15.294999768</v>
      </c>
      <c r="F871" s="31" t="n">
        <f aca="false">(C871-B871)*86400</f>
        <v>0.130000174</v>
      </c>
      <c r="G871" s="27" t="s">
        <v>151</v>
      </c>
      <c r="H871" s="27" t="s">
        <v>203</v>
      </c>
      <c r="I871" s="27" t="s">
        <v>204</v>
      </c>
      <c r="J871" s="27" t="s">
        <v>357</v>
      </c>
      <c r="K871" s="27" t="s">
        <v>200</v>
      </c>
      <c r="L871" s="3" t="str">
        <f aca="false">IF(ISNUMBER(SEARCH(" m",I871)),"Range",IF(I871="offline","Offline",IF(I871="","Unknown","No echo / error")))</f>
        <v>No echo / error</v>
      </c>
      <c r="M871" s="3" t="str">
        <f aca="false">IF(ISNUMBER(SEARCH(" m",J871)),"Range",IF(J871="offline","Offline",IF(J871="","Unknown","No echo / error")))</f>
        <v>Range</v>
      </c>
      <c r="N871" s="3" t="str">
        <f aca="false">IF(ISNUMBER(SEARCH(" m",K871)),"Range",IF(K871="offline","Offline",IF(K871="","Unknown","No echo / error")))</f>
        <v>Offline</v>
      </c>
      <c r="O871" s="3" t="str">
        <f aca="false">TEXT(B871,"yyyy-mm-dd")</f>
        <v>2026-10-06</v>
      </c>
    </row>
    <row r="872" customFormat="false" ht="15" hidden="false" customHeight="false" outlineLevel="0" collapsed="false">
      <c r="A872" s="27" t="n">
        <v>14</v>
      </c>
      <c r="B872" s="28" t="n">
        <v>46301.5230041204</v>
      </c>
      <c r="C872" s="29" t="n">
        <f aca="false">IF(A873=A872,B873,INDEX(Rounds!$D:$D,MATCH(A872,Rounds!$A:$A,0)))</f>
        <v>46301.5230442361</v>
      </c>
      <c r="D872" s="30" t="n">
        <f aca="false">(B872-INDEX(Rounds!$C:$C,MATCH(A872,Rounds!$A:$A,0)))*86400</f>
        <v>15.294999768</v>
      </c>
      <c r="E872" s="30" t="n">
        <f aca="false">(C872-INDEX(Rounds!$C:$C,MATCH(A872,Rounds!$A:$A,0)))*86400</f>
        <v>18.76100013</v>
      </c>
      <c r="F872" s="31" t="n">
        <f aca="false">(C872-B872)*86400</f>
        <v>3.466000361</v>
      </c>
      <c r="G872" s="27" t="s">
        <v>150</v>
      </c>
      <c r="H872" s="27" t="s">
        <v>206</v>
      </c>
      <c r="I872" s="27" t="s">
        <v>330</v>
      </c>
      <c r="J872" s="27" t="s">
        <v>357</v>
      </c>
      <c r="K872" s="27" t="s">
        <v>200</v>
      </c>
      <c r="L872" s="3" t="str">
        <f aca="false">IF(ISNUMBER(SEARCH(" m",I872)),"Range",IF(I872="offline","Offline",IF(I872="","Unknown","No echo / error")))</f>
        <v>Range</v>
      </c>
      <c r="M872" s="3" t="str">
        <f aca="false">IF(ISNUMBER(SEARCH(" m",J872)),"Range",IF(J872="offline","Offline",IF(J872="","Unknown","No echo / error")))</f>
        <v>Range</v>
      </c>
      <c r="N872" s="3" t="str">
        <f aca="false">IF(ISNUMBER(SEARCH(" m",K872)),"Range",IF(K872="offline","Offline",IF(K872="","Unknown","No echo / error")))</f>
        <v>Offline</v>
      </c>
      <c r="O872" s="3" t="str">
        <f aca="false">TEXT(B872,"yyyy-mm-dd")</f>
        <v>2026-10-06</v>
      </c>
    </row>
    <row r="873" customFormat="false" ht="15" hidden="false" customHeight="false" outlineLevel="0" collapsed="false">
      <c r="A873" s="27" t="n">
        <v>14</v>
      </c>
      <c r="B873" s="28" t="n">
        <v>46301.5230442361</v>
      </c>
      <c r="C873" s="29" t="n">
        <f aca="false">IF(A874=A873,B874,INDEX(Rounds!$D:$D,MATCH(A873,Rounds!$A:$A,0)))</f>
        <v>46301.523045544</v>
      </c>
      <c r="D873" s="30" t="n">
        <f aca="false">(B873-INDEX(Rounds!$C:$C,MATCH(A873,Rounds!$A:$A,0)))*86400</f>
        <v>18.76100013</v>
      </c>
      <c r="E873" s="30" t="n">
        <f aca="false">(C873-INDEX(Rounds!$C:$C,MATCH(A873,Rounds!$A:$A,0)))*86400</f>
        <v>18.873999919</v>
      </c>
      <c r="F873" s="31" t="n">
        <f aca="false">(C873-B873)*86400</f>
        <v>0.112999789</v>
      </c>
      <c r="G873" s="27" t="s">
        <v>151</v>
      </c>
      <c r="H873" s="27" t="s">
        <v>203</v>
      </c>
      <c r="I873" s="27" t="s">
        <v>315</v>
      </c>
      <c r="J873" s="27" t="s">
        <v>204</v>
      </c>
      <c r="K873" s="27" t="s">
        <v>200</v>
      </c>
      <c r="L873" s="3" t="str">
        <f aca="false">IF(ISNUMBER(SEARCH(" m",I873)),"Range",IF(I873="offline","Offline",IF(I873="","Unknown","No echo / error")))</f>
        <v>Range</v>
      </c>
      <c r="M873" s="3" t="str">
        <f aca="false">IF(ISNUMBER(SEARCH(" m",J873)),"Range",IF(J873="offline","Offline",IF(J873="","Unknown","No echo / error")))</f>
        <v>No echo / error</v>
      </c>
      <c r="N873" s="3" t="str">
        <f aca="false">IF(ISNUMBER(SEARCH(" m",K873)),"Range",IF(K873="offline","Offline",IF(K873="","Unknown","No echo / error")))</f>
        <v>Offline</v>
      </c>
      <c r="O873" s="3" t="str">
        <f aca="false">TEXT(B873,"yyyy-mm-dd")</f>
        <v>2026-10-06</v>
      </c>
    </row>
    <row r="874" customFormat="false" ht="15" hidden="false" customHeight="false" outlineLevel="0" collapsed="false">
      <c r="A874" s="27" t="n">
        <v>14</v>
      </c>
      <c r="B874" s="28" t="n">
        <v>46301.523045544</v>
      </c>
      <c r="C874" s="29" t="n">
        <f aca="false">IF(A875=A874,B875,INDEX(Rounds!$D:$D,MATCH(A874,Rounds!$A:$A,0)))</f>
        <v>46301.5230548727</v>
      </c>
      <c r="D874" s="30" t="n">
        <f aca="false">(B874-INDEX(Rounds!$C:$C,MATCH(A874,Rounds!$A:$A,0)))*86400</f>
        <v>18.873999919</v>
      </c>
      <c r="E874" s="30" t="n">
        <f aca="false">(C874-INDEX(Rounds!$C:$C,MATCH(A874,Rounds!$A:$A,0)))*86400</f>
        <v>19.679999747</v>
      </c>
      <c r="F874" s="31" t="n">
        <f aca="false">(C874-B874)*86400</f>
        <v>0.805999827</v>
      </c>
      <c r="G874" s="27" t="s">
        <v>150</v>
      </c>
      <c r="H874" s="27" t="s">
        <v>206</v>
      </c>
      <c r="I874" s="27" t="s">
        <v>315</v>
      </c>
      <c r="J874" s="27" t="s">
        <v>357</v>
      </c>
      <c r="K874" s="27" t="s">
        <v>200</v>
      </c>
      <c r="L874" s="3" t="str">
        <f aca="false">IF(ISNUMBER(SEARCH(" m",I874)),"Range",IF(I874="offline","Offline",IF(I874="","Unknown","No echo / error")))</f>
        <v>Range</v>
      </c>
      <c r="M874" s="3" t="str">
        <f aca="false">IF(ISNUMBER(SEARCH(" m",J874)),"Range",IF(J874="offline","Offline",IF(J874="","Unknown","No echo / error")))</f>
        <v>Range</v>
      </c>
      <c r="N874" s="3" t="str">
        <f aca="false">IF(ISNUMBER(SEARCH(" m",K874)),"Range",IF(K874="offline","Offline",IF(K874="","Unknown","No echo / error")))</f>
        <v>Offline</v>
      </c>
      <c r="O874" s="3" t="str">
        <f aca="false">TEXT(B874,"yyyy-mm-dd")</f>
        <v>2026-10-06</v>
      </c>
    </row>
    <row r="875" customFormat="false" ht="15" hidden="false" customHeight="false" outlineLevel="0" collapsed="false">
      <c r="A875" s="27" t="n">
        <v>14</v>
      </c>
      <c r="B875" s="28" t="n">
        <v>46301.5230548727</v>
      </c>
      <c r="C875" s="29" t="n">
        <f aca="false">IF(A876=A875,B876,INDEX(Rounds!$D:$D,MATCH(A875,Rounds!$A:$A,0)))</f>
        <v>46301.5230552431</v>
      </c>
      <c r="D875" s="30" t="n">
        <f aca="false">(B875-INDEX(Rounds!$C:$C,MATCH(A875,Rounds!$A:$A,0)))*86400</f>
        <v>19.679999747</v>
      </c>
      <c r="E875" s="30" t="n">
        <f aca="false">(C875-INDEX(Rounds!$C:$C,MATCH(A875,Rounds!$A:$A,0)))*86400</f>
        <v>19.712000177</v>
      </c>
      <c r="F875" s="31" t="n">
        <f aca="false">(C875-B875)*86400</f>
        <v>0.032000429</v>
      </c>
      <c r="G875" s="27" t="s">
        <v>152</v>
      </c>
      <c r="H875" s="27" t="s">
        <v>208</v>
      </c>
      <c r="I875" s="27" t="s">
        <v>220</v>
      </c>
      <c r="J875" s="27" t="s">
        <v>220</v>
      </c>
      <c r="K875" s="27" t="s">
        <v>200</v>
      </c>
      <c r="L875" s="3" t="str">
        <f aca="false">IF(ISNUMBER(SEARCH(" m",I875)),"Range",IF(I875="offline","Offline",IF(I875="","Unknown","No echo / error")))</f>
        <v>No echo / error</v>
      </c>
      <c r="M875" s="3" t="str">
        <f aca="false">IF(ISNUMBER(SEARCH(" m",J875)),"Range",IF(J875="offline","Offline",IF(J875="","Unknown","No echo / error")))</f>
        <v>No echo / error</v>
      </c>
      <c r="N875" s="3" t="str">
        <f aca="false">IF(ISNUMBER(SEARCH(" m",K875)),"Range",IF(K875="offline","Offline",IF(K875="","Unknown","No echo / error")))</f>
        <v>Offline</v>
      </c>
      <c r="O875" s="3" t="str">
        <f aca="false">TEXT(B875,"yyyy-mm-dd")</f>
        <v>2026-10-06</v>
      </c>
    </row>
    <row r="876" customFormat="false" ht="15" hidden="false" customHeight="false" outlineLevel="0" collapsed="false">
      <c r="A876" s="27" t="n">
        <v>14</v>
      </c>
      <c r="B876" s="28" t="n">
        <v>46301.5230552431</v>
      </c>
      <c r="C876" s="29" t="n">
        <f aca="false">IF(A877=A876,B877,INDEX(Rounds!$D:$D,MATCH(A876,Rounds!$A:$A,0)))</f>
        <v>46301.5230608449</v>
      </c>
      <c r="D876" s="30" t="n">
        <f aca="false">(B876-INDEX(Rounds!$C:$C,MATCH(A876,Rounds!$A:$A,0)))*86400</f>
        <v>19.712000177</v>
      </c>
      <c r="E876" s="30" t="n">
        <f aca="false">(C876-INDEX(Rounds!$C:$C,MATCH(A876,Rounds!$A:$A,0)))*86400</f>
        <v>20.196000393</v>
      </c>
      <c r="F876" s="31" t="n">
        <f aca="false">(C876-B876)*86400</f>
        <v>0.484000216</v>
      </c>
      <c r="G876" s="27" t="s">
        <v>151</v>
      </c>
      <c r="H876" s="27" t="s">
        <v>203</v>
      </c>
      <c r="I876" s="27" t="s">
        <v>220</v>
      </c>
      <c r="J876" s="27" t="s">
        <v>284</v>
      </c>
      <c r="K876" s="27" t="s">
        <v>200</v>
      </c>
      <c r="L876" s="3" t="str">
        <f aca="false">IF(ISNUMBER(SEARCH(" m",I876)),"Range",IF(I876="offline","Offline",IF(I876="","Unknown","No echo / error")))</f>
        <v>No echo / error</v>
      </c>
      <c r="M876" s="3" t="str">
        <f aca="false">IF(ISNUMBER(SEARCH(" m",J876)),"Range",IF(J876="offline","Offline",IF(J876="","Unknown","No echo / error")))</f>
        <v>Range</v>
      </c>
      <c r="N876" s="3" t="str">
        <f aca="false">IF(ISNUMBER(SEARCH(" m",K876)),"Range",IF(K876="offline","Offline",IF(K876="","Unknown","No echo / error")))</f>
        <v>Offline</v>
      </c>
      <c r="O876" s="3" t="str">
        <f aca="false">TEXT(B876,"yyyy-mm-dd")</f>
        <v>2026-10-06</v>
      </c>
    </row>
    <row r="877" customFormat="false" ht="15" hidden="false" customHeight="false" outlineLevel="0" collapsed="false">
      <c r="A877" s="27" t="n">
        <v>14</v>
      </c>
      <c r="B877" s="28" t="n">
        <v>46301.5230608449</v>
      </c>
      <c r="C877" s="29" t="n">
        <f aca="false">IF(A878=A877,B878,INDEX(Rounds!$D:$D,MATCH(A877,Rounds!$A:$A,0)))</f>
        <v>46301.5230779398</v>
      </c>
      <c r="D877" s="30" t="n">
        <f aca="false">(B877-INDEX(Rounds!$C:$C,MATCH(A877,Rounds!$A:$A,0)))*86400</f>
        <v>20.196000393</v>
      </c>
      <c r="E877" s="30" t="n">
        <f aca="false">(C877-INDEX(Rounds!$C:$C,MATCH(A877,Rounds!$A:$A,0)))*86400</f>
        <v>21.672999649</v>
      </c>
      <c r="F877" s="31" t="n">
        <f aca="false">(C877-B877)*86400</f>
        <v>1.476999255</v>
      </c>
      <c r="G877" s="27" t="s">
        <v>150</v>
      </c>
      <c r="H877" s="27" t="s">
        <v>206</v>
      </c>
      <c r="I877" s="27" t="s">
        <v>315</v>
      </c>
      <c r="J877" s="27" t="s">
        <v>284</v>
      </c>
      <c r="K877" s="27" t="s">
        <v>200</v>
      </c>
      <c r="L877" s="3" t="str">
        <f aca="false">IF(ISNUMBER(SEARCH(" m",I877)),"Range",IF(I877="offline","Offline",IF(I877="","Unknown","No echo / error")))</f>
        <v>Range</v>
      </c>
      <c r="M877" s="3" t="str">
        <f aca="false">IF(ISNUMBER(SEARCH(" m",J877)),"Range",IF(J877="offline","Offline",IF(J877="","Unknown","No echo / error")))</f>
        <v>Range</v>
      </c>
      <c r="N877" s="3" t="str">
        <f aca="false">IF(ISNUMBER(SEARCH(" m",K877)),"Range",IF(K877="offline","Offline",IF(K877="","Unknown","No echo / error")))</f>
        <v>Offline</v>
      </c>
      <c r="O877" s="3" t="str">
        <f aca="false">TEXT(B877,"yyyy-mm-dd")</f>
        <v>2026-10-06</v>
      </c>
    </row>
    <row r="878" customFormat="false" ht="15" hidden="false" customHeight="false" outlineLevel="0" collapsed="false">
      <c r="A878" s="27" t="n">
        <v>14</v>
      </c>
      <c r="B878" s="28" t="n">
        <v>46301.5230779398</v>
      </c>
      <c r="C878" s="29" t="n">
        <f aca="false">IF(A879=A878,B879,INDEX(Rounds!$D:$D,MATCH(A878,Rounds!$A:$A,0)))</f>
        <v>46301.523163206</v>
      </c>
      <c r="D878" s="30" t="n">
        <f aca="false">(B878-INDEX(Rounds!$C:$C,MATCH(A878,Rounds!$A:$A,0)))*86400</f>
        <v>21.672999649</v>
      </c>
      <c r="E878" s="30" t="n">
        <f aca="false">(C878-INDEX(Rounds!$C:$C,MATCH(A878,Rounds!$A:$A,0)))*86400</f>
        <v>29.039999772</v>
      </c>
      <c r="F878" s="31" t="n">
        <f aca="false">(C878-B878)*86400</f>
        <v>7.367000123</v>
      </c>
      <c r="G878" s="27" t="s">
        <v>152</v>
      </c>
      <c r="H878" s="27" t="s">
        <v>208</v>
      </c>
      <c r="I878" s="27" t="s">
        <v>211</v>
      </c>
      <c r="J878" s="27" t="s">
        <v>237</v>
      </c>
      <c r="K878" s="27" t="s">
        <v>200</v>
      </c>
      <c r="L878" s="3" t="str">
        <f aca="false">IF(ISNUMBER(SEARCH(" m",I878)),"Range",IF(I878="offline","Offline",IF(I878="","Unknown","No echo / error")))</f>
        <v>No echo / error</v>
      </c>
      <c r="M878" s="3" t="str">
        <f aca="false">IF(ISNUMBER(SEARCH(" m",J878)),"Range",IF(J878="offline","Offline",IF(J878="","Unknown","No echo / error")))</f>
        <v>Range</v>
      </c>
      <c r="N878" s="3" t="str">
        <f aca="false">IF(ISNUMBER(SEARCH(" m",K878)),"Range",IF(K878="offline","Offline",IF(K878="","Unknown","No echo / error")))</f>
        <v>Offline</v>
      </c>
      <c r="O878" s="3" t="str">
        <f aca="false">TEXT(B878,"yyyy-mm-dd")</f>
        <v>2026-10-06</v>
      </c>
    </row>
    <row r="879" customFormat="false" ht="15" hidden="false" customHeight="false" outlineLevel="0" collapsed="false">
      <c r="A879" s="27" t="n">
        <v>14</v>
      </c>
      <c r="B879" s="28" t="n">
        <v>46301.523163206</v>
      </c>
      <c r="C879" s="29" t="n">
        <f aca="false">IF(A880=A879,B880,INDEX(Rounds!$D:$D,MATCH(A879,Rounds!$A:$A,0)))</f>
        <v>46301.5231868866</v>
      </c>
      <c r="D879" s="30" t="n">
        <f aca="false">(B879-INDEX(Rounds!$C:$C,MATCH(A879,Rounds!$A:$A,0)))*86400</f>
        <v>29.039999772</v>
      </c>
      <c r="E879" s="30" t="n">
        <f aca="false">(C879-INDEX(Rounds!$C:$C,MATCH(A879,Rounds!$A:$A,0)))*86400</f>
        <v>31.085999286</v>
      </c>
      <c r="F879" s="31" t="n">
        <f aca="false">(C879-B879)*86400</f>
        <v>2.045999513</v>
      </c>
      <c r="G879" s="27" t="s">
        <v>151</v>
      </c>
      <c r="H879" s="27" t="s">
        <v>203</v>
      </c>
      <c r="I879" s="27" t="s">
        <v>204</v>
      </c>
      <c r="J879" s="27" t="s">
        <v>378</v>
      </c>
      <c r="K879" s="27" t="s">
        <v>200</v>
      </c>
      <c r="L879" s="3" t="str">
        <f aca="false">IF(ISNUMBER(SEARCH(" m",I879)),"Range",IF(I879="offline","Offline",IF(I879="","Unknown","No echo / error")))</f>
        <v>No echo / error</v>
      </c>
      <c r="M879" s="3" t="str">
        <f aca="false">IF(ISNUMBER(SEARCH(" m",J879)),"Range",IF(J879="offline","Offline",IF(J879="","Unknown","No echo / error")))</f>
        <v>Range</v>
      </c>
      <c r="N879" s="3" t="str">
        <f aca="false">IF(ISNUMBER(SEARCH(" m",K879)),"Range",IF(K879="offline","Offline",IF(K879="","Unknown","No echo / error")))</f>
        <v>Offline</v>
      </c>
      <c r="O879" s="3" t="str">
        <f aca="false">TEXT(B879,"yyyy-mm-dd")</f>
        <v>2026-10-06</v>
      </c>
    </row>
    <row r="880" customFormat="false" ht="15" hidden="false" customHeight="false" outlineLevel="0" collapsed="false">
      <c r="A880" s="27" t="n">
        <v>14</v>
      </c>
      <c r="B880" s="28" t="n">
        <v>46301.5231868866</v>
      </c>
      <c r="C880" s="29" t="n">
        <f aca="false">IF(A881=A880,B881,INDEX(Rounds!$D:$D,MATCH(A880,Rounds!$A:$A,0)))</f>
        <v>46301.5232056713</v>
      </c>
      <c r="D880" s="30" t="n">
        <f aca="false">(B880-INDEX(Rounds!$C:$C,MATCH(A880,Rounds!$A:$A,0)))*86400</f>
        <v>31.085999286</v>
      </c>
      <c r="E880" s="30" t="n">
        <f aca="false">(C880-INDEX(Rounds!$C:$C,MATCH(A880,Rounds!$A:$A,0)))*86400</f>
        <v>32.709000189</v>
      </c>
      <c r="F880" s="31" t="n">
        <f aca="false">(C880-B880)*86400</f>
        <v>1.623000903</v>
      </c>
      <c r="G880" s="27" t="s">
        <v>152</v>
      </c>
      <c r="H880" s="27" t="s">
        <v>208</v>
      </c>
      <c r="I880" s="27" t="s">
        <v>204</v>
      </c>
      <c r="J880" s="27" t="s">
        <v>469</v>
      </c>
      <c r="K880" s="27" t="s">
        <v>200</v>
      </c>
      <c r="L880" s="3" t="str">
        <f aca="false">IF(ISNUMBER(SEARCH(" m",I880)),"Range",IF(I880="offline","Offline",IF(I880="","Unknown","No echo / error")))</f>
        <v>No echo / error</v>
      </c>
      <c r="M880" s="3" t="str">
        <f aca="false">IF(ISNUMBER(SEARCH(" m",J880)),"Range",IF(J880="offline","Offline",IF(J880="","Unknown","No echo / error")))</f>
        <v>Range</v>
      </c>
      <c r="N880" s="3" t="str">
        <f aca="false">IF(ISNUMBER(SEARCH(" m",K880)),"Range",IF(K880="offline","Offline",IF(K880="","Unknown","No echo / error")))</f>
        <v>Offline</v>
      </c>
      <c r="O880" s="3" t="str">
        <f aca="false">TEXT(B880,"yyyy-mm-dd")</f>
        <v>2026-10-06</v>
      </c>
    </row>
    <row r="881" customFormat="false" ht="15" hidden="false" customHeight="false" outlineLevel="0" collapsed="false">
      <c r="A881" s="27" t="n">
        <v>14</v>
      </c>
      <c r="B881" s="28" t="n">
        <v>46301.5232056713</v>
      </c>
      <c r="C881" s="29" t="n">
        <f aca="false">IF(A882=A881,B882,INDEX(Rounds!$D:$D,MATCH(A881,Rounds!$A:$A,0)))</f>
        <v>46301.5232250579</v>
      </c>
      <c r="D881" s="30" t="n">
        <f aca="false">(B881-INDEX(Rounds!$C:$C,MATCH(A881,Rounds!$A:$A,0)))*86400</f>
        <v>32.709000189</v>
      </c>
      <c r="E881" s="30" t="n">
        <f aca="false">(C881-INDEX(Rounds!$C:$C,MATCH(A881,Rounds!$A:$A,0)))*86400</f>
        <v>34.383999905</v>
      </c>
      <c r="F881" s="31" t="n">
        <f aca="false">(C881-B881)*86400</f>
        <v>1.674999715</v>
      </c>
      <c r="G881" s="27" t="s">
        <v>151</v>
      </c>
      <c r="H881" s="27" t="s">
        <v>203</v>
      </c>
      <c r="I881" s="27" t="s">
        <v>204</v>
      </c>
      <c r="J881" s="27" t="s">
        <v>309</v>
      </c>
      <c r="K881" s="27" t="s">
        <v>200</v>
      </c>
      <c r="L881" s="3" t="str">
        <f aca="false">IF(ISNUMBER(SEARCH(" m",I881)),"Range",IF(I881="offline","Offline",IF(I881="","Unknown","No echo / error")))</f>
        <v>No echo / error</v>
      </c>
      <c r="M881" s="3" t="str">
        <f aca="false">IF(ISNUMBER(SEARCH(" m",J881)),"Range",IF(J881="offline","Offline",IF(J881="","Unknown","No echo / error")))</f>
        <v>Range</v>
      </c>
      <c r="N881" s="3" t="str">
        <f aca="false">IF(ISNUMBER(SEARCH(" m",K881)),"Range",IF(K881="offline","Offline",IF(K881="","Unknown","No echo / error")))</f>
        <v>Offline</v>
      </c>
      <c r="O881" s="3" t="str">
        <f aca="false">TEXT(B881,"yyyy-mm-dd")</f>
        <v>2026-10-06</v>
      </c>
    </row>
    <row r="882" customFormat="false" ht="15" hidden="false" customHeight="false" outlineLevel="0" collapsed="false">
      <c r="A882" s="27" t="n">
        <v>14</v>
      </c>
      <c r="B882" s="28" t="n">
        <v>46301.5232250579</v>
      </c>
      <c r="C882" s="29" t="n">
        <f aca="false">IF(A883=A882,B883,INDEX(Rounds!$D:$D,MATCH(A882,Rounds!$A:$A,0)))</f>
        <v>46301.5233032176</v>
      </c>
      <c r="D882" s="30" t="n">
        <f aca="false">(B882-INDEX(Rounds!$C:$C,MATCH(A882,Rounds!$A:$A,0)))*86400</f>
        <v>34.383999905</v>
      </c>
      <c r="E882" s="30" t="n">
        <f aca="false">(C882-INDEX(Rounds!$C:$C,MATCH(A882,Rounds!$A:$A,0)))*86400</f>
        <v>41.136999637</v>
      </c>
      <c r="F882" s="31" t="n">
        <f aca="false">(C882-B882)*86400</f>
        <v>6.752999732</v>
      </c>
      <c r="G882" s="27" t="s">
        <v>150</v>
      </c>
      <c r="H882" s="27" t="s">
        <v>206</v>
      </c>
      <c r="I882" s="27" t="s">
        <v>361</v>
      </c>
      <c r="J882" s="27" t="s">
        <v>245</v>
      </c>
      <c r="K882" s="27" t="s">
        <v>200</v>
      </c>
      <c r="L882" s="3" t="str">
        <f aca="false">IF(ISNUMBER(SEARCH(" m",I882)),"Range",IF(I882="offline","Offline",IF(I882="","Unknown","No echo / error")))</f>
        <v>Range</v>
      </c>
      <c r="M882" s="3" t="str">
        <f aca="false">IF(ISNUMBER(SEARCH(" m",J882)),"Range",IF(J882="offline","Offline",IF(J882="","Unknown","No echo / error")))</f>
        <v>Range</v>
      </c>
      <c r="N882" s="3" t="str">
        <f aca="false">IF(ISNUMBER(SEARCH(" m",K882)),"Range",IF(K882="offline","Offline",IF(K882="","Unknown","No echo / error")))</f>
        <v>Offline</v>
      </c>
      <c r="O882" s="3" t="str">
        <f aca="false">TEXT(B882,"yyyy-mm-dd")</f>
        <v>2026-10-06</v>
      </c>
    </row>
    <row r="883" customFormat="false" ht="15" hidden="false" customHeight="false" outlineLevel="0" collapsed="false">
      <c r="A883" s="27" t="n">
        <v>14</v>
      </c>
      <c r="B883" s="28" t="n">
        <v>46301.5233032176</v>
      </c>
      <c r="C883" s="29" t="n">
        <f aca="false">IF(A884=A883,B884,INDEX(Rounds!$D:$D,MATCH(A883,Rounds!$A:$A,0)))</f>
        <v>46301.5233279514</v>
      </c>
      <c r="D883" s="30" t="n">
        <f aca="false">(B883-INDEX(Rounds!$C:$C,MATCH(A883,Rounds!$A:$A,0)))*86400</f>
        <v>41.136999637</v>
      </c>
      <c r="E883" s="30" t="n">
        <f aca="false">(C883-INDEX(Rounds!$C:$C,MATCH(A883,Rounds!$A:$A,0)))*86400</f>
        <v>43.274000217</v>
      </c>
      <c r="F883" s="31" t="n">
        <f aca="false">(C883-B883)*86400</f>
        <v>2.137000579</v>
      </c>
      <c r="G883" s="27" t="s">
        <v>152</v>
      </c>
      <c r="H883" s="27" t="s">
        <v>208</v>
      </c>
      <c r="I883" s="27" t="s">
        <v>351</v>
      </c>
      <c r="J883" s="27" t="s">
        <v>394</v>
      </c>
      <c r="K883" s="27" t="s">
        <v>200</v>
      </c>
      <c r="L883" s="3" t="str">
        <f aca="false">IF(ISNUMBER(SEARCH(" m",I883)),"Range",IF(I883="offline","Offline",IF(I883="","Unknown","No echo / error")))</f>
        <v>Range</v>
      </c>
      <c r="M883" s="3" t="str">
        <f aca="false">IF(ISNUMBER(SEARCH(" m",J883)),"Range",IF(J883="offline","Offline",IF(J883="","Unknown","No echo / error")))</f>
        <v>Range</v>
      </c>
      <c r="N883" s="3" t="str">
        <f aca="false">IF(ISNUMBER(SEARCH(" m",K883)),"Range",IF(K883="offline","Offline",IF(K883="","Unknown","No echo / error")))</f>
        <v>Offline</v>
      </c>
      <c r="O883" s="3" t="str">
        <f aca="false">TEXT(B883,"yyyy-mm-dd")</f>
        <v>2026-10-06</v>
      </c>
    </row>
    <row r="884" customFormat="false" ht="15" hidden="false" customHeight="false" outlineLevel="0" collapsed="false">
      <c r="A884" s="27" t="n">
        <v>14</v>
      </c>
      <c r="B884" s="28" t="n">
        <v>46301.5233279514</v>
      </c>
      <c r="C884" s="29" t="n">
        <f aca="false">IF(A885=A884,B885,INDEX(Rounds!$D:$D,MATCH(A884,Rounds!$A:$A,0)))</f>
        <v>46301.5233316667</v>
      </c>
      <c r="D884" s="30" t="n">
        <f aca="false">(B884-INDEX(Rounds!$C:$C,MATCH(A884,Rounds!$A:$A,0)))*86400</f>
        <v>43.274000217</v>
      </c>
      <c r="E884" s="30" t="n">
        <f aca="false">(C884-INDEX(Rounds!$C:$C,MATCH(A884,Rounds!$A:$A,0)))*86400</f>
        <v>43.594999657</v>
      </c>
      <c r="F884" s="31" t="n">
        <f aca="false">(C884-B884)*86400</f>
        <v>0.32099944</v>
      </c>
      <c r="G884" s="27" t="s">
        <v>151</v>
      </c>
      <c r="H884" s="27" t="s">
        <v>203</v>
      </c>
      <c r="I884" s="27" t="s">
        <v>204</v>
      </c>
      <c r="J884" s="27" t="s">
        <v>255</v>
      </c>
      <c r="K884" s="27" t="s">
        <v>200</v>
      </c>
      <c r="L884" s="3" t="str">
        <f aca="false">IF(ISNUMBER(SEARCH(" m",I884)),"Range",IF(I884="offline","Offline",IF(I884="","Unknown","No echo / error")))</f>
        <v>No echo / error</v>
      </c>
      <c r="M884" s="3" t="str">
        <f aca="false">IF(ISNUMBER(SEARCH(" m",J884)),"Range",IF(J884="offline","Offline",IF(J884="","Unknown","No echo / error")))</f>
        <v>Range</v>
      </c>
      <c r="N884" s="3" t="str">
        <f aca="false">IF(ISNUMBER(SEARCH(" m",K884)),"Range",IF(K884="offline","Offline",IF(K884="","Unknown","No echo / error")))</f>
        <v>Offline</v>
      </c>
      <c r="O884" s="3" t="str">
        <f aca="false">TEXT(B884,"yyyy-mm-dd")</f>
        <v>2026-10-06</v>
      </c>
    </row>
    <row r="885" customFormat="false" ht="15" hidden="false" customHeight="false" outlineLevel="0" collapsed="false">
      <c r="A885" s="27" t="n">
        <v>14</v>
      </c>
      <c r="B885" s="28" t="n">
        <v>46301.5233316667</v>
      </c>
      <c r="C885" s="29" t="n">
        <f aca="false">IF(A886=A885,B886,INDEX(Rounds!$D:$D,MATCH(A885,Rounds!$A:$A,0)))</f>
        <v>46301.5233383912</v>
      </c>
      <c r="D885" s="30" t="n">
        <f aca="false">(B885-INDEX(Rounds!$C:$C,MATCH(A885,Rounds!$A:$A,0)))*86400</f>
        <v>43.594999657</v>
      </c>
      <c r="E885" s="30" t="n">
        <f aca="false">(C885-INDEX(Rounds!$C:$C,MATCH(A885,Rounds!$A:$A,0)))*86400</f>
        <v>44.176000705</v>
      </c>
      <c r="F885" s="31" t="n">
        <f aca="false">(C885-B885)*86400</f>
        <v>0.581001047</v>
      </c>
      <c r="G885" s="27" t="s">
        <v>150</v>
      </c>
      <c r="H885" s="27" t="s">
        <v>206</v>
      </c>
      <c r="I885" s="27" t="s">
        <v>218</v>
      </c>
      <c r="J885" s="27" t="s">
        <v>242</v>
      </c>
      <c r="K885" s="27" t="s">
        <v>200</v>
      </c>
      <c r="L885" s="3" t="str">
        <f aca="false">IF(ISNUMBER(SEARCH(" m",I885)),"Range",IF(I885="offline","Offline",IF(I885="","Unknown","No echo / error")))</f>
        <v>Range</v>
      </c>
      <c r="M885" s="3" t="str">
        <f aca="false">IF(ISNUMBER(SEARCH(" m",J885)),"Range",IF(J885="offline","Offline",IF(J885="","Unknown","No echo / error")))</f>
        <v>Range</v>
      </c>
      <c r="N885" s="3" t="str">
        <f aca="false">IF(ISNUMBER(SEARCH(" m",K885)),"Range",IF(K885="offline","Offline",IF(K885="","Unknown","No echo / error")))</f>
        <v>Offline</v>
      </c>
      <c r="O885" s="3" t="str">
        <f aca="false">TEXT(B885,"yyyy-mm-dd")</f>
        <v>2026-10-06</v>
      </c>
    </row>
    <row r="886" customFormat="false" ht="15" hidden="false" customHeight="false" outlineLevel="0" collapsed="false">
      <c r="A886" s="27" t="n">
        <v>14</v>
      </c>
      <c r="B886" s="28" t="n">
        <v>46301.5233383912</v>
      </c>
      <c r="C886" s="29" t="n">
        <f aca="false">IF(A887=A886,B887,INDEX(Rounds!$D:$D,MATCH(A886,Rounds!$A:$A,0)))</f>
        <v>46301.5233441435</v>
      </c>
      <c r="D886" s="30" t="n">
        <f aca="false">(B886-INDEX(Rounds!$C:$C,MATCH(A886,Rounds!$A:$A,0)))*86400</f>
        <v>44.176000705</v>
      </c>
      <c r="E886" s="30" t="n">
        <f aca="false">(C886-INDEX(Rounds!$C:$C,MATCH(A886,Rounds!$A:$A,0)))*86400</f>
        <v>44.672999996</v>
      </c>
      <c r="F886" s="31" t="n">
        <f aca="false">(C886-B886)*86400</f>
        <v>0.49699929</v>
      </c>
      <c r="G886" s="27" t="s">
        <v>151</v>
      </c>
      <c r="H886" s="27" t="s">
        <v>203</v>
      </c>
      <c r="I886" s="27" t="s">
        <v>453</v>
      </c>
      <c r="J886" s="27" t="s">
        <v>261</v>
      </c>
      <c r="K886" s="27" t="s">
        <v>200</v>
      </c>
      <c r="L886" s="3" t="str">
        <f aca="false">IF(ISNUMBER(SEARCH(" m",I886)),"Range",IF(I886="offline","Offline",IF(I886="","Unknown","No echo / error")))</f>
        <v>Range</v>
      </c>
      <c r="M886" s="3" t="str">
        <f aca="false">IF(ISNUMBER(SEARCH(" m",J886)),"Range",IF(J886="offline","Offline",IF(J886="","Unknown","No echo / error")))</f>
        <v>Range</v>
      </c>
      <c r="N886" s="3" t="str">
        <f aca="false">IF(ISNUMBER(SEARCH(" m",K886)),"Range",IF(K886="offline","Offline",IF(K886="","Unknown","No echo / error")))</f>
        <v>Offline</v>
      </c>
      <c r="O886" s="3" t="str">
        <f aca="false">TEXT(B886,"yyyy-mm-dd")</f>
        <v>2026-10-06</v>
      </c>
    </row>
    <row r="887" customFormat="false" ht="15" hidden="false" customHeight="false" outlineLevel="0" collapsed="false">
      <c r="A887" s="27" t="n">
        <v>14</v>
      </c>
      <c r="B887" s="28" t="n">
        <v>46301.5233441435</v>
      </c>
      <c r="C887" s="29" t="n">
        <f aca="false">IF(A888=A887,B888,INDEX(Rounds!$D:$D,MATCH(A887,Rounds!$A:$A,0)))</f>
        <v>46301.523346956</v>
      </c>
      <c r="D887" s="30" t="n">
        <f aca="false">(B887-INDEX(Rounds!$C:$C,MATCH(A887,Rounds!$A:$A,0)))*86400</f>
        <v>44.672999996</v>
      </c>
      <c r="E887" s="30" t="n">
        <f aca="false">(C887-INDEX(Rounds!$C:$C,MATCH(A887,Rounds!$A:$A,0)))*86400</f>
        <v>44.915999961</v>
      </c>
      <c r="F887" s="31" t="n">
        <f aca="false">(C887-B887)*86400</f>
        <v>0.242999964</v>
      </c>
      <c r="G887" s="27" t="s">
        <v>152</v>
      </c>
      <c r="H887" s="27" t="s">
        <v>208</v>
      </c>
      <c r="I887" s="27" t="s">
        <v>465</v>
      </c>
      <c r="J887" s="27" t="s">
        <v>435</v>
      </c>
      <c r="K887" s="27" t="s">
        <v>200</v>
      </c>
      <c r="L887" s="3" t="str">
        <f aca="false">IF(ISNUMBER(SEARCH(" m",I887)),"Range",IF(I887="offline","Offline",IF(I887="","Unknown","No echo / error")))</f>
        <v>Range</v>
      </c>
      <c r="M887" s="3" t="str">
        <f aca="false">IF(ISNUMBER(SEARCH(" m",J887)),"Range",IF(J887="offline","Offline",IF(J887="","Unknown","No echo / error")))</f>
        <v>Range</v>
      </c>
      <c r="N887" s="3" t="str">
        <f aca="false">IF(ISNUMBER(SEARCH(" m",K887)),"Range",IF(K887="offline","Offline",IF(K887="","Unknown","No echo / error")))</f>
        <v>Offline</v>
      </c>
      <c r="O887" s="3" t="str">
        <f aca="false">TEXT(B887,"yyyy-mm-dd")</f>
        <v>2026-10-06</v>
      </c>
    </row>
    <row r="888" customFormat="false" ht="15" hidden="false" customHeight="false" outlineLevel="0" collapsed="false">
      <c r="A888" s="27" t="n">
        <v>14</v>
      </c>
      <c r="B888" s="28" t="n">
        <v>46301.523346956</v>
      </c>
      <c r="C888" s="29" t="n">
        <f aca="false">IF(A889=A888,B889,INDEX(Rounds!$D:$D,MATCH(A888,Rounds!$A:$A,0)))</f>
        <v>46301.5233725926</v>
      </c>
      <c r="D888" s="30" t="n">
        <f aca="false">(B888-INDEX(Rounds!$C:$C,MATCH(A888,Rounds!$A:$A,0)))*86400</f>
        <v>44.915999961</v>
      </c>
      <c r="E888" s="30" t="n">
        <f aca="false">(C888-INDEX(Rounds!$C:$C,MATCH(A888,Rounds!$A:$A,0)))*86400</f>
        <v>47.130999388</v>
      </c>
      <c r="F888" s="31" t="n">
        <f aca="false">(C888-B888)*86400</f>
        <v>2.214999427</v>
      </c>
      <c r="G888" s="27" t="s">
        <v>151</v>
      </c>
      <c r="H888" s="27" t="s">
        <v>203</v>
      </c>
      <c r="I888" s="27" t="s">
        <v>465</v>
      </c>
      <c r="J888" s="27" t="s">
        <v>271</v>
      </c>
      <c r="K888" s="27" t="s">
        <v>383</v>
      </c>
      <c r="L888" s="3" t="str">
        <f aca="false">IF(ISNUMBER(SEARCH(" m",I888)),"Range",IF(I888="offline","Offline",IF(I888="","Unknown","No echo / error")))</f>
        <v>Range</v>
      </c>
      <c r="M888" s="3" t="str">
        <f aca="false">IF(ISNUMBER(SEARCH(" m",J888)),"Range",IF(J888="offline","Offline",IF(J888="","Unknown","No echo / error")))</f>
        <v>Range</v>
      </c>
      <c r="N888" s="3" t="str">
        <f aca="false">IF(ISNUMBER(SEARCH(" m",K888)),"Range",IF(K888="offline","Offline",IF(K888="","Unknown","No echo / error")))</f>
        <v>No echo / error</v>
      </c>
      <c r="O888" s="3" t="str">
        <f aca="false">TEXT(B888,"yyyy-mm-dd")</f>
        <v>2026-10-06</v>
      </c>
    </row>
    <row r="889" customFormat="false" ht="15" hidden="false" customHeight="false" outlineLevel="0" collapsed="false">
      <c r="A889" s="27" t="n">
        <v>14</v>
      </c>
      <c r="B889" s="28" t="n">
        <v>46301.5233725926</v>
      </c>
      <c r="C889" s="29" t="n">
        <f aca="false">IF(A890=A889,B890,INDEX(Rounds!$D:$D,MATCH(A889,Rounds!$A:$A,0)))</f>
        <v>46301.5233839699</v>
      </c>
      <c r="D889" s="30" t="n">
        <f aca="false">(B889-INDEX(Rounds!$C:$C,MATCH(A889,Rounds!$A:$A,0)))*86400</f>
        <v>47.130999388</v>
      </c>
      <c r="E889" s="30" t="n">
        <f aca="false">(C889-INDEX(Rounds!$C:$C,MATCH(A889,Rounds!$A:$A,0)))*86400</f>
        <v>48.113999865</v>
      </c>
      <c r="F889" s="31" t="n">
        <f aca="false">(C889-B889)*86400</f>
        <v>0.983000476</v>
      </c>
      <c r="G889" s="27" t="s">
        <v>150</v>
      </c>
      <c r="H889" s="27" t="s">
        <v>206</v>
      </c>
      <c r="I889" s="27" t="s">
        <v>502</v>
      </c>
      <c r="J889" s="27" t="s">
        <v>505</v>
      </c>
      <c r="K889" s="27" t="s">
        <v>505</v>
      </c>
      <c r="L889" s="3" t="str">
        <f aca="false">IF(ISNUMBER(SEARCH(" m",I889)),"Range",IF(I889="offline","Offline",IF(I889="","Unknown","No echo / error")))</f>
        <v>Range</v>
      </c>
      <c r="M889" s="3" t="str">
        <f aca="false">IF(ISNUMBER(SEARCH(" m",J889)),"Range",IF(J889="offline","Offline",IF(J889="","Unknown","No echo / error")))</f>
        <v>Range</v>
      </c>
      <c r="N889" s="3" t="str">
        <f aca="false">IF(ISNUMBER(SEARCH(" m",K889)),"Range",IF(K889="offline","Offline",IF(K889="","Unknown","No echo / error")))</f>
        <v>Range</v>
      </c>
      <c r="O889" s="3" t="str">
        <f aca="false">TEXT(B889,"yyyy-mm-dd")</f>
        <v>2026-10-06</v>
      </c>
    </row>
    <row r="890" customFormat="false" ht="15" hidden="false" customHeight="false" outlineLevel="0" collapsed="false">
      <c r="A890" s="27" t="n">
        <v>14</v>
      </c>
      <c r="B890" s="28" t="n">
        <v>46301.5233839699</v>
      </c>
      <c r="C890" s="29" t="n">
        <f aca="false">IF(A891=A890,B891,INDEX(Rounds!$D:$D,MATCH(A890,Rounds!$A:$A,0)))</f>
        <v>46301.5235199884</v>
      </c>
      <c r="D890" s="30" t="n">
        <f aca="false">(B890-INDEX(Rounds!$C:$C,MATCH(A890,Rounds!$A:$A,0)))*86400</f>
        <v>48.113999865</v>
      </c>
      <c r="E890" s="30" t="n">
        <f aca="false">(C890-INDEX(Rounds!$C:$C,MATCH(A890,Rounds!$A:$A,0)))*86400</f>
        <v>59.865999966</v>
      </c>
      <c r="F890" s="31" t="n">
        <f aca="false">(C890-B890)*86400</f>
        <v>11.752000101</v>
      </c>
      <c r="G890" s="27" t="s">
        <v>152</v>
      </c>
      <c r="H890" s="27" t="s">
        <v>208</v>
      </c>
      <c r="I890" s="27" t="s">
        <v>204</v>
      </c>
      <c r="J890" s="27" t="s">
        <v>371</v>
      </c>
      <c r="K890" s="27" t="s">
        <v>204</v>
      </c>
      <c r="L890" s="3" t="str">
        <f aca="false">IF(ISNUMBER(SEARCH(" m",I890)),"Range",IF(I890="offline","Offline",IF(I890="","Unknown","No echo / error")))</f>
        <v>No echo / error</v>
      </c>
      <c r="M890" s="3" t="str">
        <f aca="false">IF(ISNUMBER(SEARCH(" m",J890)),"Range",IF(J890="offline","Offline",IF(J890="","Unknown","No echo / error")))</f>
        <v>Range</v>
      </c>
      <c r="N890" s="3" t="str">
        <f aca="false">IF(ISNUMBER(SEARCH(" m",K890)),"Range",IF(K890="offline","Offline",IF(K890="","Unknown","No echo / error")))</f>
        <v>No echo / error</v>
      </c>
      <c r="O890" s="3" t="str">
        <f aca="false">TEXT(B890,"yyyy-mm-dd")</f>
        <v>2026-10-06</v>
      </c>
    </row>
    <row r="891" customFormat="false" ht="15" hidden="false" customHeight="false" outlineLevel="0" collapsed="false">
      <c r="A891" s="27" t="n">
        <v>14</v>
      </c>
      <c r="B891" s="28" t="n">
        <v>46301.5235199884</v>
      </c>
      <c r="C891" s="29" t="n">
        <f aca="false">IF(A892=A891,B892,INDEX(Rounds!$D:$D,MATCH(A891,Rounds!$A:$A,0)))</f>
        <v>46301.5235257407</v>
      </c>
      <c r="D891" s="30" t="n">
        <f aca="false">(B891-INDEX(Rounds!$C:$C,MATCH(A891,Rounds!$A:$A,0)))*86400</f>
        <v>59.865999966</v>
      </c>
      <c r="E891" s="30" t="n">
        <f aca="false">(C891-INDEX(Rounds!$C:$C,MATCH(A891,Rounds!$A:$A,0)))*86400</f>
        <v>60.362999886</v>
      </c>
      <c r="F891" s="31" t="n">
        <f aca="false">(C891-B891)*86400</f>
        <v>0.496999919</v>
      </c>
      <c r="G891" s="27" t="s">
        <v>151</v>
      </c>
      <c r="H891" s="27" t="s">
        <v>203</v>
      </c>
      <c r="I891" s="27" t="s">
        <v>343</v>
      </c>
      <c r="J891" s="27" t="s">
        <v>441</v>
      </c>
      <c r="K891" s="27" t="s">
        <v>444</v>
      </c>
      <c r="L891" s="3" t="str">
        <f aca="false">IF(ISNUMBER(SEARCH(" m",I891)),"Range",IF(I891="offline","Offline",IF(I891="","Unknown","No echo / error")))</f>
        <v>Range</v>
      </c>
      <c r="M891" s="3" t="str">
        <f aca="false">IF(ISNUMBER(SEARCH(" m",J891)),"Range",IF(J891="offline","Offline",IF(J891="","Unknown","No echo / error")))</f>
        <v>Range</v>
      </c>
      <c r="N891" s="3" t="str">
        <f aca="false">IF(ISNUMBER(SEARCH(" m",K891)),"Range",IF(K891="offline","Offline",IF(K891="","Unknown","No echo / error")))</f>
        <v>Range</v>
      </c>
      <c r="O891" s="3" t="str">
        <f aca="false">TEXT(B891,"yyyy-mm-dd")</f>
        <v>2026-10-06</v>
      </c>
    </row>
    <row r="892" customFormat="false" ht="15" hidden="false" customHeight="false" outlineLevel="0" collapsed="false">
      <c r="A892" s="27" t="n">
        <v>14</v>
      </c>
      <c r="B892" s="28" t="n">
        <v>46301.5235257407</v>
      </c>
      <c r="C892" s="29" t="n">
        <f aca="false">IF(A893=A892,B893,INDEX(Rounds!$D:$D,MATCH(A892,Rounds!$A:$A,0)))</f>
        <v>46301.5235290857</v>
      </c>
      <c r="D892" s="30" t="n">
        <f aca="false">(B892-INDEX(Rounds!$C:$C,MATCH(A892,Rounds!$A:$A,0)))*86400</f>
        <v>60.362999886</v>
      </c>
      <c r="E892" s="30" t="n">
        <f aca="false">(C892-INDEX(Rounds!$C:$C,MATCH(A892,Rounds!$A:$A,0)))*86400</f>
        <v>60.652000154</v>
      </c>
      <c r="F892" s="31" t="n">
        <f aca="false">(C892-B892)*86400</f>
        <v>0.289000268</v>
      </c>
      <c r="G892" s="27" t="s">
        <v>152</v>
      </c>
      <c r="H892" s="27" t="s">
        <v>208</v>
      </c>
      <c r="I892" s="27" t="s">
        <v>285</v>
      </c>
      <c r="J892" s="27" t="s">
        <v>435</v>
      </c>
      <c r="K892" s="27" t="s">
        <v>444</v>
      </c>
      <c r="L892" s="3" t="str">
        <f aca="false">IF(ISNUMBER(SEARCH(" m",I892)),"Range",IF(I892="offline","Offline",IF(I892="","Unknown","No echo / error")))</f>
        <v>Range</v>
      </c>
      <c r="M892" s="3" t="str">
        <f aca="false">IF(ISNUMBER(SEARCH(" m",J892)),"Range",IF(J892="offline","Offline",IF(J892="","Unknown","No echo / error")))</f>
        <v>Range</v>
      </c>
      <c r="N892" s="3" t="str">
        <f aca="false">IF(ISNUMBER(SEARCH(" m",K892)),"Range",IF(K892="offline","Offline",IF(K892="","Unknown","No echo / error")))</f>
        <v>Range</v>
      </c>
      <c r="O892" s="3" t="str">
        <f aca="false">TEXT(B892,"yyyy-mm-dd")</f>
        <v>2026-10-06</v>
      </c>
    </row>
    <row r="893" customFormat="false" ht="15" hidden="false" customHeight="false" outlineLevel="0" collapsed="false">
      <c r="A893" s="27" t="n">
        <v>14</v>
      </c>
      <c r="B893" s="28" t="n">
        <v>46301.5235290857</v>
      </c>
      <c r="C893" s="29" t="n">
        <f aca="false">IF(A894=A893,B894,INDEX(Rounds!$D:$D,MATCH(A893,Rounds!$A:$A,0)))</f>
        <v>46301.5235343287</v>
      </c>
      <c r="D893" s="30" t="n">
        <f aca="false">(B893-INDEX(Rounds!$C:$C,MATCH(A893,Rounds!$A:$A,0)))*86400</f>
        <v>60.652000154</v>
      </c>
      <c r="E893" s="30" t="n">
        <f aca="false">(C893-INDEX(Rounds!$C:$C,MATCH(A893,Rounds!$A:$A,0)))*86400</f>
        <v>61.105000739</v>
      </c>
      <c r="F893" s="31" t="n">
        <f aca="false">(C893-B893)*86400</f>
        <v>0.453000585</v>
      </c>
      <c r="G893" s="27" t="s">
        <v>151</v>
      </c>
      <c r="H893" s="27" t="s">
        <v>203</v>
      </c>
      <c r="I893" s="27" t="s">
        <v>204</v>
      </c>
      <c r="J893" s="27" t="s">
        <v>327</v>
      </c>
      <c r="K893" s="27" t="s">
        <v>376</v>
      </c>
      <c r="L893" s="3" t="str">
        <f aca="false">IF(ISNUMBER(SEARCH(" m",I893)),"Range",IF(I893="offline","Offline",IF(I893="","Unknown","No echo / error")))</f>
        <v>No echo / error</v>
      </c>
      <c r="M893" s="3" t="str">
        <f aca="false">IF(ISNUMBER(SEARCH(" m",J893)),"Range",IF(J893="offline","Offline",IF(J893="","Unknown","No echo / error")))</f>
        <v>Range</v>
      </c>
      <c r="N893" s="3" t="str">
        <f aca="false">IF(ISNUMBER(SEARCH(" m",K893)),"Range",IF(K893="offline","Offline",IF(K893="","Unknown","No echo / error")))</f>
        <v>Range</v>
      </c>
      <c r="O893" s="3" t="str">
        <f aca="false">TEXT(B893,"yyyy-mm-dd")</f>
        <v>2026-10-06</v>
      </c>
    </row>
    <row r="894" customFormat="false" ht="15" hidden="false" customHeight="false" outlineLevel="0" collapsed="false">
      <c r="A894" s="27" t="n">
        <v>14</v>
      </c>
      <c r="B894" s="28" t="n">
        <v>46301.5235343287</v>
      </c>
      <c r="C894" s="29" t="n">
        <f aca="false">IF(A895=A894,B895,INDEX(Rounds!$D:$D,MATCH(A894,Rounds!$A:$A,0)))</f>
        <v>46301.5235565394</v>
      </c>
      <c r="D894" s="30" t="n">
        <f aca="false">(B894-INDEX(Rounds!$C:$C,MATCH(A894,Rounds!$A:$A,0)))*86400</f>
        <v>61.105000739</v>
      </c>
      <c r="E894" s="30" t="n">
        <f aca="false">(C894-INDEX(Rounds!$C:$C,MATCH(A894,Rounds!$A:$A,0)))*86400</f>
        <v>63.023999962</v>
      </c>
      <c r="F894" s="31" t="n">
        <f aca="false">(C894-B894)*86400</f>
        <v>1.918999222</v>
      </c>
      <c r="G894" s="27" t="s">
        <v>150</v>
      </c>
      <c r="H894" s="27" t="s">
        <v>206</v>
      </c>
      <c r="I894" s="27" t="s">
        <v>286</v>
      </c>
      <c r="J894" s="27" t="s">
        <v>327</v>
      </c>
      <c r="K894" s="27" t="s">
        <v>204</v>
      </c>
      <c r="L894" s="3" t="str">
        <f aca="false">IF(ISNUMBER(SEARCH(" m",I894)),"Range",IF(I894="offline","Offline",IF(I894="","Unknown","No echo / error")))</f>
        <v>Range</v>
      </c>
      <c r="M894" s="3" t="str">
        <f aca="false">IF(ISNUMBER(SEARCH(" m",J894)),"Range",IF(J894="offline","Offline",IF(J894="","Unknown","No echo / error")))</f>
        <v>Range</v>
      </c>
      <c r="N894" s="3" t="str">
        <f aca="false">IF(ISNUMBER(SEARCH(" m",K894)),"Range",IF(K894="offline","Offline",IF(K894="","Unknown","No echo / error")))</f>
        <v>No echo / error</v>
      </c>
      <c r="O894" s="3" t="str">
        <f aca="false">TEXT(B894,"yyyy-mm-dd")</f>
        <v>2026-10-06</v>
      </c>
    </row>
    <row r="895" customFormat="false" ht="15" hidden="false" customHeight="false" outlineLevel="0" collapsed="false">
      <c r="A895" s="27" t="n">
        <v>14</v>
      </c>
      <c r="B895" s="28" t="n">
        <v>46301.5235565394</v>
      </c>
      <c r="C895" s="29" t="n">
        <f aca="false">IF(A896=A895,B896,INDEX(Rounds!$D:$D,MATCH(A895,Rounds!$A:$A,0)))</f>
        <v>46301.5235565394</v>
      </c>
      <c r="D895" s="30" t="n">
        <f aca="false">(B895-INDEX(Rounds!$C:$C,MATCH(A895,Rounds!$A:$A,0)))*86400</f>
        <v>63.023999962</v>
      </c>
      <c r="E895" s="30" t="n">
        <f aca="false">(C895-INDEX(Rounds!$C:$C,MATCH(A895,Rounds!$A:$A,0)))*86400</f>
        <v>63.023999962</v>
      </c>
      <c r="F895" s="31" t="n">
        <f aca="false">(C895-B895)*86400</f>
        <v>0</v>
      </c>
      <c r="G895" s="27" t="s">
        <v>154</v>
      </c>
      <c r="H895" s="27" t="s">
        <v>206</v>
      </c>
      <c r="I895" s="27" t="s">
        <v>286</v>
      </c>
      <c r="J895" s="27" t="s">
        <v>327</v>
      </c>
      <c r="K895" s="27" t="s">
        <v>204</v>
      </c>
      <c r="L895" s="3" t="str">
        <f aca="false">IF(ISNUMBER(SEARCH(" m",I895)),"Range",IF(I895="offline","Offline",IF(I895="","Unknown","No echo / error")))</f>
        <v>Range</v>
      </c>
      <c r="M895" s="3" t="str">
        <f aca="false">IF(ISNUMBER(SEARCH(" m",J895)),"Range",IF(J895="offline","Offline",IF(J895="","Unknown","No echo / error")))</f>
        <v>Range</v>
      </c>
      <c r="N895" s="3" t="str">
        <f aca="false">IF(ISNUMBER(SEARCH(" m",K895)),"Range",IF(K895="offline","Offline",IF(K895="","Unknown","No echo / error")))</f>
        <v>No echo / error</v>
      </c>
      <c r="O895" s="3" t="str">
        <f aca="false">TEXT(B895,"yyyy-mm-dd")</f>
        <v>2026-10-06</v>
      </c>
    </row>
    <row r="896" customFormat="false" ht="15" hidden="false" customHeight="false" outlineLevel="0" collapsed="false">
      <c r="A896" s="27" t="n">
        <v>15</v>
      </c>
      <c r="B896" s="28" t="n">
        <v>46301.5236457639</v>
      </c>
      <c r="C896" s="29" t="n">
        <f aca="false">IF(A897=A896,B897,INDEX(Rounds!$D:$D,MATCH(A896,Rounds!$A:$A,0)))</f>
        <v>46301.5236457755</v>
      </c>
      <c r="D896" s="30" t="n">
        <f aca="false">(B896-INDEX(Rounds!$C:$C,MATCH(A896,Rounds!$A:$A,0)))*86400</f>
        <v>0</v>
      </c>
      <c r="E896" s="30" t="n">
        <f aca="false">(C896-INDEX(Rounds!$C:$C,MATCH(A896,Rounds!$A:$A,0)))*86400</f>
        <v>0.001000799</v>
      </c>
      <c r="F896" s="31" t="n">
        <f aca="false">(C896-B896)*86400</f>
        <v>0.001000799</v>
      </c>
      <c r="G896" s="27" t="s">
        <v>150</v>
      </c>
      <c r="H896" s="27" t="s">
        <v>206</v>
      </c>
      <c r="I896" s="27" t="s">
        <v>286</v>
      </c>
      <c r="J896" s="27" t="s">
        <v>327</v>
      </c>
      <c r="K896" s="27" t="s">
        <v>204</v>
      </c>
      <c r="L896" s="3" t="str">
        <f aca="false">IF(ISNUMBER(SEARCH(" m",I896)),"Range",IF(I896="offline","Offline",IF(I896="","Unknown","No echo / error")))</f>
        <v>Range</v>
      </c>
      <c r="M896" s="3" t="str">
        <f aca="false">IF(ISNUMBER(SEARCH(" m",J896)),"Range",IF(J896="offline","Offline",IF(J896="","Unknown","No echo / error")))</f>
        <v>Range</v>
      </c>
      <c r="N896" s="3" t="str">
        <f aca="false">IF(ISNUMBER(SEARCH(" m",K896)),"Range",IF(K896="offline","Offline",IF(K896="","Unknown","No echo / error")))</f>
        <v>No echo / error</v>
      </c>
      <c r="O896" s="3" t="str">
        <f aca="false">TEXT(B896,"yyyy-mm-dd")</f>
        <v>2026-10-06</v>
      </c>
    </row>
    <row r="897" customFormat="false" ht="15" hidden="false" customHeight="false" outlineLevel="0" collapsed="false">
      <c r="A897" s="27" t="n">
        <v>15</v>
      </c>
      <c r="B897" s="28" t="n">
        <v>46301.5236457755</v>
      </c>
      <c r="C897" s="29" t="n">
        <f aca="false">IF(A898=A897,B898,INDEX(Rounds!$D:$D,MATCH(A897,Rounds!$A:$A,0)))</f>
        <v>46301.5236457755</v>
      </c>
      <c r="D897" s="30" t="n">
        <f aca="false">(B897-INDEX(Rounds!$C:$C,MATCH(A897,Rounds!$A:$A,0)))*86400</f>
        <v>0.001000799</v>
      </c>
      <c r="E897" s="30" t="n">
        <f aca="false">(C897-INDEX(Rounds!$C:$C,MATCH(A897,Rounds!$A:$A,0)))*86400</f>
        <v>0.001000799</v>
      </c>
      <c r="F897" s="31" t="n">
        <f aca="false">(C897-B897)*86400</f>
        <v>0</v>
      </c>
      <c r="G897" s="27" t="s">
        <v>150</v>
      </c>
      <c r="H897" s="27" t="s">
        <v>206</v>
      </c>
      <c r="I897" s="27" t="s">
        <v>286</v>
      </c>
      <c r="J897" s="27" t="s">
        <v>327</v>
      </c>
      <c r="K897" s="27" t="s">
        <v>204</v>
      </c>
      <c r="L897" s="3" t="str">
        <f aca="false">IF(ISNUMBER(SEARCH(" m",I897)),"Range",IF(I897="offline","Offline",IF(I897="","Unknown","No echo / error")))</f>
        <v>Range</v>
      </c>
      <c r="M897" s="3" t="str">
        <f aca="false">IF(ISNUMBER(SEARCH(" m",J897)),"Range",IF(J897="offline","Offline",IF(J897="","Unknown","No echo / error")))</f>
        <v>Range</v>
      </c>
      <c r="N897" s="3" t="str">
        <f aca="false">IF(ISNUMBER(SEARCH(" m",K897)),"Range",IF(K897="offline","Offline",IF(K897="","Unknown","No echo / error")))</f>
        <v>No echo / error</v>
      </c>
      <c r="O897" s="3" t="str">
        <f aca="false">TEXT(B897,"yyyy-mm-dd")</f>
        <v>2026-10-06</v>
      </c>
    </row>
    <row r="898" customFormat="false" ht="15" hidden="false" customHeight="false" outlineLevel="0" collapsed="false">
      <c r="A898" s="27" t="n">
        <v>15</v>
      </c>
      <c r="B898" s="28" t="n">
        <v>46301.5236457755</v>
      </c>
      <c r="C898" s="29" t="n">
        <f aca="false">IF(A899=A898,B899,INDEX(Rounds!$D:$D,MATCH(A898,Rounds!$A:$A,0)))</f>
        <v>46301.5236532176</v>
      </c>
      <c r="D898" s="30" t="n">
        <f aca="false">(B898-INDEX(Rounds!$C:$C,MATCH(A898,Rounds!$A:$A,0)))*86400</f>
        <v>0.001000799</v>
      </c>
      <c r="E898" s="30" t="n">
        <f aca="false">(C898-INDEX(Rounds!$C:$C,MATCH(A898,Rounds!$A:$A,0)))*86400</f>
        <v>0.643999851</v>
      </c>
      <c r="F898" s="31" t="n">
        <f aca="false">(C898-B898)*86400</f>
        <v>0.642999052</v>
      </c>
      <c r="G898" s="27" t="s">
        <v>152</v>
      </c>
      <c r="H898" s="27" t="s">
        <v>199</v>
      </c>
      <c r="I898" s="27" t="s">
        <v>394</v>
      </c>
      <c r="J898" s="27" t="s">
        <v>218</v>
      </c>
      <c r="K898" s="27" t="s">
        <v>279</v>
      </c>
      <c r="L898" s="3" t="str">
        <f aca="false">IF(ISNUMBER(SEARCH(" m",I898)),"Range",IF(I898="offline","Offline",IF(I898="","Unknown","No echo / error")))</f>
        <v>Range</v>
      </c>
      <c r="M898" s="3" t="str">
        <f aca="false">IF(ISNUMBER(SEARCH(" m",J898)),"Range",IF(J898="offline","Offline",IF(J898="","Unknown","No echo / error")))</f>
        <v>Range</v>
      </c>
      <c r="N898" s="3" t="str">
        <f aca="false">IF(ISNUMBER(SEARCH(" m",K898)),"Range",IF(K898="offline","Offline",IF(K898="","Unknown","No echo / error")))</f>
        <v>Range</v>
      </c>
      <c r="O898" s="3" t="str">
        <f aca="false">TEXT(B898,"yyyy-mm-dd")</f>
        <v>2026-10-06</v>
      </c>
    </row>
    <row r="899" customFormat="false" ht="15" hidden="false" customHeight="false" outlineLevel="0" collapsed="false">
      <c r="A899" s="27" t="n">
        <v>15</v>
      </c>
      <c r="B899" s="28" t="n">
        <v>46301.5236532176</v>
      </c>
      <c r="C899" s="29" t="n">
        <f aca="false">IF(A900=A899,B900,INDEX(Rounds!$D:$D,MATCH(A899,Rounds!$A:$A,0)))</f>
        <v>46301.5236582523</v>
      </c>
      <c r="D899" s="30" t="n">
        <f aca="false">(B899-INDEX(Rounds!$C:$C,MATCH(A899,Rounds!$A:$A,0)))*86400</f>
        <v>0.643999851</v>
      </c>
      <c r="E899" s="30" t="n">
        <f aca="false">(C899-INDEX(Rounds!$C:$C,MATCH(A899,Rounds!$A:$A,0)))*86400</f>
        <v>1.078999252</v>
      </c>
      <c r="F899" s="31" t="n">
        <f aca="false">(C899-B899)*86400</f>
        <v>0.4349994</v>
      </c>
      <c r="G899" s="27" t="s">
        <v>151</v>
      </c>
      <c r="H899" s="27" t="s">
        <v>203</v>
      </c>
      <c r="I899" s="27" t="s">
        <v>432</v>
      </c>
      <c r="J899" s="27" t="s">
        <v>252</v>
      </c>
      <c r="K899" s="27" t="s">
        <v>444</v>
      </c>
      <c r="L899" s="3" t="str">
        <f aca="false">IF(ISNUMBER(SEARCH(" m",I899)),"Range",IF(I899="offline","Offline",IF(I899="","Unknown","No echo / error")))</f>
        <v>Range</v>
      </c>
      <c r="M899" s="3" t="str">
        <f aca="false">IF(ISNUMBER(SEARCH(" m",J899)),"Range",IF(J899="offline","Offline",IF(J899="","Unknown","No echo / error")))</f>
        <v>Range</v>
      </c>
      <c r="N899" s="3" t="str">
        <f aca="false">IF(ISNUMBER(SEARCH(" m",K899)),"Range",IF(K899="offline","Offline",IF(K899="","Unknown","No echo / error")))</f>
        <v>Range</v>
      </c>
      <c r="O899" s="3" t="str">
        <f aca="false">TEXT(B899,"yyyy-mm-dd")</f>
        <v>2026-10-06</v>
      </c>
    </row>
    <row r="900" customFormat="false" ht="15" hidden="false" customHeight="false" outlineLevel="0" collapsed="false">
      <c r="A900" s="27" t="n">
        <v>15</v>
      </c>
      <c r="B900" s="28" t="n">
        <v>46301.5236582523</v>
      </c>
      <c r="C900" s="29" t="n">
        <f aca="false">IF(A901=A900,B901,INDEX(Rounds!$D:$D,MATCH(A900,Rounds!$A:$A,0)))</f>
        <v>46301.5236638542</v>
      </c>
      <c r="D900" s="30" t="n">
        <f aca="false">(B900-INDEX(Rounds!$C:$C,MATCH(A900,Rounds!$A:$A,0)))*86400</f>
        <v>1.078999252</v>
      </c>
      <c r="E900" s="30" t="n">
        <f aca="false">(C900-INDEX(Rounds!$C:$C,MATCH(A900,Rounds!$A:$A,0)))*86400</f>
        <v>1.563000096</v>
      </c>
      <c r="F900" s="31" t="n">
        <f aca="false">(C900-B900)*86400</f>
        <v>0.484000844</v>
      </c>
      <c r="G900" s="27" t="s">
        <v>150</v>
      </c>
      <c r="H900" s="27" t="s">
        <v>206</v>
      </c>
      <c r="I900" s="27" t="s">
        <v>330</v>
      </c>
      <c r="J900" s="27" t="s">
        <v>253</v>
      </c>
      <c r="K900" s="27" t="s">
        <v>444</v>
      </c>
      <c r="L900" s="3" t="str">
        <f aca="false">IF(ISNUMBER(SEARCH(" m",I900)),"Range",IF(I900="offline","Offline",IF(I900="","Unknown","No echo / error")))</f>
        <v>Range</v>
      </c>
      <c r="M900" s="3" t="str">
        <f aca="false">IF(ISNUMBER(SEARCH(" m",J900)),"Range",IF(J900="offline","Offline",IF(J900="","Unknown","No echo / error")))</f>
        <v>Range</v>
      </c>
      <c r="N900" s="3" t="str">
        <f aca="false">IF(ISNUMBER(SEARCH(" m",K900)),"Range",IF(K900="offline","Offline",IF(K900="","Unknown","No echo / error")))</f>
        <v>Range</v>
      </c>
      <c r="O900" s="3" t="str">
        <f aca="false">TEXT(B900,"yyyy-mm-dd")</f>
        <v>2026-10-06</v>
      </c>
    </row>
    <row r="901" customFormat="false" ht="15" hidden="false" customHeight="false" outlineLevel="0" collapsed="false">
      <c r="A901" s="27" t="n">
        <v>15</v>
      </c>
      <c r="B901" s="28" t="n">
        <v>46301.5236638542</v>
      </c>
      <c r="C901" s="29" t="n">
        <f aca="false">IF(A902=A901,B902,INDEX(Rounds!$D:$D,MATCH(A901,Rounds!$A:$A,0)))</f>
        <v>46301.5236664699</v>
      </c>
      <c r="D901" s="30" t="n">
        <f aca="false">(B901-INDEX(Rounds!$C:$C,MATCH(A901,Rounds!$A:$A,0)))*86400</f>
        <v>1.563000096</v>
      </c>
      <c r="E901" s="30" t="n">
        <f aca="false">(C901-INDEX(Rounds!$C:$C,MATCH(A901,Rounds!$A:$A,0)))*86400</f>
        <v>1.788999047</v>
      </c>
      <c r="F901" s="31" t="n">
        <f aca="false">(C901-B901)*86400</f>
        <v>0.22599895</v>
      </c>
      <c r="G901" s="27" t="s">
        <v>152</v>
      </c>
      <c r="H901" s="27" t="s">
        <v>208</v>
      </c>
      <c r="I901" s="27" t="s">
        <v>426</v>
      </c>
      <c r="J901" s="27" t="s">
        <v>430</v>
      </c>
      <c r="K901" s="27" t="s">
        <v>375</v>
      </c>
      <c r="L901" s="3" t="str">
        <f aca="false">IF(ISNUMBER(SEARCH(" m",I901)),"Range",IF(I901="offline","Offline",IF(I901="","Unknown","No echo / error")))</f>
        <v>Range</v>
      </c>
      <c r="M901" s="3" t="str">
        <f aca="false">IF(ISNUMBER(SEARCH(" m",J901)),"Range",IF(J901="offline","Offline",IF(J901="","Unknown","No echo / error")))</f>
        <v>Range</v>
      </c>
      <c r="N901" s="3" t="str">
        <f aca="false">IF(ISNUMBER(SEARCH(" m",K901)),"Range",IF(K901="offline","Offline",IF(K901="","Unknown","No echo / error")))</f>
        <v>Range</v>
      </c>
      <c r="O901" s="3" t="str">
        <f aca="false">TEXT(B901,"yyyy-mm-dd")</f>
        <v>2026-10-06</v>
      </c>
    </row>
    <row r="902" customFormat="false" ht="15" hidden="false" customHeight="false" outlineLevel="0" collapsed="false">
      <c r="A902" s="27" t="n">
        <v>15</v>
      </c>
      <c r="B902" s="28" t="n">
        <v>46301.5236664699</v>
      </c>
      <c r="C902" s="29" t="n">
        <f aca="false">IF(A903=A902,B903,INDEX(Rounds!$D:$D,MATCH(A902,Rounds!$A:$A,0)))</f>
        <v>46301.5236676157</v>
      </c>
      <c r="D902" s="30" t="n">
        <f aca="false">(B902-INDEX(Rounds!$C:$C,MATCH(A902,Rounds!$A:$A,0)))*86400</f>
        <v>1.788999047</v>
      </c>
      <c r="E902" s="30" t="n">
        <f aca="false">(C902-INDEX(Rounds!$C:$C,MATCH(A902,Rounds!$A:$A,0)))*86400</f>
        <v>1.887999591</v>
      </c>
      <c r="F902" s="31" t="n">
        <f aca="false">(C902-B902)*86400</f>
        <v>0.099000544</v>
      </c>
      <c r="G902" s="27" t="s">
        <v>151</v>
      </c>
      <c r="H902" s="27" t="s">
        <v>203</v>
      </c>
      <c r="I902" s="27" t="s">
        <v>426</v>
      </c>
      <c r="J902" s="27" t="s">
        <v>349</v>
      </c>
      <c r="K902" s="27" t="s">
        <v>204</v>
      </c>
      <c r="L902" s="3" t="str">
        <f aca="false">IF(ISNUMBER(SEARCH(" m",I902)),"Range",IF(I902="offline","Offline",IF(I902="","Unknown","No echo / error")))</f>
        <v>Range</v>
      </c>
      <c r="M902" s="3" t="str">
        <f aca="false">IF(ISNUMBER(SEARCH(" m",J902)),"Range",IF(J902="offline","Offline",IF(J902="","Unknown","No echo / error")))</f>
        <v>Range</v>
      </c>
      <c r="N902" s="3" t="str">
        <f aca="false">IF(ISNUMBER(SEARCH(" m",K902)),"Range",IF(K902="offline","Offline",IF(K902="","Unknown","No echo / error")))</f>
        <v>No echo / error</v>
      </c>
      <c r="O902" s="3" t="str">
        <f aca="false">TEXT(B902,"yyyy-mm-dd")</f>
        <v>2026-10-06</v>
      </c>
    </row>
    <row r="903" customFormat="false" ht="15" hidden="false" customHeight="false" outlineLevel="0" collapsed="false">
      <c r="A903" s="27" t="n">
        <v>15</v>
      </c>
      <c r="B903" s="28" t="n">
        <v>46301.5236676157</v>
      </c>
      <c r="C903" s="29" t="n">
        <f aca="false">IF(A904=A903,B904,INDEX(Rounds!$D:$D,MATCH(A903,Rounds!$A:$A,0)))</f>
        <v>46301.5237118287</v>
      </c>
      <c r="D903" s="30" t="n">
        <f aca="false">(B903-INDEX(Rounds!$C:$C,MATCH(A903,Rounds!$A:$A,0)))*86400</f>
        <v>1.887999591</v>
      </c>
      <c r="E903" s="30" t="n">
        <f aca="false">(C903-INDEX(Rounds!$C:$C,MATCH(A903,Rounds!$A:$A,0)))*86400</f>
        <v>5.707999365</v>
      </c>
      <c r="F903" s="31" t="n">
        <f aca="false">(C903-B903)*86400</f>
        <v>3.819999773</v>
      </c>
      <c r="G903" s="27" t="s">
        <v>150</v>
      </c>
      <c r="H903" s="27" t="s">
        <v>206</v>
      </c>
      <c r="I903" s="27" t="s">
        <v>347</v>
      </c>
      <c r="J903" s="27" t="s">
        <v>349</v>
      </c>
      <c r="K903" s="27" t="s">
        <v>204</v>
      </c>
      <c r="L903" s="3" t="str">
        <f aca="false">IF(ISNUMBER(SEARCH(" m",I903)),"Range",IF(I903="offline","Offline",IF(I903="","Unknown","No echo / error")))</f>
        <v>Range</v>
      </c>
      <c r="M903" s="3" t="str">
        <f aca="false">IF(ISNUMBER(SEARCH(" m",J903)),"Range",IF(J903="offline","Offline",IF(J903="","Unknown","No echo / error")))</f>
        <v>Range</v>
      </c>
      <c r="N903" s="3" t="str">
        <f aca="false">IF(ISNUMBER(SEARCH(" m",K903)),"Range",IF(K903="offline","Offline",IF(K903="","Unknown","No echo / error")))</f>
        <v>No echo / error</v>
      </c>
      <c r="O903" s="3" t="str">
        <f aca="false">TEXT(B903,"yyyy-mm-dd")</f>
        <v>2026-10-06</v>
      </c>
    </row>
    <row r="904" customFormat="false" ht="15" hidden="false" customHeight="false" outlineLevel="0" collapsed="false">
      <c r="A904" s="27" t="n">
        <v>15</v>
      </c>
      <c r="B904" s="28" t="n">
        <v>46301.5237118287</v>
      </c>
      <c r="C904" s="29" t="n">
        <f aca="false">IF(A905=A904,B905,INDEX(Rounds!$D:$D,MATCH(A904,Rounds!$A:$A,0)))</f>
        <v>46301.5237187269</v>
      </c>
      <c r="D904" s="30" t="n">
        <f aca="false">(B904-INDEX(Rounds!$C:$C,MATCH(A904,Rounds!$A:$A,0)))*86400</f>
        <v>5.707999365</v>
      </c>
      <c r="E904" s="30" t="n">
        <f aca="false">(C904-INDEX(Rounds!$C:$C,MATCH(A904,Rounds!$A:$A,0)))*86400</f>
        <v>6.303999829</v>
      </c>
      <c r="F904" s="31" t="n">
        <f aca="false">(C904-B904)*86400</f>
        <v>0.596000463</v>
      </c>
      <c r="G904" s="27" t="s">
        <v>152</v>
      </c>
      <c r="H904" s="27" t="s">
        <v>208</v>
      </c>
      <c r="I904" s="27" t="s">
        <v>286</v>
      </c>
      <c r="J904" s="27" t="s">
        <v>220</v>
      </c>
      <c r="K904" s="27" t="s">
        <v>254</v>
      </c>
      <c r="L904" s="3" t="str">
        <f aca="false">IF(ISNUMBER(SEARCH(" m",I904)),"Range",IF(I904="offline","Offline",IF(I904="","Unknown","No echo / error")))</f>
        <v>Range</v>
      </c>
      <c r="M904" s="3" t="str">
        <f aca="false">IF(ISNUMBER(SEARCH(" m",J904)),"Range",IF(J904="offline","Offline",IF(J904="","Unknown","No echo / error")))</f>
        <v>No echo / error</v>
      </c>
      <c r="N904" s="3" t="str">
        <f aca="false">IF(ISNUMBER(SEARCH(" m",K904)),"Range",IF(K904="offline","Offline",IF(K904="","Unknown","No echo / error")))</f>
        <v>Range</v>
      </c>
      <c r="O904" s="3" t="str">
        <f aca="false">TEXT(B904,"yyyy-mm-dd")</f>
        <v>2026-10-06</v>
      </c>
    </row>
    <row r="905" customFormat="false" ht="15" hidden="false" customHeight="false" outlineLevel="0" collapsed="false">
      <c r="A905" s="27" t="n">
        <v>15</v>
      </c>
      <c r="B905" s="28" t="n">
        <v>46301.5237187269</v>
      </c>
      <c r="C905" s="29" t="n">
        <f aca="false">IF(A906=A905,B906,INDEX(Rounds!$D:$D,MATCH(A905,Rounds!$A:$A,0)))</f>
        <v>46301.5237222801</v>
      </c>
      <c r="D905" s="30" t="n">
        <f aca="false">(B905-INDEX(Rounds!$C:$C,MATCH(A905,Rounds!$A:$A,0)))*86400</f>
        <v>6.303999829</v>
      </c>
      <c r="E905" s="30" t="n">
        <f aca="false">(C905-INDEX(Rounds!$C:$C,MATCH(A905,Rounds!$A:$A,0)))*86400</f>
        <v>6.611000024</v>
      </c>
      <c r="F905" s="31" t="n">
        <f aca="false">(C905-B905)*86400</f>
        <v>0.307000195</v>
      </c>
      <c r="G905" s="27" t="s">
        <v>151</v>
      </c>
      <c r="H905" s="27" t="s">
        <v>203</v>
      </c>
      <c r="I905" s="27" t="s">
        <v>286</v>
      </c>
      <c r="J905" s="27" t="s">
        <v>327</v>
      </c>
      <c r="K905" s="27" t="s">
        <v>211</v>
      </c>
      <c r="L905" s="3" t="str">
        <f aca="false">IF(ISNUMBER(SEARCH(" m",I905)),"Range",IF(I905="offline","Offline",IF(I905="","Unknown","No echo / error")))</f>
        <v>Range</v>
      </c>
      <c r="M905" s="3" t="str">
        <f aca="false">IF(ISNUMBER(SEARCH(" m",J905)),"Range",IF(J905="offline","Offline",IF(J905="","Unknown","No echo / error")))</f>
        <v>Range</v>
      </c>
      <c r="N905" s="3" t="str">
        <f aca="false">IF(ISNUMBER(SEARCH(" m",K905)),"Range",IF(K905="offline","Offline",IF(K905="","Unknown","No echo / error")))</f>
        <v>No echo / error</v>
      </c>
      <c r="O905" s="3" t="str">
        <f aca="false">TEXT(B905,"yyyy-mm-dd")</f>
        <v>2026-10-06</v>
      </c>
    </row>
    <row r="906" customFormat="false" ht="15" hidden="false" customHeight="false" outlineLevel="0" collapsed="false">
      <c r="A906" s="27" t="n">
        <v>15</v>
      </c>
      <c r="B906" s="28" t="n">
        <v>46301.5237222801</v>
      </c>
      <c r="C906" s="29" t="n">
        <f aca="false">IF(A907=A906,B907,INDEX(Rounds!$D:$D,MATCH(A906,Rounds!$A:$A,0)))</f>
        <v>46301.5237481944</v>
      </c>
      <c r="D906" s="30" t="n">
        <f aca="false">(B906-INDEX(Rounds!$C:$C,MATCH(A906,Rounds!$A:$A,0)))*86400</f>
        <v>6.611000024</v>
      </c>
      <c r="E906" s="30" t="n">
        <f aca="false">(C906-INDEX(Rounds!$C:$C,MATCH(A906,Rounds!$A:$A,0)))*86400</f>
        <v>8.849999774</v>
      </c>
      <c r="F906" s="31" t="n">
        <f aca="false">(C906-B906)*86400</f>
        <v>2.238999749</v>
      </c>
      <c r="G906" s="27" t="s">
        <v>150</v>
      </c>
      <c r="H906" s="27" t="s">
        <v>206</v>
      </c>
      <c r="I906" s="27" t="s">
        <v>330</v>
      </c>
      <c r="J906" s="27" t="s">
        <v>327</v>
      </c>
      <c r="K906" s="27" t="s">
        <v>296</v>
      </c>
      <c r="L906" s="3" t="str">
        <f aca="false">IF(ISNUMBER(SEARCH(" m",I906)),"Range",IF(I906="offline","Offline",IF(I906="","Unknown","No echo / error")))</f>
        <v>Range</v>
      </c>
      <c r="M906" s="3" t="str">
        <f aca="false">IF(ISNUMBER(SEARCH(" m",J906)),"Range",IF(J906="offline","Offline",IF(J906="","Unknown","No echo / error")))</f>
        <v>Range</v>
      </c>
      <c r="N906" s="3" t="str">
        <f aca="false">IF(ISNUMBER(SEARCH(" m",K906)),"Range",IF(K906="offline","Offline",IF(K906="","Unknown","No echo / error")))</f>
        <v>Range</v>
      </c>
      <c r="O906" s="3" t="str">
        <f aca="false">TEXT(B906,"yyyy-mm-dd")</f>
        <v>2026-10-06</v>
      </c>
    </row>
    <row r="907" customFormat="false" ht="15" hidden="false" customHeight="false" outlineLevel="0" collapsed="false">
      <c r="A907" s="27" t="n">
        <v>15</v>
      </c>
      <c r="B907" s="28" t="n">
        <v>46301.5237481944</v>
      </c>
      <c r="C907" s="29" t="n">
        <f aca="false">IF(A908=A907,B908,INDEX(Rounds!$D:$D,MATCH(A907,Rounds!$A:$A,0)))</f>
        <v>46301.523835081</v>
      </c>
      <c r="D907" s="30" t="n">
        <f aca="false">(B907-INDEX(Rounds!$C:$C,MATCH(A907,Rounds!$A:$A,0)))*86400</f>
        <v>8.849999774</v>
      </c>
      <c r="E907" s="30" t="n">
        <f aca="false">(C907-INDEX(Rounds!$C:$C,MATCH(A907,Rounds!$A:$A,0)))*86400</f>
        <v>16.356999892</v>
      </c>
      <c r="F907" s="31" t="n">
        <f aca="false">(C907-B907)*86400</f>
        <v>7.507000118</v>
      </c>
      <c r="G907" s="27" t="s">
        <v>152</v>
      </c>
      <c r="H907" s="27" t="s">
        <v>208</v>
      </c>
      <c r="I907" s="27" t="s">
        <v>506</v>
      </c>
      <c r="J907" s="27" t="s">
        <v>316</v>
      </c>
      <c r="K907" s="27" t="s">
        <v>204</v>
      </c>
      <c r="L907" s="3" t="str">
        <f aca="false">IF(ISNUMBER(SEARCH(" m",I907)),"Range",IF(I907="offline","Offline",IF(I907="","Unknown","No echo / error")))</f>
        <v>Range</v>
      </c>
      <c r="M907" s="3" t="str">
        <f aca="false">IF(ISNUMBER(SEARCH(" m",J907)),"Range",IF(J907="offline","Offline",IF(J907="","Unknown","No echo / error")))</f>
        <v>Range</v>
      </c>
      <c r="N907" s="3" t="str">
        <f aca="false">IF(ISNUMBER(SEARCH(" m",K907)),"Range",IF(K907="offline","Offline",IF(K907="","Unknown","No echo / error")))</f>
        <v>No echo / error</v>
      </c>
      <c r="O907" s="3" t="str">
        <f aca="false">TEXT(B907,"yyyy-mm-dd")</f>
        <v>2026-10-06</v>
      </c>
    </row>
    <row r="908" customFormat="false" ht="15" hidden="false" customHeight="false" outlineLevel="0" collapsed="false">
      <c r="A908" s="27" t="n">
        <v>15</v>
      </c>
      <c r="B908" s="28" t="n">
        <v>46301.523835081</v>
      </c>
      <c r="C908" s="29" t="n">
        <f aca="false">IF(A909=A908,B909,INDEX(Rounds!$D:$D,MATCH(A908,Rounds!$A:$A,0)))</f>
        <v>46301.5238373264</v>
      </c>
      <c r="D908" s="30" t="n">
        <f aca="false">(B908-INDEX(Rounds!$C:$C,MATCH(A908,Rounds!$A:$A,0)))*86400</f>
        <v>16.356999892</v>
      </c>
      <c r="E908" s="30" t="n">
        <f aca="false">(C908-INDEX(Rounds!$C:$C,MATCH(A908,Rounds!$A:$A,0)))*86400</f>
        <v>16.551000298</v>
      </c>
      <c r="F908" s="31" t="n">
        <f aca="false">(C908-B908)*86400</f>
        <v>0.194000406</v>
      </c>
      <c r="G908" s="27" t="s">
        <v>151</v>
      </c>
      <c r="H908" s="27" t="s">
        <v>203</v>
      </c>
      <c r="I908" s="27" t="s">
        <v>465</v>
      </c>
      <c r="J908" s="27" t="s">
        <v>455</v>
      </c>
      <c r="K908" s="27" t="s">
        <v>245</v>
      </c>
      <c r="L908" s="3" t="str">
        <f aca="false">IF(ISNUMBER(SEARCH(" m",I908)),"Range",IF(I908="offline","Offline",IF(I908="","Unknown","No echo / error")))</f>
        <v>Range</v>
      </c>
      <c r="M908" s="3" t="str">
        <f aca="false">IF(ISNUMBER(SEARCH(" m",J908)),"Range",IF(J908="offline","Offline",IF(J908="","Unknown","No echo / error")))</f>
        <v>Range</v>
      </c>
      <c r="N908" s="3" t="str">
        <f aca="false">IF(ISNUMBER(SEARCH(" m",K908)),"Range",IF(K908="offline","Offline",IF(K908="","Unknown","No echo / error")))</f>
        <v>Range</v>
      </c>
      <c r="O908" s="3" t="str">
        <f aca="false">TEXT(B908,"yyyy-mm-dd")</f>
        <v>2026-10-06</v>
      </c>
    </row>
    <row r="909" customFormat="false" ht="15" hidden="false" customHeight="false" outlineLevel="0" collapsed="false">
      <c r="A909" s="27" t="n">
        <v>15</v>
      </c>
      <c r="B909" s="28" t="n">
        <v>46301.5238373264</v>
      </c>
      <c r="C909" s="29" t="n">
        <f aca="false">IF(A910=A909,B910,INDEX(Rounds!$D:$D,MATCH(A909,Rounds!$A:$A,0)))</f>
        <v>46301.5238678819</v>
      </c>
      <c r="D909" s="30" t="n">
        <f aca="false">(B909-INDEX(Rounds!$C:$C,MATCH(A909,Rounds!$A:$A,0)))*86400</f>
        <v>16.551000298</v>
      </c>
      <c r="E909" s="30" t="n">
        <f aca="false">(C909-INDEX(Rounds!$C:$C,MATCH(A909,Rounds!$A:$A,0)))*86400</f>
        <v>19.190999306</v>
      </c>
      <c r="F909" s="31" t="n">
        <f aca="false">(C909-B909)*86400</f>
        <v>2.639999007</v>
      </c>
      <c r="G909" s="27" t="s">
        <v>150</v>
      </c>
      <c r="H909" s="27" t="s">
        <v>206</v>
      </c>
      <c r="I909" s="27" t="s">
        <v>293</v>
      </c>
      <c r="J909" s="27" t="s">
        <v>362</v>
      </c>
      <c r="K909" s="27" t="s">
        <v>245</v>
      </c>
      <c r="L909" s="3" t="str">
        <f aca="false">IF(ISNUMBER(SEARCH(" m",I909)),"Range",IF(I909="offline","Offline",IF(I909="","Unknown","No echo / error")))</f>
        <v>Range</v>
      </c>
      <c r="M909" s="3" t="str">
        <f aca="false">IF(ISNUMBER(SEARCH(" m",J909)),"Range",IF(J909="offline","Offline",IF(J909="","Unknown","No echo / error")))</f>
        <v>Range</v>
      </c>
      <c r="N909" s="3" t="str">
        <f aca="false">IF(ISNUMBER(SEARCH(" m",K909)),"Range",IF(K909="offline","Offline",IF(K909="","Unknown","No echo / error")))</f>
        <v>Range</v>
      </c>
      <c r="O909" s="3" t="str">
        <f aca="false">TEXT(B909,"yyyy-mm-dd")</f>
        <v>2026-10-06</v>
      </c>
    </row>
    <row r="910" customFormat="false" ht="15" hidden="false" customHeight="false" outlineLevel="0" collapsed="false">
      <c r="A910" s="27" t="n">
        <v>15</v>
      </c>
      <c r="B910" s="28" t="n">
        <v>46301.5238678819</v>
      </c>
      <c r="C910" s="29" t="n">
        <f aca="false">IF(A911=A910,B911,INDEX(Rounds!$D:$D,MATCH(A910,Rounds!$A:$A,0)))</f>
        <v>46301.5238692014</v>
      </c>
      <c r="D910" s="30" t="n">
        <f aca="false">(B910-INDEX(Rounds!$C:$C,MATCH(A910,Rounds!$A:$A,0)))*86400</f>
        <v>19.190999306</v>
      </c>
      <c r="E910" s="30" t="n">
        <f aca="false">(C910-INDEX(Rounds!$C:$C,MATCH(A910,Rounds!$A:$A,0)))*86400</f>
        <v>19.304999895</v>
      </c>
      <c r="F910" s="31" t="n">
        <f aca="false">(C910-B910)*86400</f>
        <v>0.114000588</v>
      </c>
      <c r="G910" s="27" t="s">
        <v>151</v>
      </c>
      <c r="H910" s="27" t="s">
        <v>203</v>
      </c>
      <c r="I910" s="27" t="s">
        <v>365</v>
      </c>
      <c r="J910" s="27" t="s">
        <v>210</v>
      </c>
      <c r="K910" s="27" t="s">
        <v>447</v>
      </c>
      <c r="L910" s="3" t="str">
        <f aca="false">IF(ISNUMBER(SEARCH(" m",I910)),"Range",IF(I910="offline","Offline",IF(I910="","Unknown","No echo / error")))</f>
        <v>Range</v>
      </c>
      <c r="M910" s="3" t="str">
        <f aca="false">IF(ISNUMBER(SEARCH(" m",J910)),"Range",IF(J910="offline","Offline",IF(J910="","Unknown","No echo / error")))</f>
        <v>Range</v>
      </c>
      <c r="N910" s="3" t="str">
        <f aca="false">IF(ISNUMBER(SEARCH(" m",K910)),"Range",IF(K910="offline","Offline",IF(K910="","Unknown","No echo / error")))</f>
        <v>Range</v>
      </c>
      <c r="O910" s="3" t="str">
        <f aca="false">TEXT(B910,"yyyy-mm-dd")</f>
        <v>2026-10-06</v>
      </c>
    </row>
    <row r="911" customFormat="false" ht="15" hidden="false" customHeight="false" outlineLevel="0" collapsed="false">
      <c r="A911" s="27" t="n">
        <v>15</v>
      </c>
      <c r="B911" s="28" t="n">
        <v>46301.5238692014</v>
      </c>
      <c r="C911" s="29" t="n">
        <f aca="false">IF(A912=A911,B912,INDEX(Rounds!$D:$D,MATCH(A911,Rounds!$A:$A,0)))</f>
        <v>46301.5238747917</v>
      </c>
      <c r="D911" s="30" t="n">
        <f aca="false">(B911-INDEX(Rounds!$C:$C,MATCH(A911,Rounds!$A:$A,0)))*86400</f>
        <v>19.304999895</v>
      </c>
      <c r="E911" s="30" t="n">
        <f aca="false">(C911-INDEX(Rounds!$C:$C,MATCH(A911,Rounds!$A:$A,0)))*86400</f>
        <v>19.787999941</v>
      </c>
      <c r="F911" s="31" t="n">
        <f aca="false">(C911-B911)*86400</f>
        <v>0.483000045</v>
      </c>
      <c r="G911" s="27" t="s">
        <v>150</v>
      </c>
      <c r="H911" s="27" t="s">
        <v>206</v>
      </c>
      <c r="I911" s="27" t="s">
        <v>261</v>
      </c>
      <c r="J911" s="27" t="s">
        <v>210</v>
      </c>
      <c r="K911" s="27" t="s">
        <v>447</v>
      </c>
      <c r="L911" s="3" t="str">
        <f aca="false">IF(ISNUMBER(SEARCH(" m",I911)),"Range",IF(I911="offline","Offline",IF(I911="","Unknown","No echo / error")))</f>
        <v>Range</v>
      </c>
      <c r="M911" s="3" t="str">
        <f aca="false">IF(ISNUMBER(SEARCH(" m",J911)),"Range",IF(J911="offline","Offline",IF(J911="","Unknown","No echo / error")))</f>
        <v>Range</v>
      </c>
      <c r="N911" s="3" t="str">
        <f aca="false">IF(ISNUMBER(SEARCH(" m",K911)),"Range",IF(K911="offline","Offline",IF(K911="","Unknown","No echo / error")))</f>
        <v>Range</v>
      </c>
      <c r="O911" s="3" t="str">
        <f aca="false">TEXT(B911,"yyyy-mm-dd")</f>
        <v>2026-10-06</v>
      </c>
    </row>
    <row r="912" customFormat="false" ht="15" hidden="false" customHeight="false" outlineLevel="0" collapsed="false">
      <c r="A912" s="27" t="n">
        <v>15</v>
      </c>
      <c r="B912" s="28" t="n">
        <v>46301.5238747917</v>
      </c>
      <c r="C912" s="29" t="n">
        <f aca="false">IF(A913=A912,B913,INDEX(Rounds!$D:$D,MATCH(A912,Rounds!$A:$A,0)))</f>
        <v>46301.5238770255</v>
      </c>
      <c r="D912" s="30" t="n">
        <f aca="false">(B912-INDEX(Rounds!$C:$C,MATCH(A912,Rounds!$A:$A,0)))*86400</f>
        <v>19.787999941</v>
      </c>
      <c r="E912" s="30" t="n">
        <f aca="false">(C912-INDEX(Rounds!$C:$C,MATCH(A912,Rounds!$A:$A,0)))*86400</f>
        <v>19.981000805</v>
      </c>
      <c r="F912" s="31" t="n">
        <f aca="false">(C912-B912)*86400</f>
        <v>0.193000864</v>
      </c>
      <c r="G912" s="27" t="s">
        <v>152</v>
      </c>
      <c r="H912" s="27" t="s">
        <v>208</v>
      </c>
      <c r="I912" s="27" t="s">
        <v>222</v>
      </c>
      <c r="J912" s="27" t="s">
        <v>403</v>
      </c>
      <c r="K912" s="27" t="s">
        <v>204</v>
      </c>
      <c r="L912" s="3" t="str">
        <f aca="false">IF(ISNUMBER(SEARCH(" m",I912)),"Range",IF(I912="offline","Offline",IF(I912="","Unknown","No echo / error")))</f>
        <v>Range</v>
      </c>
      <c r="M912" s="3" t="str">
        <f aca="false">IF(ISNUMBER(SEARCH(" m",J912)),"Range",IF(J912="offline","Offline",IF(J912="","Unknown","No echo / error")))</f>
        <v>Range</v>
      </c>
      <c r="N912" s="3" t="str">
        <f aca="false">IF(ISNUMBER(SEARCH(" m",K912)),"Range",IF(K912="offline","Offline",IF(K912="","Unknown","No echo / error")))</f>
        <v>No echo / error</v>
      </c>
      <c r="O912" s="3" t="str">
        <f aca="false">TEXT(B912,"yyyy-mm-dd")</f>
        <v>2026-10-06</v>
      </c>
    </row>
    <row r="913" customFormat="false" ht="15" hidden="false" customHeight="false" outlineLevel="0" collapsed="false">
      <c r="A913" s="27" t="n">
        <v>15</v>
      </c>
      <c r="B913" s="28" t="n">
        <v>46301.5238770255</v>
      </c>
      <c r="C913" s="29" t="n">
        <f aca="false">IF(A914=A913,B914,INDEX(Rounds!$D:$D,MATCH(A913,Rounds!$A:$A,0)))</f>
        <v>46301.5238840741</v>
      </c>
      <c r="D913" s="30" t="n">
        <f aca="false">(B913-INDEX(Rounds!$C:$C,MATCH(A913,Rounds!$A:$A,0)))*86400</f>
        <v>19.981000805</v>
      </c>
      <c r="E913" s="30" t="n">
        <f aca="false">(C913-INDEX(Rounds!$C:$C,MATCH(A913,Rounds!$A:$A,0)))*86400</f>
        <v>20.589999714</v>
      </c>
      <c r="F913" s="31" t="n">
        <f aca="false">(C913-B913)*86400</f>
        <v>0.608998909</v>
      </c>
      <c r="G913" s="27" t="s">
        <v>151</v>
      </c>
      <c r="H913" s="27" t="s">
        <v>203</v>
      </c>
      <c r="I913" s="27" t="s">
        <v>266</v>
      </c>
      <c r="J913" s="27" t="s">
        <v>404</v>
      </c>
      <c r="K913" s="27" t="s">
        <v>204</v>
      </c>
      <c r="L913" s="3" t="str">
        <f aca="false">IF(ISNUMBER(SEARCH(" m",I913)),"Range",IF(I913="offline","Offline",IF(I913="","Unknown","No echo / error")))</f>
        <v>Range</v>
      </c>
      <c r="M913" s="3" t="str">
        <f aca="false">IF(ISNUMBER(SEARCH(" m",J913)),"Range",IF(J913="offline","Offline",IF(J913="","Unknown","No echo / error")))</f>
        <v>Range</v>
      </c>
      <c r="N913" s="3" t="str">
        <f aca="false">IF(ISNUMBER(SEARCH(" m",K913)),"Range",IF(K913="offline","Offline",IF(K913="","Unknown","No echo / error")))</f>
        <v>No echo / error</v>
      </c>
      <c r="O913" s="3" t="str">
        <f aca="false">TEXT(B913,"yyyy-mm-dd")</f>
        <v>2026-10-06</v>
      </c>
    </row>
    <row r="914" customFormat="false" ht="15" hidden="false" customHeight="false" outlineLevel="0" collapsed="false">
      <c r="A914" s="27" t="n">
        <v>15</v>
      </c>
      <c r="B914" s="28" t="n">
        <v>46301.5238840741</v>
      </c>
      <c r="C914" s="29" t="n">
        <f aca="false">IF(A915=A914,B915,INDEX(Rounds!$D:$D,MATCH(A914,Rounds!$A:$A,0)))</f>
        <v>46301.5238859259</v>
      </c>
      <c r="D914" s="30" t="n">
        <f aca="false">(B914-INDEX(Rounds!$C:$C,MATCH(A914,Rounds!$A:$A,0)))*86400</f>
        <v>20.589999714</v>
      </c>
      <c r="E914" s="30" t="n">
        <f aca="false">(C914-INDEX(Rounds!$C:$C,MATCH(A914,Rounds!$A:$A,0)))*86400</f>
        <v>20.750000607</v>
      </c>
      <c r="F914" s="31" t="n">
        <f aca="false">(C914-B914)*86400</f>
        <v>0.160000892</v>
      </c>
      <c r="G914" s="27" t="s">
        <v>152</v>
      </c>
      <c r="H914" s="27" t="s">
        <v>208</v>
      </c>
      <c r="I914" s="27" t="s">
        <v>277</v>
      </c>
      <c r="J914" s="27" t="s">
        <v>507</v>
      </c>
      <c r="K914" s="27" t="s">
        <v>271</v>
      </c>
      <c r="L914" s="3" t="str">
        <f aca="false">IF(ISNUMBER(SEARCH(" m",I914)),"Range",IF(I914="offline","Offline",IF(I914="","Unknown","No echo / error")))</f>
        <v>Range</v>
      </c>
      <c r="M914" s="3" t="str">
        <f aca="false">IF(ISNUMBER(SEARCH(" m",J914)),"Range",IF(J914="offline","Offline",IF(J914="","Unknown","No echo / error")))</f>
        <v>Range</v>
      </c>
      <c r="N914" s="3" t="str">
        <f aca="false">IF(ISNUMBER(SEARCH(" m",K914)),"Range",IF(K914="offline","Offline",IF(K914="","Unknown","No echo / error")))</f>
        <v>Range</v>
      </c>
      <c r="O914" s="3" t="str">
        <f aca="false">TEXT(B914,"yyyy-mm-dd")</f>
        <v>2026-10-06</v>
      </c>
    </row>
    <row r="915" customFormat="false" ht="15" hidden="false" customHeight="false" outlineLevel="0" collapsed="false">
      <c r="A915" s="27" t="n">
        <v>15</v>
      </c>
      <c r="B915" s="28" t="n">
        <v>46301.5238859259</v>
      </c>
      <c r="C915" s="29" t="n">
        <f aca="false">IF(A916=A915,B916,INDEX(Rounds!$D:$D,MATCH(A915,Rounds!$A:$A,0)))</f>
        <v>46301.5239060417</v>
      </c>
      <c r="D915" s="30" t="n">
        <f aca="false">(B915-INDEX(Rounds!$C:$C,MATCH(A915,Rounds!$A:$A,0)))*86400</f>
        <v>20.750000607</v>
      </c>
      <c r="E915" s="30" t="n">
        <f aca="false">(C915-INDEX(Rounds!$C:$C,MATCH(A915,Rounds!$A:$A,0)))*86400</f>
        <v>22.487999126</v>
      </c>
      <c r="F915" s="31" t="n">
        <f aca="false">(C915-B915)*86400</f>
        <v>1.737998519</v>
      </c>
      <c r="G915" s="27" t="s">
        <v>151</v>
      </c>
      <c r="H915" s="27" t="s">
        <v>203</v>
      </c>
      <c r="I915" s="27" t="s">
        <v>213</v>
      </c>
      <c r="J915" s="27" t="s">
        <v>382</v>
      </c>
      <c r="K915" s="27" t="s">
        <v>271</v>
      </c>
      <c r="L915" s="3" t="str">
        <f aca="false">IF(ISNUMBER(SEARCH(" m",I915)),"Range",IF(I915="offline","Offline",IF(I915="","Unknown","No echo / error")))</f>
        <v>Range</v>
      </c>
      <c r="M915" s="3" t="str">
        <f aca="false">IF(ISNUMBER(SEARCH(" m",J915)),"Range",IF(J915="offline","Offline",IF(J915="","Unknown","No echo / error")))</f>
        <v>Range</v>
      </c>
      <c r="N915" s="3" t="str">
        <f aca="false">IF(ISNUMBER(SEARCH(" m",K915)),"Range",IF(K915="offline","Offline",IF(K915="","Unknown","No echo / error")))</f>
        <v>Range</v>
      </c>
      <c r="O915" s="3" t="str">
        <f aca="false">TEXT(B915,"yyyy-mm-dd")</f>
        <v>2026-10-06</v>
      </c>
    </row>
    <row r="916" customFormat="false" ht="15" hidden="false" customHeight="false" outlineLevel="0" collapsed="false">
      <c r="A916" s="27" t="n">
        <v>15</v>
      </c>
      <c r="B916" s="28" t="n">
        <v>46301.5239060417</v>
      </c>
      <c r="C916" s="29" t="n">
        <f aca="false">IF(A917=A916,B917,INDEX(Rounds!$D:$D,MATCH(A916,Rounds!$A:$A,0)))</f>
        <v>46301.5239335764</v>
      </c>
      <c r="D916" s="30" t="n">
        <f aca="false">(B916-INDEX(Rounds!$C:$C,MATCH(A916,Rounds!$A:$A,0)))*86400</f>
        <v>22.487999126</v>
      </c>
      <c r="E916" s="30" t="n">
        <f aca="false">(C916-INDEX(Rounds!$C:$C,MATCH(A916,Rounds!$A:$A,0)))*86400</f>
        <v>24.867000128</v>
      </c>
      <c r="F916" s="31" t="n">
        <f aca="false">(C916-B916)*86400</f>
        <v>2.379001001</v>
      </c>
      <c r="G916" s="27" t="s">
        <v>153</v>
      </c>
      <c r="H916" s="27" t="s">
        <v>508</v>
      </c>
      <c r="I916" s="27" t="s">
        <v>262</v>
      </c>
      <c r="J916" s="27" t="s">
        <v>509</v>
      </c>
      <c r="K916" s="27" t="s">
        <v>510</v>
      </c>
      <c r="L916" s="3" t="str">
        <f aca="false">IF(ISNUMBER(SEARCH(" m",I916)),"Range",IF(I916="offline","Offline",IF(I916="","Unknown","No echo / error")))</f>
        <v>Range</v>
      </c>
      <c r="M916" s="3" t="str">
        <f aca="false">IF(ISNUMBER(SEARCH(" m",J916)),"Range",IF(J916="offline","Offline",IF(J916="","Unknown","No echo / error")))</f>
        <v>Range</v>
      </c>
      <c r="N916" s="3" t="str">
        <f aca="false">IF(ISNUMBER(SEARCH(" m",K916)),"Range",IF(K916="offline","Offline",IF(K916="","Unknown","No echo / error")))</f>
        <v>Range</v>
      </c>
      <c r="O916" s="3" t="str">
        <f aca="false">TEXT(B916,"yyyy-mm-dd")</f>
        <v>2026-10-06</v>
      </c>
    </row>
    <row r="917" customFormat="false" ht="15" hidden="false" customHeight="false" outlineLevel="0" collapsed="false">
      <c r="A917" s="27" t="n">
        <v>15</v>
      </c>
      <c r="B917" s="28" t="n">
        <v>46301.5239335764</v>
      </c>
      <c r="C917" s="29" t="n">
        <f aca="false">IF(A918=A917,B918,INDEX(Rounds!$D:$D,MATCH(A917,Rounds!$A:$A,0)))</f>
        <v>46301.5239589005</v>
      </c>
      <c r="D917" s="30" t="n">
        <f aca="false">(B917-INDEX(Rounds!$C:$C,MATCH(A917,Rounds!$A:$A,0)))*86400</f>
        <v>24.867000128</v>
      </c>
      <c r="E917" s="30" t="n">
        <f aca="false">(C917-INDEX(Rounds!$C:$C,MATCH(A917,Rounds!$A:$A,0)))*86400</f>
        <v>27.054999978</v>
      </c>
      <c r="F917" s="31" t="n">
        <f aca="false">(C917-B917)*86400</f>
        <v>2.18799985</v>
      </c>
      <c r="G917" s="27" t="s">
        <v>153</v>
      </c>
      <c r="H917" s="27" t="s">
        <v>511</v>
      </c>
      <c r="I917" s="27" t="s">
        <v>396</v>
      </c>
      <c r="J917" s="27" t="s">
        <v>512</v>
      </c>
      <c r="K917" s="27" t="s">
        <v>410</v>
      </c>
      <c r="L917" s="3" t="str">
        <f aca="false">IF(ISNUMBER(SEARCH(" m",I917)),"Range",IF(I917="offline","Offline",IF(I917="","Unknown","No echo / error")))</f>
        <v>Range</v>
      </c>
      <c r="M917" s="3" t="str">
        <f aca="false">IF(ISNUMBER(SEARCH(" m",J917)),"Range",IF(J917="offline","Offline",IF(J917="","Unknown","No echo / error")))</f>
        <v>Range</v>
      </c>
      <c r="N917" s="3" t="str">
        <f aca="false">IF(ISNUMBER(SEARCH(" m",K917)),"Range",IF(K917="offline","Offline",IF(K917="","Unknown","No echo / error")))</f>
        <v>Range</v>
      </c>
      <c r="O917" s="3" t="str">
        <f aca="false">TEXT(B917,"yyyy-mm-dd")</f>
        <v>2026-10-06</v>
      </c>
    </row>
    <row r="918" customFormat="false" ht="15" hidden="false" customHeight="false" outlineLevel="0" collapsed="false">
      <c r="A918" s="27" t="n">
        <v>15</v>
      </c>
      <c r="B918" s="28" t="n">
        <v>46301.5239589005</v>
      </c>
      <c r="C918" s="29" t="n">
        <f aca="false">IF(A919=A918,B919,INDEX(Rounds!$D:$D,MATCH(A918,Rounds!$A:$A,0)))</f>
        <v>46301.523974375</v>
      </c>
      <c r="D918" s="30" t="n">
        <f aca="false">(B918-INDEX(Rounds!$C:$C,MATCH(A918,Rounds!$A:$A,0)))*86400</f>
        <v>27.054999978</v>
      </c>
      <c r="E918" s="30" t="n">
        <f aca="false">(C918-INDEX(Rounds!$C:$C,MATCH(A918,Rounds!$A:$A,0)))*86400</f>
        <v>28.391999867</v>
      </c>
      <c r="F918" s="31" t="n">
        <f aca="false">(C918-B918)*86400</f>
        <v>1.336999889</v>
      </c>
      <c r="G918" s="27" t="s">
        <v>151</v>
      </c>
      <c r="H918" s="27" t="s">
        <v>203</v>
      </c>
      <c r="I918" s="27" t="s">
        <v>248</v>
      </c>
      <c r="J918" s="27" t="s">
        <v>513</v>
      </c>
      <c r="K918" s="27" t="s">
        <v>301</v>
      </c>
      <c r="L918" s="3" t="str">
        <f aca="false">IF(ISNUMBER(SEARCH(" m",I918)),"Range",IF(I918="offline","Offline",IF(I918="","Unknown","No echo / error")))</f>
        <v>Range</v>
      </c>
      <c r="M918" s="3" t="str">
        <f aca="false">IF(ISNUMBER(SEARCH(" m",J918)),"Range",IF(J918="offline","Offline",IF(J918="","Unknown","No echo / error")))</f>
        <v>Range</v>
      </c>
      <c r="N918" s="3" t="str">
        <f aca="false">IF(ISNUMBER(SEARCH(" m",K918)),"Range",IF(K918="offline","Offline",IF(K918="","Unknown","No echo / error")))</f>
        <v>Range</v>
      </c>
      <c r="O918" s="3" t="str">
        <f aca="false">TEXT(B918,"yyyy-mm-dd")</f>
        <v>2026-10-06</v>
      </c>
    </row>
    <row r="919" customFormat="false" ht="15" hidden="false" customHeight="false" outlineLevel="0" collapsed="false">
      <c r="A919" s="27" t="n">
        <v>15</v>
      </c>
      <c r="B919" s="28" t="n">
        <v>46301.523974375</v>
      </c>
      <c r="C919" s="29" t="n">
        <f aca="false">IF(A920=A919,B920,INDEX(Rounds!$D:$D,MATCH(A919,Rounds!$A:$A,0)))</f>
        <v>46301.5239799769</v>
      </c>
      <c r="D919" s="30" t="n">
        <f aca="false">(B919-INDEX(Rounds!$C:$C,MATCH(A919,Rounds!$A:$A,0)))*86400</f>
        <v>28.391999867</v>
      </c>
      <c r="E919" s="30" t="n">
        <f aca="false">(C919-INDEX(Rounds!$C:$C,MATCH(A919,Rounds!$A:$A,0)))*86400</f>
        <v>28.876000083</v>
      </c>
      <c r="F919" s="31" t="n">
        <f aca="false">(C919-B919)*86400</f>
        <v>0.484000216</v>
      </c>
      <c r="G919" s="27" t="s">
        <v>150</v>
      </c>
      <c r="H919" s="27" t="s">
        <v>206</v>
      </c>
      <c r="I919" s="27" t="s">
        <v>276</v>
      </c>
      <c r="J919" s="27" t="s">
        <v>382</v>
      </c>
      <c r="K919" s="27" t="s">
        <v>372</v>
      </c>
      <c r="L919" s="3" t="str">
        <f aca="false">IF(ISNUMBER(SEARCH(" m",I919)),"Range",IF(I919="offline","Offline",IF(I919="","Unknown","No echo / error")))</f>
        <v>Range</v>
      </c>
      <c r="M919" s="3" t="str">
        <f aca="false">IF(ISNUMBER(SEARCH(" m",J919)),"Range",IF(J919="offline","Offline",IF(J919="","Unknown","No echo / error")))</f>
        <v>Range</v>
      </c>
      <c r="N919" s="3" t="str">
        <f aca="false">IF(ISNUMBER(SEARCH(" m",K919)),"Range",IF(K919="offline","Offline",IF(K919="","Unknown","No echo / error")))</f>
        <v>Range</v>
      </c>
      <c r="O919" s="3" t="str">
        <f aca="false">TEXT(B919,"yyyy-mm-dd")</f>
        <v>2026-10-06</v>
      </c>
    </row>
    <row r="920" customFormat="false" ht="15" hidden="false" customHeight="false" outlineLevel="0" collapsed="false">
      <c r="A920" s="27" t="n">
        <v>15</v>
      </c>
      <c r="B920" s="28" t="n">
        <v>46301.5239799769</v>
      </c>
      <c r="C920" s="29" t="n">
        <f aca="false">IF(A921=A920,B921,INDEX(Rounds!$D:$D,MATCH(A920,Rounds!$A:$A,0)))</f>
        <v>46301.523980544</v>
      </c>
      <c r="D920" s="30" t="n">
        <f aca="false">(B920-INDEX(Rounds!$C:$C,MATCH(A920,Rounds!$A:$A,0)))*86400</f>
        <v>28.876000083</v>
      </c>
      <c r="E920" s="30" t="n">
        <f aca="false">(C920-INDEX(Rounds!$C:$C,MATCH(A920,Rounds!$A:$A,0)))*86400</f>
        <v>28.925000899</v>
      </c>
      <c r="F920" s="31" t="n">
        <f aca="false">(C920-B920)*86400</f>
        <v>0.049000815</v>
      </c>
      <c r="G920" s="27" t="s">
        <v>152</v>
      </c>
      <c r="H920" s="27" t="s">
        <v>208</v>
      </c>
      <c r="I920" s="27" t="s">
        <v>213</v>
      </c>
      <c r="J920" s="27" t="s">
        <v>514</v>
      </c>
      <c r="K920" s="27" t="s">
        <v>212</v>
      </c>
      <c r="L920" s="3" t="str">
        <f aca="false">IF(ISNUMBER(SEARCH(" m",I920)),"Range",IF(I920="offline","Offline",IF(I920="","Unknown","No echo / error")))</f>
        <v>Range</v>
      </c>
      <c r="M920" s="3" t="str">
        <f aca="false">IF(ISNUMBER(SEARCH(" m",J920)),"Range",IF(J920="offline","Offline",IF(J920="","Unknown","No echo / error")))</f>
        <v>Range</v>
      </c>
      <c r="N920" s="3" t="str">
        <f aca="false">IF(ISNUMBER(SEARCH(" m",K920)),"Range",IF(K920="offline","Offline",IF(K920="","Unknown","No echo / error")))</f>
        <v>Range</v>
      </c>
      <c r="O920" s="3" t="str">
        <f aca="false">TEXT(B920,"yyyy-mm-dd")</f>
        <v>2026-10-06</v>
      </c>
    </row>
    <row r="921" customFormat="false" ht="15" hidden="false" customHeight="false" outlineLevel="0" collapsed="false">
      <c r="A921" s="27" t="n">
        <v>15</v>
      </c>
      <c r="B921" s="28" t="n">
        <v>46301.523980544</v>
      </c>
      <c r="C921" s="29" t="n">
        <f aca="false">IF(A922=A921,B922,INDEX(Rounds!$D:$D,MATCH(A921,Rounds!$A:$A,0)))</f>
        <v>46301.5239863194</v>
      </c>
      <c r="D921" s="30" t="n">
        <f aca="false">(B921-INDEX(Rounds!$C:$C,MATCH(A921,Rounds!$A:$A,0)))*86400</f>
        <v>28.925000899</v>
      </c>
      <c r="E921" s="30" t="n">
        <f aca="false">(C921-INDEX(Rounds!$C:$C,MATCH(A921,Rounds!$A:$A,0)))*86400</f>
        <v>29.423999274</v>
      </c>
      <c r="F921" s="31" t="n">
        <f aca="false">(C921-B921)*86400</f>
        <v>0.498998374</v>
      </c>
      <c r="G921" s="27" t="s">
        <v>151</v>
      </c>
      <c r="H921" s="27" t="s">
        <v>203</v>
      </c>
      <c r="I921" s="27" t="s">
        <v>213</v>
      </c>
      <c r="J921" s="27" t="s">
        <v>476</v>
      </c>
      <c r="K921" s="27" t="s">
        <v>212</v>
      </c>
      <c r="L921" s="3" t="str">
        <f aca="false">IF(ISNUMBER(SEARCH(" m",I921)),"Range",IF(I921="offline","Offline",IF(I921="","Unknown","No echo / error")))</f>
        <v>Range</v>
      </c>
      <c r="M921" s="3" t="str">
        <f aca="false">IF(ISNUMBER(SEARCH(" m",J921)),"Range",IF(J921="offline","Offline",IF(J921="","Unknown","No echo / error")))</f>
        <v>Range</v>
      </c>
      <c r="N921" s="3" t="str">
        <f aca="false">IF(ISNUMBER(SEARCH(" m",K921)),"Range",IF(K921="offline","Offline",IF(K921="","Unknown","No echo / error")))</f>
        <v>Range</v>
      </c>
      <c r="O921" s="3" t="str">
        <f aca="false">TEXT(B921,"yyyy-mm-dd")</f>
        <v>2026-10-06</v>
      </c>
    </row>
    <row r="922" customFormat="false" ht="15" hidden="false" customHeight="false" outlineLevel="0" collapsed="false">
      <c r="A922" s="27" t="n">
        <v>15</v>
      </c>
      <c r="B922" s="28" t="n">
        <v>46301.5239863194</v>
      </c>
      <c r="C922" s="29" t="n">
        <f aca="false">IF(A923=A922,B923,INDEX(Rounds!$D:$D,MATCH(A922,Rounds!$A:$A,0)))</f>
        <v>46301.5239881829</v>
      </c>
      <c r="D922" s="30" t="n">
        <f aca="false">(B922-INDEX(Rounds!$C:$C,MATCH(A922,Rounds!$A:$A,0)))*86400</f>
        <v>29.423999274</v>
      </c>
      <c r="E922" s="30" t="n">
        <f aca="false">(C922-INDEX(Rounds!$C:$C,MATCH(A922,Rounds!$A:$A,0)))*86400</f>
        <v>29.584999708</v>
      </c>
      <c r="F922" s="31" t="n">
        <f aca="false">(C922-B922)*86400</f>
        <v>0.161000434</v>
      </c>
      <c r="G922" s="27" t="s">
        <v>152</v>
      </c>
      <c r="H922" s="27" t="s">
        <v>208</v>
      </c>
      <c r="I922" s="27" t="s">
        <v>277</v>
      </c>
      <c r="J922" s="27" t="s">
        <v>419</v>
      </c>
      <c r="K922" s="27" t="s">
        <v>248</v>
      </c>
      <c r="L922" s="3" t="str">
        <f aca="false">IF(ISNUMBER(SEARCH(" m",I922)),"Range",IF(I922="offline","Offline",IF(I922="","Unknown","No echo / error")))</f>
        <v>Range</v>
      </c>
      <c r="M922" s="3" t="str">
        <f aca="false">IF(ISNUMBER(SEARCH(" m",J922)),"Range",IF(J922="offline","Offline",IF(J922="","Unknown","No echo / error")))</f>
        <v>Range</v>
      </c>
      <c r="N922" s="3" t="str">
        <f aca="false">IF(ISNUMBER(SEARCH(" m",K922)),"Range",IF(K922="offline","Offline",IF(K922="","Unknown","No echo / error")))</f>
        <v>Range</v>
      </c>
      <c r="O922" s="3" t="str">
        <f aca="false">TEXT(B922,"yyyy-mm-dd")</f>
        <v>2026-10-06</v>
      </c>
    </row>
    <row r="923" customFormat="false" ht="15" hidden="false" customHeight="false" outlineLevel="0" collapsed="false">
      <c r="A923" s="27" t="n">
        <v>15</v>
      </c>
      <c r="B923" s="28" t="n">
        <v>46301.5239881829</v>
      </c>
      <c r="C923" s="29" t="n">
        <f aca="false">IF(A924=A923,B924,INDEX(Rounds!$D:$D,MATCH(A923,Rounds!$A:$A,0)))</f>
        <v>46301.5239910069</v>
      </c>
      <c r="D923" s="30" t="n">
        <f aca="false">(B923-INDEX(Rounds!$C:$C,MATCH(A923,Rounds!$A:$A,0)))*86400</f>
        <v>29.584999708</v>
      </c>
      <c r="E923" s="30" t="n">
        <f aca="false">(C923-INDEX(Rounds!$C:$C,MATCH(A923,Rounds!$A:$A,0)))*86400</f>
        <v>29.828999843</v>
      </c>
      <c r="F923" s="31" t="n">
        <f aca="false">(C923-B923)*86400</f>
        <v>0.244000134</v>
      </c>
      <c r="G923" s="27" t="s">
        <v>151</v>
      </c>
      <c r="H923" s="27" t="s">
        <v>203</v>
      </c>
      <c r="I923" s="27" t="s">
        <v>277</v>
      </c>
      <c r="J923" s="27" t="s">
        <v>372</v>
      </c>
      <c r="K923" s="27" t="s">
        <v>419</v>
      </c>
      <c r="L923" s="3" t="str">
        <f aca="false">IF(ISNUMBER(SEARCH(" m",I923)),"Range",IF(I923="offline","Offline",IF(I923="","Unknown","No echo / error")))</f>
        <v>Range</v>
      </c>
      <c r="M923" s="3" t="str">
        <f aca="false">IF(ISNUMBER(SEARCH(" m",J923)),"Range",IF(J923="offline","Offline",IF(J923="","Unknown","No echo / error")))</f>
        <v>Range</v>
      </c>
      <c r="N923" s="3" t="str">
        <f aca="false">IF(ISNUMBER(SEARCH(" m",K923)),"Range",IF(K923="offline","Offline",IF(K923="","Unknown","No echo / error")))</f>
        <v>Range</v>
      </c>
      <c r="O923" s="3" t="str">
        <f aca="false">TEXT(B923,"yyyy-mm-dd")</f>
        <v>2026-10-06</v>
      </c>
    </row>
    <row r="924" customFormat="false" ht="15" hidden="false" customHeight="false" outlineLevel="0" collapsed="false">
      <c r="A924" s="27" t="n">
        <v>15</v>
      </c>
      <c r="B924" s="28" t="n">
        <v>46301.5239910069</v>
      </c>
      <c r="C924" s="29" t="n">
        <f aca="false">IF(A925=A924,B925,INDEX(Rounds!$D:$D,MATCH(A924,Rounds!$A:$A,0)))</f>
        <v>46301.52399625</v>
      </c>
      <c r="D924" s="30" t="n">
        <f aca="false">(B924-INDEX(Rounds!$C:$C,MATCH(A924,Rounds!$A:$A,0)))*86400</f>
        <v>29.828999843</v>
      </c>
      <c r="E924" s="30" t="n">
        <f aca="false">(C924-INDEX(Rounds!$C:$C,MATCH(A924,Rounds!$A:$A,0)))*86400</f>
        <v>30.2819998</v>
      </c>
      <c r="F924" s="31" t="n">
        <f aca="false">(C924-B924)*86400</f>
        <v>0.452999956</v>
      </c>
      <c r="G924" s="27" t="s">
        <v>150</v>
      </c>
      <c r="H924" s="27" t="s">
        <v>206</v>
      </c>
      <c r="I924" s="27" t="s">
        <v>204</v>
      </c>
      <c r="J924" s="27" t="s">
        <v>372</v>
      </c>
      <c r="K924" s="27" t="s">
        <v>396</v>
      </c>
      <c r="L924" s="3" t="str">
        <f aca="false">IF(ISNUMBER(SEARCH(" m",I924)),"Range",IF(I924="offline","Offline",IF(I924="","Unknown","No echo / error")))</f>
        <v>No echo / error</v>
      </c>
      <c r="M924" s="3" t="str">
        <f aca="false">IF(ISNUMBER(SEARCH(" m",J924)),"Range",IF(J924="offline","Offline",IF(J924="","Unknown","No echo / error")))</f>
        <v>Range</v>
      </c>
      <c r="N924" s="3" t="str">
        <f aca="false">IF(ISNUMBER(SEARCH(" m",K924)),"Range",IF(K924="offline","Offline",IF(K924="","Unknown","No echo / error")))</f>
        <v>Range</v>
      </c>
      <c r="O924" s="3" t="str">
        <f aca="false">TEXT(B924,"yyyy-mm-dd")</f>
        <v>2026-10-06</v>
      </c>
    </row>
    <row r="925" customFormat="false" ht="15" hidden="false" customHeight="false" outlineLevel="0" collapsed="false">
      <c r="A925" s="27" t="n">
        <v>15</v>
      </c>
      <c r="B925" s="28" t="n">
        <v>46301.52399625</v>
      </c>
      <c r="C925" s="29" t="n">
        <f aca="false">IF(A926=A925,B926,INDEX(Rounds!$D:$D,MATCH(A925,Rounds!$A:$A,0)))</f>
        <v>46301.5239979282</v>
      </c>
      <c r="D925" s="30" t="n">
        <f aca="false">(B925-INDEX(Rounds!$C:$C,MATCH(A925,Rounds!$A:$A,0)))*86400</f>
        <v>30.2819998</v>
      </c>
      <c r="E925" s="30" t="n">
        <f aca="false">(C925-INDEX(Rounds!$C:$C,MATCH(A925,Rounds!$A:$A,0)))*86400</f>
        <v>30.427000019</v>
      </c>
      <c r="F925" s="31" t="n">
        <f aca="false">(C925-B925)*86400</f>
        <v>0.145000219</v>
      </c>
      <c r="G925" s="27" t="s">
        <v>151</v>
      </c>
      <c r="H925" s="27" t="s">
        <v>203</v>
      </c>
      <c r="I925" s="27" t="s">
        <v>204</v>
      </c>
      <c r="J925" s="27" t="s">
        <v>423</v>
      </c>
      <c r="K925" s="27" t="s">
        <v>301</v>
      </c>
      <c r="L925" s="3" t="str">
        <f aca="false">IF(ISNUMBER(SEARCH(" m",I925)),"Range",IF(I925="offline","Offline",IF(I925="","Unknown","No echo / error")))</f>
        <v>No echo / error</v>
      </c>
      <c r="M925" s="3" t="str">
        <f aca="false">IF(ISNUMBER(SEARCH(" m",J925)),"Range",IF(J925="offline","Offline",IF(J925="","Unknown","No echo / error")))</f>
        <v>Range</v>
      </c>
      <c r="N925" s="3" t="str">
        <f aca="false">IF(ISNUMBER(SEARCH(" m",K925)),"Range",IF(K925="offline","Offline",IF(K925="","Unknown","No echo / error")))</f>
        <v>Range</v>
      </c>
      <c r="O925" s="3" t="str">
        <f aca="false">TEXT(B925,"yyyy-mm-dd")</f>
        <v>2026-10-06</v>
      </c>
    </row>
    <row r="926" customFormat="false" ht="15" hidden="false" customHeight="false" outlineLevel="0" collapsed="false">
      <c r="A926" s="27" t="n">
        <v>15</v>
      </c>
      <c r="B926" s="28" t="n">
        <v>46301.5239979282</v>
      </c>
      <c r="C926" s="29" t="n">
        <f aca="false">IF(A927=A926,B927,INDEX(Rounds!$D:$D,MATCH(A926,Rounds!$A:$A,0)))</f>
        <v>46301.524007581</v>
      </c>
      <c r="D926" s="30" t="n">
        <f aca="false">(B926-INDEX(Rounds!$C:$C,MATCH(A926,Rounds!$A:$A,0)))*86400</f>
        <v>30.427000019</v>
      </c>
      <c r="E926" s="30" t="n">
        <f aca="false">(C926-INDEX(Rounds!$C:$C,MATCH(A926,Rounds!$A:$A,0)))*86400</f>
        <v>31.261000223</v>
      </c>
      <c r="F926" s="31" t="n">
        <f aca="false">(C926-B926)*86400</f>
        <v>0.834000203</v>
      </c>
      <c r="G926" s="27" t="s">
        <v>150</v>
      </c>
      <c r="H926" s="27" t="s">
        <v>206</v>
      </c>
      <c r="I926" s="27" t="s">
        <v>204</v>
      </c>
      <c r="J926" s="27" t="s">
        <v>210</v>
      </c>
      <c r="K926" s="27" t="s">
        <v>301</v>
      </c>
      <c r="L926" s="3" t="str">
        <f aca="false">IF(ISNUMBER(SEARCH(" m",I926)),"Range",IF(I926="offline","Offline",IF(I926="","Unknown","No echo / error")))</f>
        <v>No echo / error</v>
      </c>
      <c r="M926" s="3" t="str">
        <f aca="false">IF(ISNUMBER(SEARCH(" m",J926)),"Range",IF(J926="offline","Offline",IF(J926="","Unknown","No echo / error")))</f>
        <v>Range</v>
      </c>
      <c r="N926" s="3" t="str">
        <f aca="false">IF(ISNUMBER(SEARCH(" m",K926)),"Range",IF(K926="offline","Offline",IF(K926="","Unknown","No echo / error")))</f>
        <v>Range</v>
      </c>
      <c r="O926" s="3" t="str">
        <f aca="false">TEXT(B926,"yyyy-mm-dd")</f>
        <v>2026-10-06</v>
      </c>
    </row>
    <row r="927" customFormat="false" ht="15" hidden="false" customHeight="false" outlineLevel="0" collapsed="false">
      <c r="A927" s="27" t="n">
        <v>15</v>
      </c>
      <c r="B927" s="28" t="n">
        <v>46301.524007581</v>
      </c>
      <c r="C927" s="29" t="n">
        <f aca="false">IF(A928=A927,B928,INDEX(Rounds!$D:$D,MATCH(A927,Rounds!$A:$A,0)))</f>
        <v>46301.5240094445</v>
      </c>
      <c r="D927" s="30" t="n">
        <f aca="false">(B927-INDEX(Rounds!$C:$C,MATCH(A927,Rounds!$A:$A,0)))*86400</f>
        <v>31.261000223</v>
      </c>
      <c r="E927" s="30" t="n">
        <f aca="false">(C927-INDEX(Rounds!$C:$C,MATCH(A927,Rounds!$A:$A,0)))*86400</f>
        <v>31.422000657</v>
      </c>
      <c r="F927" s="31" t="n">
        <f aca="false">(C927-B927)*86400</f>
        <v>0.161000434</v>
      </c>
      <c r="G927" s="27" t="s">
        <v>152</v>
      </c>
      <c r="H927" s="27" t="s">
        <v>208</v>
      </c>
      <c r="I927" s="27" t="s">
        <v>207</v>
      </c>
      <c r="J927" s="27" t="s">
        <v>220</v>
      </c>
      <c r="K927" s="27" t="s">
        <v>272</v>
      </c>
      <c r="L927" s="3" t="str">
        <f aca="false">IF(ISNUMBER(SEARCH(" m",I927)),"Range",IF(I927="offline","Offline",IF(I927="","Unknown","No echo / error")))</f>
        <v>Range</v>
      </c>
      <c r="M927" s="3" t="str">
        <f aca="false">IF(ISNUMBER(SEARCH(" m",J927)),"Range",IF(J927="offline","Offline",IF(J927="","Unknown","No echo / error")))</f>
        <v>No echo / error</v>
      </c>
      <c r="N927" s="3" t="str">
        <f aca="false">IF(ISNUMBER(SEARCH(" m",K927)),"Range",IF(K927="offline","Offline",IF(K927="","Unknown","No echo / error")))</f>
        <v>Range</v>
      </c>
      <c r="O927" s="3" t="str">
        <f aca="false">TEXT(B927,"yyyy-mm-dd")</f>
        <v>2026-10-06</v>
      </c>
    </row>
    <row r="928" customFormat="false" ht="15" hidden="false" customHeight="false" outlineLevel="0" collapsed="false">
      <c r="A928" s="27" t="n">
        <v>15</v>
      </c>
      <c r="B928" s="28" t="n">
        <v>46301.5240094445</v>
      </c>
      <c r="C928" s="29" t="n">
        <f aca="false">IF(A929=A928,B929,INDEX(Rounds!$D:$D,MATCH(A928,Rounds!$A:$A,0)))</f>
        <v>46301.5240146528</v>
      </c>
      <c r="D928" s="30" t="n">
        <f aca="false">(B928-INDEX(Rounds!$C:$C,MATCH(A928,Rounds!$A:$A,0)))*86400</f>
        <v>31.422000657</v>
      </c>
      <c r="E928" s="30" t="n">
        <f aca="false">(C928-INDEX(Rounds!$C:$C,MATCH(A928,Rounds!$A:$A,0)))*86400</f>
        <v>31.872000102</v>
      </c>
      <c r="F928" s="31" t="n">
        <f aca="false">(C928-B928)*86400</f>
        <v>0.449999445</v>
      </c>
      <c r="G928" s="27" t="s">
        <v>151</v>
      </c>
      <c r="H928" s="27" t="s">
        <v>203</v>
      </c>
      <c r="I928" s="27" t="s">
        <v>207</v>
      </c>
      <c r="J928" s="27" t="s">
        <v>259</v>
      </c>
      <c r="K928" s="27" t="s">
        <v>360</v>
      </c>
      <c r="L928" s="3" t="str">
        <f aca="false">IF(ISNUMBER(SEARCH(" m",I928)),"Range",IF(I928="offline","Offline",IF(I928="","Unknown","No echo / error")))</f>
        <v>Range</v>
      </c>
      <c r="M928" s="3" t="str">
        <f aca="false">IF(ISNUMBER(SEARCH(" m",J928)),"Range",IF(J928="offline","Offline",IF(J928="","Unknown","No echo / error")))</f>
        <v>Range</v>
      </c>
      <c r="N928" s="3" t="str">
        <f aca="false">IF(ISNUMBER(SEARCH(" m",K928)),"Range",IF(K928="offline","Offline",IF(K928="","Unknown","No echo / error")))</f>
        <v>Range</v>
      </c>
      <c r="O928" s="3" t="str">
        <f aca="false">TEXT(B928,"yyyy-mm-dd")</f>
        <v>2026-10-06</v>
      </c>
    </row>
    <row r="929" customFormat="false" ht="15" hidden="false" customHeight="false" outlineLevel="0" collapsed="false">
      <c r="A929" s="27" t="n">
        <v>15</v>
      </c>
      <c r="B929" s="28" t="n">
        <v>46301.5240146528</v>
      </c>
      <c r="C929" s="29" t="n">
        <f aca="false">IF(A930=A929,B930,INDEX(Rounds!$D:$D,MATCH(A929,Rounds!$A:$A,0)))</f>
        <v>46301.5240500231</v>
      </c>
      <c r="D929" s="30" t="n">
        <f aca="false">(B929-INDEX(Rounds!$C:$C,MATCH(A929,Rounds!$A:$A,0)))*86400</f>
        <v>31.872000102</v>
      </c>
      <c r="E929" s="30" t="n">
        <f aca="false">(C929-INDEX(Rounds!$C:$C,MATCH(A929,Rounds!$A:$A,0)))*86400</f>
        <v>34.927999041</v>
      </c>
      <c r="F929" s="31" t="n">
        <f aca="false">(C929-B929)*86400</f>
        <v>3.055998939</v>
      </c>
      <c r="G929" s="27" t="s">
        <v>150</v>
      </c>
      <c r="H929" s="27" t="s">
        <v>206</v>
      </c>
      <c r="I929" s="27" t="s">
        <v>347</v>
      </c>
      <c r="J929" s="27" t="s">
        <v>259</v>
      </c>
      <c r="K929" s="27" t="s">
        <v>292</v>
      </c>
      <c r="L929" s="3" t="str">
        <f aca="false">IF(ISNUMBER(SEARCH(" m",I929)),"Range",IF(I929="offline","Offline",IF(I929="","Unknown","No echo / error")))</f>
        <v>Range</v>
      </c>
      <c r="M929" s="3" t="str">
        <f aca="false">IF(ISNUMBER(SEARCH(" m",J929)),"Range",IF(J929="offline","Offline",IF(J929="","Unknown","No echo / error")))</f>
        <v>Range</v>
      </c>
      <c r="N929" s="3" t="str">
        <f aca="false">IF(ISNUMBER(SEARCH(" m",K929)),"Range",IF(K929="offline","Offline",IF(K929="","Unknown","No echo / error")))</f>
        <v>Range</v>
      </c>
      <c r="O929" s="3" t="str">
        <f aca="false">TEXT(B929,"yyyy-mm-dd")</f>
        <v>2026-10-06</v>
      </c>
    </row>
    <row r="930" customFormat="false" ht="15" hidden="false" customHeight="false" outlineLevel="0" collapsed="false">
      <c r="A930" s="27" t="n">
        <v>15</v>
      </c>
      <c r="B930" s="28" t="n">
        <v>46301.5240500231</v>
      </c>
      <c r="C930" s="29" t="n">
        <f aca="false">IF(A931=A930,B931,INDEX(Rounds!$D:$D,MATCH(A930,Rounds!$A:$A,0)))</f>
        <v>46301.5240552315</v>
      </c>
      <c r="D930" s="30" t="n">
        <f aca="false">(B930-INDEX(Rounds!$C:$C,MATCH(A930,Rounds!$A:$A,0)))*86400</f>
        <v>34.927999041</v>
      </c>
      <c r="E930" s="30" t="n">
        <f aca="false">(C930-INDEX(Rounds!$C:$C,MATCH(A930,Rounds!$A:$A,0)))*86400</f>
        <v>35.377999744</v>
      </c>
      <c r="F930" s="31" t="n">
        <f aca="false">(C930-B930)*86400</f>
        <v>0.450000702</v>
      </c>
      <c r="G930" s="27" t="s">
        <v>152</v>
      </c>
      <c r="H930" s="27" t="s">
        <v>208</v>
      </c>
      <c r="I930" s="27" t="s">
        <v>335</v>
      </c>
      <c r="J930" s="27" t="s">
        <v>265</v>
      </c>
      <c r="K930" s="27" t="s">
        <v>220</v>
      </c>
      <c r="L930" s="3" t="str">
        <f aca="false">IF(ISNUMBER(SEARCH(" m",I930)),"Range",IF(I930="offline","Offline",IF(I930="","Unknown","No echo / error")))</f>
        <v>Range</v>
      </c>
      <c r="M930" s="3" t="str">
        <f aca="false">IF(ISNUMBER(SEARCH(" m",J930)),"Range",IF(J930="offline","Offline",IF(J930="","Unknown","No echo / error")))</f>
        <v>Range</v>
      </c>
      <c r="N930" s="3" t="str">
        <f aca="false">IF(ISNUMBER(SEARCH(" m",K930)),"Range",IF(K930="offline","Offline",IF(K930="","Unknown","No echo / error")))</f>
        <v>No echo / error</v>
      </c>
      <c r="O930" s="3" t="str">
        <f aca="false">TEXT(B930,"yyyy-mm-dd")</f>
        <v>2026-10-06</v>
      </c>
    </row>
    <row r="931" customFormat="false" ht="15" hidden="false" customHeight="false" outlineLevel="0" collapsed="false">
      <c r="A931" s="27" t="n">
        <v>15</v>
      </c>
      <c r="B931" s="28" t="n">
        <v>46301.5240552315</v>
      </c>
      <c r="C931" s="29" t="n">
        <f aca="false">IF(A932=A931,B932,INDEX(Rounds!$D:$D,MATCH(A931,Rounds!$A:$A,0)))</f>
        <v>46301.5240606482</v>
      </c>
      <c r="D931" s="30" t="n">
        <f aca="false">(B931-INDEX(Rounds!$C:$C,MATCH(A931,Rounds!$A:$A,0)))*86400</f>
        <v>35.377999744</v>
      </c>
      <c r="E931" s="30" t="n">
        <f aca="false">(C931-INDEX(Rounds!$C:$C,MATCH(A931,Rounds!$A:$A,0)))*86400</f>
        <v>35.846000374</v>
      </c>
      <c r="F931" s="31" t="n">
        <f aca="false">(C931-B931)*86400</f>
        <v>0.468000629</v>
      </c>
      <c r="G931" s="27" t="s">
        <v>151</v>
      </c>
      <c r="H931" s="27" t="s">
        <v>203</v>
      </c>
      <c r="I931" s="27" t="s">
        <v>204</v>
      </c>
      <c r="J931" s="27" t="s">
        <v>218</v>
      </c>
      <c r="K931" s="27" t="s">
        <v>204</v>
      </c>
      <c r="L931" s="3" t="str">
        <f aca="false">IF(ISNUMBER(SEARCH(" m",I931)),"Range",IF(I931="offline","Offline",IF(I931="","Unknown","No echo / error")))</f>
        <v>No echo / error</v>
      </c>
      <c r="M931" s="3" t="str">
        <f aca="false">IF(ISNUMBER(SEARCH(" m",J931)),"Range",IF(J931="offline","Offline",IF(J931="","Unknown","No echo / error")))</f>
        <v>Range</v>
      </c>
      <c r="N931" s="3" t="str">
        <f aca="false">IF(ISNUMBER(SEARCH(" m",K931)),"Range",IF(K931="offline","Offline",IF(K931="","Unknown","No echo / error")))</f>
        <v>No echo / error</v>
      </c>
      <c r="O931" s="3" t="str">
        <f aca="false">TEXT(B931,"yyyy-mm-dd")</f>
        <v>2026-10-06</v>
      </c>
    </row>
    <row r="932" customFormat="false" ht="15" hidden="false" customHeight="false" outlineLevel="0" collapsed="false">
      <c r="A932" s="27" t="n">
        <v>15</v>
      </c>
      <c r="B932" s="28" t="n">
        <v>46301.5240606482</v>
      </c>
      <c r="C932" s="29" t="n">
        <f aca="false">IF(A933=A932,B933,INDEX(Rounds!$D:$D,MATCH(A932,Rounds!$A:$A,0)))</f>
        <v>46301.5240699884</v>
      </c>
      <c r="D932" s="30" t="n">
        <f aca="false">(B932-INDEX(Rounds!$C:$C,MATCH(A932,Rounds!$A:$A,0)))*86400</f>
        <v>35.846000374</v>
      </c>
      <c r="E932" s="30" t="n">
        <f aca="false">(C932-INDEX(Rounds!$C:$C,MATCH(A932,Rounds!$A:$A,0)))*86400</f>
        <v>36.652999743</v>
      </c>
      <c r="F932" s="31" t="n">
        <f aca="false">(C932-B932)*86400</f>
        <v>0.806999369</v>
      </c>
      <c r="G932" s="27" t="s">
        <v>152</v>
      </c>
      <c r="H932" s="27" t="s">
        <v>208</v>
      </c>
      <c r="I932" s="27" t="s">
        <v>204</v>
      </c>
      <c r="J932" s="27" t="s">
        <v>218</v>
      </c>
      <c r="K932" s="27" t="s">
        <v>204</v>
      </c>
      <c r="L932" s="3" t="str">
        <f aca="false">IF(ISNUMBER(SEARCH(" m",I932)),"Range",IF(I932="offline","Offline",IF(I932="","Unknown","No echo / error")))</f>
        <v>No echo / error</v>
      </c>
      <c r="M932" s="3" t="str">
        <f aca="false">IF(ISNUMBER(SEARCH(" m",J932)),"Range",IF(J932="offline","Offline",IF(J932="","Unknown","No echo / error")))</f>
        <v>Range</v>
      </c>
      <c r="N932" s="3" t="str">
        <f aca="false">IF(ISNUMBER(SEARCH(" m",K932)),"Range",IF(K932="offline","Offline",IF(K932="","Unknown","No echo / error")))</f>
        <v>No echo / error</v>
      </c>
      <c r="O932" s="3" t="str">
        <f aca="false">TEXT(B932,"yyyy-mm-dd")</f>
        <v>2026-10-06</v>
      </c>
    </row>
    <row r="933" customFormat="false" ht="15" hidden="false" customHeight="false" outlineLevel="0" collapsed="false">
      <c r="A933" s="27" t="n">
        <v>15</v>
      </c>
      <c r="B933" s="28" t="n">
        <v>46301.5240699884</v>
      </c>
      <c r="C933" s="29" t="n">
        <f aca="false">IF(A934=A933,B934,INDEX(Rounds!$D:$D,MATCH(A933,Rounds!$A:$A,0)))</f>
        <v>46301.5240726042</v>
      </c>
      <c r="D933" s="30" t="n">
        <f aca="false">(B933-INDEX(Rounds!$C:$C,MATCH(A933,Rounds!$A:$A,0)))*86400</f>
        <v>36.652999743</v>
      </c>
      <c r="E933" s="30" t="n">
        <f aca="false">(C933-INDEX(Rounds!$C:$C,MATCH(A933,Rounds!$A:$A,0)))*86400</f>
        <v>36.878999951</v>
      </c>
      <c r="F933" s="31" t="n">
        <f aca="false">(C933-B933)*86400</f>
        <v>0.226000207</v>
      </c>
      <c r="G933" s="27" t="s">
        <v>151</v>
      </c>
      <c r="H933" s="27" t="s">
        <v>203</v>
      </c>
      <c r="I933" s="27" t="s">
        <v>204</v>
      </c>
      <c r="J933" s="27" t="s">
        <v>328</v>
      </c>
      <c r="K933" s="27" t="s">
        <v>274</v>
      </c>
      <c r="L933" s="3" t="str">
        <f aca="false">IF(ISNUMBER(SEARCH(" m",I933)),"Range",IF(I933="offline","Offline",IF(I933="","Unknown","No echo / error")))</f>
        <v>No echo / error</v>
      </c>
      <c r="M933" s="3" t="str">
        <f aca="false">IF(ISNUMBER(SEARCH(" m",J933)),"Range",IF(J933="offline","Offline",IF(J933="","Unknown","No echo / error")))</f>
        <v>Range</v>
      </c>
      <c r="N933" s="3" t="str">
        <f aca="false">IF(ISNUMBER(SEARCH(" m",K933)),"Range",IF(K933="offline","Offline",IF(K933="","Unknown","No echo / error")))</f>
        <v>Range</v>
      </c>
      <c r="O933" s="3" t="str">
        <f aca="false">TEXT(B933,"yyyy-mm-dd")</f>
        <v>2026-10-06</v>
      </c>
    </row>
    <row r="934" customFormat="false" ht="15" hidden="false" customHeight="false" outlineLevel="0" collapsed="false">
      <c r="A934" s="27" t="n">
        <v>15</v>
      </c>
      <c r="B934" s="28" t="n">
        <v>46301.5240726042</v>
      </c>
      <c r="C934" s="29" t="n">
        <f aca="false">IF(A935=A934,B935,INDEX(Rounds!$D:$D,MATCH(A934,Rounds!$A:$A,0)))</f>
        <v>46301.5240781597</v>
      </c>
      <c r="D934" s="30" t="n">
        <f aca="false">(B934-INDEX(Rounds!$C:$C,MATCH(A934,Rounds!$A:$A,0)))*86400</f>
        <v>36.878999951</v>
      </c>
      <c r="E934" s="30" t="n">
        <f aca="false">(C934-INDEX(Rounds!$C:$C,MATCH(A934,Rounds!$A:$A,0)))*86400</f>
        <v>37.358999485</v>
      </c>
      <c r="F934" s="31" t="n">
        <f aca="false">(C934-B934)*86400</f>
        <v>0.479999533</v>
      </c>
      <c r="G934" s="27" t="s">
        <v>150</v>
      </c>
      <c r="H934" s="27" t="s">
        <v>206</v>
      </c>
      <c r="I934" s="27" t="s">
        <v>204</v>
      </c>
      <c r="J934" s="27" t="s">
        <v>284</v>
      </c>
      <c r="K934" s="27" t="s">
        <v>274</v>
      </c>
      <c r="L934" s="3" t="str">
        <f aca="false">IF(ISNUMBER(SEARCH(" m",I934)),"Range",IF(I934="offline","Offline",IF(I934="","Unknown","No echo / error")))</f>
        <v>No echo / error</v>
      </c>
      <c r="M934" s="3" t="str">
        <f aca="false">IF(ISNUMBER(SEARCH(" m",J934)),"Range",IF(J934="offline","Offline",IF(J934="","Unknown","No echo / error")))</f>
        <v>Range</v>
      </c>
      <c r="N934" s="3" t="str">
        <f aca="false">IF(ISNUMBER(SEARCH(" m",K934)),"Range",IF(K934="offline","Offline",IF(K934="","Unknown","No echo / error")))</f>
        <v>Range</v>
      </c>
      <c r="O934" s="3" t="str">
        <f aca="false">TEXT(B934,"yyyy-mm-dd")</f>
        <v>2026-10-06</v>
      </c>
    </row>
    <row r="935" customFormat="false" ht="15" hidden="false" customHeight="false" outlineLevel="0" collapsed="false">
      <c r="A935" s="27" t="n">
        <v>15</v>
      </c>
      <c r="B935" s="28" t="n">
        <v>46301.5240781597</v>
      </c>
      <c r="C935" s="29" t="n">
        <f aca="false">IF(A936=A935,B936,INDEX(Rounds!$D:$D,MATCH(A935,Rounds!$A:$A,0)))</f>
        <v>46301.5240837269</v>
      </c>
      <c r="D935" s="30" t="n">
        <f aca="false">(B935-INDEX(Rounds!$C:$C,MATCH(A935,Rounds!$A:$A,0)))*86400</f>
        <v>37.358999485</v>
      </c>
      <c r="E935" s="30" t="n">
        <f aca="false">(C935-INDEX(Rounds!$C:$C,MATCH(A935,Rounds!$A:$A,0)))*86400</f>
        <v>37.839999818</v>
      </c>
      <c r="F935" s="31" t="n">
        <f aca="false">(C935-B935)*86400</f>
        <v>0.481000333</v>
      </c>
      <c r="G935" s="27" t="s">
        <v>152</v>
      </c>
      <c r="H935" s="27" t="s">
        <v>208</v>
      </c>
      <c r="I935" s="27" t="s">
        <v>204</v>
      </c>
      <c r="J935" s="27" t="s">
        <v>284</v>
      </c>
      <c r="K935" s="27" t="s">
        <v>220</v>
      </c>
      <c r="L935" s="3" t="str">
        <f aca="false">IF(ISNUMBER(SEARCH(" m",I935)),"Range",IF(I935="offline","Offline",IF(I935="","Unknown","No echo / error")))</f>
        <v>No echo / error</v>
      </c>
      <c r="M935" s="3" t="str">
        <f aca="false">IF(ISNUMBER(SEARCH(" m",J935)),"Range",IF(J935="offline","Offline",IF(J935="","Unknown","No echo / error")))</f>
        <v>Range</v>
      </c>
      <c r="N935" s="3" t="str">
        <f aca="false">IF(ISNUMBER(SEARCH(" m",K935)),"Range",IF(K935="offline","Offline",IF(K935="","Unknown","No echo / error")))</f>
        <v>No echo / error</v>
      </c>
      <c r="O935" s="3" t="str">
        <f aca="false">TEXT(B935,"yyyy-mm-dd")</f>
        <v>2026-10-06</v>
      </c>
    </row>
    <row r="936" customFormat="false" ht="15" hidden="false" customHeight="false" outlineLevel="0" collapsed="false">
      <c r="A936" s="27" t="n">
        <v>15</v>
      </c>
      <c r="B936" s="28" t="n">
        <v>46301.5240837269</v>
      </c>
      <c r="C936" s="29" t="n">
        <f aca="false">IF(A937=A936,B937,INDEX(Rounds!$D:$D,MATCH(A936,Rounds!$A:$A,0)))</f>
        <v>46301.5240874421</v>
      </c>
      <c r="D936" s="30" t="n">
        <f aca="false">(B936-INDEX(Rounds!$C:$C,MATCH(A936,Rounds!$A:$A,0)))*86400</f>
        <v>37.839999818</v>
      </c>
      <c r="E936" s="30" t="n">
        <f aca="false">(C936-INDEX(Rounds!$C:$C,MATCH(A936,Rounds!$A:$A,0)))*86400</f>
        <v>38.160999887</v>
      </c>
      <c r="F936" s="31" t="n">
        <f aca="false">(C936-B936)*86400</f>
        <v>0.321000069</v>
      </c>
      <c r="G936" s="27" t="s">
        <v>151</v>
      </c>
      <c r="H936" s="27" t="s">
        <v>203</v>
      </c>
      <c r="I936" s="27" t="s">
        <v>204</v>
      </c>
      <c r="J936" s="27" t="s">
        <v>220</v>
      </c>
      <c r="K936" s="27" t="s">
        <v>250</v>
      </c>
      <c r="L936" s="3" t="str">
        <f aca="false">IF(ISNUMBER(SEARCH(" m",I936)),"Range",IF(I936="offline","Offline",IF(I936="","Unknown","No echo / error")))</f>
        <v>No echo / error</v>
      </c>
      <c r="M936" s="3" t="str">
        <f aca="false">IF(ISNUMBER(SEARCH(" m",J936)),"Range",IF(J936="offline","Offline",IF(J936="","Unknown","No echo / error")))</f>
        <v>No echo / error</v>
      </c>
      <c r="N936" s="3" t="str">
        <f aca="false">IF(ISNUMBER(SEARCH(" m",K936)),"Range",IF(K936="offline","Offline",IF(K936="","Unknown","No echo / error")))</f>
        <v>Range</v>
      </c>
      <c r="O936" s="3" t="str">
        <f aca="false">TEXT(B936,"yyyy-mm-dd")</f>
        <v>2026-10-06</v>
      </c>
    </row>
    <row r="937" customFormat="false" ht="15" hidden="false" customHeight="false" outlineLevel="0" collapsed="false">
      <c r="A937" s="27" t="n">
        <v>15</v>
      </c>
      <c r="B937" s="28" t="n">
        <v>46301.5240874421</v>
      </c>
      <c r="C937" s="29" t="n">
        <f aca="false">IF(A938=A937,B938,INDEX(Rounds!$D:$D,MATCH(A937,Rounds!$A:$A,0)))</f>
        <v>46301.5240995255</v>
      </c>
      <c r="D937" s="30" t="n">
        <f aca="false">(B937-INDEX(Rounds!$C:$C,MATCH(A937,Rounds!$A:$A,0)))*86400</f>
        <v>38.160999887</v>
      </c>
      <c r="E937" s="30" t="n">
        <f aca="false">(C937-INDEX(Rounds!$C:$C,MATCH(A937,Rounds!$A:$A,0)))*86400</f>
        <v>39.204999455</v>
      </c>
      <c r="F937" s="31" t="n">
        <f aca="false">(C937-B937)*86400</f>
        <v>1.043999567</v>
      </c>
      <c r="G937" s="27" t="s">
        <v>150</v>
      </c>
      <c r="H937" s="27" t="s">
        <v>206</v>
      </c>
      <c r="I937" s="27" t="s">
        <v>204</v>
      </c>
      <c r="J937" s="27" t="s">
        <v>245</v>
      </c>
      <c r="K937" s="27" t="s">
        <v>250</v>
      </c>
      <c r="L937" s="3" t="str">
        <f aca="false">IF(ISNUMBER(SEARCH(" m",I937)),"Range",IF(I937="offline","Offline",IF(I937="","Unknown","No echo / error")))</f>
        <v>No echo / error</v>
      </c>
      <c r="M937" s="3" t="str">
        <f aca="false">IF(ISNUMBER(SEARCH(" m",J937)),"Range",IF(J937="offline","Offline",IF(J937="","Unknown","No echo / error")))</f>
        <v>Range</v>
      </c>
      <c r="N937" s="3" t="str">
        <f aca="false">IF(ISNUMBER(SEARCH(" m",K937)),"Range",IF(K937="offline","Offline",IF(K937="","Unknown","No echo / error")))</f>
        <v>Range</v>
      </c>
      <c r="O937" s="3" t="str">
        <f aca="false">TEXT(B937,"yyyy-mm-dd")</f>
        <v>2026-10-06</v>
      </c>
    </row>
    <row r="938" customFormat="false" ht="15" hidden="false" customHeight="false" outlineLevel="0" collapsed="false">
      <c r="A938" s="27" t="n">
        <v>15</v>
      </c>
      <c r="B938" s="28" t="n">
        <v>46301.5240995255</v>
      </c>
      <c r="C938" s="29" t="n">
        <f aca="false">IF(A939=A938,B939,INDEX(Rounds!$D:$D,MATCH(A938,Rounds!$A:$A,0)))</f>
        <v>46301.5241002778</v>
      </c>
      <c r="D938" s="30" t="n">
        <f aca="false">(B938-INDEX(Rounds!$C:$C,MATCH(A938,Rounds!$A:$A,0)))*86400</f>
        <v>39.204999455</v>
      </c>
      <c r="E938" s="30" t="n">
        <f aca="false">(C938-INDEX(Rounds!$C:$C,MATCH(A938,Rounds!$A:$A,0)))*86400</f>
        <v>39.269999857</v>
      </c>
      <c r="F938" s="31" t="n">
        <f aca="false">(C938-B938)*86400</f>
        <v>0.065000401</v>
      </c>
      <c r="G938" s="27" t="s">
        <v>152</v>
      </c>
      <c r="H938" s="27" t="s">
        <v>208</v>
      </c>
      <c r="I938" s="27" t="s">
        <v>487</v>
      </c>
      <c r="J938" s="27" t="s">
        <v>370</v>
      </c>
      <c r="K938" s="27" t="s">
        <v>285</v>
      </c>
      <c r="L938" s="3" t="str">
        <f aca="false">IF(ISNUMBER(SEARCH(" m",I938)),"Range",IF(I938="offline","Offline",IF(I938="","Unknown","No echo / error")))</f>
        <v>Range</v>
      </c>
      <c r="M938" s="3" t="str">
        <f aca="false">IF(ISNUMBER(SEARCH(" m",J938)),"Range",IF(J938="offline","Offline",IF(J938="","Unknown","No echo / error")))</f>
        <v>Range</v>
      </c>
      <c r="N938" s="3" t="str">
        <f aca="false">IF(ISNUMBER(SEARCH(" m",K938)),"Range",IF(K938="offline","Offline",IF(K938="","Unknown","No echo / error")))</f>
        <v>Range</v>
      </c>
      <c r="O938" s="3" t="str">
        <f aca="false">TEXT(B938,"yyyy-mm-dd")</f>
        <v>2026-10-06</v>
      </c>
    </row>
    <row r="939" customFormat="false" ht="15" hidden="false" customHeight="false" outlineLevel="0" collapsed="false">
      <c r="A939" s="27" t="n">
        <v>15</v>
      </c>
      <c r="B939" s="28" t="n">
        <v>46301.5241002778</v>
      </c>
      <c r="C939" s="29" t="n">
        <f aca="false">IF(A940=A939,B940,INDEX(Rounds!$D:$D,MATCH(A939,Rounds!$A:$A,0)))</f>
        <v>46301.5241056944</v>
      </c>
      <c r="D939" s="30" t="n">
        <f aca="false">(B939-INDEX(Rounds!$C:$C,MATCH(A939,Rounds!$A:$A,0)))*86400</f>
        <v>39.269999857</v>
      </c>
      <c r="E939" s="30" t="n">
        <f aca="false">(C939-INDEX(Rounds!$C:$C,MATCH(A939,Rounds!$A:$A,0)))*86400</f>
        <v>39.737999858</v>
      </c>
      <c r="F939" s="31" t="n">
        <f aca="false">(C939-B939)*86400</f>
        <v>0.468000001</v>
      </c>
      <c r="G939" s="27" t="s">
        <v>151</v>
      </c>
      <c r="H939" s="27" t="s">
        <v>203</v>
      </c>
      <c r="I939" s="27" t="s">
        <v>436</v>
      </c>
      <c r="J939" s="27" t="s">
        <v>370</v>
      </c>
      <c r="K939" s="27" t="s">
        <v>285</v>
      </c>
      <c r="L939" s="3" t="str">
        <f aca="false">IF(ISNUMBER(SEARCH(" m",I939)),"Range",IF(I939="offline","Offline",IF(I939="","Unknown","No echo / error")))</f>
        <v>Range</v>
      </c>
      <c r="M939" s="3" t="str">
        <f aca="false">IF(ISNUMBER(SEARCH(" m",J939)),"Range",IF(J939="offline","Offline",IF(J939="","Unknown","No echo / error")))</f>
        <v>Range</v>
      </c>
      <c r="N939" s="3" t="str">
        <f aca="false">IF(ISNUMBER(SEARCH(" m",K939)),"Range",IF(K939="offline","Offline",IF(K939="","Unknown","No echo / error")))</f>
        <v>Range</v>
      </c>
      <c r="O939" s="3" t="str">
        <f aca="false">TEXT(B939,"yyyy-mm-dd")</f>
        <v>2026-10-06</v>
      </c>
    </row>
    <row r="940" customFormat="false" ht="15" hidden="false" customHeight="false" outlineLevel="0" collapsed="false">
      <c r="A940" s="27" t="n">
        <v>15</v>
      </c>
      <c r="B940" s="28" t="n">
        <v>46301.5241056944</v>
      </c>
      <c r="C940" s="29" t="n">
        <f aca="false">IF(A941=A940,B941,INDEX(Rounds!$D:$D,MATCH(A940,Rounds!$A:$A,0)))</f>
        <v>46301.5241081134</v>
      </c>
      <c r="D940" s="30" t="n">
        <f aca="false">(B940-INDEX(Rounds!$C:$C,MATCH(A940,Rounds!$A:$A,0)))*86400</f>
        <v>39.737999858</v>
      </c>
      <c r="E940" s="30" t="n">
        <f aca="false">(C940-INDEX(Rounds!$C:$C,MATCH(A940,Rounds!$A:$A,0)))*86400</f>
        <v>39.94699968</v>
      </c>
      <c r="F940" s="31" t="n">
        <f aca="false">(C940-B940)*86400</f>
        <v>0.208999821</v>
      </c>
      <c r="G940" s="27" t="s">
        <v>152</v>
      </c>
      <c r="H940" s="27" t="s">
        <v>208</v>
      </c>
      <c r="I940" s="27" t="s">
        <v>436</v>
      </c>
      <c r="J940" s="27" t="s">
        <v>204</v>
      </c>
      <c r="K940" s="27" t="s">
        <v>387</v>
      </c>
      <c r="L940" s="3" t="str">
        <f aca="false">IF(ISNUMBER(SEARCH(" m",I940)),"Range",IF(I940="offline","Offline",IF(I940="","Unknown","No echo / error")))</f>
        <v>Range</v>
      </c>
      <c r="M940" s="3" t="str">
        <f aca="false">IF(ISNUMBER(SEARCH(" m",J940)),"Range",IF(J940="offline","Offline",IF(J940="","Unknown","No echo / error")))</f>
        <v>No echo / error</v>
      </c>
      <c r="N940" s="3" t="str">
        <f aca="false">IF(ISNUMBER(SEARCH(" m",K940)),"Range",IF(K940="offline","Offline",IF(K940="","Unknown","No echo / error")))</f>
        <v>Range</v>
      </c>
      <c r="O940" s="3" t="str">
        <f aca="false">TEXT(B940,"yyyy-mm-dd")</f>
        <v>2026-10-06</v>
      </c>
    </row>
    <row r="941" customFormat="false" ht="15" hidden="false" customHeight="false" outlineLevel="0" collapsed="false">
      <c r="A941" s="27" t="n">
        <v>15</v>
      </c>
      <c r="B941" s="28" t="n">
        <v>46301.5241081134</v>
      </c>
      <c r="C941" s="29" t="n">
        <f aca="false">IF(A942=A941,B942,INDEX(Rounds!$D:$D,MATCH(A941,Rounds!$A:$A,0)))</f>
        <v>46301.5241165162</v>
      </c>
      <c r="D941" s="30" t="n">
        <f aca="false">(B941-INDEX(Rounds!$C:$C,MATCH(A941,Rounds!$A:$A,0)))*86400</f>
        <v>39.94699968</v>
      </c>
      <c r="E941" s="30" t="n">
        <f aca="false">(C941-INDEX(Rounds!$C:$C,MATCH(A941,Rounds!$A:$A,0)))*86400</f>
        <v>40.67299969</v>
      </c>
      <c r="F941" s="31" t="n">
        <f aca="false">(C941-B941)*86400</f>
        <v>0.72600001</v>
      </c>
      <c r="G941" s="27" t="s">
        <v>151</v>
      </c>
      <c r="H941" s="27" t="s">
        <v>203</v>
      </c>
      <c r="I941" s="27" t="s">
        <v>252</v>
      </c>
      <c r="J941" s="27" t="s">
        <v>204</v>
      </c>
      <c r="K941" s="27" t="s">
        <v>387</v>
      </c>
      <c r="L941" s="3" t="str">
        <f aca="false">IF(ISNUMBER(SEARCH(" m",I941)),"Range",IF(I941="offline","Offline",IF(I941="","Unknown","No echo / error")))</f>
        <v>Range</v>
      </c>
      <c r="M941" s="3" t="str">
        <f aca="false">IF(ISNUMBER(SEARCH(" m",J941)),"Range",IF(J941="offline","Offline",IF(J941="","Unknown","No echo / error")))</f>
        <v>No echo / error</v>
      </c>
      <c r="N941" s="3" t="str">
        <f aca="false">IF(ISNUMBER(SEARCH(" m",K941)),"Range",IF(K941="offline","Offline",IF(K941="","Unknown","No echo / error")))</f>
        <v>Range</v>
      </c>
      <c r="O941" s="3" t="str">
        <f aca="false">TEXT(B941,"yyyy-mm-dd")</f>
        <v>2026-10-06</v>
      </c>
    </row>
    <row r="942" customFormat="false" ht="15" hidden="false" customHeight="false" outlineLevel="0" collapsed="false">
      <c r="A942" s="27" t="n">
        <v>15</v>
      </c>
      <c r="B942" s="28" t="n">
        <v>46301.5241165162</v>
      </c>
      <c r="C942" s="29" t="n">
        <f aca="false">IF(A943=A942,B943,INDEX(Rounds!$D:$D,MATCH(A942,Rounds!$A:$A,0)))</f>
        <v>46301.5241168866</v>
      </c>
      <c r="D942" s="30" t="n">
        <f aca="false">(B942-INDEX(Rounds!$C:$C,MATCH(A942,Rounds!$A:$A,0)))*86400</f>
        <v>40.67299969</v>
      </c>
      <c r="E942" s="30" t="n">
        <f aca="false">(C942-INDEX(Rounds!$C:$C,MATCH(A942,Rounds!$A:$A,0)))*86400</f>
        <v>40.705000748</v>
      </c>
      <c r="F942" s="31" t="n">
        <f aca="false">(C942-B942)*86400</f>
        <v>0.032001058</v>
      </c>
      <c r="G942" s="27" t="s">
        <v>152</v>
      </c>
      <c r="H942" s="27" t="s">
        <v>208</v>
      </c>
      <c r="I942" s="27" t="s">
        <v>349</v>
      </c>
      <c r="J942" s="27" t="s">
        <v>435</v>
      </c>
      <c r="K942" s="27" t="s">
        <v>444</v>
      </c>
      <c r="L942" s="3" t="str">
        <f aca="false">IF(ISNUMBER(SEARCH(" m",I942)),"Range",IF(I942="offline","Offline",IF(I942="","Unknown","No echo / error")))</f>
        <v>Range</v>
      </c>
      <c r="M942" s="3" t="str">
        <f aca="false">IF(ISNUMBER(SEARCH(" m",J942)),"Range",IF(J942="offline","Offline",IF(J942="","Unknown","No echo / error")))</f>
        <v>Range</v>
      </c>
      <c r="N942" s="3" t="str">
        <f aca="false">IF(ISNUMBER(SEARCH(" m",K942)),"Range",IF(K942="offline","Offline",IF(K942="","Unknown","No echo / error")))</f>
        <v>Range</v>
      </c>
      <c r="O942" s="3" t="str">
        <f aca="false">TEXT(B942,"yyyy-mm-dd")</f>
        <v>2026-10-06</v>
      </c>
    </row>
    <row r="943" customFormat="false" ht="15" hidden="false" customHeight="false" outlineLevel="0" collapsed="false">
      <c r="A943" s="27" t="n">
        <v>15</v>
      </c>
      <c r="B943" s="28" t="n">
        <v>46301.5241168866</v>
      </c>
      <c r="C943" s="29" t="n">
        <f aca="false">IF(A944=A943,B944,INDEX(Rounds!$D:$D,MATCH(A943,Rounds!$A:$A,0)))</f>
        <v>46301.5241226736</v>
      </c>
      <c r="D943" s="30" t="n">
        <f aca="false">(B943-INDEX(Rounds!$C:$C,MATCH(A943,Rounds!$A:$A,0)))*86400</f>
        <v>40.705000748</v>
      </c>
      <c r="E943" s="30" t="n">
        <f aca="false">(C943-INDEX(Rounds!$C:$C,MATCH(A943,Rounds!$A:$A,0)))*86400</f>
        <v>41.204999922</v>
      </c>
      <c r="F943" s="31" t="n">
        <f aca="false">(C943-B943)*86400</f>
        <v>0.499999173</v>
      </c>
      <c r="G943" s="27" t="s">
        <v>151</v>
      </c>
      <c r="H943" s="27" t="s">
        <v>203</v>
      </c>
      <c r="I943" s="27" t="s">
        <v>405</v>
      </c>
      <c r="J943" s="27" t="s">
        <v>435</v>
      </c>
      <c r="K943" s="27" t="s">
        <v>444</v>
      </c>
      <c r="L943" s="3" t="str">
        <f aca="false">IF(ISNUMBER(SEARCH(" m",I943)),"Range",IF(I943="offline","Offline",IF(I943="","Unknown","No echo / error")))</f>
        <v>Range</v>
      </c>
      <c r="M943" s="3" t="str">
        <f aca="false">IF(ISNUMBER(SEARCH(" m",J943)),"Range",IF(J943="offline","Offline",IF(J943="","Unknown","No echo / error")))</f>
        <v>Range</v>
      </c>
      <c r="N943" s="3" t="str">
        <f aca="false">IF(ISNUMBER(SEARCH(" m",K943)),"Range",IF(K943="offline","Offline",IF(K943="","Unknown","No echo / error")))</f>
        <v>Range</v>
      </c>
      <c r="O943" s="3" t="str">
        <f aca="false">TEXT(B943,"yyyy-mm-dd")</f>
        <v>2026-10-06</v>
      </c>
    </row>
    <row r="944" customFormat="false" ht="15" hidden="false" customHeight="false" outlineLevel="0" collapsed="false">
      <c r="A944" s="27" t="n">
        <v>15</v>
      </c>
      <c r="B944" s="28" t="n">
        <v>46301.5241226736</v>
      </c>
      <c r="C944" s="29" t="n">
        <f aca="false">IF(A945=A944,B945,INDEX(Rounds!$D:$D,MATCH(A944,Rounds!$A:$A,0)))</f>
        <v>46301.5241367245</v>
      </c>
      <c r="D944" s="30" t="n">
        <f aca="false">(B944-INDEX(Rounds!$C:$C,MATCH(A944,Rounds!$A:$A,0)))*86400</f>
        <v>41.204999922</v>
      </c>
      <c r="E944" s="30" t="n">
        <f aca="false">(C944-INDEX(Rounds!$C:$C,MATCH(A944,Rounds!$A:$A,0)))*86400</f>
        <v>42.419000202</v>
      </c>
      <c r="F944" s="31" t="n">
        <f aca="false">(C944-B944)*86400</f>
        <v>1.21400028</v>
      </c>
      <c r="G944" s="27" t="s">
        <v>150</v>
      </c>
      <c r="H944" s="27" t="s">
        <v>206</v>
      </c>
      <c r="I944" s="27" t="s">
        <v>441</v>
      </c>
      <c r="J944" s="27" t="s">
        <v>441</v>
      </c>
      <c r="K944" s="27" t="s">
        <v>515</v>
      </c>
      <c r="L944" s="3" t="str">
        <f aca="false">IF(ISNUMBER(SEARCH(" m",I944)),"Range",IF(I944="offline","Offline",IF(I944="","Unknown","No echo / error")))</f>
        <v>Range</v>
      </c>
      <c r="M944" s="3" t="str">
        <f aca="false">IF(ISNUMBER(SEARCH(" m",J944)),"Range",IF(J944="offline","Offline",IF(J944="","Unknown","No echo / error")))</f>
        <v>Range</v>
      </c>
      <c r="N944" s="3" t="str">
        <f aca="false">IF(ISNUMBER(SEARCH(" m",K944)),"Range",IF(K944="offline","Offline",IF(K944="","Unknown","No echo / error")))</f>
        <v>Range</v>
      </c>
      <c r="O944" s="3" t="str">
        <f aca="false">TEXT(B944,"yyyy-mm-dd")</f>
        <v>2026-10-06</v>
      </c>
    </row>
    <row r="945" customFormat="false" ht="15" hidden="false" customHeight="false" outlineLevel="0" collapsed="false">
      <c r="A945" s="27" t="n">
        <v>15</v>
      </c>
      <c r="B945" s="28" t="n">
        <v>46301.5241367245</v>
      </c>
      <c r="C945" s="29" t="n">
        <f aca="false">IF(A946=A945,B946,INDEX(Rounds!$D:$D,MATCH(A945,Rounds!$A:$A,0)))</f>
        <v>46301.524138588</v>
      </c>
      <c r="D945" s="30" t="n">
        <f aca="false">(B945-INDEX(Rounds!$C:$C,MATCH(A945,Rounds!$A:$A,0)))*86400</f>
        <v>42.419000202</v>
      </c>
      <c r="E945" s="30" t="n">
        <f aca="false">(C945-INDEX(Rounds!$C:$C,MATCH(A945,Rounds!$A:$A,0)))*86400</f>
        <v>42.580000008</v>
      </c>
      <c r="F945" s="31" t="n">
        <f aca="false">(C945-B945)*86400</f>
        <v>0.160999805</v>
      </c>
      <c r="G945" s="27" t="s">
        <v>152</v>
      </c>
      <c r="H945" s="27" t="s">
        <v>208</v>
      </c>
      <c r="I945" s="27" t="s">
        <v>209</v>
      </c>
      <c r="J945" s="27" t="s">
        <v>273</v>
      </c>
      <c r="K945" s="27" t="s">
        <v>246</v>
      </c>
      <c r="L945" s="3" t="str">
        <f aca="false">IF(ISNUMBER(SEARCH(" m",I945)),"Range",IF(I945="offline","Offline",IF(I945="","Unknown","No echo / error")))</f>
        <v>Range</v>
      </c>
      <c r="M945" s="3" t="str">
        <f aca="false">IF(ISNUMBER(SEARCH(" m",J945)),"Range",IF(J945="offline","Offline",IF(J945="","Unknown","No echo / error")))</f>
        <v>Range</v>
      </c>
      <c r="N945" s="3" t="str">
        <f aca="false">IF(ISNUMBER(SEARCH(" m",K945)),"Range",IF(K945="offline","Offline",IF(K945="","Unknown","No echo / error")))</f>
        <v>Range</v>
      </c>
      <c r="O945" s="3" t="str">
        <f aca="false">TEXT(B945,"yyyy-mm-dd")</f>
        <v>2026-10-06</v>
      </c>
    </row>
    <row r="946" customFormat="false" ht="15" hidden="false" customHeight="false" outlineLevel="0" collapsed="false">
      <c r="A946" s="27" t="n">
        <v>15</v>
      </c>
      <c r="B946" s="28" t="n">
        <v>46301.524138588</v>
      </c>
      <c r="C946" s="29" t="n">
        <f aca="false">IF(A947=A946,B947,INDEX(Rounds!$D:$D,MATCH(A946,Rounds!$A:$A,0)))</f>
        <v>46301.5241426852</v>
      </c>
      <c r="D946" s="30" t="n">
        <f aca="false">(B946-INDEX(Rounds!$C:$C,MATCH(A946,Rounds!$A:$A,0)))*86400</f>
        <v>42.580000008</v>
      </c>
      <c r="E946" s="30" t="n">
        <f aca="false">(C946-INDEX(Rounds!$C:$C,MATCH(A946,Rounds!$A:$A,0)))*86400</f>
        <v>42.934000678</v>
      </c>
      <c r="F946" s="31" t="n">
        <f aca="false">(C946-B946)*86400</f>
        <v>0.354000669</v>
      </c>
      <c r="G946" s="27" t="s">
        <v>151</v>
      </c>
      <c r="H946" s="27" t="s">
        <v>203</v>
      </c>
      <c r="I946" s="27" t="s">
        <v>219</v>
      </c>
      <c r="J946" s="27" t="s">
        <v>403</v>
      </c>
      <c r="K946" s="27" t="s">
        <v>246</v>
      </c>
      <c r="L946" s="3" t="str">
        <f aca="false">IF(ISNUMBER(SEARCH(" m",I946)),"Range",IF(I946="offline","Offline",IF(I946="","Unknown","No echo / error")))</f>
        <v>Range</v>
      </c>
      <c r="M946" s="3" t="str">
        <f aca="false">IF(ISNUMBER(SEARCH(" m",J946)),"Range",IF(J946="offline","Offline",IF(J946="","Unknown","No echo / error")))</f>
        <v>Range</v>
      </c>
      <c r="N946" s="3" t="str">
        <f aca="false">IF(ISNUMBER(SEARCH(" m",K946)),"Range",IF(K946="offline","Offline",IF(K946="","Unknown","No echo / error")))</f>
        <v>Range</v>
      </c>
      <c r="O946" s="3" t="str">
        <f aca="false">TEXT(B946,"yyyy-mm-dd")</f>
        <v>2026-10-06</v>
      </c>
    </row>
    <row r="947" customFormat="false" ht="15" hidden="false" customHeight="false" outlineLevel="0" collapsed="false">
      <c r="A947" s="27" t="n">
        <v>15</v>
      </c>
      <c r="B947" s="28" t="n">
        <v>46301.5241426852</v>
      </c>
      <c r="C947" s="29" t="n">
        <f aca="false">IF(A948=A947,B948,INDEX(Rounds!$D:$D,MATCH(A947,Rounds!$A:$A,0)))</f>
        <v>46301.5241699537</v>
      </c>
      <c r="D947" s="30" t="n">
        <f aca="false">(B947-INDEX(Rounds!$C:$C,MATCH(A947,Rounds!$A:$A,0)))*86400</f>
        <v>42.934000678</v>
      </c>
      <c r="E947" s="30" t="n">
        <f aca="false">(C947-INDEX(Rounds!$C:$C,MATCH(A947,Rounds!$A:$A,0)))*86400</f>
        <v>45.290000271</v>
      </c>
      <c r="F947" s="31" t="n">
        <f aca="false">(C947-B947)*86400</f>
        <v>2.355999592</v>
      </c>
      <c r="G947" s="27" t="s">
        <v>150</v>
      </c>
      <c r="H947" s="27" t="s">
        <v>206</v>
      </c>
      <c r="I947" s="27" t="s">
        <v>219</v>
      </c>
      <c r="J947" s="27" t="s">
        <v>516</v>
      </c>
      <c r="K947" s="27" t="s">
        <v>289</v>
      </c>
      <c r="L947" s="3" t="str">
        <f aca="false">IF(ISNUMBER(SEARCH(" m",I947)),"Range",IF(I947="offline","Offline",IF(I947="","Unknown","No echo / error")))</f>
        <v>Range</v>
      </c>
      <c r="M947" s="3" t="str">
        <f aca="false">IF(ISNUMBER(SEARCH(" m",J947)),"Range",IF(J947="offline","Offline",IF(J947="","Unknown","No echo / error")))</f>
        <v>Range</v>
      </c>
      <c r="N947" s="3" t="str">
        <f aca="false">IF(ISNUMBER(SEARCH(" m",K947)),"Range",IF(K947="offline","Offline",IF(K947="","Unknown","No echo / error")))</f>
        <v>Range</v>
      </c>
      <c r="O947" s="3" t="str">
        <f aca="false">TEXT(B947,"yyyy-mm-dd")</f>
        <v>2026-10-06</v>
      </c>
    </row>
    <row r="948" customFormat="false" ht="15" hidden="false" customHeight="false" outlineLevel="0" collapsed="false">
      <c r="A948" s="27" t="n">
        <v>15</v>
      </c>
      <c r="B948" s="28" t="n">
        <v>46301.5241699537</v>
      </c>
      <c r="C948" s="29" t="n">
        <f aca="false">IF(A949=A948,B949,INDEX(Rounds!$D:$D,MATCH(A948,Rounds!$A:$A,0)))</f>
        <v>46301.524181088</v>
      </c>
      <c r="D948" s="30" t="n">
        <f aca="false">(B948-INDEX(Rounds!$C:$C,MATCH(A948,Rounds!$A:$A,0)))*86400</f>
        <v>45.290000271</v>
      </c>
      <c r="E948" s="30" t="n">
        <f aca="false">(C948-INDEX(Rounds!$C:$C,MATCH(A948,Rounds!$A:$A,0)))*86400</f>
        <v>46.251999679</v>
      </c>
      <c r="F948" s="31" t="n">
        <f aca="false">(C948-B948)*86400</f>
        <v>0.961999408</v>
      </c>
      <c r="G948" s="27" t="s">
        <v>152</v>
      </c>
      <c r="H948" s="27" t="s">
        <v>208</v>
      </c>
      <c r="I948" s="27" t="s">
        <v>220</v>
      </c>
      <c r="J948" s="27" t="s">
        <v>220</v>
      </c>
      <c r="K948" s="27" t="s">
        <v>221</v>
      </c>
      <c r="L948" s="3" t="str">
        <f aca="false">IF(ISNUMBER(SEARCH(" m",I948)),"Range",IF(I948="offline","Offline",IF(I948="","Unknown","No echo / error")))</f>
        <v>No echo / error</v>
      </c>
      <c r="M948" s="3" t="str">
        <f aca="false">IF(ISNUMBER(SEARCH(" m",J948)),"Range",IF(J948="offline","Offline",IF(J948="","Unknown","No echo / error")))</f>
        <v>No echo / error</v>
      </c>
      <c r="N948" s="3" t="str">
        <f aca="false">IF(ISNUMBER(SEARCH(" m",K948)),"Range",IF(K948="offline","Offline",IF(K948="","Unknown","No echo / error")))</f>
        <v>Range</v>
      </c>
      <c r="O948" s="3" t="str">
        <f aca="false">TEXT(B948,"yyyy-mm-dd")</f>
        <v>2026-10-06</v>
      </c>
    </row>
    <row r="949" customFormat="false" ht="15" hidden="false" customHeight="false" outlineLevel="0" collapsed="false">
      <c r="A949" s="27" t="n">
        <v>15</v>
      </c>
      <c r="B949" s="28" t="n">
        <v>46301.524181088</v>
      </c>
      <c r="C949" s="29" t="n">
        <f aca="false">IF(A950=A949,B950,INDEX(Rounds!$D:$D,MATCH(A949,Rounds!$A:$A,0)))</f>
        <v>46301.5241862963</v>
      </c>
      <c r="D949" s="30" t="n">
        <f aca="false">(B949-INDEX(Rounds!$C:$C,MATCH(A949,Rounds!$A:$A,0)))*86400</f>
        <v>46.251999679</v>
      </c>
      <c r="E949" s="30" t="n">
        <f aca="false">(C949-INDEX(Rounds!$C:$C,MATCH(A949,Rounds!$A:$A,0)))*86400</f>
        <v>46.701999125</v>
      </c>
      <c r="F949" s="31" t="n">
        <f aca="false">(C949-B949)*86400</f>
        <v>0.449999445</v>
      </c>
      <c r="G949" s="27" t="s">
        <v>151</v>
      </c>
      <c r="H949" s="27" t="s">
        <v>203</v>
      </c>
      <c r="I949" s="27" t="s">
        <v>284</v>
      </c>
      <c r="J949" s="27" t="s">
        <v>220</v>
      </c>
      <c r="K949" s="27" t="s">
        <v>401</v>
      </c>
      <c r="L949" s="3" t="str">
        <f aca="false">IF(ISNUMBER(SEARCH(" m",I949)),"Range",IF(I949="offline","Offline",IF(I949="","Unknown","No echo / error")))</f>
        <v>Range</v>
      </c>
      <c r="M949" s="3" t="str">
        <f aca="false">IF(ISNUMBER(SEARCH(" m",J949)),"Range",IF(J949="offline","Offline",IF(J949="","Unknown","No echo / error")))</f>
        <v>No echo / error</v>
      </c>
      <c r="N949" s="3" t="str">
        <f aca="false">IF(ISNUMBER(SEARCH(" m",K949)),"Range",IF(K949="offline","Offline",IF(K949="","Unknown","No echo / error")))</f>
        <v>Range</v>
      </c>
      <c r="O949" s="3" t="str">
        <f aca="false">TEXT(B949,"yyyy-mm-dd")</f>
        <v>2026-10-06</v>
      </c>
    </row>
    <row r="950" customFormat="false" ht="15" hidden="false" customHeight="false" outlineLevel="0" collapsed="false">
      <c r="A950" s="27" t="n">
        <v>15</v>
      </c>
      <c r="B950" s="28" t="n">
        <v>46301.5241862963</v>
      </c>
      <c r="C950" s="29" t="n">
        <f aca="false">IF(A951=A950,B951,INDEX(Rounds!$D:$D,MATCH(A950,Rounds!$A:$A,0)))</f>
        <v>46301.5241881597</v>
      </c>
      <c r="D950" s="30" t="n">
        <f aca="false">(B950-INDEX(Rounds!$C:$C,MATCH(A950,Rounds!$A:$A,0)))*86400</f>
        <v>46.701999125</v>
      </c>
      <c r="E950" s="30" t="n">
        <f aca="false">(C950-INDEX(Rounds!$C:$C,MATCH(A950,Rounds!$A:$A,0)))*86400</f>
        <v>46.862999559</v>
      </c>
      <c r="F950" s="31" t="n">
        <f aca="false">(C950-B950)*86400</f>
        <v>0.161000434</v>
      </c>
      <c r="G950" s="27" t="s">
        <v>152</v>
      </c>
      <c r="H950" s="27" t="s">
        <v>208</v>
      </c>
      <c r="I950" s="27" t="s">
        <v>284</v>
      </c>
      <c r="J950" s="27" t="s">
        <v>267</v>
      </c>
      <c r="K950" s="27" t="s">
        <v>220</v>
      </c>
      <c r="L950" s="3" t="str">
        <f aca="false">IF(ISNUMBER(SEARCH(" m",I950)),"Range",IF(I950="offline","Offline",IF(I950="","Unknown","No echo / error")))</f>
        <v>Range</v>
      </c>
      <c r="M950" s="3" t="str">
        <f aca="false">IF(ISNUMBER(SEARCH(" m",J950)),"Range",IF(J950="offline","Offline",IF(J950="","Unknown","No echo / error")))</f>
        <v>Range</v>
      </c>
      <c r="N950" s="3" t="str">
        <f aca="false">IF(ISNUMBER(SEARCH(" m",K950)),"Range",IF(K950="offline","Offline",IF(K950="","Unknown","No echo / error")))</f>
        <v>No echo / error</v>
      </c>
      <c r="O950" s="3" t="str">
        <f aca="false">TEXT(B950,"yyyy-mm-dd")</f>
        <v>2026-10-06</v>
      </c>
    </row>
    <row r="951" customFormat="false" ht="15" hidden="false" customHeight="false" outlineLevel="0" collapsed="false">
      <c r="A951" s="27" t="n">
        <v>15</v>
      </c>
      <c r="B951" s="28" t="n">
        <v>46301.5241881597</v>
      </c>
      <c r="C951" s="29" t="n">
        <f aca="false">IF(A952=A951,B952,INDEX(Rounds!$D:$D,MATCH(A951,Rounds!$A:$A,0)))</f>
        <v>46301.5241933333</v>
      </c>
      <c r="D951" s="30" t="n">
        <f aca="false">(B951-INDEX(Rounds!$C:$C,MATCH(A951,Rounds!$A:$A,0)))*86400</f>
        <v>46.862999559</v>
      </c>
      <c r="E951" s="30" t="n">
        <f aca="false">(C951-INDEX(Rounds!$C:$C,MATCH(A951,Rounds!$A:$A,0)))*86400</f>
        <v>47.309999749</v>
      </c>
      <c r="F951" s="31" t="n">
        <f aca="false">(C951-B951)*86400</f>
        <v>0.44700019</v>
      </c>
      <c r="G951" s="27" t="s">
        <v>151</v>
      </c>
      <c r="H951" s="27" t="s">
        <v>203</v>
      </c>
      <c r="I951" s="27" t="s">
        <v>289</v>
      </c>
      <c r="J951" s="27" t="s">
        <v>267</v>
      </c>
      <c r="K951" s="27" t="s">
        <v>220</v>
      </c>
      <c r="L951" s="3" t="str">
        <f aca="false">IF(ISNUMBER(SEARCH(" m",I951)),"Range",IF(I951="offline","Offline",IF(I951="","Unknown","No echo / error")))</f>
        <v>Range</v>
      </c>
      <c r="M951" s="3" t="str">
        <f aca="false">IF(ISNUMBER(SEARCH(" m",J951)),"Range",IF(J951="offline","Offline",IF(J951="","Unknown","No echo / error")))</f>
        <v>Range</v>
      </c>
      <c r="N951" s="3" t="str">
        <f aca="false">IF(ISNUMBER(SEARCH(" m",K951)),"Range",IF(K951="offline","Offline",IF(K951="","Unknown","No echo / error")))</f>
        <v>No echo / error</v>
      </c>
      <c r="O951" s="3" t="str">
        <f aca="false">TEXT(B951,"yyyy-mm-dd")</f>
        <v>2026-10-06</v>
      </c>
    </row>
    <row r="952" customFormat="false" ht="15" hidden="false" customHeight="false" outlineLevel="0" collapsed="false">
      <c r="A952" s="27" t="n">
        <v>15</v>
      </c>
      <c r="B952" s="28" t="n">
        <v>46301.5241933333</v>
      </c>
      <c r="C952" s="29" t="n">
        <f aca="false">IF(A953=A952,B953,INDEX(Rounds!$D:$D,MATCH(A952,Rounds!$A:$A,0)))</f>
        <v>46301.5241946412</v>
      </c>
      <c r="D952" s="30" t="n">
        <f aca="false">(B952-INDEX(Rounds!$C:$C,MATCH(A952,Rounds!$A:$A,0)))*86400</f>
        <v>47.309999749</v>
      </c>
      <c r="E952" s="30" t="n">
        <f aca="false">(C952-INDEX(Rounds!$C:$C,MATCH(A952,Rounds!$A:$A,0)))*86400</f>
        <v>47.423000796</v>
      </c>
      <c r="F952" s="31" t="n">
        <f aca="false">(C952-B952)*86400</f>
        <v>0.113001046</v>
      </c>
      <c r="G952" s="27" t="s">
        <v>152</v>
      </c>
      <c r="H952" s="27" t="s">
        <v>208</v>
      </c>
      <c r="I952" s="27" t="s">
        <v>289</v>
      </c>
      <c r="J952" s="27" t="s">
        <v>220</v>
      </c>
      <c r="K952" s="27" t="s">
        <v>204</v>
      </c>
      <c r="L952" s="3" t="str">
        <f aca="false">IF(ISNUMBER(SEARCH(" m",I952)),"Range",IF(I952="offline","Offline",IF(I952="","Unknown","No echo / error")))</f>
        <v>Range</v>
      </c>
      <c r="M952" s="3" t="str">
        <f aca="false">IF(ISNUMBER(SEARCH(" m",J952)),"Range",IF(J952="offline","Offline",IF(J952="","Unknown","No echo / error")))</f>
        <v>No echo / error</v>
      </c>
      <c r="N952" s="3" t="str">
        <f aca="false">IF(ISNUMBER(SEARCH(" m",K952)),"Range",IF(K952="offline","Offline",IF(K952="","Unknown","No echo / error")))</f>
        <v>No echo / error</v>
      </c>
      <c r="O952" s="3" t="str">
        <f aca="false">TEXT(B952,"yyyy-mm-dd")</f>
        <v>2026-10-06</v>
      </c>
    </row>
    <row r="953" customFormat="false" ht="15" hidden="false" customHeight="false" outlineLevel="0" collapsed="false">
      <c r="A953" s="27" t="n">
        <v>15</v>
      </c>
      <c r="B953" s="28" t="n">
        <v>46301.5241946412</v>
      </c>
      <c r="C953" s="29" t="n">
        <f aca="false">IF(A954=A953,B954,INDEX(Rounds!$D:$D,MATCH(A953,Rounds!$A:$A,0)))</f>
        <v>46301.5241996644</v>
      </c>
      <c r="D953" s="30" t="n">
        <f aca="false">(B953-INDEX(Rounds!$C:$C,MATCH(A953,Rounds!$A:$A,0)))*86400</f>
        <v>47.423000796</v>
      </c>
      <c r="E953" s="30" t="n">
        <f aca="false">(C953-INDEX(Rounds!$C:$C,MATCH(A953,Rounds!$A:$A,0)))*86400</f>
        <v>47.857000026</v>
      </c>
      <c r="F953" s="31" t="n">
        <f aca="false">(C953-B953)*86400</f>
        <v>0.43399923</v>
      </c>
      <c r="G953" s="27" t="s">
        <v>151</v>
      </c>
      <c r="H953" s="27" t="s">
        <v>203</v>
      </c>
      <c r="I953" s="27" t="s">
        <v>289</v>
      </c>
      <c r="J953" s="27" t="s">
        <v>283</v>
      </c>
      <c r="K953" s="27" t="s">
        <v>204</v>
      </c>
      <c r="L953" s="3" t="str">
        <f aca="false">IF(ISNUMBER(SEARCH(" m",I953)),"Range",IF(I953="offline","Offline",IF(I953="","Unknown","No echo / error")))</f>
        <v>Range</v>
      </c>
      <c r="M953" s="3" t="str">
        <f aca="false">IF(ISNUMBER(SEARCH(" m",J953)),"Range",IF(J953="offline","Offline",IF(J953="","Unknown","No echo / error")))</f>
        <v>Range</v>
      </c>
      <c r="N953" s="3" t="str">
        <f aca="false">IF(ISNUMBER(SEARCH(" m",K953)),"Range",IF(K953="offline","Offline",IF(K953="","Unknown","No echo / error")))</f>
        <v>No echo / error</v>
      </c>
      <c r="O953" s="3" t="str">
        <f aca="false">TEXT(B953,"yyyy-mm-dd")</f>
        <v>2026-10-06</v>
      </c>
    </row>
    <row r="954" customFormat="false" ht="15" hidden="false" customHeight="false" outlineLevel="0" collapsed="false">
      <c r="A954" s="27" t="n">
        <v>15</v>
      </c>
      <c r="B954" s="28" t="n">
        <v>46301.5241996644</v>
      </c>
      <c r="C954" s="29" t="n">
        <f aca="false">IF(A955=A954,B955,INDEX(Rounds!$D:$D,MATCH(A954,Rounds!$A:$A,0)))</f>
        <v>46301.5242212847</v>
      </c>
      <c r="D954" s="30" t="n">
        <f aca="false">(B954-INDEX(Rounds!$C:$C,MATCH(A954,Rounds!$A:$A,0)))*86400</f>
        <v>47.857000026</v>
      </c>
      <c r="E954" s="30" t="n">
        <f aca="false">(C954-INDEX(Rounds!$C:$C,MATCH(A954,Rounds!$A:$A,0)))*86400</f>
        <v>49.724999978</v>
      </c>
      <c r="F954" s="31" t="n">
        <f aca="false">(C954-B954)*86400</f>
        <v>1.867999951</v>
      </c>
      <c r="G954" s="27" t="s">
        <v>150</v>
      </c>
      <c r="H954" s="27" t="s">
        <v>206</v>
      </c>
      <c r="I954" s="27" t="s">
        <v>284</v>
      </c>
      <c r="J954" s="27" t="s">
        <v>299</v>
      </c>
      <c r="K954" s="27" t="s">
        <v>517</v>
      </c>
      <c r="L954" s="3" t="str">
        <f aca="false">IF(ISNUMBER(SEARCH(" m",I954)),"Range",IF(I954="offline","Offline",IF(I954="","Unknown","No echo / error")))</f>
        <v>Range</v>
      </c>
      <c r="M954" s="3" t="str">
        <f aca="false">IF(ISNUMBER(SEARCH(" m",J954)),"Range",IF(J954="offline","Offline",IF(J954="","Unknown","No echo / error")))</f>
        <v>Range</v>
      </c>
      <c r="N954" s="3" t="str">
        <f aca="false">IF(ISNUMBER(SEARCH(" m",K954)),"Range",IF(K954="offline","Offline",IF(K954="","Unknown","No echo / error")))</f>
        <v>Range</v>
      </c>
      <c r="O954" s="3" t="str">
        <f aca="false">TEXT(B954,"yyyy-mm-dd")</f>
        <v>2026-10-06</v>
      </c>
    </row>
    <row r="955" customFormat="false" ht="15" hidden="false" customHeight="false" outlineLevel="0" collapsed="false">
      <c r="A955" s="27" t="n">
        <v>15</v>
      </c>
      <c r="B955" s="28" t="n">
        <v>46301.5242212847</v>
      </c>
      <c r="C955" s="29" t="n">
        <f aca="false">IF(A956=A955,B956,INDEX(Rounds!$D:$D,MATCH(A955,Rounds!$A:$A,0)))</f>
        <v>46301.5242330324</v>
      </c>
      <c r="D955" s="30" t="n">
        <f aca="false">(B955-INDEX(Rounds!$C:$C,MATCH(A955,Rounds!$A:$A,0)))*86400</f>
        <v>49.724999978</v>
      </c>
      <c r="E955" s="30" t="n">
        <f aca="false">(C955-INDEX(Rounds!$C:$C,MATCH(A955,Rounds!$A:$A,0)))*86400</f>
        <v>50.740000256</v>
      </c>
      <c r="F955" s="31" t="n">
        <f aca="false">(C955-B955)*86400</f>
        <v>1.015000278</v>
      </c>
      <c r="G955" s="27" t="s">
        <v>152</v>
      </c>
      <c r="H955" s="27" t="s">
        <v>208</v>
      </c>
      <c r="I955" s="27" t="s">
        <v>432</v>
      </c>
      <c r="J955" s="27" t="s">
        <v>317</v>
      </c>
      <c r="K955" s="27" t="s">
        <v>335</v>
      </c>
      <c r="L955" s="3" t="str">
        <f aca="false">IF(ISNUMBER(SEARCH(" m",I955)),"Range",IF(I955="offline","Offline",IF(I955="","Unknown","No echo / error")))</f>
        <v>Range</v>
      </c>
      <c r="M955" s="3" t="str">
        <f aca="false">IF(ISNUMBER(SEARCH(" m",J955)),"Range",IF(J955="offline","Offline",IF(J955="","Unknown","No echo / error")))</f>
        <v>Range</v>
      </c>
      <c r="N955" s="3" t="str">
        <f aca="false">IF(ISNUMBER(SEARCH(" m",K955)),"Range",IF(K955="offline","Offline",IF(K955="","Unknown","No echo / error")))</f>
        <v>Range</v>
      </c>
      <c r="O955" s="3" t="str">
        <f aca="false">TEXT(B955,"yyyy-mm-dd")</f>
        <v>2026-10-06</v>
      </c>
    </row>
    <row r="956" customFormat="false" ht="15" hidden="false" customHeight="false" outlineLevel="0" collapsed="false">
      <c r="A956" s="27" t="n">
        <v>15</v>
      </c>
      <c r="B956" s="28" t="n">
        <v>46301.5242330324</v>
      </c>
      <c r="C956" s="29" t="n">
        <f aca="false">IF(A957=A956,B957,INDEX(Rounds!$D:$D,MATCH(A956,Rounds!$A:$A,0)))</f>
        <v>46301.5242440509</v>
      </c>
      <c r="D956" s="30" t="n">
        <f aca="false">(B956-INDEX(Rounds!$C:$C,MATCH(A956,Rounds!$A:$A,0)))*86400</f>
        <v>50.740000256</v>
      </c>
      <c r="E956" s="30" t="n">
        <f aca="false">(C956-INDEX(Rounds!$C:$C,MATCH(A956,Rounds!$A:$A,0)))*86400</f>
        <v>51.691999216</v>
      </c>
      <c r="F956" s="31" t="n">
        <f aca="false">(C956-B956)*86400</f>
        <v>0.95199896</v>
      </c>
      <c r="G956" s="27" t="s">
        <v>151</v>
      </c>
      <c r="H956" s="27" t="s">
        <v>203</v>
      </c>
      <c r="I956" s="27" t="s">
        <v>204</v>
      </c>
      <c r="J956" s="27" t="s">
        <v>352</v>
      </c>
      <c r="K956" s="27" t="s">
        <v>204</v>
      </c>
      <c r="L956" s="3" t="str">
        <f aca="false">IF(ISNUMBER(SEARCH(" m",I956)),"Range",IF(I956="offline","Offline",IF(I956="","Unknown","No echo / error")))</f>
        <v>No echo / error</v>
      </c>
      <c r="M956" s="3" t="str">
        <f aca="false">IF(ISNUMBER(SEARCH(" m",J956)),"Range",IF(J956="offline","Offline",IF(J956="","Unknown","No echo / error")))</f>
        <v>Range</v>
      </c>
      <c r="N956" s="3" t="str">
        <f aca="false">IF(ISNUMBER(SEARCH(" m",K956)),"Range",IF(K956="offline","Offline",IF(K956="","Unknown","No echo / error")))</f>
        <v>No echo / error</v>
      </c>
      <c r="O956" s="3" t="str">
        <f aca="false">TEXT(B956,"yyyy-mm-dd")</f>
        <v>2026-10-06</v>
      </c>
    </row>
    <row r="957" customFormat="false" ht="15" hidden="false" customHeight="false" outlineLevel="0" collapsed="false">
      <c r="A957" s="27" t="n">
        <v>15</v>
      </c>
      <c r="B957" s="28" t="n">
        <v>46301.5242440509</v>
      </c>
      <c r="C957" s="29" t="n">
        <f aca="false">IF(A958=A957,B958,INDEX(Rounds!$D:$D,MATCH(A957,Rounds!$A:$A,0)))</f>
        <v>46301.5242654282</v>
      </c>
      <c r="D957" s="30" t="n">
        <f aca="false">(B957-INDEX(Rounds!$C:$C,MATCH(A957,Rounds!$A:$A,0)))*86400</f>
        <v>51.691999216</v>
      </c>
      <c r="E957" s="30" t="n">
        <f aca="false">(C957-INDEX(Rounds!$C:$C,MATCH(A957,Rounds!$A:$A,0)))*86400</f>
        <v>53.538999985</v>
      </c>
      <c r="F957" s="31" t="n">
        <f aca="false">(C957-B957)*86400</f>
        <v>1.847000769</v>
      </c>
      <c r="G957" s="27" t="s">
        <v>150</v>
      </c>
      <c r="H957" s="27" t="s">
        <v>206</v>
      </c>
      <c r="I957" s="27" t="s">
        <v>518</v>
      </c>
      <c r="J957" s="27" t="s">
        <v>338</v>
      </c>
      <c r="K957" s="27" t="s">
        <v>332</v>
      </c>
      <c r="L957" s="3" t="str">
        <f aca="false">IF(ISNUMBER(SEARCH(" m",I957)),"Range",IF(I957="offline","Offline",IF(I957="","Unknown","No echo / error")))</f>
        <v>Range</v>
      </c>
      <c r="M957" s="3" t="str">
        <f aca="false">IF(ISNUMBER(SEARCH(" m",J957)),"Range",IF(J957="offline","Offline",IF(J957="","Unknown","No echo / error")))</f>
        <v>Range</v>
      </c>
      <c r="N957" s="3" t="str">
        <f aca="false">IF(ISNUMBER(SEARCH(" m",K957)),"Range",IF(K957="offline","Offline",IF(K957="","Unknown","No echo / error")))</f>
        <v>Range</v>
      </c>
      <c r="O957" s="3" t="str">
        <f aca="false">TEXT(B957,"yyyy-mm-dd")</f>
        <v>2026-10-06</v>
      </c>
    </row>
    <row r="958" customFormat="false" ht="15" hidden="false" customHeight="false" outlineLevel="0" collapsed="false">
      <c r="A958" s="27" t="n">
        <v>15</v>
      </c>
      <c r="B958" s="28" t="n">
        <v>46301.5242654282</v>
      </c>
      <c r="C958" s="29" t="n">
        <f aca="false">IF(A959=A958,B959,INDEX(Rounds!$D:$D,MATCH(A958,Rounds!$A:$A,0)))</f>
        <v>46301.5242706482</v>
      </c>
      <c r="D958" s="30" t="n">
        <f aca="false">(B958-INDEX(Rounds!$C:$C,MATCH(A958,Rounds!$A:$A,0)))*86400</f>
        <v>53.538999985</v>
      </c>
      <c r="E958" s="30" t="n">
        <f aca="false">(C958-INDEX(Rounds!$C:$C,MATCH(A958,Rounds!$A:$A,0)))*86400</f>
        <v>53.99000023</v>
      </c>
      <c r="F958" s="31" t="n">
        <f aca="false">(C958-B958)*86400</f>
        <v>0.451000244</v>
      </c>
      <c r="G958" s="27" t="s">
        <v>152</v>
      </c>
      <c r="H958" s="27" t="s">
        <v>208</v>
      </c>
      <c r="I958" s="27" t="s">
        <v>377</v>
      </c>
      <c r="J958" s="27" t="s">
        <v>204</v>
      </c>
      <c r="K958" s="27" t="s">
        <v>444</v>
      </c>
      <c r="L958" s="3" t="str">
        <f aca="false">IF(ISNUMBER(SEARCH(" m",I958)),"Range",IF(I958="offline","Offline",IF(I958="","Unknown","No echo / error")))</f>
        <v>Range</v>
      </c>
      <c r="M958" s="3" t="str">
        <f aca="false">IF(ISNUMBER(SEARCH(" m",J958)),"Range",IF(J958="offline","Offline",IF(J958="","Unknown","No echo / error")))</f>
        <v>No echo / error</v>
      </c>
      <c r="N958" s="3" t="str">
        <f aca="false">IF(ISNUMBER(SEARCH(" m",K958)),"Range",IF(K958="offline","Offline",IF(K958="","Unknown","No echo / error")))</f>
        <v>Range</v>
      </c>
      <c r="O958" s="3" t="str">
        <f aca="false">TEXT(B958,"yyyy-mm-dd")</f>
        <v>2026-10-06</v>
      </c>
    </row>
    <row r="959" customFormat="false" ht="15" hidden="false" customHeight="false" outlineLevel="0" collapsed="false">
      <c r="A959" s="27" t="n">
        <v>15</v>
      </c>
      <c r="B959" s="28" t="n">
        <v>46301.5242706482</v>
      </c>
      <c r="C959" s="29" t="n">
        <f aca="false">IF(A960=A959,B960,INDEX(Rounds!$D:$D,MATCH(A959,Rounds!$A:$A,0)))</f>
        <v>46301.5242777315</v>
      </c>
      <c r="D959" s="30" t="n">
        <f aca="false">(B959-INDEX(Rounds!$C:$C,MATCH(A959,Rounds!$A:$A,0)))*86400</f>
        <v>53.99000023</v>
      </c>
      <c r="E959" s="30" t="n">
        <f aca="false">(C959-INDEX(Rounds!$C:$C,MATCH(A959,Rounds!$A:$A,0)))*86400</f>
        <v>54.601999651</v>
      </c>
      <c r="F959" s="31" t="n">
        <f aca="false">(C959-B959)*86400</f>
        <v>0.611999421</v>
      </c>
      <c r="G959" s="27" t="s">
        <v>151</v>
      </c>
      <c r="H959" s="27" t="s">
        <v>203</v>
      </c>
      <c r="I959" s="27" t="s">
        <v>248</v>
      </c>
      <c r="J959" s="27" t="s">
        <v>435</v>
      </c>
      <c r="K959" s="27" t="s">
        <v>447</v>
      </c>
      <c r="L959" s="3" t="str">
        <f aca="false">IF(ISNUMBER(SEARCH(" m",I959)),"Range",IF(I959="offline","Offline",IF(I959="","Unknown","No echo / error")))</f>
        <v>Range</v>
      </c>
      <c r="M959" s="3" t="str">
        <f aca="false">IF(ISNUMBER(SEARCH(" m",J959)),"Range",IF(J959="offline","Offline",IF(J959="","Unknown","No echo / error")))</f>
        <v>Range</v>
      </c>
      <c r="N959" s="3" t="str">
        <f aca="false">IF(ISNUMBER(SEARCH(" m",K959)),"Range",IF(K959="offline","Offline",IF(K959="","Unknown","No echo / error")))</f>
        <v>Range</v>
      </c>
      <c r="O959" s="3" t="str">
        <f aca="false">TEXT(B959,"yyyy-mm-dd")</f>
        <v>2026-10-06</v>
      </c>
    </row>
    <row r="960" customFormat="false" ht="15" hidden="false" customHeight="false" outlineLevel="0" collapsed="false">
      <c r="A960" s="27" t="n">
        <v>15</v>
      </c>
      <c r="B960" s="28" t="n">
        <v>46301.5242777315</v>
      </c>
      <c r="C960" s="29" t="n">
        <f aca="false">IF(A961=A960,B961,INDEX(Rounds!$D:$D,MATCH(A960,Rounds!$A:$A,0)))</f>
        <v>46301.5243071644</v>
      </c>
      <c r="D960" s="30" t="n">
        <f aca="false">(B960-INDEX(Rounds!$C:$C,MATCH(A960,Rounds!$A:$A,0)))*86400</f>
        <v>54.601999651</v>
      </c>
      <c r="E960" s="30" t="n">
        <f aca="false">(C960-INDEX(Rounds!$C:$C,MATCH(A960,Rounds!$A:$A,0)))*86400</f>
        <v>57.144999713</v>
      </c>
      <c r="F960" s="31" t="n">
        <f aca="false">(C960-B960)*86400</f>
        <v>2.543000061</v>
      </c>
      <c r="G960" s="27" t="s">
        <v>150</v>
      </c>
      <c r="H960" s="27" t="s">
        <v>206</v>
      </c>
      <c r="I960" s="27" t="s">
        <v>272</v>
      </c>
      <c r="J960" s="27" t="s">
        <v>212</v>
      </c>
      <c r="K960" s="27" t="s">
        <v>468</v>
      </c>
      <c r="L960" s="3" t="str">
        <f aca="false">IF(ISNUMBER(SEARCH(" m",I960)),"Range",IF(I960="offline","Offline",IF(I960="","Unknown","No echo / error")))</f>
        <v>Range</v>
      </c>
      <c r="M960" s="3" t="str">
        <f aca="false">IF(ISNUMBER(SEARCH(" m",J960)),"Range",IF(J960="offline","Offline",IF(J960="","Unknown","No echo / error")))</f>
        <v>Range</v>
      </c>
      <c r="N960" s="3" t="str">
        <f aca="false">IF(ISNUMBER(SEARCH(" m",K960)),"Range",IF(K960="offline","Offline",IF(K960="","Unknown","No echo / error")))</f>
        <v>Range</v>
      </c>
      <c r="O960" s="3" t="str">
        <f aca="false">TEXT(B960,"yyyy-mm-dd")</f>
        <v>2026-10-06</v>
      </c>
    </row>
    <row r="961" customFormat="false" ht="15" hidden="false" customHeight="false" outlineLevel="0" collapsed="false">
      <c r="A961" s="27" t="n">
        <v>15</v>
      </c>
      <c r="B961" s="28" t="n">
        <v>46301.5243071644</v>
      </c>
      <c r="C961" s="29" t="n">
        <f aca="false">IF(A962=A961,B962,INDEX(Rounds!$D:$D,MATCH(A961,Rounds!$A:$A,0)))</f>
        <v>46301.5243152199</v>
      </c>
      <c r="D961" s="30" t="n">
        <f aca="false">(B961-INDEX(Rounds!$C:$C,MATCH(A961,Rounds!$A:$A,0)))*86400</f>
        <v>57.144999713</v>
      </c>
      <c r="E961" s="30" t="n">
        <f aca="false">(C961-INDEX(Rounds!$C:$C,MATCH(A961,Rounds!$A:$A,0)))*86400</f>
        <v>57.841000263</v>
      </c>
      <c r="F961" s="31" t="n">
        <f aca="false">(C961-B961)*86400</f>
        <v>0.696000549</v>
      </c>
      <c r="G961" s="27" t="s">
        <v>152</v>
      </c>
      <c r="H961" s="27" t="s">
        <v>208</v>
      </c>
      <c r="I961" s="27" t="s">
        <v>385</v>
      </c>
      <c r="J961" s="27" t="s">
        <v>204</v>
      </c>
      <c r="K961" s="27" t="s">
        <v>519</v>
      </c>
      <c r="L961" s="3" t="str">
        <f aca="false">IF(ISNUMBER(SEARCH(" m",I961)),"Range",IF(I961="offline","Offline",IF(I961="","Unknown","No echo / error")))</f>
        <v>Range</v>
      </c>
      <c r="M961" s="3" t="str">
        <f aca="false">IF(ISNUMBER(SEARCH(" m",J961)),"Range",IF(J961="offline","Offline",IF(J961="","Unknown","No echo / error")))</f>
        <v>No echo / error</v>
      </c>
      <c r="N961" s="3" t="str">
        <f aca="false">IF(ISNUMBER(SEARCH(" m",K961)),"Range",IF(K961="offline","Offline",IF(K961="","Unknown","No echo / error")))</f>
        <v>Range</v>
      </c>
      <c r="O961" s="3" t="str">
        <f aca="false">TEXT(B961,"yyyy-mm-dd")</f>
        <v>2026-10-06</v>
      </c>
    </row>
    <row r="962" customFormat="false" ht="15" hidden="false" customHeight="false" outlineLevel="0" collapsed="false">
      <c r="A962" s="27" t="n">
        <v>15</v>
      </c>
      <c r="B962" s="28" t="n">
        <v>46301.5243152199</v>
      </c>
      <c r="C962" s="29" t="n">
        <f aca="false">IF(A963=A962,B963,INDEX(Rounds!$D:$D,MATCH(A962,Rounds!$A:$A,0)))</f>
        <v>46301.5243207986</v>
      </c>
      <c r="D962" s="30" t="n">
        <f aca="false">(B962-INDEX(Rounds!$C:$C,MATCH(A962,Rounds!$A:$A,0)))*86400</f>
        <v>57.841000263</v>
      </c>
      <c r="E962" s="30" t="n">
        <f aca="false">(C962-INDEX(Rounds!$C:$C,MATCH(A962,Rounds!$A:$A,0)))*86400</f>
        <v>58.323000138</v>
      </c>
      <c r="F962" s="31" t="n">
        <f aca="false">(C962-B962)*86400</f>
        <v>0.481999875</v>
      </c>
      <c r="G962" s="27" t="s">
        <v>151</v>
      </c>
      <c r="H962" s="27" t="s">
        <v>203</v>
      </c>
      <c r="I962" s="27" t="s">
        <v>520</v>
      </c>
      <c r="J962" s="27" t="s">
        <v>204</v>
      </c>
      <c r="K962" s="27" t="s">
        <v>361</v>
      </c>
      <c r="L962" s="3" t="str">
        <f aca="false">IF(ISNUMBER(SEARCH(" m",I962)),"Range",IF(I962="offline","Offline",IF(I962="","Unknown","No echo / error")))</f>
        <v>Range</v>
      </c>
      <c r="M962" s="3" t="str">
        <f aca="false">IF(ISNUMBER(SEARCH(" m",J962)),"Range",IF(J962="offline","Offline",IF(J962="","Unknown","No echo / error")))</f>
        <v>No echo / error</v>
      </c>
      <c r="N962" s="3" t="str">
        <f aca="false">IF(ISNUMBER(SEARCH(" m",K962)),"Range",IF(K962="offline","Offline",IF(K962="","Unknown","No echo / error")))</f>
        <v>Range</v>
      </c>
      <c r="O962" s="3" t="str">
        <f aca="false">TEXT(B962,"yyyy-mm-dd")</f>
        <v>2026-10-06</v>
      </c>
    </row>
    <row r="963" customFormat="false" ht="15" hidden="false" customHeight="false" outlineLevel="0" collapsed="false">
      <c r="A963" s="27" t="n">
        <v>15</v>
      </c>
      <c r="B963" s="28" t="n">
        <v>46301.5243207986</v>
      </c>
      <c r="C963" s="29" t="n">
        <f aca="false">IF(A964=A963,B964,INDEX(Rounds!$D:$D,MATCH(A963,Rounds!$A:$A,0)))</f>
        <v>46301.5243422338</v>
      </c>
      <c r="D963" s="30" t="n">
        <f aca="false">(B963-INDEX(Rounds!$C:$C,MATCH(A963,Rounds!$A:$A,0)))*86400</f>
        <v>58.323000138</v>
      </c>
      <c r="E963" s="30" t="n">
        <f aca="false">(C963-INDEX(Rounds!$C:$C,MATCH(A963,Rounds!$A:$A,0)))*86400</f>
        <v>60.175000503</v>
      </c>
      <c r="F963" s="31" t="n">
        <f aca="false">(C963-B963)*86400</f>
        <v>1.852000365</v>
      </c>
      <c r="G963" s="27" t="s">
        <v>150</v>
      </c>
      <c r="H963" s="27" t="s">
        <v>206</v>
      </c>
      <c r="I963" s="27" t="s">
        <v>496</v>
      </c>
      <c r="J963" s="27" t="s">
        <v>374</v>
      </c>
      <c r="K963" s="27" t="s">
        <v>415</v>
      </c>
      <c r="L963" s="3" t="str">
        <f aca="false">IF(ISNUMBER(SEARCH(" m",I963)),"Range",IF(I963="offline","Offline",IF(I963="","Unknown","No echo / error")))</f>
        <v>Range</v>
      </c>
      <c r="M963" s="3" t="str">
        <f aca="false">IF(ISNUMBER(SEARCH(" m",J963)),"Range",IF(J963="offline","Offline",IF(J963="","Unknown","No echo / error")))</f>
        <v>Range</v>
      </c>
      <c r="N963" s="3" t="str">
        <f aca="false">IF(ISNUMBER(SEARCH(" m",K963)),"Range",IF(K963="offline","Offline",IF(K963="","Unknown","No echo / error")))</f>
        <v>Range</v>
      </c>
      <c r="O963" s="3" t="str">
        <f aca="false">TEXT(B963,"yyyy-mm-dd")</f>
        <v>2026-10-06</v>
      </c>
    </row>
    <row r="964" customFormat="false" ht="15" hidden="false" customHeight="false" outlineLevel="0" collapsed="false">
      <c r="A964" s="27" t="n">
        <v>15</v>
      </c>
      <c r="B964" s="28" t="n">
        <v>46301.5243422338</v>
      </c>
      <c r="C964" s="29" t="n">
        <f aca="false">IF(A965=A964,B965,INDEX(Rounds!$D:$D,MATCH(A964,Rounds!$A:$A,0)))</f>
        <v>46301.5243459838</v>
      </c>
      <c r="D964" s="30" t="n">
        <f aca="false">(B964-INDEX(Rounds!$C:$C,MATCH(A964,Rounds!$A:$A,0)))*86400</f>
        <v>60.175000503</v>
      </c>
      <c r="E964" s="30" t="n">
        <f aca="false">(C964-INDEX(Rounds!$C:$C,MATCH(A964,Rounds!$A:$A,0)))*86400</f>
        <v>60.498999198</v>
      </c>
      <c r="F964" s="31" t="n">
        <f aca="false">(C964-B964)*86400</f>
        <v>0.323998695</v>
      </c>
      <c r="G964" s="27" t="s">
        <v>152</v>
      </c>
      <c r="H964" s="27" t="s">
        <v>208</v>
      </c>
      <c r="I964" s="27" t="s">
        <v>521</v>
      </c>
      <c r="J964" s="27" t="s">
        <v>344</v>
      </c>
      <c r="K964" s="27" t="s">
        <v>328</v>
      </c>
      <c r="L964" s="3" t="str">
        <f aca="false">IF(ISNUMBER(SEARCH(" m",I964)),"Range",IF(I964="offline","Offline",IF(I964="","Unknown","No echo / error")))</f>
        <v>Range</v>
      </c>
      <c r="M964" s="3" t="str">
        <f aca="false">IF(ISNUMBER(SEARCH(" m",J964)),"Range",IF(J964="offline","Offline",IF(J964="","Unknown","No echo / error")))</f>
        <v>Range</v>
      </c>
      <c r="N964" s="3" t="str">
        <f aca="false">IF(ISNUMBER(SEARCH(" m",K964)),"Range",IF(K964="offline","Offline",IF(K964="","Unknown","No echo / error")))</f>
        <v>Range</v>
      </c>
      <c r="O964" s="3" t="str">
        <f aca="false">TEXT(B964,"yyyy-mm-dd")</f>
        <v>2026-10-06</v>
      </c>
    </row>
    <row r="965" customFormat="false" ht="15" hidden="false" customHeight="false" outlineLevel="0" collapsed="false">
      <c r="A965" s="27" t="n">
        <v>15</v>
      </c>
      <c r="B965" s="28" t="n">
        <v>46301.5243459838</v>
      </c>
      <c r="C965" s="29" t="n">
        <f aca="false">IF(A966=A965,B966,INDEX(Rounds!$D:$D,MATCH(A965,Rounds!$A:$A,0)))</f>
        <v>46301.524348588</v>
      </c>
      <c r="D965" s="30" t="n">
        <f aca="false">(B965-INDEX(Rounds!$C:$C,MATCH(A965,Rounds!$A:$A,0)))*86400</f>
        <v>60.498999198</v>
      </c>
      <c r="E965" s="30" t="n">
        <f aca="false">(C965-INDEX(Rounds!$C:$C,MATCH(A965,Rounds!$A:$A,0)))*86400</f>
        <v>60.723999864</v>
      </c>
      <c r="F965" s="31" t="n">
        <f aca="false">(C965-B965)*86400</f>
        <v>0.225000665</v>
      </c>
      <c r="G965" s="27" t="s">
        <v>151</v>
      </c>
      <c r="H965" s="27" t="s">
        <v>203</v>
      </c>
      <c r="I965" s="27" t="s">
        <v>256</v>
      </c>
      <c r="J965" s="27" t="s">
        <v>214</v>
      </c>
      <c r="K965" s="27" t="s">
        <v>360</v>
      </c>
      <c r="L965" s="3" t="str">
        <f aca="false">IF(ISNUMBER(SEARCH(" m",I965)),"Range",IF(I965="offline","Offline",IF(I965="","Unknown","No echo / error")))</f>
        <v>Range</v>
      </c>
      <c r="M965" s="3" t="str">
        <f aca="false">IF(ISNUMBER(SEARCH(" m",J965)),"Range",IF(J965="offline","Offline",IF(J965="","Unknown","No echo / error")))</f>
        <v>Range</v>
      </c>
      <c r="N965" s="3" t="str">
        <f aca="false">IF(ISNUMBER(SEARCH(" m",K965)),"Range",IF(K965="offline","Offline",IF(K965="","Unknown","No echo / error")))</f>
        <v>Range</v>
      </c>
      <c r="O965" s="3" t="str">
        <f aca="false">TEXT(B965,"yyyy-mm-dd")</f>
        <v>2026-10-06</v>
      </c>
    </row>
    <row r="966" customFormat="false" ht="15" hidden="false" customHeight="false" outlineLevel="0" collapsed="false">
      <c r="A966" s="27" t="n">
        <v>15</v>
      </c>
      <c r="B966" s="28" t="n">
        <v>46301.524348588</v>
      </c>
      <c r="C966" s="29" t="n">
        <f aca="false">IF(A967=A966,B967,INDEX(Rounds!$D:$D,MATCH(A966,Rounds!$A:$A,0)))</f>
        <v>46301.5243738889</v>
      </c>
      <c r="D966" s="30" t="n">
        <f aca="false">(B966-INDEX(Rounds!$C:$C,MATCH(A966,Rounds!$A:$A,0)))*86400</f>
        <v>60.723999864</v>
      </c>
      <c r="E966" s="30" t="n">
        <f aca="false">(C966-INDEX(Rounds!$C:$C,MATCH(A966,Rounds!$A:$A,0)))*86400</f>
        <v>62.910000002</v>
      </c>
      <c r="F966" s="31" t="n">
        <f aca="false">(C966-B966)*86400</f>
        <v>2.186000137</v>
      </c>
      <c r="G966" s="27" t="s">
        <v>150</v>
      </c>
      <c r="H966" s="27" t="s">
        <v>206</v>
      </c>
      <c r="I966" s="27" t="s">
        <v>364</v>
      </c>
      <c r="J966" s="27" t="s">
        <v>214</v>
      </c>
      <c r="K966" s="27" t="s">
        <v>250</v>
      </c>
      <c r="L966" s="3" t="str">
        <f aca="false">IF(ISNUMBER(SEARCH(" m",I966)),"Range",IF(I966="offline","Offline",IF(I966="","Unknown","No echo / error")))</f>
        <v>Range</v>
      </c>
      <c r="M966" s="3" t="str">
        <f aca="false">IF(ISNUMBER(SEARCH(" m",J966)),"Range",IF(J966="offline","Offline",IF(J966="","Unknown","No echo / error")))</f>
        <v>Range</v>
      </c>
      <c r="N966" s="3" t="str">
        <f aca="false">IF(ISNUMBER(SEARCH(" m",K966)),"Range",IF(K966="offline","Offline",IF(K966="","Unknown","No echo / error")))</f>
        <v>Range</v>
      </c>
      <c r="O966" s="3" t="str">
        <f aca="false">TEXT(B966,"yyyy-mm-dd")</f>
        <v>2026-10-06</v>
      </c>
    </row>
    <row r="967" customFormat="false" ht="15" hidden="false" customHeight="false" outlineLevel="0" collapsed="false">
      <c r="A967" s="27" t="n">
        <v>15</v>
      </c>
      <c r="B967" s="28" t="n">
        <v>46301.5243738889</v>
      </c>
      <c r="C967" s="29" t="n">
        <f aca="false">IF(A968=A967,B968,INDEX(Rounds!$D:$D,MATCH(A967,Rounds!$A:$A,0)))</f>
        <v>46301.524374456</v>
      </c>
      <c r="D967" s="30" t="n">
        <f aca="false">(B967-INDEX(Rounds!$C:$C,MATCH(A967,Rounds!$A:$A,0)))*86400</f>
        <v>62.910000002</v>
      </c>
      <c r="E967" s="30" t="n">
        <f aca="false">(C967-INDEX(Rounds!$C:$C,MATCH(A967,Rounds!$A:$A,0)))*86400</f>
        <v>62.959000188</v>
      </c>
      <c r="F967" s="31" t="n">
        <f aca="false">(C967-B967)*86400</f>
        <v>0.049000186</v>
      </c>
      <c r="G967" s="27" t="s">
        <v>152</v>
      </c>
      <c r="H967" s="27" t="s">
        <v>208</v>
      </c>
      <c r="I967" s="27" t="s">
        <v>374</v>
      </c>
      <c r="J967" s="27" t="s">
        <v>305</v>
      </c>
      <c r="K967" s="27" t="s">
        <v>305</v>
      </c>
      <c r="L967" s="3" t="str">
        <f aca="false">IF(ISNUMBER(SEARCH(" m",I967)),"Range",IF(I967="offline","Offline",IF(I967="","Unknown","No echo / error")))</f>
        <v>Range</v>
      </c>
      <c r="M967" s="3" t="str">
        <f aca="false">IF(ISNUMBER(SEARCH(" m",J967)),"Range",IF(J967="offline","Offline",IF(J967="","Unknown","No echo / error")))</f>
        <v>Range</v>
      </c>
      <c r="N967" s="3" t="str">
        <f aca="false">IF(ISNUMBER(SEARCH(" m",K967)),"Range",IF(K967="offline","Offline",IF(K967="","Unknown","No echo / error")))</f>
        <v>Range</v>
      </c>
      <c r="O967" s="3" t="str">
        <f aca="false">TEXT(B967,"yyyy-mm-dd")</f>
        <v>2026-10-06</v>
      </c>
    </row>
    <row r="968" customFormat="false" ht="15" hidden="false" customHeight="false" outlineLevel="0" collapsed="false">
      <c r="A968" s="27" t="n">
        <v>15</v>
      </c>
      <c r="B968" s="28" t="n">
        <v>46301.524374456</v>
      </c>
      <c r="C968" s="29" t="n">
        <f aca="false">IF(A969=A968,B969,INDEX(Rounds!$D:$D,MATCH(A968,Rounds!$A:$A,0)))</f>
        <v>46301.5243755556</v>
      </c>
      <c r="D968" s="30" t="n">
        <f aca="false">(B968-INDEX(Rounds!$C:$C,MATCH(A968,Rounds!$A:$A,0)))*86400</f>
        <v>62.959000188</v>
      </c>
      <c r="E968" s="30" t="n">
        <f aca="false">(C968-INDEX(Rounds!$C:$C,MATCH(A968,Rounds!$A:$A,0)))*86400</f>
        <v>63.05400005</v>
      </c>
      <c r="F968" s="31" t="n">
        <f aca="false">(C968-B968)*86400</f>
        <v>0.094999861</v>
      </c>
      <c r="G968" s="27" t="s">
        <v>151</v>
      </c>
      <c r="H968" s="27" t="s">
        <v>203</v>
      </c>
      <c r="I968" s="27" t="s">
        <v>486</v>
      </c>
      <c r="J968" s="27" t="s">
        <v>305</v>
      </c>
      <c r="K968" s="27" t="s">
        <v>305</v>
      </c>
      <c r="L968" s="3" t="str">
        <f aca="false">IF(ISNUMBER(SEARCH(" m",I968)),"Range",IF(I968="offline","Offline",IF(I968="","Unknown","No echo / error")))</f>
        <v>Range</v>
      </c>
      <c r="M968" s="3" t="str">
        <f aca="false">IF(ISNUMBER(SEARCH(" m",J968)),"Range",IF(J968="offline","Offline",IF(J968="","Unknown","No echo / error")))</f>
        <v>Range</v>
      </c>
      <c r="N968" s="3" t="str">
        <f aca="false">IF(ISNUMBER(SEARCH(" m",K968)),"Range",IF(K968="offline","Offline",IF(K968="","Unknown","No echo / error")))</f>
        <v>Range</v>
      </c>
      <c r="O968" s="3" t="str">
        <f aca="false">TEXT(B968,"yyyy-mm-dd")</f>
        <v>2026-10-06</v>
      </c>
    </row>
    <row r="969" customFormat="false" ht="15" hidden="false" customHeight="false" outlineLevel="0" collapsed="false">
      <c r="A969" s="27" t="n">
        <v>15</v>
      </c>
      <c r="B969" s="28" t="n">
        <v>46301.5243755556</v>
      </c>
      <c r="C969" s="29" t="n">
        <f aca="false">IF(A970=A969,B970,INDEX(Rounds!$D:$D,MATCH(A969,Rounds!$A:$A,0)))</f>
        <v>46301.5243943866</v>
      </c>
      <c r="D969" s="30" t="n">
        <f aca="false">(B969-INDEX(Rounds!$C:$C,MATCH(A969,Rounds!$A:$A,0)))*86400</f>
        <v>63.05400005</v>
      </c>
      <c r="E969" s="30" t="n">
        <f aca="false">(C969-INDEX(Rounds!$C:$C,MATCH(A969,Rounds!$A:$A,0)))*86400</f>
        <v>64.68099975</v>
      </c>
      <c r="F969" s="31" t="n">
        <f aca="false">(C969-B969)*86400</f>
        <v>1.626999699</v>
      </c>
      <c r="G969" s="27" t="s">
        <v>150</v>
      </c>
      <c r="H969" s="27" t="s">
        <v>206</v>
      </c>
      <c r="I969" s="27" t="s">
        <v>486</v>
      </c>
      <c r="J969" s="27" t="s">
        <v>305</v>
      </c>
      <c r="K969" s="27" t="s">
        <v>225</v>
      </c>
      <c r="L969" s="3" t="str">
        <f aca="false">IF(ISNUMBER(SEARCH(" m",I969)),"Range",IF(I969="offline","Offline",IF(I969="","Unknown","No echo / error")))</f>
        <v>Range</v>
      </c>
      <c r="M969" s="3" t="str">
        <f aca="false">IF(ISNUMBER(SEARCH(" m",J969)),"Range",IF(J969="offline","Offline",IF(J969="","Unknown","No echo / error")))</f>
        <v>Range</v>
      </c>
      <c r="N969" s="3" t="str">
        <f aca="false">IF(ISNUMBER(SEARCH(" m",K969)),"Range",IF(K969="offline","Offline",IF(K969="","Unknown","No echo / error")))</f>
        <v>Range</v>
      </c>
      <c r="O969" s="3" t="str">
        <f aca="false">TEXT(B969,"yyyy-mm-dd")</f>
        <v>2026-10-06</v>
      </c>
    </row>
    <row r="970" customFormat="false" ht="15" hidden="false" customHeight="false" outlineLevel="0" collapsed="false">
      <c r="A970" s="27" t="n">
        <v>15</v>
      </c>
      <c r="B970" s="28" t="n">
        <v>46301.5243943866</v>
      </c>
      <c r="C970" s="29" t="n">
        <f aca="false">IF(A971=A970,B971,INDEX(Rounds!$D:$D,MATCH(A970,Rounds!$A:$A,0)))</f>
        <v>46301.5243956829</v>
      </c>
      <c r="D970" s="30" t="n">
        <f aca="false">(B970-INDEX(Rounds!$C:$C,MATCH(A970,Rounds!$A:$A,0)))*86400</f>
        <v>64.68099975</v>
      </c>
      <c r="E970" s="30" t="n">
        <f aca="false">(C970-INDEX(Rounds!$C:$C,MATCH(A970,Rounds!$A:$A,0)))*86400</f>
        <v>64.792999997</v>
      </c>
      <c r="F970" s="31" t="n">
        <f aca="false">(C970-B970)*86400</f>
        <v>0.112000247</v>
      </c>
      <c r="G970" s="27" t="s">
        <v>151</v>
      </c>
      <c r="H970" s="27" t="s">
        <v>203</v>
      </c>
      <c r="I970" s="27" t="s">
        <v>407</v>
      </c>
      <c r="J970" s="27" t="s">
        <v>273</v>
      </c>
      <c r="K970" s="27" t="s">
        <v>216</v>
      </c>
      <c r="L970" s="3" t="str">
        <f aca="false">IF(ISNUMBER(SEARCH(" m",I970)),"Range",IF(I970="offline","Offline",IF(I970="","Unknown","No echo / error")))</f>
        <v>Range</v>
      </c>
      <c r="M970" s="3" t="str">
        <f aca="false">IF(ISNUMBER(SEARCH(" m",J970)),"Range",IF(J970="offline","Offline",IF(J970="","Unknown","No echo / error")))</f>
        <v>Range</v>
      </c>
      <c r="N970" s="3" t="str">
        <f aca="false">IF(ISNUMBER(SEARCH(" m",K970)),"Range",IF(K970="offline","Offline",IF(K970="","Unknown","No echo / error")))</f>
        <v>Range</v>
      </c>
      <c r="O970" s="3" t="str">
        <f aca="false">TEXT(B970,"yyyy-mm-dd")</f>
        <v>2026-10-06</v>
      </c>
    </row>
    <row r="971" customFormat="false" ht="15" hidden="false" customHeight="false" outlineLevel="0" collapsed="false">
      <c r="A971" s="27" t="n">
        <v>15</v>
      </c>
      <c r="B971" s="28" t="n">
        <v>46301.5243956829</v>
      </c>
      <c r="C971" s="29" t="n">
        <f aca="false">IF(A972=A971,B972,INDEX(Rounds!$D:$D,MATCH(A971,Rounds!$A:$A,0)))</f>
        <v>46301.5244036921</v>
      </c>
      <c r="D971" s="30" t="n">
        <f aca="false">(B971-INDEX(Rounds!$C:$C,MATCH(A971,Rounds!$A:$A,0)))*86400</f>
        <v>64.792999997</v>
      </c>
      <c r="E971" s="30" t="n">
        <f aca="false">(C971-INDEX(Rounds!$C:$C,MATCH(A971,Rounds!$A:$A,0)))*86400</f>
        <v>65.484999865</v>
      </c>
      <c r="F971" s="31" t="n">
        <f aca="false">(C971-B971)*86400</f>
        <v>0.691999867</v>
      </c>
      <c r="G971" s="27" t="s">
        <v>150</v>
      </c>
      <c r="H971" s="27" t="s">
        <v>206</v>
      </c>
      <c r="I971" s="27" t="s">
        <v>407</v>
      </c>
      <c r="J971" s="27" t="s">
        <v>287</v>
      </c>
      <c r="K971" s="27" t="s">
        <v>216</v>
      </c>
      <c r="L971" s="3" t="str">
        <f aca="false">IF(ISNUMBER(SEARCH(" m",I971)),"Range",IF(I971="offline","Offline",IF(I971="","Unknown","No echo / error")))</f>
        <v>Range</v>
      </c>
      <c r="M971" s="3" t="str">
        <f aca="false">IF(ISNUMBER(SEARCH(" m",J971)),"Range",IF(J971="offline","Offline",IF(J971="","Unknown","No echo / error")))</f>
        <v>Range</v>
      </c>
      <c r="N971" s="3" t="str">
        <f aca="false">IF(ISNUMBER(SEARCH(" m",K971)),"Range",IF(K971="offline","Offline",IF(K971="","Unknown","No echo / error")))</f>
        <v>Range</v>
      </c>
      <c r="O971" s="3" t="str">
        <f aca="false">TEXT(B971,"yyyy-mm-dd")</f>
        <v>2026-10-06</v>
      </c>
    </row>
    <row r="972" customFormat="false" ht="15" hidden="false" customHeight="false" outlineLevel="0" collapsed="false">
      <c r="A972" s="27" t="n">
        <v>15</v>
      </c>
      <c r="B972" s="28" t="n">
        <v>46301.5244036921</v>
      </c>
      <c r="C972" s="29" t="n">
        <f aca="false">IF(A973=A972,B973,INDEX(Rounds!$D:$D,MATCH(A972,Rounds!$A:$A,0)))</f>
        <v>46301.5244098495</v>
      </c>
      <c r="D972" s="30" t="n">
        <f aca="false">(B972-INDEX(Rounds!$C:$C,MATCH(A972,Rounds!$A:$A,0)))*86400</f>
        <v>65.484999865</v>
      </c>
      <c r="E972" s="30" t="n">
        <f aca="false">(C972-INDEX(Rounds!$C:$C,MATCH(A972,Rounds!$A:$A,0)))*86400</f>
        <v>66.017000097</v>
      </c>
      <c r="F972" s="31" t="n">
        <f aca="false">(C972-B972)*86400</f>
        <v>0.532000232</v>
      </c>
      <c r="G972" s="27" t="s">
        <v>152</v>
      </c>
      <c r="H972" s="27" t="s">
        <v>208</v>
      </c>
      <c r="I972" s="27" t="s">
        <v>246</v>
      </c>
      <c r="J972" s="27" t="s">
        <v>435</v>
      </c>
      <c r="K972" s="27" t="s">
        <v>204</v>
      </c>
      <c r="L972" s="3" t="str">
        <f aca="false">IF(ISNUMBER(SEARCH(" m",I972)),"Range",IF(I972="offline","Offline",IF(I972="","Unknown","No echo / error")))</f>
        <v>Range</v>
      </c>
      <c r="M972" s="3" t="str">
        <f aca="false">IF(ISNUMBER(SEARCH(" m",J972)),"Range",IF(J972="offline","Offline",IF(J972="","Unknown","No echo / error")))</f>
        <v>Range</v>
      </c>
      <c r="N972" s="3" t="str">
        <f aca="false">IF(ISNUMBER(SEARCH(" m",K972)),"Range",IF(K972="offline","Offline",IF(K972="","Unknown","No echo / error")))</f>
        <v>No echo / error</v>
      </c>
      <c r="O972" s="3" t="str">
        <f aca="false">TEXT(B972,"yyyy-mm-dd")</f>
        <v>2026-10-06</v>
      </c>
    </row>
    <row r="973" customFormat="false" ht="15" hidden="false" customHeight="false" outlineLevel="0" collapsed="false">
      <c r="A973" s="27" t="n">
        <v>15</v>
      </c>
      <c r="B973" s="28" t="n">
        <v>46301.5244098495</v>
      </c>
      <c r="C973" s="29" t="n">
        <f aca="false">IF(A974=A973,B974,INDEX(Rounds!$D:$D,MATCH(A973,Rounds!$A:$A,0)))</f>
        <v>46301.5244111574</v>
      </c>
      <c r="D973" s="30" t="n">
        <f aca="false">(B973-INDEX(Rounds!$C:$C,MATCH(A973,Rounds!$A:$A,0)))*86400</f>
        <v>66.017000097</v>
      </c>
      <c r="E973" s="30" t="n">
        <f aca="false">(C973-INDEX(Rounds!$C:$C,MATCH(A973,Rounds!$A:$A,0)))*86400</f>
        <v>66.129999887</v>
      </c>
      <c r="F973" s="31" t="n">
        <f aca="false">(C973-B973)*86400</f>
        <v>0.112999789</v>
      </c>
      <c r="G973" s="27" t="s">
        <v>151</v>
      </c>
      <c r="H973" s="27" t="s">
        <v>203</v>
      </c>
      <c r="I973" s="27" t="s">
        <v>327</v>
      </c>
      <c r="J973" s="27" t="s">
        <v>435</v>
      </c>
      <c r="K973" s="27" t="s">
        <v>470</v>
      </c>
      <c r="L973" s="3" t="str">
        <f aca="false">IF(ISNUMBER(SEARCH(" m",I973)),"Range",IF(I973="offline","Offline",IF(I973="","Unknown","No echo / error")))</f>
        <v>Range</v>
      </c>
      <c r="M973" s="3" t="str">
        <f aca="false">IF(ISNUMBER(SEARCH(" m",J973)),"Range",IF(J973="offline","Offline",IF(J973="","Unknown","No echo / error")))</f>
        <v>Range</v>
      </c>
      <c r="N973" s="3" t="str">
        <f aca="false">IF(ISNUMBER(SEARCH(" m",K973)),"Range",IF(K973="offline","Offline",IF(K973="","Unknown","No echo / error")))</f>
        <v>Range</v>
      </c>
      <c r="O973" s="3" t="str">
        <f aca="false">TEXT(B973,"yyyy-mm-dd")</f>
        <v>2026-10-06</v>
      </c>
    </row>
    <row r="974" customFormat="false" ht="15" hidden="false" customHeight="false" outlineLevel="0" collapsed="false">
      <c r="A974" s="27" t="n">
        <v>15</v>
      </c>
      <c r="B974" s="28" t="n">
        <v>46301.5244111574</v>
      </c>
      <c r="C974" s="29" t="n">
        <f aca="false">IF(A975=A974,B975,INDEX(Rounds!$D:$D,MATCH(A974,Rounds!$A:$A,0)))</f>
        <v>46301.5244167361</v>
      </c>
      <c r="D974" s="30" t="n">
        <f aca="false">(B974-INDEX(Rounds!$C:$C,MATCH(A974,Rounds!$A:$A,0)))*86400</f>
        <v>66.129999887</v>
      </c>
      <c r="E974" s="30" t="n">
        <f aca="false">(C974-INDEX(Rounds!$C:$C,MATCH(A974,Rounds!$A:$A,0)))*86400</f>
        <v>66.611999762</v>
      </c>
      <c r="F974" s="31" t="n">
        <f aca="false">(C974-B974)*86400</f>
        <v>0.481999875</v>
      </c>
      <c r="G974" s="27" t="s">
        <v>150</v>
      </c>
      <c r="H974" s="27" t="s">
        <v>206</v>
      </c>
      <c r="I974" s="27" t="s">
        <v>327</v>
      </c>
      <c r="J974" s="27" t="s">
        <v>435</v>
      </c>
      <c r="K974" s="27" t="s">
        <v>522</v>
      </c>
      <c r="L974" s="3" t="str">
        <f aca="false">IF(ISNUMBER(SEARCH(" m",I974)),"Range",IF(I974="offline","Offline",IF(I974="","Unknown","No echo / error")))</f>
        <v>Range</v>
      </c>
      <c r="M974" s="3" t="str">
        <f aca="false">IF(ISNUMBER(SEARCH(" m",J974)),"Range",IF(J974="offline","Offline",IF(J974="","Unknown","No echo / error")))</f>
        <v>Range</v>
      </c>
      <c r="N974" s="3" t="str">
        <f aca="false">IF(ISNUMBER(SEARCH(" m",K974)),"Range",IF(K974="offline","Offline",IF(K974="","Unknown","No echo / error")))</f>
        <v>Range</v>
      </c>
      <c r="O974" s="3" t="str">
        <f aca="false">TEXT(B974,"yyyy-mm-dd")</f>
        <v>2026-10-06</v>
      </c>
    </row>
    <row r="975" customFormat="false" ht="15" hidden="false" customHeight="false" outlineLevel="0" collapsed="false">
      <c r="A975" s="27" t="n">
        <v>15</v>
      </c>
      <c r="B975" s="28" t="n">
        <v>46301.5244167361</v>
      </c>
      <c r="C975" s="29" t="n">
        <f aca="false">IF(A976=A975,B976,INDEX(Rounds!$D:$D,MATCH(A975,Rounds!$A:$A,0)))</f>
        <v>46301.5244239931</v>
      </c>
      <c r="D975" s="30" t="n">
        <f aca="false">(B975-INDEX(Rounds!$C:$C,MATCH(A975,Rounds!$A:$A,0)))*86400</f>
        <v>66.611999762</v>
      </c>
      <c r="E975" s="30" t="n">
        <f aca="false">(C975-INDEX(Rounds!$C:$C,MATCH(A975,Rounds!$A:$A,0)))*86400</f>
        <v>67.238999227</v>
      </c>
      <c r="F975" s="31" t="n">
        <f aca="false">(C975-B975)*86400</f>
        <v>0.626999465</v>
      </c>
      <c r="G975" s="27" t="s">
        <v>152</v>
      </c>
      <c r="H975" s="27" t="s">
        <v>208</v>
      </c>
      <c r="I975" s="27" t="s">
        <v>288</v>
      </c>
      <c r="J975" s="27" t="s">
        <v>314</v>
      </c>
      <c r="K975" s="27" t="s">
        <v>522</v>
      </c>
      <c r="L975" s="3" t="str">
        <f aca="false">IF(ISNUMBER(SEARCH(" m",I975)),"Range",IF(I975="offline","Offline",IF(I975="","Unknown","No echo / error")))</f>
        <v>Range</v>
      </c>
      <c r="M975" s="3" t="str">
        <f aca="false">IF(ISNUMBER(SEARCH(" m",J975)),"Range",IF(J975="offline","Offline",IF(J975="","Unknown","No echo / error")))</f>
        <v>Range</v>
      </c>
      <c r="N975" s="3" t="str">
        <f aca="false">IF(ISNUMBER(SEARCH(" m",K975)),"Range",IF(K975="offline","Offline",IF(K975="","Unknown","No echo / error")))</f>
        <v>Range</v>
      </c>
      <c r="O975" s="3" t="str">
        <f aca="false">TEXT(B975,"yyyy-mm-dd")</f>
        <v>2026-10-06</v>
      </c>
    </row>
    <row r="976" customFormat="false" ht="15" hidden="false" customHeight="false" outlineLevel="0" collapsed="false">
      <c r="A976" s="27" t="n">
        <v>15</v>
      </c>
      <c r="B976" s="28" t="n">
        <v>46301.5244239931</v>
      </c>
      <c r="C976" s="29" t="n">
        <f aca="false">IF(A977=A976,B977,INDEX(Rounds!$D:$D,MATCH(A976,Rounds!$A:$A,0)))</f>
        <v>46301.5244266088</v>
      </c>
      <c r="D976" s="30" t="n">
        <f aca="false">(B976-INDEX(Rounds!$C:$C,MATCH(A976,Rounds!$A:$A,0)))*86400</f>
        <v>67.238999227</v>
      </c>
      <c r="E976" s="30" t="n">
        <f aca="false">(C976-INDEX(Rounds!$C:$C,MATCH(A976,Rounds!$A:$A,0)))*86400</f>
        <v>67.465000064</v>
      </c>
      <c r="F976" s="31" t="n">
        <f aca="false">(C976-B976)*86400</f>
        <v>0.226000836</v>
      </c>
      <c r="G976" s="27" t="s">
        <v>151</v>
      </c>
      <c r="H976" s="27" t="s">
        <v>203</v>
      </c>
      <c r="I976" s="27" t="s">
        <v>219</v>
      </c>
      <c r="J976" s="27" t="s">
        <v>431</v>
      </c>
      <c r="K976" s="27" t="s">
        <v>204</v>
      </c>
      <c r="L976" s="3" t="str">
        <f aca="false">IF(ISNUMBER(SEARCH(" m",I976)),"Range",IF(I976="offline","Offline",IF(I976="","Unknown","No echo / error")))</f>
        <v>Range</v>
      </c>
      <c r="M976" s="3" t="str">
        <f aca="false">IF(ISNUMBER(SEARCH(" m",J976)),"Range",IF(J976="offline","Offline",IF(J976="","Unknown","No echo / error")))</f>
        <v>Range</v>
      </c>
      <c r="N976" s="3" t="str">
        <f aca="false">IF(ISNUMBER(SEARCH(" m",K976)),"Range",IF(K976="offline","Offline",IF(K976="","Unknown","No echo / error")))</f>
        <v>No echo / error</v>
      </c>
      <c r="O976" s="3" t="str">
        <f aca="false">TEXT(B976,"yyyy-mm-dd")</f>
        <v>2026-10-06</v>
      </c>
    </row>
    <row r="977" customFormat="false" ht="15" hidden="false" customHeight="false" outlineLevel="0" collapsed="false">
      <c r="A977" s="27" t="n">
        <v>15</v>
      </c>
      <c r="B977" s="28" t="n">
        <v>46301.5244266088</v>
      </c>
      <c r="C977" s="29" t="n">
        <f aca="false">IF(A978=A977,B978,INDEX(Rounds!$D:$D,MATCH(A977,Rounds!$A:$A,0)))</f>
        <v>46301.5244333333</v>
      </c>
      <c r="D977" s="30" t="n">
        <f aca="false">(B977-INDEX(Rounds!$C:$C,MATCH(A977,Rounds!$A:$A,0)))*86400</f>
        <v>67.465000064</v>
      </c>
      <c r="E977" s="30" t="n">
        <f aca="false">(C977-INDEX(Rounds!$C:$C,MATCH(A977,Rounds!$A:$A,0)))*86400</f>
        <v>68.045999854</v>
      </c>
      <c r="F977" s="31" t="n">
        <f aca="false">(C977-B977)*86400</f>
        <v>0.58099979</v>
      </c>
      <c r="G977" s="27" t="s">
        <v>150</v>
      </c>
      <c r="H977" s="27" t="s">
        <v>206</v>
      </c>
      <c r="I977" s="27" t="s">
        <v>219</v>
      </c>
      <c r="J977" s="27" t="s">
        <v>357</v>
      </c>
      <c r="K977" s="27" t="s">
        <v>204</v>
      </c>
      <c r="L977" s="3" t="str">
        <f aca="false">IF(ISNUMBER(SEARCH(" m",I977)),"Range",IF(I977="offline","Offline",IF(I977="","Unknown","No echo / error")))</f>
        <v>Range</v>
      </c>
      <c r="M977" s="3" t="str">
        <f aca="false">IF(ISNUMBER(SEARCH(" m",J977)),"Range",IF(J977="offline","Offline",IF(J977="","Unknown","No echo / error")))</f>
        <v>Range</v>
      </c>
      <c r="N977" s="3" t="str">
        <f aca="false">IF(ISNUMBER(SEARCH(" m",K977)),"Range",IF(K977="offline","Offline",IF(K977="","Unknown","No echo / error")))</f>
        <v>No echo / error</v>
      </c>
      <c r="O977" s="3" t="str">
        <f aca="false">TEXT(B977,"yyyy-mm-dd")</f>
        <v>2026-10-06</v>
      </c>
    </row>
    <row r="978" customFormat="false" ht="15" hidden="false" customHeight="false" outlineLevel="0" collapsed="false">
      <c r="A978" s="27" t="n">
        <v>15</v>
      </c>
      <c r="B978" s="28" t="n">
        <v>46301.5244333333</v>
      </c>
      <c r="C978" s="29" t="n">
        <f aca="false">IF(A979=A978,B979,INDEX(Rounds!$D:$D,MATCH(A978,Rounds!$A:$A,0)))</f>
        <v>46301.5244426505</v>
      </c>
      <c r="D978" s="30" t="n">
        <f aca="false">(B978-INDEX(Rounds!$C:$C,MATCH(A978,Rounds!$A:$A,0)))*86400</f>
        <v>68.045999854</v>
      </c>
      <c r="E978" s="30" t="n">
        <f aca="false">(C978-INDEX(Rounds!$C:$C,MATCH(A978,Rounds!$A:$A,0)))*86400</f>
        <v>68.851000769</v>
      </c>
      <c r="F978" s="31" t="n">
        <f aca="false">(C978-B978)*86400</f>
        <v>0.805000914</v>
      </c>
      <c r="G978" s="27" t="s">
        <v>152</v>
      </c>
      <c r="H978" s="27" t="s">
        <v>208</v>
      </c>
      <c r="I978" s="27" t="s">
        <v>277</v>
      </c>
      <c r="J978" s="27" t="s">
        <v>357</v>
      </c>
      <c r="K978" s="27" t="s">
        <v>443</v>
      </c>
      <c r="L978" s="3" t="str">
        <f aca="false">IF(ISNUMBER(SEARCH(" m",I978)),"Range",IF(I978="offline","Offline",IF(I978="","Unknown","No echo / error")))</f>
        <v>Range</v>
      </c>
      <c r="M978" s="3" t="str">
        <f aca="false">IF(ISNUMBER(SEARCH(" m",J978)),"Range",IF(J978="offline","Offline",IF(J978="","Unknown","No echo / error")))</f>
        <v>Range</v>
      </c>
      <c r="N978" s="3" t="str">
        <f aca="false">IF(ISNUMBER(SEARCH(" m",K978)),"Range",IF(K978="offline","Offline",IF(K978="","Unknown","No echo / error")))</f>
        <v>Range</v>
      </c>
      <c r="O978" s="3" t="str">
        <f aca="false">TEXT(B978,"yyyy-mm-dd")</f>
        <v>2026-10-06</v>
      </c>
    </row>
    <row r="979" customFormat="false" ht="15" hidden="false" customHeight="false" outlineLevel="0" collapsed="false">
      <c r="A979" s="27" t="n">
        <v>15</v>
      </c>
      <c r="B979" s="28" t="n">
        <v>46301.5244426505</v>
      </c>
      <c r="C979" s="29" t="n">
        <f aca="false">IF(A980=A979,B980,INDEX(Rounds!$D:$D,MATCH(A979,Rounds!$A:$A,0)))</f>
        <v>46301.5244512269</v>
      </c>
      <c r="D979" s="30" t="n">
        <f aca="false">(B979-INDEX(Rounds!$C:$C,MATCH(A979,Rounds!$A:$A,0)))*86400</f>
        <v>68.851000769</v>
      </c>
      <c r="E979" s="30" t="n">
        <f aca="false">(C979-INDEX(Rounds!$C:$C,MATCH(A979,Rounds!$A:$A,0)))*86400</f>
        <v>69.591999566</v>
      </c>
      <c r="F979" s="31" t="n">
        <f aca="false">(C979-B979)*86400</f>
        <v>0.740998797</v>
      </c>
      <c r="G979" s="27" t="s">
        <v>151</v>
      </c>
      <c r="H979" s="27" t="s">
        <v>203</v>
      </c>
      <c r="I979" s="27" t="s">
        <v>277</v>
      </c>
      <c r="J979" s="27" t="s">
        <v>264</v>
      </c>
      <c r="K979" s="27" t="s">
        <v>443</v>
      </c>
      <c r="L979" s="3" t="str">
        <f aca="false">IF(ISNUMBER(SEARCH(" m",I979)),"Range",IF(I979="offline","Offline",IF(I979="","Unknown","No echo / error")))</f>
        <v>Range</v>
      </c>
      <c r="M979" s="3" t="str">
        <f aca="false">IF(ISNUMBER(SEARCH(" m",J979)),"Range",IF(J979="offline","Offline",IF(J979="","Unknown","No echo / error")))</f>
        <v>Range</v>
      </c>
      <c r="N979" s="3" t="str">
        <f aca="false">IF(ISNUMBER(SEARCH(" m",K979)),"Range",IF(K979="offline","Offline",IF(K979="","Unknown","No echo / error")))</f>
        <v>Range</v>
      </c>
      <c r="O979" s="3" t="str">
        <f aca="false">TEXT(B979,"yyyy-mm-dd")</f>
        <v>2026-10-06</v>
      </c>
    </row>
    <row r="980" customFormat="false" ht="15" hidden="false" customHeight="false" outlineLevel="0" collapsed="false">
      <c r="A980" s="27" t="n">
        <v>15</v>
      </c>
      <c r="B980" s="28" t="n">
        <v>46301.5244512269</v>
      </c>
      <c r="C980" s="29" t="n">
        <f aca="false">IF(A981=A980,B981,INDEX(Rounds!$D:$D,MATCH(A980,Rounds!$A:$A,0)))</f>
        <v>46301.5244672338</v>
      </c>
      <c r="D980" s="30" t="n">
        <f aca="false">(B980-INDEX(Rounds!$C:$C,MATCH(A980,Rounds!$A:$A,0)))*86400</f>
        <v>69.591999566</v>
      </c>
      <c r="E980" s="30" t="n">
        <f aca="false">(C980-INDEX(Rounds!$C:$C,MATCH(A980,Rounds!$A:$A,0)))*86400</f>
        <v>70.97499913</v>
      </c>
      <c r="F980" s="31" t="n">
        <f aca="false">(C980-B980)*86400</f>
        <v>1.382999564</v>
      </c>
      <c r="G980" s="27" t="s">
        <v>152</v>
      </c>
      <c r="H980" s="27" t="s">
        <v>208</v>
      </c>
      <c r="I980" s="27" t="s">
        <v>432</v>
      </c>
      <c r="J980" s="27" t="s">
        <v>204</v>
      </c>
      <c r="K980" s="27" t="s">
        <v>426</v>
      </c>
      <c r="L980" s="3" t="str">
        <f aca="false">IF(ISNUMBER(SEARCH(" m",I980)),"Range",IF(I980="offline","Offline",IF(I980="","Unknown","No echo / error")))</f>
        <v>Range</v>
      </c>
      <c r="M980" s="3" t="str">
        <f aca="false">IF(ISNUMBER(SEARCH(" m",J980)),"Range",IF(J980="offline","Offline",IF(J980="","Unknown","No echo / error")))</f>
        <v>No echo / error</v>
      </c>
      <c r="N980" s="3" t="str">
        <f aca="false">IF(ISNUMBER(SEARCH(" m",K980)),"Range",IF(K980="offline","Offline",IF(K980="","Unknown","No echo / error")))</f>
        <v>Range</v>
      </c>
      <c r="O980" s="3" t="str">
        <f aca="false">TEXT(B980,"yyyy-mm-dd")</f>
        <v>2026-10-06</v>
      </c>
    </row>
    <row r="981" customFormat="false" ht="15" hidden="false" customHeight="false" outlineLevel="0" collapsed="false">
      <c r="A981" s="27" t="n">
        <v>15</v>
      </c>
      <c r="B981" s="28" t="n">
        <v>46301.5244672338</v>
      </c>
      <c r="C981" s="29" t="n">
        <f aca="false">IF(A982=A981,B982,INDEX(Rounds!$D:$D,MATCH(A981,Rounds!$A:$A,0)))</f>
        <v>46301.5244900926</v>
      </c>
      <c r="D981" s="30" t="n">
        <f aca="false">(B981-INDEX(Rounds!$C:$C,MATCH(A981,Rounds!$A:$A,0)))*86400</f>
        <v>70.97499913</v>
      </c>
      <c r="E981" s="30" t="n">
        <f aca="false">(C981-INDEX(Rounds!$C:$C,MATCH(A981,Rounds!$A:$A,0)))*86400</f>
        <v>72.949999733</v>
      </c>
      <c r="F981" s="31" t="n">
        <f aca="false">(C981-B981)*86400</f>
        <v>1.975000603</v>
      </c>
      <c r="G981" s="27" t="s">
        <v>151</v>
      </c>
      <c r="H981" s="27" t="s">
        <v>203</v>
      </c>
      <c r="I981" s="27" t="s">
        <v>204</v>
      </c>
      <c r="J981" s="27" t="s">
        <v>469</v>
      </c>
      <c r="K981" s="27" t="s">
        <v>338</v>
      </c>
      <c r="L981" s="3" t="str">
        <f aca="false">IF(ISNUMBER(SEARCH(" m",I981)),"Range",IF(I981="offline","Offline",IF(I981="","Unknown","No echo / error")))</f>
        <v>No echo / error</v>
      </c>
      <c r="M981" s="3" t="str">
        <f aca="false">IF(ISNUMBER(SEARCH(" m",J981)),"Range",IF(J981="offline","Offline",IF(J981="","Unknown","No echo / error")))</f>
        <v>Range</v>
      </c>
      <c r="N981" s="3" t="str">
        <f aca="false">IF(ISNUMBER(SEARCH(" m",K981)),"Range",IF(K981="offline","Offline",IF(K981="","Unknown","No echo / error")))</f>
        <v>Range</v>
      </c>
      <c r="O981" s="3" t="str">
        <f aca="false">TEXT(B981,"yyyy-mm-dd")</f>
        <v>2026-10-06</v>
      </c>
    </row>
    <row r="982" customFormat="false" ht="15" hidden="false" customHeight="false" outlineLevel="0" collapsed="false">
      <c r="A982" s="27" t="n">
        <v>15</v>
      </c>
      <c r="B982" s="28" t="n">
        <v>46301.5244900926</v>
      </c>
      <c r="C982" s="29" t="n">
        <f aca="false">IF(A983=A982,B983,INDEX(Rounds!$D:$D,MATCH(A982,Rounds!$A:$A,0)))</f>
        <v>46301.5244930671</v>
      </c>
      <c r="D982" s="30" t="n">
        <f aca="false">(B982-INDEX(Rounds!$C:$C,MATCH(A982,Rounds!$A:$A,0)))*86400</f>
        <v>72.949999733</v>
      </c>
      <c r="E982" s="30" t="n">
        <f aca="false">(C982-INDEX(Rounds!$C:$C,MATCH(A982,Rounds!$A:$A,0)))*86400</f>
        <v>73.2070002</v>
      </c>
      <c r="F982" s="31" t="n">
        <f aca="false">(C982-B982)*86400</f>
        <v>0.257000466</v>
      </c>
      <c r="G982" s="27" t="s">
        <v>150</v>
      </c>
      <c r="H982" s="27" t="s">
        <v>206</v>
      </c>
      <c r="I982" s="27" t="s">
        <v>449</v>
      </c>
      <c r="J982" s="27" t="s">
        <v>320</v>
      </c>
      <c r="K982" s="27" t="s">
        <v>252</v>
      </c>
      <c r="L982" s="3" t="str">
        <f aca="false">IF(ISNUMBER(SEARCH(" m",I982)),"Range",IF(I982="offline","Offline",IF(I982="","Unknown","No echo / error")))</f>
        <v>Range</v>
      </c>
      <c r="M982" s="3" t="str">
        <f aca="false">IF(ISNUMBER(SEARCH(" m",J982)),"Range",IF(J982="offline","Offline",IF(J982="","Unknown","No echo / error")))</f>
        <v>Range</v>
      </c>
      <c r="N982" s="3" t="str">
        <f aca="false">IF(ISNUMBER(SEARCH(" m",K982)),"Range",IF(K982="offline","Offline",IF(K982="","Unknown","No echo / error")))</f>
        <v>Range</v>
      </c>
      <c r="O982" s="3" t="str">
        <f aca="false">TEXT(B982,"yyyy-mm-dd")</f>
        <v>2026-10-06</v>
      </c>
    </row>
    <row r="983" customFormat="false" ht="15" hidden="false" customHeight="false" outlineLevel="0" collapsed="false">
      <c r="A983" s="27" t="n">
        <v>15</v>
      </c>
      <c r="B983" s="28" t="n">
        <v>46301.5244930671</v>
      </c>
      <c r="C983" s="29" t="n">
        <f aca="false">IF(A984=A983,B984,INDEX(Rounds!$D:$D,MATCH(A983,Rounds!$A:$A,0)))</f>
        <v>46301.5244930671</v>
      </c>
      <c r="D983" s="30" t="n">
        <f aca="false">(B983-INDEX(Rounds!$C:$C,MATCH(A983,Rounds!$A:$A,0)))*86400</f>
        <v>73.2070002</v>
      </c>
      <c r="E983" s="30" t="n">
        <f aca="false">(C983-INDEX(Rounds!$C:$C,MATCH(A983,Rounds!$A:$A,0)))*86400</f>
        <v>73.2070002</v>
      </c>
      <c r="F983" s="31" t="n">
        <f aca="false">(C983-B983)*86400</f>
        <v>0</v>
      </c>
      <c r="G983" s="27" t="s">
        <v>154</v>
      </c>
      <c r="H983" s="27" t="s">
        <v>206</v>
      </c>
      <c r="I983" s="27" t="s">
        <v>449</v>
      </c>
      <c r="J983" s="27" t="s">
        <v>320</v>
      </c>
      <c r="K983" s="27" t="s">
        <v>252</v>
      </c>
      <c r="L983" s="3" t="str">
        <f aca="false">IF(ISNUMBER(SEARCH(" m",I983)),"Range",IF(I983="offline","Offline",IF(I983="","Unknown","No echo / error")))</f>
        <v>Range</v>
      </c>
      <c r="M983" s="3" t="str">
        <f aca="false">IF(ISNUMBER(SEARCH(" m",J983)),"Range",IF(J983="offline","Offline",IF(J983="","Unknown","No echo / error")))</f>
        <v>Range</v>
      </c>
      <c r="N983" s="3" t="str">
        <f aca="false">IF(ISNUMBER(SEARCH(" m",K983)),"Range",IF(K983="offline","Offline",IF(K983="","Unknown","No echo / error")))</f>
        <v>Range</v>
      </c>
      <c r="O983" s="3" t="str">
        <f aca="false">TEXT(B983,"yyyy-mm-dd")</f>
        <v>2026-10-06</v>
      </c>
    </row>
    <row r="984" customFormat="false" ht="15" hidden="false" customHeight="false" outlineLevel="0" collapsed="false">
      <c r="A984" s="27" t="n">
        <v>16</v>
      </c>
      <c r="B984" s="28" t="n">
        <v>46301.5245488079</v>
      </c>
      <c r="C984" s="29" t="n">
        <f aca="false">IF(A985=A984,B985,INDEX(Rounds!$D:$D,MATCH(A984,Rounds!$A:$A,0)))</f>
        <v>46301.5245488079</v>
      </c>
      <c r="D984" s="30" t="n">
        <f aca="false">(B984-INDEX(Rounds!$C:$C,MATCH(A984,Rounds!$A:$A,0)))*86400</f>
        <v>0</v>
      </c>
      <c r="E984" s="30" t="n">
        <f aca="false">(C984-INDEX(Rounds!$C:$C,MATCH(A984,Rounds!$A:$A,0)))*86400</f>
        <v>0</v>
      </c>
      <c r="F984" s="31" t="n">
        <f aca="false">(C984-B984)*86400</f>
        <v>0</v>
      </c>
      <c r="G984" s="27" t="s">
        <v>150</v>
      </c>
      <c r="H984" s="27" t="s">
        <v>206</v>
      </c>
      <c r="I984" s="27" t="s">
        <v>449</v>
      </c>
      <c r="J984" s="27" t="s">
        <v>320</v>
      </c>
      <c r="K984" s="27" t="s">
        <v>252</v>
      </c>
      <c r="L984" s="3" t="str">
        <f aca="false">IF(ISNUMBER(SEARCH(" m",I984)),"Range",IF(I984="offline","Offline",IF(I984="","Unknown","No echo / error")))</f>
        <v>Range</v>
      </c>
      <c r="M984" s="3" t="str">
        <f aca="false">IF(ISNUMBER(SEARCH(" m",J984)),"Range",IF(J984="offline","Offline",IF(J984="","Unknown","No echo / error")))</f>
        <v>Range</v>
      </c>
      <c r="N984" s="3" t="str">
        <f aca="false">IF(ISNUMBER(SEARCH(" m",K984)),"Range",IF(K984="offline","Offline",IF(K984="","Unknown","No echo / error")))</f>
        <v>Range</v>
      </c>
      <c r="O984" s="3" t="str">
        <f aca="false">TEXT(B984,"yyyy-mm-dd")</f>
        <v>2026-10-06</v>
      </c>
    </row>
    <row r="985" customFormat="false" ht="15" hidden="false" customHeight="false" outlineLevel="0" collapsed="false">
      <c r="A985" s="27" t="n">
        <v>16</v>
      </c>
      <c r="B985" s="28" t="n">
        <v>46301.5245488079</v>
      </c>
      <c r="C985" s="29" t="n">
        <f aca="false">IF(A986=A985,B986,INDEX(Rounds!$D:$D,MATCH(A985,Rounds!$A:$A,0)))</f>
        <v>46301.5245488079</v>
      </c>
      <c r="D985" s="30" t="n">
        <f aca="false">(B985-INDEX(Rounds!$C:$C,MATCH(A985,Rounds!$A:$A,0)))*86400</f>
        <v>0</v>
      </c>
      <c r="E985" s="30" t="n">
        <f aca="false">(C985-INDEX(Rounds!$C:$C,MATCH(A985,Rounds!$A:$A,0)))*86400</f>
        <v>0</v>
      </c>
      <c r="F985" s="31" t="n">
        <f aca="false">(C985-B985)*86400</f>
        <v>0</v>
      </c>
      <c r="G985" s="27" t="s">
        <v>150</v>
      </c>
      <c r="H985" s="27" t="s">
        <v>206</v>
      </c>
      <c r="I985" s="27" t="s">
        <v>449</v>
      </c>
      <c r="J985" s="27" t="s">
        <v>320</v>
      </c>
      <c r="K985" s="27" t="s">
        <v>252</v>
      </c>
      <c r="L985" s="3" t="str">
        <f aca="false">IF(ISNUMBER(SEARCH(" m",I985)),"Range",IF(I985="offline","Offline",IF(I985="","Unknown","No echo / error")))</f>
        <v>Range</v>
      </c>
      <c r="M985" s="3" t="str">
        <f aca="false">IF(ISNUMBER(SEARCH(" m",J985)),"Range",IF(J985="offline","Offline",IF(J985="","Unknown","No echo / error")))</f>
        <v>Range</v>
      </c>
      <c r="N985" s="3" t="str">
        <f aca="false">IF(ISNUMBER(SEARCH(" m",K985)),"Range",IF(K985="offline","Offline",IF(K985="","Unknown","No echo / error")))</f>
        <v>Range</v>
      </c>
      <c r="O985" s="3" t="str">
        <f aca="false">TEXT(B985,"yyyy-mm-dd")</f>
        <v>2026-10-06</v>
      </c>
    </row>
    <row r="986" customFormat="false" ht="15" hidden="false" customHeight="false" outlineLevel="0" collapsed="false">
      <c r="A986" s="27" t="n">
        <v>16</v>
      </c>
      <c r="B986" s="28" t="n">
        <v>46301.5245488079</v>
      </c>
      <c r="C986" s="29" t="n">
        <f aca="false">IF(A987=A986,B987,INDEX(Rounds!$D:$D,MATCH(A986,Rounds!$A:$A,0)))</f>
        <v>46301.5245754167</v>
      </c>
      <c r="D986" s="30" t="n">
        <f aca="false">(B986-INDEX(Rounds!$C:$C,MATCH(A986,Rounds!$A:$A,0)))*86400</f>
        <v>0</v>
      </c>
      <c r="E986" s="30" t="n">
        <f aca="false">(C986-INDEX(Rounds!$C:$C,MATCH(A986,Rounds!$A:$A,0)))*86400</f>
        <v>2.298999927</v>
      </c>
      <c r="F986" s="31" t="n">
        <f aca="false">(C986-B986)*86400</f>
        <v>2.298999927</v>
      </c>
      <c r="G986" s="27" t="s">
        <v>152</v>
      </c>
      <c r="H986" s="27" t="s">
        <v>199</v>
      </c>
      <c r="I986" s="27" t="s">
        <v>204</v>
      </c>
      <c r="J986" s="27" t="s">
        <v>320</v>
      </c>
      <c r="K986" s="27" t="s">
        <v>252</v>
      </c>
      <c r="L986" s="3" t="str">
        <f aca="false">IF(ISNUMBER(SEARCH(" m",I986)),"Range",IF(I986="offline","Offline",IF(I986="","Unknown","No echo / error")))</f>
        <v>No echo / error</v>
      </c>
      <c r="M986" s="3" t="str">
        <f aca="false">IF(ISNUMBER(SEARCH(" m",J986)),"Range",IF(J986="offline","Offline",IF(J986="","Unknown","No echo / error")))</f>
        <v>Range</v>
      </c>
      <c r="N986" s="3" t="str">
        <f aca="false">IF(ISNUMBER(SEARCH(" m",K986)),"Range",IF(K986="offline","Offline",IF(K986="","Unknown","No echo / error")))</f>
        <v>Range</v>
      </c>
      <c r="O986" s="3" t="str">
        <f aca="false">TEXT(B986,"yyyy-mm-dd")</f>
        <v>2026-10-06</v>
      </c>
    </row>
    <row r="987" customFormat="false" ht="15" hidden="false" customHeight="false" outlineLevel="0" collapsed="false">
      <c r="A987" s="27" t="n">
        <v>16</v>
      </c>
      <c r="B987" s="28" t="n">
        <v>46301.5245754167</v>
      </c>
      <c r="C987" s="29" t="n">
        <f aca="false">IF(A988=A987,B988,INDEX(Rounds!$D:$D,MATCH(A987,Rounds!$A:$A,0)))</f>
        <v>46301.5245783912</v>
      </c>
      <c r="D987" s="30" t="n">
        <f aca="false">(B987-INDEX(Rounds!$C:$C,MATCH(A987,Rounds!$A:$A,0)))*86400</f>
        <v>2.298999927</v>
      </c>
      <c r="E987" s="30" t="n">
        <f aca="false">(C987-INDEX(Rounds!$C:$C,MATCH(A987,Rounds!$A:$A,0)))*86400</f>
        <v>2.555999765</v>
      </c>
      <c r="F987" s="31" t="n">
        <f aca="false">(C987-B987)*86400</f>
        <v>0.256999838</v>
      </c>
      <c r="G987" s="27" t="s">
        <v>151</v>
      </c>
      <c r="H987" s="27" t="s">
        <v>203</v>
      </c>
      <c r="I987" s="27" t="s">
        <v>202</v>
      </c>
      <c r="J987" s="27" t="s">
        <v>329</v>
      </c>
      <c r="K987" s="27" t="s">
        <v>444</v>
      </c>
      <c r="L987" s="3" t="str">
        <f aca="false">IF(ISNUMBER(SEARCH(" m",I987)),"Range",IF(I987="offline","Offline",IF(I987="","Unknown","No echo / error")))</f>
        <v>Range</v>
      </c>
      <c r="M987" s="3" t="str">
        <f aca="false">IF(ISNUMBER(SEARCH(" m",J987)),"Range",IF(J987="offline","Offline",IF(J987="","Unknown","No echo / error")))</f>
        <v>Range</v>
      </c>
      <c r="N987" s="3" t="str">
        <f aca="false">IF(ISNUMBER(SEARCH(" m",K987)),"Range",IF(K987="offline","Offline",IF(K987="","Unknown","No echo / error")))</f>
        <v>Range</v>
      </c>
      <c r="O987" s="3" t="str">
        <f aca="false">TEXT(B987,"yyyy-mm-dd")</f>
        <v>2026-10-06</v>
      </c>
    </row>
    <row r="988" customFormat="false" ht="15" hidden="false" customHeight="false" outlineLevel="0" collapsed="false">
      <c r="A988" s="27" t="n">
        <v>16</v>
      </c>
      <c r="B988" s="28" t="n">
        <v>46301.5245783912</v>
      </c>
      <c r="C988" s="29" t="n">
        <f aca="false">IF(A989=A988,B989,INDEX(Rounds!$D:$D,MATCH(A988,Rounds!$A:$A,0)))</f>
        <v>46301.5246087153</v>
      </c>
      <c r="D988" s="30" t="n">
        <f aca="false">(B988-INDEX(Rounds!$C:$C,MATCH(A988,Rounds!$A:$A,0)))*86400</f>
        <v>2.555999765</v>
      </c>
      <c r="E988" s="30" t="n">
        <f aca="false">(C988-INDEX(Rounds!$C:$C,MATCH(A988,Rounds!$A:$A,0)))*86400</f>
        <v>5.175999761</v>
      </c>
      <c r="F988" s="31" t="n">
        <f aca="false">(C988-B988)*86400</f>
        <v>2.619999996</v>
      </c>
      <c r="G988" s="27" t="s">
        <v>150</v>
      </c>
      <c r="H988" s="27" t="s">
        <v>206</v>
      </c>
      <c r="I988" s="27" t="s">
        <v>202</v>
      </c>
      <c r="J988" s="27" t="s">
        <v>330</v>
      </c>
      <c r="K988" s="27" t="s">
        <v>444</v>
      </c>
      <c r="L988" s="3" t="str">
        <f aca="false">IF(ISNUMBER(SEARCH(" m",I988)),"Range",IF(I988="offline","Offline",IF(I988="","Unknown","No echo / error")))</f>
        <v>Range</v>
      </c>
      <c r="M988" s="3" t="str">
        <f aca="false">IF(ISNUMBER(SEARCH(" m",J988)),"Range",IF(J988="offline","Offline",IF(J988="","Unknown","No echo / error")))</f>
        <v>Range</v>
      </c>
      <c r="N988" s="3" t="str">
        <f aca="false">IF(ISNUMBER(SEARCH(" m",K988)),"Range",IF(K988="offline","Offline",IF(K988="","Unknown","No echo / error")))</f>
        <v>Range</v>
      </c>
      <c r="O988" s="3" t="str">
        <f aca="false">TEXT(B988,"yyyy-mm-dd")</f>
        <v>2026-10-06</v>
      </c>
    </row>
    <row r="989" customFormat="false" ht="15" hidden="false" customHeight="false" outlineLevel="0" collapsed="false">
      <c r="A989" s="27" t="n">
        <v>16</v>
      </c>
      <c r="B989" s="28" t="n">
        <v>46301.5246087153</v>
      </c>
      <c r="C989" s="29" t="n">
        <f aca="false">IF(A990=A989,B990,INDEX(Rounds!$D:$D,MATCH(A989,Rounds!$A:$A,0)))</f>
        <v>46301.524609838</v>
      </c>
      <c r="D989" s="30" t="n">
        <f aca="false">(B989-INDEX(Rounds!$C:$C,MATCH(A989,Rounds!$A:$A,0)))*86400</f>
        <v>5.175999761</v>
      </c>
      <c r="E989" s="30" t="n">
        <f aca="false">(C989-INDEX(Rounds!$C:$C,MATCH(A989,Rounds!$A:$A,0)))*86400</f>
        <v>5.272999336</v>
      </c>
      <c r="F989" s="31" t="n">
        <f aca="false">(C989-B989)*86400</f>
        <v>0.096999574</v>
      </c>
      <c r="G989" s="27" t="s">
        <v>151</v>
      </c>
      <c r="H989" s="27" t="s">
        <v>203</v>
      </c>
      <c r="I989" s="27" t="s">
        <v>390</v>
      </c>
      <c r="J989" s="27" t="s">
        <v>237</v>
      </c>
      <c r="K989" s="27" t="s">
        <v>316</v>
      </c>
      <c r="L989" s="3" t="str">
        <f aca="false">IF(ISNUMBER(SEARCH(" m",I989)),"Range",IF(I989="offline","Offline",IF(I989="","Unknown","No echo / error")))</f>
        <v>Range</v>
      </c>
      <c r="M989" s="3" t="str">
        <f aca="false">IF(ISNUMBER(SEARCH(" m",J989)),"Range",IF(J989="offline","Offline",IF(J989="","Unknown","No echo / error")))</f>
        <v>Range</v>
      </c>
      <c r="N989" s="3" t="str">
        <f aca="false">IF(ISNUMBER(SEARCH(" m",K989)),"Range",IF(K989="offline","Offline",IF(K989="","Unknown","No echo / error")))</f>
        <v>Range</v>
      </c>
      <c r="O989" s="3" t="str">
        <f aca="false">TEXT(B989,"yyyy-mm-dd")</f>
        <v>2026-10-06</v>
      </c>
    </row>
    <row r="990" customFormat="false" ht="15" hidden="false" customHeight="false" outlineLevel="0" collapsed="false">
      <c r="A990" s="27" t="n">
        <v>16</v>
      </c>
      <c r="B990" s="28" t="n">
        <v>46301.524609838</v>
      </c>
      <c r="C990" s="29" t="n">
        <f aca="false">IF(A991=A990,B991,INDEX(Rounds!$D:$D,MATCH(A990,Rounds!$A:$A,0)))</f>
        <v>46301.5246603357</v>
      </c>
      <c r="D990" s="30" t="n">
        <f aca="false">(B990-INDEX(Rounds!$C:$C,MATCH(A990,Rounds!$A:$A,0)))*86400</f>
        <v>5.272999336</v>
      </c>
      <c r="E990" s="30" t="n">
        <f aca="false">(C990-INDEX(Rounds!$C:$C,MATCH(A990,Rounds!$A:$A,0)))*86400</f>
        <v>9.635999961</v>
      </c>
      <c r="F990" s="31" t="n">
        <f aca="false">(C990-B990)*86400</f>
        <v>4.363000625</v>
      </c>
      <c r="G990" s="27" t="s">
        <v>150</v>
      </c>
      <c r="H990" s="27" t="s">
        <v>206</v>
      </c>
      <c r="I990" s="27" t="s">
        <v>255</v>
      </c>
      <c r="J990" s="27" t="s">
        <v>237</v>
      </c>
      <c r="K990" s="27" t="s">
        <v>316</v>
      </c>
      <c r="L990" s="3" t="str">
        <f aca="false">IF(ISNUMBER(SEARCH(" m",I990)),"Range",IF(I990="offline","Offline",IF(I990="","Unknown","No echo / error")))</f>
        <v>Range</v>
      </c>
      <c r="M990" s="3" t="str">
        <f aca="false">IF(ISNUMBER(SEARCH(" m",J990)),"Range",IF(J990="offline","Offline",IF(J990="","Unknown","No echo / error")))</f>
        <v>Range</v>
      </c>
      <c r="N990" s="3" t="str">
        <f aca="false">IF(ISNUMBER(SEARCH(" m",K990)),"Range",IF(K990="offline","Offline",IF(K990="","Unknown","No echo / error")))</f>
        <v>Range</v>
      </c>
      <c r="O990" s="3" t="str">
        <f aca="false">TEXT(B990,"yyyy-mm-dd")</f>
        <v>2026-10-06</v>
      </c>
    </row>
    <row r="991" customFormat="false" ht="15" hidden="false" customHeight="false" outlineLevel="0" collapsed="false">
      <c r="A991" s="27" t="n">
        <v>16</v>
      </c>
      <c r="B991" s="28" t="n">
        <v>46301.5246603357</v>
      </c>
      <c r="C991" s="29" t="n">
        <f aca="false">IF(A992=A991,B992,INDEX(Rounds!$D:$D,MATCH(A991,Rounds!$A:$A,0)))</f>
        <v>46301.5246707755</v>
      </c>
      <c r="D991" s="30" t="n">
        <f aca="false">(B991-INDEX(Rounds!$C:$C,MATCH(A991,Rounds!$A:$A,0)))*86400</f>
        <v>9.635999961</v>
      </c>
      <c r="E991" s="30" t="n">
        <f aca="false">(C991-INDEX(Rounds!$C:$C,MATCH(A991,Rounds!$A:$A,0)))*86400</f>
        <v>10.537999821</v>
      </c>
      <c r="F991" s="31" t="n">
        <f aca="false">(C991-B991)*86400</f>
        <v>0.90199986</v>
      </c>
      <c r="G991" s="27" t="s">
        <v>152</v>
      </c>
      <c r="H991" s="27" t="s">
        <v>208</v>
      </c>
      <c r="I991" s="27" t="s">
        <v>502</v>
      </c>
      <c r="J991" s="27" t="s">
        <v>430</v>
      </c>
      <c r="K991" s="27" t="s">
        <v>204</v>
      </c>
      <c r="L991" s="3" t="str">
        <f aca="false">IF(ISNUMBER(SEARCH(" m",I991)),"Range",IF(I991="offline","Offline",IF(I991="","Unknown","No echo / error")))</f>
        <v>Range</v>
      </c>
      <c r="M991" s="3" t="str">
        <f aca="false">IF(ISNUMBER(SEARCH(" m",J991)),"Range",IF(J991="offline","Offline",IF(J991="","Unknown","No echo / error")))</f>
        <v>Range</v>
      </c>
      <c r="N991" s="3" t="str">
        <f aca="false">IF(ISNUMBER(SEARCH(" m",K991)),"Range",IF(K991="offline","Offline",IF(K991="","Unknown","No echo / error")))</f>
        <v>No echo / error</v>
      </c>
      <c r="O991" s="3" t="str">
        <f aca="false">TEXT(B991,"yyyy-mm-dd")</f>
        <v>2026-10-06</v>
      </c>
    </row>
    <row r="992" customFormat="false" ht="15" hidden="false" customHeight="false" outlineLevel="0" collapsed="false">
      <c r="A992" s="27" t="n">
        <v>16</v>
      </c>
      <c r="B992" s="28" t="n">
        <v>46301.5246707755</v>
      </c>
      <c r="C992" s="29" t="n">
        <f aca="false">IF(A993=A992,B993,INDEX(Rounds!$D:$D,MATCH(A992,Rounds!$A:$A,0)))</f>
        <v>46301.524681331</v>
      </c>
      <c r="D992" s="30" t="n">
        <f aca="false">(B992-INDEX(Rounds!$C:$C,MATCH(A992,Rounds!$A:$A,0)))*86400</f>
        <v>10.537999821</v>
      </c>
      <c r="E992" s="30" t="n">
        <f aca="false">(C992-INDEX(Rounds!$C:$C,MATCH(A992,Rounds!$A:$A,0)))*86400</f>
        <v>11.45000013</v>
      </c>
      <c r="F992" s="31" t="n">
        <f aca="false">(C992-B992)*86400</f>
        <v>0.912000308</v>
      </c>
      <c r="G992" s="27" t="s">
        <v>151</v>
      </c>
      <c r="H992" s="27" t="s">
        <v>203</v>
      </c>
      <c r="I992" s="27" t="s">
        <v>481</v>
      </c>
      <c r="J992" s="27" t="s">
        <v>204</v>
      </c>
      <c r="K992" s="27" t="s">
        <v>204</v>
      </c>
      <c r="L992" s="3" t="str">
        <f aca="false">IF(ISNUMBER(SEARCH(" m",I992)),"Range",IF(I992="offline","Offline",IF(I992="","Unknown","No echo / error")))</f>
        <v>Range</v>
      </c>
      <c r="M992" s="3" t="str">
        <f aca="false">IF(ISNUMBER(SEARCH(" m",J992)),"Range",IF(J992="offline","Offline",IF(J992="","Unknown","No echo / error")))</f>
        <v>No echo / error</v>
      </c>
      <c r="N992" s="3" t="str">
        <f aca="false">IF(ISNUMBER(SEARCH(" m",K992)),"Range",IF(K992="offline","Offline",IF(K992="","Unknown","No echo / error")))</f>
        <v>No echo / error</v>
      </c>
      <c r="O992" s="3" t="str">
        <f aca="false">TEXT(B992,"yyyy-mm-dd")</f>
        <v>2026-10-06</v>
      </c>
    </row>
    <row r="993" customFormat="false" ht="15" hidden="false" customHeight="false" outlineLevel="0" collapsed="false">
      <c r="A993" s="27" t="n">
        <v>16</v>
      </c>
      <c r="B993" s="28" t="n">
        <v>46301.524681331</v>
      </c>
      <c r="C993" s="29" t="n">
        <f aca="false">IF(A994=A993,B994,INDEX(Rounds!$D:$D,MATCH(A993,Rounds!$A:$A,0)))</f>
        <v>46301.5246871528</v>
      </c>
      <c r="D993" s="30" t="n">
        <f aca="false">(B993-INDEX(Rounds!$C:$C,MATCH(A993,Rounds!$A:$A,0)))*86400</f>
        <v>11.45000013</v>
      </c>
      <c r="E993" s="30" t="n">
        <f aca="false">(C993-INDEX(Rounds!$C:$C,MATCH(A993,Rounds!$A:$A,0)))*86400</f>
        <v>11.952999816</v>
      </c>
      <c r="F993" s="31" t="n">
        <f aca="false">(C993-B993)*86400</f>
        <v>0.502999685</v>
      </c>
      <c r="G993" s="27" t="s">
        <v>150</v>
      </c>
      <c r="H993" s="27" t="s">
        <v>206</v>
      </c>
      <c r="I993" s="27" t="s">
        <v>453</v>
      </c>
      <c r="J993" s="27" t="s">
        <v>297</v>
      </c>
      <c r="K993" s="27" t="s">
        <v>484</v>
      </c>
      <c r="L993" s="3" t="str">
        <f aca="false">IF(ISNUMBER(SEARCH(" m",I993)),"Range",IF(I993="offline","Offline",IF(I993="","Unknown","No echo / error")))</f>
        <v>Range</v>
      </c>
      <c r="M993" s="3" t="str">
        <f aca="false">IF(ISNUMBER(SEARCH(" m",J993)),"Range",IF(J993="offline","Offline",IF(J993="","Unknown","No echo / error")))</f>
        <v>Range</v>
      </c>
      <c r="N993" s="3" t="str">
        <f aca="false">IF(ISNUMBER(SEARCH(" m",K993)),"Range",IF(K993="offline","Offline",IF(K993="","Unknown","No echo / error")))</f>
        <v>Range</v>
      </c>
      <c r="O993" s="3" t="str">
        <f aca="false">TEXT(B993,"yyyy-mm-dd")</f>
        <v>2026-10-06</v>
      </c>
    </row>
    <row r="994" customFormat="false" ht="15" hidden="false" customHeight="false" outlineLevel="0" collapsed="false">
      <c r="A994" s="27" t="n">
        <v>16</v>
      </c>
      <c r="B994" s="28" t="n">
        <v>46301.5246871528</v>
      </c>
      <c r="C994" s="29" t="n">
        <f aca="false">IF(A995=A994,B995,INDEX(Rounds!$D:$D,MATCH(A994,Rounds!$A:$A,0)))</f>
        <v>46301.5247108565</v>
      </c>
      <c r="D994" s="30" t="n">
        <f aca="false">(B994-INDEX(Rounds!$C:$C,MATCH(A994,Rounds!$A:$A,0)))*86400</f>
        <v>11.952999816</v>
      </c>
      <c r="E994" s="30" t="n">
        <f aca="false">(C994-INDEX(Rounds!$C:$C,MATCH(A994,Rounds!$A:$A,0)))*86400</f>
        <v>14.000999671</v>
      </c>
      <c r="F994" s="31" t="n">
        <f aca="false">(C994-B994)*86400</f>
        <v>2.047999855</v>
      </c>
      <c r="G994" s="27" t="s">
        <v>153</v>
      </c>
      <c r="H994" s="27" t="s">
        <v>451</v>
      </c>
      <c r="I994" s="27" t="s">
        <v>453</v>
      </c>
      <c r="J994" s="27" t="s">
        <v>319</v>
      </c>
      <c r="K994" s="27" t="s">
        <v>204</v>
      </c>
      <c r="L994" s="3" t="str">
        <f aca="false">IF(ISNUMBER(SEARCH(" m",I994)),"Range",IF(I994="offline","Offline",IF(I994="","Unknown","No echo / error")))</f>
        <v>Range</v>
      </c>
      <c r="M994" s="3" t="str">
        <f aca="false">IF(ISNUMBER(SEARCH(" m",J994)),"Range",IF(J994="offline","Offline",IF(J994="","Unknown","No echo / error")))</f>
        <v>Range</v>
      </c>
      <c r="N994" s="3" t="str">
        <f aca="false">IF(ISNUMBER(SEARCH(" m",K994)),"Range",IF(K994="offline","Offline",IF(K994="","Unknown","No echo / error")))</f>
        <v>No echo / error</v>
      </c>
      <c r="O994" s="3" t="str">
        <f aca="false">TEXT(B994,"yyyy-mm-dd")</f>
        <v>2026-10-06</v>
      </c>
    </row>
    <row r="995" customFormat="false" ht="15" hidden="false" customHeight="false" outlineLevel="0" collapsed="false">
      <c r="A995" s="27" t="n">
        <v>16</v>
      </c>
      <c r="B995" s="28" t="n">
        <v>46301.5247108565</v>
      </c>
      <c r="C995" s="29" t="n">
        <f aca="false">IF(A996=A995,B996,INDEX(Rounds!$D:$D,MATCH(A995,Rounds!$A:$A,0)))</f>
        <v>46301.5247207523</v>
      </c>
      <c r="D995" s="30" t="n">
        <f aca="false">(B995-INDEX(Rounds!$C:$C,MATCH(A995,Rounds!$A:$A,0)))*86400</f>
        <v>14.000999671</v>
      </c>
      <c r="E995" s="30" t="n">
        <f aca="false">(C995-INDEX(Rounds!$C:$C,MATCH(A995,Rounds!$A:$A,0)))*86400</f>
        <v>14.855999685</v>
      </c>
      <c r="F995" s="31" t="n">
        <f aca="false">(C995-B995)*86400</f>
        <v>0.855000014</v>
      </c>
      <c r="G995" s="27" t="s">
        <v>150</v>
      </c>
      <c r="H995" s="27" t="s">
        <v>206</v>
      </c>
      <c r="I995" s="27" t="s">
        <v>290</v>
      </c>
      <c r="J995" s="27" t="s">
        <v>348</v>
      </c>
      <c r="K995" s="27" t="s">
        <v>450</v>
      </c>
      <c r="L995" s="3" t="str">
        <f aca="false">IF(ISNUMBER(SEARCH(" m",I995)),"Range",IF(I995="offline","Offline",IF(I995="","Unknown","No echo / error")))</f>
        <v>Range</v>
      </c>
      <c r="M995" s="3" t="str">
        <f aca="false">IF(ISNUMBER(SEARCH(" m",J995)),"Range",IF(J995="offline","Offline",IF(J995="","Unknown","No echo / error")))</f>
        <v>Range</v>
      </c>
      <c r="N995" s="3" t="str">
        <f aca="false">IF(ISNUMBER(SEARCH(" m",K995)),"Range",IF(K995="offline","Offline",IF(K995="","Unknown","No echo / error")))</f>
        <v>Range</v>
      </c>
      <c r="O995" s="3" t="str">
        <f aca="false">TEXT(B995,"yyyy-mm-dd")</f>
        <v>2026-10-06</v>
      </c>
    </row>
    <row r="996" customFormat="false" ht="15" hidden="false" customHeight="false" outlineLevel="0" collapsed="false">
      <c r="A996" s="27" t="n">
        <v>16</v>
      </c>
      <c r="B996" s="28" t="n">
        <v>46301.5247207523</v>
      </c>
      <c r="C996" s="29" t="n">
        <f aca="false">IF(A997=A996,B997,INDEX(Rounds!$D:$D,MATCH(A996,Rounds!$A:$A,0)))</f>
        <v>46301.524724456</v>
      </c>
      <c r="D996" s="30" t="n">
        <f aca="false">(B996-INDEX(Rounds!$C:$C,MATCH(A996,Rounds!$A:$A,0)))*86400</f>
        <v>14.855999685</v>
      </c>
      <c r="E996" s="30" t="n">
        <f aca="false">(C996-INDEX(Rounds!$C:$C,MATCH(A996,Rounds!$A:$A,0)))*86400</f>
        <v>15.176000213</v>
      </c>
      <c r="F996" s="31" t="n">
        <f aca="false">(C996-B996)*86400</f>
        <v>0.320000527</v>
      </c>
      <c r="G996" s="27" t="s">
        <v>152</v>
      </c>
      <c r="H996" s="27" t="s">
        <v>208</v>
      </c>
      <c r="I996" s="27" t="s">
        <v>432</v>
      </c>
      <c r="J996" s="27" t="s">
        <v>317</v>
      </c>
      <c r="K996" s="27" t="s">
        <v>308</v>
      </c>
      <c r="L996" s="3" t="str">
        <f aca="false">IF(ISNUMBER(SEARCH(" m",I996)),"Range",IF(I996="offline","Offline",IF(I996="","Unknown","No echo / error")))</f>
        <v>Range</v>
      </c>
      <c r="M996" s="3" t="str">
        <f aca="false">IF(ISNUMBER(SEARCH(" m",J996)),"Range",IF(J996="offline","Offline",IF(J996="","Unknown","No echo / error")))</f>
        <v>Range</v>
      </c>
      <c r="N996" s="3" t="str">
        <f aca="false">IF(ISNUMBER(SEARCH(" m",K996)),"Range",IF(K996="offline","Offline",IF(K996="","Unknown","No echo / error")))</f>
        <v>Range</v>
      </c>
      <c r="O996" s="3" t="str">
        <f aca="false">TEXT(B996,"yyyy-mm-dd")</f>
        <v>2026-10-06</v>
      </c>
    </row>
    <row r="997" customFormat="false" ht="15" hidden="false" customHeight="false" outlineLevel="0" collapsed="false">
      <c r="A997" s="27" t="n">
        <v>16</v>
      </c>
      <c r="B997" s="28" t="n">
        <v>46301.524724456</v>
      </c>
      <c r="C997" s="29" t="n">
        <f aca="false">IF(A998=A997,B998,INDEX(Rounds!$D:$D,MATCH(A997,Rounds!$A:$A,0)))</f>
        <v>46301.5247311921</v>
      </c>
      <c r="D997" s="30" t="n">
        <f aca="false">(B997-INDEX(Rounds!$C:$C,MATCH(A997,Rounds!$A:$A,0)))*86400</f>
        <v>15.176000213</v>
      </c>
      <c r="E997" s="30" t="n">
        <f aca="false">(C997-INDEX(Rounds!$C:$C,MATCH(A997,Rounds!$A:$A,0)))*86400</f>
        <v>15.757999545</v>
      </c>
      <c r="F997" s="31" t="n">
        <f aca="false">(C997-B997)*86400</f>
        <v>0.581999332</v>
      </c>
      <c r="G997" s="27" t="s">
        <v>151</v>
      </c>
      <c r="H997" s="27" t="s">
        <v>203</v>
      </c>
      <c r="I997" s="27" t="s">
        <v>432</v>
      </c>
      <c r="J997" s="27" t="s">
        <v>307</v>
      </c>
      <c r="K997" s="27" t="s">
        <v>393</v>
      </c>
      <c r="L997" s="3" t="str">
        <f aca="false">IF(ISNUMBER(SEARCH(" m",I997)),"Range",IF(I997="offline","Offline",IF(I997="","Unknown","No echo / error")))</f>
        <v>Range</v>
      </c>
      <c r="M997" s="3" t="str">
        <f aca="false">IF(ISNUMBER(SEARCH(" m",J997)),"Range",IF(J997="offline","Offline",IF(J997="","Unknown","No echo / error")))</f>
        <v>Range</v>
      </c>
      <c r="N997" s="3" t="str">
        <f aca="false">IF(ISNUMBER(SEARCH(" m",K997)),"Range",IF(K997="offline","Offline",IF(K997="","Unknown","No echo / error")))</f>
        <v>Range</v>
      </c>
      <c r="O997" s="3" t="str">
        <f aca="false">TEXT(B997,"yyyy-mm-dd")</f>
        <v>2026-10-06</v>
      </c>
    </row>
    <row r="998" customFormat="false" ht="15" hidden="false" customHeight="false" outlineLevel="0" collapsed="false">
      <c r="A998" s="27" t="n">
        <v>16</v>
      </c>
      <c r="B998" s="28" t="n">
        <v>46301.5247311921</v>
      </c>
      <c r="C998" s="29" t="n">
        <f aca="false">IF(A999=A998,B999,INDEX(Rounds!$D:$D,MATCH(A998,Rounds!$A:$A,0)))</f>
        <v>46301.5247321296</v>
      </c>
      <c r="D998" s="30" t="n">
        <f aca="false">(B998-INDEX(Rounds!$C:$C,MATCH(A998,Rounds!$A:$A,0)))*86400</f>
        <v>15.757999545</v>
      </c>
      <c r="E998" s="30" t="n">
        <f aca="false">(C998-INDEX(Rounds!$C:$C,MATCH(A998,Rounds!$A:$A,0)))*86400</f>
        <v>15.838999534</v>
      </c>
      <c r="F998" s="31" t="n">
        <f aca="false">(C998-B998)*86400</f>
        <v>0.080999988</v>
      </c>
      <c r="G998" s="27" t="s">
        <v>152</v>
      </c>
      <c r="H998" s="27" t="s">
        <v>208</v>
      </c>
      <c r="I998" s="27" t="s">
        <v>232</v>
      </c>
      <c r="J998" s="27" t="s">
        <v>462</v>
      </c>
      <c r="K998" s="27" t="s">
        <v>207</v>
      </c>
      <c r="L998" s="3" t="str">
        <f aca="false">IF(ISNUMBER(SEARCH(" m",I998)),"Range",IF(I998="offline","Offline",IF(I998="","Unknown","No echo / error")))</f>
        <v>Range</v>
      </c>
      <c r="M998" s="3" t="str">
        <f aca="false">IF(ISNUMBER(SEARCH(" m",J998)),"Range",IF(J998="offline","Offline",IF(J998="","Unknown","No echo / error")))</f>
        <v>Range</v>
      </c>
      <c r="N998" s="3" t="str">
        <f aca="false">IF(ISNUMBER(SEARCH(" m",K998)),"Range",IF(K998="offline","Offline",IF(K998="","Unknown","No echo / error")))</f>
        <v>Range</v>
      </c>
      <c r="O998" s="3" t="str">
        <f aca="false">TEXT(B998,"yyyy-mm-dd")</f>
        <v>2026-10-06</v>
      </c>
    </row>
    <row r="999" customFormat="false" ht="15" hidden="false" customHeight="false" outlineLevel="0" collapsed="false">
      <c r="A999" s="27" t="n">
        <v>16</v>
      </c>
      <c r="B999" s="28" t="n">
        <v>46301.5247321296</v>
      </c>
      <c r="C999" s="29" t="n">
        <f aca="false">IF(A1000=A999,B1000,INDEX(Rounds!$D:$D,MATCH(A999,Rounds!$A:$A,0)))</f>
        <v>46301.5247445833</v>
      </c>
      <c r="D999" s="30" t="n">
        <f aca="false">(B999-INDEX(Rounds!$C:$C,MATCH(A999,Rounds!$A:$A,0)))*86400</f>
        <v>15.838999534</v>
      </c>
      <c r="E999" s="30" t="n">
        <f aca="false">(C999-INDEX(Rounds!$C:$C,MATCH(A999,Rounds!$A:$A,0)))*86400</f>
        <v>16.914999531</v>
      </c>
      <c r="F999" s="31" t="n">
        <f aca="false">(C999-B999)*86400</f>
        <v>1.075999997</v>
      </c>
      <c r="G999" s="27" t="s">
        <v>151</v>
      </c>
      <c r="H999" s="27" t="s">
        <v>203</v>
      </c>
      <c r="I999" s="27" t="s">
        <v>232</v>
      </c>
      <c r="J999" s="27" t="s">
        <v>505</v>
      </c>
      <c r="K999" s="27" t="s">
        <v>207</v>
      </c>
      <c r="L999" s="3" t="str">
        <f aca="false">IF(ISNUMBER(SEARCH(" m",I999)),"Range",IF(I999="offline","Offline",IF(I999="","Unknown","No echo / error")))</f>
        <v>Range</v>
      </c>
      <c r="M999" s="3" t="str">
        <f aca="false">IF(ISNUMBER(SEARCH(" m",J999)),"Range",IF(J999="offline","Offline",IF(J999="","Unknown","No echo / error")))</f>
        <v>Range</v>
      </c>
      <c r="N999" s="3" t="str">
        <f aca="false">IF(ISNUMBER(SEARCH(" m",K999)),"Range",IF(K999="offline","Offline",IF(K999="","Unknown","No echo / error")))</f>
        <v>Range</v>
      </c>
      <c r="O999" s="3" t="str">
        <f aca="false">TEXT(B999,"yyyy-mm-dd")</f>
        <v>2026-10-06</v>
      </c>
    </row>
    <row r="1000" customFormat="false" ht="15" hidden="false" customHeight="false" outlineLevel="0" collapsed="false">
      <c r="A1000" s="27" t="n">
        <v>16</v>
      </c>
      <c r="B1000" s="28" t="n">
        <v>46301.5247445833</v>
      </c>
      <c r="C1000" s="29" t="n">
        <f aca="false">IF(A1001=A1000,B1001,INDEX(Rounds!$D:$D,MATCH(A1000,Rounds!$A:$A,0)))</f>
        <v>46301.5247596528</v>
      </c>
      <c r="D1000" s="30" t="n">
        <f aca="false">(B1000-INDEX(Rounds!$C:$C,MATCH(A1000,Rounds!$A:$A,0)))*86400</f>
        <v>16.914999531</v>
      </c>
      <c r="E1000" s="30" t="n">
        <f aca="false">(C1000-INDEX(Rounds!$C:$C,MATCH(A1000,Rounds!$A:$A,0)))*86400</f>
        <v>18.216999736</v>
      </c>
      <c r="F1000" s="31" t="n">
        <f aca="false">(C1000-B1000)*86400</f>
        <v>1.302000205</v>
      </c>
      <c r="G1000" s="27" t="s">
        <v>150</v>
      </c>
      <c r="H1000" s="27" t="s">
        <v>206</v>
      </c>
      <c r="I1000" s="27" t="s">
        <v>282</v>
      </c>
      <c r="J1000" s="27" t="s">
        <v>408</v>
      </c>
      <c r="K1000" s="27" t="s">
        <v>291</v>
      </c>
      <c r="L1000" s="3" t="str">
        <f aca="false">IF(ISNUMBER(SEARCH(" m",I1000)),"Range",IF(I1000="offline","Offline",IF(I1000="","Unknown","No echo / error")))</f>
        <v>Range</v>
      </c>
      <c r="M1000" s="3" t="str">
        <f aca="false">IF(ISNUMBER(SEARCH(" m",J1000)),"Range",IF(J1000="offline","Offline",IF(J1000="","Unknown","No echo / error")))</f>
        <v>Range</v>
      </c>
      <c r="N1000" s="3" t="str">
        <f aca="false">IF(ISNUMBER(SEARCH(" m",K1000)),"Range",IF(K1000="offline","Offline",IF(K1000="","Unknown","No echo / error")))</f>
        <v>Range</v>
      </c>
      <c r="O1000" s="3" t="str">
        <f aca="false">TEXT(B1000,"yyyy-mm-dd")</f>
        <v>2026-10-06</v>
      </c>
    </row>
    <row r="1001" customFormat="false" ht="15" hidden="false" customHeight="false" outlineLevel="0" collapsed="false">
      <c r="A1001" s="27" t="n">
        <v>16</v>
      </c>
      <c r="B1001" s="28" t="n">
        <v>46301.5247596528</v>
      </c>
      <c r="C1001" s="29" t="n">
        <f aca="false">IF(A1002=A1001,B1002,INDEX(Rounds!$D:$D,MATCH(A1001,Rounds!$A:$A,0)))</f>
        <v>46301.5247609491</v>
      </c>
      <c r="D1001" s="30" t="n">
        <f aca="false">(B1001-INDEX(Rounds!$C:$C,MATCH(A1001,Rounds!$A:$A,0)))*86400</f>
        <v>18.216999736</v>
      </c>
      <c r="E1001" s="30" t="n">
        <f aca="false">(C1001-INDEX(Rounds!$C:$C,MATCH(A1001,Rounds!$A:$A,0)))*86400</f>
        <v>18.329000612</v>
      </c>
      <c r="F1001" s="31" t="n">
        <f aca="false">(C1001-B1001)*86400</f>
        <v>0.112000876</v>
      </c>
      <c r="G1001" s="27" t="s">
        <v>152</v>
      </c>
      <c r="H1001" s="27" t="s">
        <v>208</v>
      </c>
      <c r="I1001" s="27" t="s">
        <v>291</v>
      </c>
      <c r="J1001" s="27" t="s">
        <v>435</v>
      </c>
      <c r="K1001" s="27" t="s">
        <v>251</v>
      </c>
      <c r="L1001" s="3" t="str">
        <f aca="false">IF(ISNUMBER(SEARCH(" m",I1001)),"Range",IF(I1001="offline","Offline",IF(I1001="","Unknown","No echo / error")))</f>
        <v>Range</v>
      </c>
      <c r="M1001" s="3" t="str">
        <f aca="false">IF(ISNUMBER(SEARCH(" m",J1001)),"Range",IF(J1001="offline","Offline",IF(J1001="","Unknown","No echo / error")))</f>
        <v>Range</v>
      </c>
      <c r="N1001" s="3" t="str">
        <f aca="false">IF(ISNUMBER(SEARCH(" m",K1001)),"Range",IF(K1001="offline","Offline",IF(K1001="","Unknown","No echo / error")))</f>
        <v>Range</v>
      </c>
      <c r="O1001" s="3" t="str">
        <f aca="false">TEXT(B1001,"yyyy-mm-dd")</f>
        <v>2026-10-06</v>
      </c>
    </row>
    <row r="1002" customFormat="false" ht="15" hidden="false" customHeight="false" outlineLevel="0" collapsed="false">
      <c r="A1002" s="27" t="n">
        <v>16</v>
      </c>
      <c r="B1002" s="28" t="n">
        <v>46301.5247609491</v>
      </c>
      <c r="C1002" s="29" t="n">
        <f aca="false">IF(A1003=A1002,B1003,INDEX(Rounds!$D:$D,MATCH(A1002,Rounds!$A:$A,0)))</f>
        <v>46301.5247665278</v>
      </c>
      <c r="D1002" s="30" t="n">
        <f aca="false">(B1002-INDEX(Rounds!$C:$C,MATCH(A1002,Rounds!$A:$A,0)))*86400</f>
        <v>18.329000612</v>
      </c>
      <c r="E1002" s="30" t="n">
        <f aca="false">(C1002-INDEX(Rounds!$C:$C,MATCH(A1002,Rounds!$A:$A,0)))*86400</f>
        <v>18.810999859</v>
      </c>
      <c r="F1002" s="31" t="n">
        <f aca="false">(C1002-B1002)*86400</f>
        <v>0.481999246</v>
      </c>
      <c r="G1002" s="27" t="s">
        <v>151</v>
      </c>
      <c r="H1002" s="27" t="s">
        <v>203</v>
      </c>
      <c r="I1002" s="27" t="s">
        <v>290</v>
      </c>
      <c r="J1002" s="27" t="s">
        <v>435</v>
      </c>
      <c r="K1002" s="27" t="s">
        <v>251</v>
      </c>
      <c r="L1002" s="3" t="str">
        <f aca="false">IF(ISNUMBER(SEARCH(" m",I1002)),"Range",IF(I1002="offline","Offline",IF(I1002="","Unknown","No echo / error")))</f>
        <v>Range</v>
      </c>
      <c r="M1002" s="3" t="str">
        <f aca="false">IF(ISNUMBER(SEARCH(" m",J1002)),"Range",IF(J1002="offline","Offline",IF(J1002="","Unknown","No echo / error")))</f>
        <v>Range</v>
      </c>
      <c r="N1002" s="3" t="str">
        <f aca="false">IF(ISNUMBER(SEARCH(" m",K1002)),"Range",IF(K1002="offline","Offline",IF(K1002="","Unknown","No echo / error")))</f>
        <v>Range</v>
      </c>
      <c r="O1002" s="3" t="str">
        <f aca="false">TEXT(B1002,"yyyy-mm-dd")</f>
        <v>2026-10-06</v>
      </c>
    </row>
    <row r="1003" customFormat="false" ht="15" hidden="false" customHeight="false" outlineLevel="0" collapsed="false">
      <c r="A1003" s="27" t="n">
        <v>16</v>
      </c>
      <c r="B1003" s="28" t="n">
        <v>46301.5247665278</v>
      </c>
      <c r="C1003" s="29" t="n">
        <f aca="false">IF(A1004=A1003,B1004,INDEX(Rounds!$D:$D,MATCH(A1003,Rounds!$A:$A,0)))</f>
        <v>46301.5247728357</v>
      </c>
      <c r="D1003" s="30" t="n">
        <f aca="false">(B1003-INDEX(Rounds!$C:$C,MATCH(A1003,Rounds!$A:$A,0)))*86400</f>
        <v>18.810999859</v>
      </c>
      <c r="E1003" s="30" t="n">
        <f aca="false">(C1003-INDEX(Rounds!$C:$C,MATCH(A1003,Rounds!$A:$A,0)))*86400</f>
        <v>19.355999794</v>
      </c>
      <c r="F1003" s="31" t="n">
        <f aca="false">(C1003-B1003)*86400</f>
        <v>0.544999935</v>
      </c>
      <c r="G1003" s="27" t="s">
        <v>152</v>
      </c>
      <c r="H1003" s="27" t="s">
        <v>208</v>
      </c>
      <c r="I1003" s="27" t="s">
        <v>290</v>
      </c>
      <c r="J1003" s="27" t="s">
        <v>311</v>
      </c>
      <c r="K1003" s="27" t="s">
        <v>204</v>
      </c>
      <c r="L1003" s="3" t="str">
        <f aca="false">IF(ISNUMBER(SEARCH(" m",I1003)),"Range",IF(I1003="offline","Offline",IF(I1003="","Unknown","No echo / error")))</f>
        <v>Range</v>
      </c>
      <c r="M1003" s="3" t="str">
        <f aca="false">IF(ISNUMBER(SEARCH(" m",J1003)),"Range",IF(J1003="offline","Offline",IF(J1003="","Unknown","No echo / error")))</f>
        <v>Range</v>
      </c>
      <c r="N1003" s="3" t="str">
        <f aca="false">IF(ISNUMBER(SEARCH(" m",K1003)),"Range",IF(K1003="offline","Offline",IF(K1003="","Unknown","No echo / error")))</f>
        <v>No echo / error</v>
      </c>
      <c r="O1003" s="3" t="str">
        <f aca="false">TEXT(B1003,"yyyy-mm-dd")</f>
        <v>2026-10-06</v>
      </c>
    </row>
    <row r="1004" customFormat="false" ht="15" hidden="false" customHeight="false" outlineLevel="0" collapsed="false">
      <c r="A1004" s="27" t="n">
        <v>16</v>
      </c>
      <c r="B1004" s="28" t="n">
        <v>46301.5247728357</v>
      </c>
      <c r="C1004" s="29" t="n">
        <f aca="false">IF(A1005=A1004,B1005,INDEX(Rounds!$D:$D,MATCH(A1004,Rounds!$A:$A,0)))</f>
        <v>46301.5247737847</v>
      </c>
      <c r="D1004" s="30" t="n">
        <f aca="false">(B1004-INDEX(Rounds!$C:$C,MATCH(A1004,Rounds!$A:$A,0)))*86400</f>
        <v>19.355999794</v>
      </c>
      <c r="E1004" s="30" t="n">
        <f aca="false">(C1004-INDEX(Rounds!$C:$C,MATCH(A1004,Rounds!$A:$A,0)))*86400</f>
        <v>19.437999324</v>
      </c>
      <c r="F1004" s="31" t="n">
        <f aca="false">(C1004-B1004)*86400</f>
        <v>0.08199953</v>
      </c>
      <c r="G1004" s="27" t="s">
        <v>151</v>
      </c>
      <c r="H1004" s="27" t="s">
        <v>203</v>
      </c>
      <c r="I1004" s="27" t="s">
        <v>251</v>
      </c>
      <c r="J1004" s="27" t="s">
        <v>286</v>
      </c>
      <c r="K1004" s="27" t="s">
        <v>204</v>
      </c>
      <c r="L1004" s="3" t="str">
        <f aca="false">IF(ISNUMBER(SEARCH(" m",I1004)),"Range",IF(I1004="offline","Offline",IF(I1004="","Unknown","No echo / error")))</f>
        <v>Range</v>
      </c>
      <c r="M1004" s="3" t="str">
        <f aca="false">IF(ISNUMBER(SEARCH(" m",J1004)),"Range",IF(J1004="offline","Offline",IF(J1004="","Unknown","No echo / error")))</f>
        <v>Range</v>
      </c>
      <c r="N1004" s="3" t="str">
        <f aca="false">IF(ISNUMBER(SEARCH(" m",K1004)),"Range",IF(K1004="offline","Offline",IF(K1004="","Unknown","No echo / error")))</f>
        <v>No echo / error</v>
      </c>
      <c r="O1004" s="3" t="str">
        <f aca="false">TEXT(B1004,"yyyy-mm-dd")</f>
        <v>2026-10-06</v>
      </c>
    </row>
    <row r="1005" customFormat="false" ht="15" hidden="false" customHeight="false" outlineLevel="0" collapsed="false">
      <c r="A1005" s="27" t="n">
        <v>16</v>
      </c>
      <c r="B1005" s="28" t="n">
        <v>46301.5247737847</v>
      </c>
      <c r="C1005" s="29" t="n">
        <f aca="false">IF(A1006=A1005,B1006,INDEX(Rounds!$D:$D,MATCH(A1005,Rounds!$A:$A,0)))</f>
        <v>46301.5247886921</v>
      </c>
      <c r="D1005" s="30" t="n">
        <f aca="false">(B1005-INDEX(Rounds!$C:$C,MATCH(A1005,Rounds!$A:$A,0)))*86400</f>
        <v>19.437999324</v>
      </c>
      <c r="E1005" s="30" t="n">
        <f aca="false">(C1005-INDEX(Rounds!$C:$C,MATCH(A1005,Rounds!$A:$A,0)))*86400</f>
        <v>20.725999656</v>
      </c>
      <c r="F1005" s="31" t="n">
        <f aca="false">(C1005-B1005)*86400</f>
        <v>1.288000331</v>
      </c>
      <c r="G1005" s="27" t="s">
        <v>150</v>
      </c>
      <c r="H1005" s="27" t="s">
        <v>206</v>
      </c>
      <c r="I1005" s="27" t="s">
        <v>441</v>
      </c>
      <c r="J1005" s="27" t="s">
        <v>286</v>
      </c>
      <c r="K1005" s="27" t="s">
        <v>204</v>
      </c>
      <c r="L1005" s="3" t="str">
        <f aca="false">IF(ISNUMBER(SEARCH(" m",I1005)),"Range",IF(I1005="offline","Offline",IF(I1005="","Unknown","No echo / error")))</f>
        <v>Range</v>
      </c>
      <c r="M1005" s="3" t="str">
        <f aca="false">IF(ISNUMBER(SEARCH(" m",J1005)),"Range",IF(J1005="offline","Offline",IF(J1005="","Unknown","No echo / error")))</f>
        <v>Range</v>
      </c>
      <c r="N1005" s="3" t="str">
        <f aca="false">IF(ISNUMBER(SEARCH(" m",K1005)),"Range",IF(K1005="offline","Offline",IF(K1005="","Unknown","No echo / error")))</f>
        <v>No echo / error</v>
      </c>
      <c r="O1005" s="3" t="str">
        <f aca="false">TEXT(B1005,"yyyy-mm-dd")</f>
        <v>2026-10-06</v>
      </c>
    </row>
    <row r="1006" customFormat="false" ht="15" hidden="false" customHeight="false" outlineLevel="0" collapsed="false">
      <c r="A1006" s="27" t="n">
        <v>16</v>
      </c>
      <c r="B1006" s="28" t="n">
        <v>46301.5247886921</v>
      </c>
      <c r="C1006" s="29" t="n">
        <f aca="false">IF(A1007=A1006,B1007,INDEX(Rounds!$D:$D,MATCH(A1006,Rounds!$A:$A,0)))</f>
        <v>46301.5248009607</v>
      </c>
      <c r="D1006" s="30" t="n">
        <f aca="false">(B1006-INDEX(Rounds!$C:$C,MATCH(A1006,Rounds!$A:$A,0)))*86400</f>
        <v>20.725999656</v>
      </c>
      <c r="E1006" s="30" t="n">
        <f aca="false">(C1006-INDEX(Rounds!$C:$C,MATCH(A1006,Rounds!$A:$A,0)))*86400</f>
        <v>21.786000067</v>
      </c>
      <c r="F1006" s="31" t="n">
        <f aca="false">(C1006-B1006)*86400</f>
        <v>1.060000411</v>
      </c>
      <c r="G1006" s="27" t="s">
        <v>151</v>
      </c>
      <c r="H1006" s="27" t="s">
        <v>203</v>
      </c>
      <c r="I1006" s="27" t="s">
        <v>327</v>
      </c>
      <c r="J1006" s="27" t="s">
        <v>460</v>
      </c>
      <c r="K1006" s="27" t="s">
        <v>523</v>
      </c>
      <c r="L1006" s="3" t="str">
        <f aca="false">IF(ISNUMBER(SEARCH(" m",I1006)),"Range",IF(I1006="offline","Offline",IF(I1006="","Unknown","No echo / error")))</f>
        <v>Range</v>
      </c>
      <c r="M1006" s="3" t="str">
        <f aca="false">IF(ISNUMBER(SEARCH(" m",J1006)),"Range",IF(J1006="offline","Offline",IF(J1006="","Unknown","No echo / error")))</f>
        <v>Range</v>
      </c>
      <c r="N1006" s="3" t="str">
        <f aca="false">IF(ISNUMBER(SEARCH(" m",K1006)),"Range",IF(K1006="offline","Offline",IF(K1006="","Unknown","No echo / error")))</f>
        <v>Range</v>
      </c>
      <c r="O1006" s="3" t="str">
        <f aca="false">TEXT(B1006,"yyyy-mm-dd")</f>
        <v>2026-10-06</v>
      </c>
    </row>
    <row r="1007" customFormat="false" ht="15" hidden="false" customHeight="false" outlineLevel="0" collapsed="false">
      <c r="A1007" s="27" t="n">
        <v>16</v>
      </c>
      <c r="B1007" s="28" t="n">
        <v>46301.5248009607</v>
      </c>
      <c r="C1007" s="29" t="n">
        <f aca="false">IF(A1008=A1007,B1008,INDEX(Rounds!$D:$D,MATCH(A1007,Rounds!$A:$A,0)))</f>
        <v>46301.5248063657</v>
      </c>
      <c r="D1007" s="30" t="n">
        <f aca="false">(B1007-INDEX(Rounds!$C:$C,MATCH(A1007,Rounds!$A:$A,0)))*86400</f>
        <v>21.786000067</v>
      </c>
      <c r="E1007" s="30" t="n">
        <f aca="false">(C1007-INDEX(Rounds!$C:$C,MATCH(A1007,Rounds!$A:$A,0)))*86400</f>
        <v>22.252999898</v>
      </c>
      <c r="F1007" s="31" t="n">
        <f aca="false">(C1007-B1007)*86400</f>
        <v>0.46699983</v>
      </c>
      <c r="G1007" s="27" t="s">
        <v>152</v>
      </c>
      <c r="H1007" s="27" t="s">
        <v>208</v>
      </c>
      <c r="I1007" s="27" t="s">
        <v>432</v>
      </c>
      <c r="J1007" s="27" t="s">
        <v>288</v>
      </c>
      <c r="K1007" s="27" t="s">
        <v>314</v>
      </c>
      <c r="L1007" s="3" t="str">
        <f aca="false">IF(ISNUMBER(SEARCH(" m",I1007)),"Range",IF(I1007="offline","Offline",IF(I1007="","Unknown","No echo / error")))</f>
        <v>Range</v>
      </c>
      <c r="M1007" s="3" t="str">
        <f aca="false">IF(ISNUMBER(SEARCH(" m",J1007)),"Range",IF(J1007="offline","Offline",IF(J1007="","Unknown","No echo / error")))</f>
        <v>Range</v>
      </c>
      <c r="N1007" s="3" t="str">
        <f aca="false">IF(ISNUMBER(SEARCH(" m",K1007)),"Range",IF(K1007="offline","Offline",IF(K1007="","Unknown","No echo / error")))</f>
        <v>Range</v>
      </c>
      <c r="O1007" s="3" t="str">
        <f aca="false">TEXT(B1007,"yyyy-mm-dd")</f>
        <v>2026-10-06</v>
      </c>
    </row>
    <row r="1008" customFormat="false" ht="15" hidden="false" customHeight="false" outlineLevel="0" collapsed="false">
      <c r="A1008" s="27" t="n">
        <v>16</v>
      </c>
      <c r="B1008" s="28" t="n">
        <v>46301.5248063657</v>
      </c>
      <c r="C1008" s="29" t="n">
        <f aca="false">IF(A1009=A1008,B1009,INDEX(Rounds!$D:$D,MATCH(A1008,Rounds!$A:$A,0)))</f>
        <v>46301.524814213</v>
      </c>
      <c r="D1008" s="30" t="n">
        <f aca="false">(B1008-INDEX(Rounds!$C:$C,MATCH(A1008,Rounds!$A:$A,0)))*86400</f>
        <v>22.252999898</v>
      </c>
      <c r="E1008" s="30" t="n">
        <f aca="false">(C1008-INDEX(Rounds!$C:$C,MATCH(A1008,Rounds!$A:$A,0)))*86400</f>
        <v>22.930999263</v>
      </c>
      <c r="F1008" s="31" t="n">
        <f aca="false">(C1008-B1008)*86400</f>
        <v>0.677999365</v>
      </c>
      <c r="G1008" s="27" t="s">
        <v>151</v>
      </c>
      <c r="H1008" s="27" t="s">
        <v>203</v>
      </c>
      <c r="I1008" s="27" t="s">
        <v>453</v>
      </c>
      <c r="J1008" s="27" t="s">
        <v>204</v>
      </c>
      <c r="K1008" s="27" t="s">
        <v>234</v>
      </c>
      <c r="L1008" s="3" t="str">
        <f aca="false">IF(ISNUMBER(SEARCH(" m",I1008)),"Range",IF(I1008="offline","Offline",IF(I1008="","Unknown","No echo / error")))</f>
        <v>Range</v>
      </c>
      <c r="M1008" s="3" t="str">
        <f aca="false">IF(ISNUMBER(SEARCH(" m",J1008)),"Range",IF(J1008="offline","Offline",IF(J1008="","Unknown","No echo / error")))</f>
        <v>No echo / error</v>
      </c>
      <c r="N1008" s="3" t="str">
        <f aca="false">IF(ISNUMBER(SEARCH(" m",K1008)),"Range",IF(K1008="offline","Offline",IF(K1008="","Unknown","No echo / error")))</f>
        <v>Range</v>
      </c>
      <c r="O1008" s="3" t="str">
        <f aca="false">TEXT(B1008,"yyyy-mm-dd")</f>
        <v>2026-10-06</v>
      </c>
    </row>
    <row r="1009" customFormat="false" ht="15" hidden="false" customHeight="false" outlineLevel="0" collapsed="false">
      <c r="A1009" s="27" t="n">
        <v>16</v>
      </c>
      <c r="B1009" s="28" t="n">
        <v>46301.524814213</v>
      </c>
      <c r="C1009" s="29" t="n">
        <f aca="false">IF(A1010=A1009,B1010,INDEX(Rounds!$D:$D,MATCH(A1009,Rounds!$A:$A,0)))</f>
        <v>46301.5248456713</v>
      </c>
      <c r="D1009" s="30" t="n">
        <f aca="false">(B1009-INDEX(Rounds!$C:$C,MATCH(A1009,Rounds!$A:$A,0)))*86400</f>
        <v>22.930999263</v>
      </c>
      <c r="E1009" s="30" t="n">
        <f aca="false">(C1009-INDEX(Rounds!$C:$C,MATCH(A1009,Rounds!$A:$A,0)))*86400</f>
        <v>25.648999004</v>
      </c>
      <c r="F1009" s="31" t="n">
        <f aca="false">(C1009-B1009)*86400</f>
        <v>2.717999741</v>
      </c>
      <c r="G1009" s="27" t="s">
        <v>150</v>
      </c>
      <c r="H1009" s="27" t="s">
        <v>206</v>
      </c>
      <c r="I1009" s="27" t="s">
        <v>204</v>
      </c>
      <c r="J1009" s="27" t="s">
        <v>207</v>
      </c>
      <c r="K1009" s="27" t="s">
        <v>217</v>
      </c>
      <c r="L1009" s="3" t="str">
        <f aca="false">IF(ISNUMBER(SEARCH(" m",I1009)),"Range",IF(I1009="offline","Offline",IF(I1009="","Unknown","No echo / error")))</f>
        <v>No echo / error</v>
      </c>
      <c r="M1009" s="3" t="str">
        <f aca="false">IF(ISNUMBER(SEARCH(" m",J1009)),"Range",IF(J1009="offline","Offline",IF(J1009="","Unknown","No echo / error")))</f>
        <v>Range</v>
      </c>
      <c r="N1009" s="3" t="str">
        <f aca="false">IF(ISNUMBER(SEARCH(" m",K1009)),"Range",IF(K1009="offline","Offline",IF(K1009="","Unknown","No echo / error")))</f>
        <v>Range</v>
      </c>
      <c r="O1009" s="3" t="str">
        <f aca="false">TEXT(B1009,"yyyy-mm-dd")</f>
        <v>2026-10-06</v>
      </c>
    </row>
    <row r="1010" customFormat="false" ht="15" hidden="false" customHeight="false" outlineLevel="0" collapsed="false">
      <c r="A1010" s="27" t="n">
        <v>16</v>
      </c>
      <c r="B1010" s="28" t="n">
        <v>46301.5248456713</v>
      </c>
      <c r="C1010" s="29" t="n">
        <f aca="false">IF(A1011=A1010,B1011,INDEX(Rounds!$D:$D,MATCH(A1010,Rounds!$A:$A,0)))</f>
        <v>46301.5248516204</v>
      </c>
      <c r="D1010" s="30" t="n">
        <f aca="false">(B1010-INDEX(Rounds!$C:$C,MATCH(A1010,Rounds!$A:$A,0)))*86400</f>
        <v>25.648999004</v>
      </c>
      <c r="E1010" s="30" t="n">
        <f aca="false">(C1010-INDEX(Rounds!$C:$C,MATCH(A1010,Rounds!$A:$A,0)))*86400</f>
        <v>26.162999938</v>
      </c>
      <c r="F1010" s="31" t="n">
        <f aca="false">(C1010-B1010)*86400</f>
        <v>0.514000933</v>
      </c>
      <c r="G1010" s="27" t="s">
        <v>152</v>
      </c>
      <c r="H1010" s="27" t="s">
        <v>208</v>
      </c>
      <c r="I1010" s="27" t="s">
        <v>234</v>
      </c>
      <c r="J1010" s="27" t="s">
        <v>220</v>
      </c>
      <c r="K1010" s="27" t="s">
        <v>396</v>
      </c>
      <c r="L1010" s="3" t="str">
        <f aca="false">IF(ISNUMBER(SEARCH(" m",I1010)),"Range",IF(I1010="offline","Offline",IF(I1010="","Unknown","No echo / error")))</f>
        <v>Range</v>
      </c>
      <c r="M1010" s="3" t="str">
        <f aca="false">IF(ISNUMBER(SEARCH(" m",J1010)),"Range",IF(J1010="offline","Offline",IF(J1010="","Unknown","No echo / error")))</f>
        <v>No echo / error</v>
      </c>
      <c r="N1010" s="3" t="str">
        <f aca="false">IF(ISNUMBER(SEARCH(" m",K1010)),"Range",IF(K1010="offline","Offline",IF(K1010="","Unknown","No echo / error")))</f>
        <v>Range</v>
      </c>
      <c r="O1010" s="3" t="str">
        <f aca="false">TEXT(B1010,"yyyy-mm-dd")</f>
        <v>2026-10-06</v>
      </c>
    </row>
    <row r="1011" customFormat="false" ht="15" hidden="false" customHeight="false" outlineLevel="0" collapsed="false">
      <c r="A1011" s="27" t="n">
        <v>16</v>
      </c>
      <c r="B1011" s="28" t="n">
        <v>46301.5248516204</v>
      </c>
      <c r="C1011" s="29" t="n">
        <f aca="false">IF(A1012=A1011,B1012,INDEX(Rounds!$D:$D,MATCH(A1011,Rounds!$A:$A,0)))</f>
        <v>46301.5248572454</v>
      </c>
      <c r="D1011" s="30" t="n">
        <f aca="false">(B1011-INDEX(Rounds!$C:$C,MATCH(A1011,Rounds!$A:$A,0)))*86400</f>
        <v>26.162999938</v>
      </c>
      <c r="E1011" s="30" t="n">
        <f aca="false">(C1011-INDEX(Rounds!$C:$C,MATCH(A1011,Rounds!$A:$A,0)))*86400</f>
        <v>26.648999867</v>
      </c>
      <c r="F1011" s="31" t="n">
        <f aca="false">(C1011-B1011)*86400</f>
        <v>0.485999928</v>
      </c>
      <c r="G1011" s="27" t="s">
        <v>151</v>
      </c>
      <c r="H1011" s="27" t="s">
        <v>203</v>
      </c>
      <c r="I1011" s="27" t="s">
        <v>307</v>
      </c>
      <c r="J1011" s="27" t="s">
        <v>524</v>
      </c>
      <c r="K1011" s="27" t="s">
        <v>204</v>
      </c>
      <c r="L1011" s="3" t="str">
        <f aca="false">IF(ISNUMBER(SEARCH(" m",I1011)),"Range",IF(I1011="offline","Offline",IF(I1011="","Unknown","No echo / error")))</f>
        <v>Range</v>
      </c>
      <c r="M1011" s="3" t="str">
        <f aca="false">IF(ISNUMBER(SEARCH(" m",J1011)),"Range",IF(J1011="offline","Offline",IF(J1011="","Unknown","No echo / error")))</f>
        <v>Range</v>
      </c>
      <c r="N1011" s="3" t="str">
        <f aca="false">IF(ISNUMBER(SEARCH(" m",K1011)),"Range",IF(K1011="offline","Offline",IF(K1011="","Unknown","No echo / error")))</f>
        <v>No echo / error</v>
      </c>
      <c r="O1011" s="3" t="str">
        <f aca="false">TEXT(B1011,"yyyy-mm-dd")</f>
        <v>2026-10-06</v>
      </c>
    </row>
    <row r="1012" customFormat="false" ht="15" hidden="false" customHeight="false" outlineLevel="0" collapsed="false">
      <c r="A1012" s="27" t="n">
        <v>16</v>
      </c>
      <c r="B1012" s="28" t="n">
        <v>46301.5248572454</v>
      </c>
      <c r="C1012" s="29" t="n">
        <f aca="false">IF(A1013=A1012,B1013,INDEX(Rounds!$D:$D,MATCH(A1012,Rounds!$A:$A,0)))</f>
        <v>46301.5248577894</v>
      </c>
      <c r="D1012" s="30" t="n">
        <f aca="false">(B1012-INDEX(Rounds!$C:$C,MATCH(A1012,Rounds!$A:$A,0)))*86400</f>
        <v>26.648999867</v>
      </c>
      <c r="E1012" s="30" t="n">
        <f aca="false">(C1012-INDEX(Rounds!$C:$C,MATCH(A1012,Rounds!$A:$A,0)))*86400</f>
        <v>26.695999712</v>
      </c>
      <c r="F1012" s="31" t="n">
        <f aca="false">(C1012-B1012)*86400</f>
        <v>0.046999845</v>
      </c>
      <c r="G1012" s="27" t="s">
        <v>152</v>
      </c>
      <c r="H1012" s="27" t="s">
        <v>208</v>
      </c>
      <c r="I1012" s="27" t="s">
        <v>272</v>
      </c>
      <c r="J1012" s="27" t="s">
        <v>204</v>
      </c>
      <c r="K1012" s="27" t="s">
        <v>289</v>
      </c>
      <c r="L1012" s="3" t="str">
        <f aca="false">IF(ISNUMBER(SEARCH(" m",I1012)),"Range",IF(I1012="offline","Offline",IF(I1012="","Unknown","No echo / error")))</f>
        <v>Range</v>
      </c>
      <c r="M1012" s="3" t="str">
        <f aca="false">IF(ISNUMBER(SEARCH(" m",J1012)),"Range",IF(J1012="offline","Offline",IF(J1012="","Unknown","No echo / error")))</f>
        <v>No echo / error</v>
      </c>
      <c r="N1012" s="3" t="str">
        <f aca="false">IF(ISNUMBER(SEARCH(" m",K1012)),"Range",IF(K1012="offline","Offline",IF(K1012="","Unknown","No echo / error")))</f>
        <v>Range</v>
      </c>
      <c r="O1012" s="3" t="str">
        <f aca="false">TEXT(B1012,"yyyy-mm-dd")</f>
        <v>2026-10-06</v>
      </c>
    </row>
    <row r="1013" customFormat="false" ht="15" hidden="false" customHeight="false" outlineLevel="0" collapsed="false">
      <c r="A1013" s="27" t="n">
        <v>16</v>
      </c>
      <c r="B1013" s="28" t="n">
        <v>46301.5248577894</v>
      </c>
      <c r="C1013" s="29" t="n">
        <f aca="false">IF(A1014=A1013,B1014,INDEX(Rounds!$D:$D,MATCH(A1013,Rounds!$A:$A,0)))</f>
        <v>46301.5248711921</v>
      </c>
      <c r="D1013" s="30" t="n">
        <f aca="false">(B1013-INDEX(Rounds!$C:$C,MATCH(A1013,Rounds!$A:$A,0)))*86400</f>
        <v>26.695999712</v>
      </c>
      <c r="E1013" s="30" t="n">
        <f aca="false">(C1013-INDEX(Rounds!$C:$C,MATCH(A1013,Rounds!$A:$A,0)))*86400</f>
        <v>27.853999868</v>
      </c>
      <c r="F1013" s="31" t="n">
        <f aca="false">(C1013-B1013)*86400</f>
        <v>1.158000156</v>
      </c>
      <c r="G1013" s="27" t="s">
        <v>151</v>
      </c>
      <c r="H1013" s="27" t="s">
        <v>203</v>
      </c>
      <c r="I1013" s="27" t="s">
        <v>312</v>
      </c>
      <c r="J1013" s="27" t="s">
        <v>204</v>
      </c>
      <c r="K1013" s="27" t="s">
        <v>289</v>
      </c>
      <c r="L1013" s="3" t="str">
        <f aca="false">IF(ISNUMBER(SEARCH(" m",I1013)),"Range",IF(I1013="offline","Offline",IF(I1013="","Unknown","No echo / error")))</f>
        <v>Range</v>
      </c>
      <c r="M1013" s="3" t="str">
        <f aca="false">IF(ISNUMBER(SEARCH(" m",J1013)),"Range",IF(J1013="offline","Offline",IF(J1013="","Unknown","No echo / error")))</f>
        <v>No echo / error</v>
      </c>
      <c r="N1013" s="3" t="str">
        <f aca="false">IF(ISNUMBER(SEARCH(" m",K1013)),"Range",IF(K1013="offline","Offline",IF(K1013="","Unknown","No echo / error")))</f>
        <v>Range</v>
      </c>
      <c r="O1013" s="3" t="str">
        <f aca="false">TEXT(B1013,"yyyy-mm-dd")</f>
        <v>2026-10-06</v>
      </c>
    </row>
    <row r="1014" customFormat="false" ht="15" hidden="false" customHeight="false" outlineLevel="0" collapsed="false">
      <c r="A1014" s="27" t="n">
        <v>16</v>
      </c>
      <c r="B1014" s="28" t="n">
        <v>46301.5248711921</v>
      </c>
      <c r="C1014" s="29" t="n">
        <f aca="false">IF(A1015=A1014,B1015,INDEX(Rounds!$D:$D,MATCH(A1014,Rounds!$A:$A,0)))</f>
        <v>46301.5248963542</v>
      </c>
      <c r="D1014" s="30" t="n">
        <f aca="false">(B1014-INDEX(Rounds!$C:$C,MATCH(A1014,Rounds!$A:$A,0)))*86400</f>
        <v>27.853999868</v>
      </c>
      <c r="E1014" s="30" t="n">
        <f aca="false">(C1014-INDEX(Rounds!$C:$C,MATCH(A1014,Rounds!$A:$A,0)))*86400</f>
        <v>30.027999845</v>
      </c>
      <c r="F1014" s="31" t="n">
        <f aca="false">(C1014-B1014)*86400</f>
        <v>2.173999976</v>
      </c>
      <c r="G1014" s="27" t="s">
        <v>150</v>
      </c>
      <c r="H1014" s="27" t="s">
        <v>206</v>
      </c>
      <c r="I1014" s="27" t="s">
        <v>303</v>
      </c>
      <c r="J1014" s="27" t="s">
        <v>225</v>
      </c>
      <c r="K1014" s="27" t="s">
        <v>204</v>
      </c>
      <c r="L1014" s="3" t="str">
        <f aca="false">IF(ISNUMBER(SEARCH(" m",I1014)),"Range",IF(I1014="offline","Offline",IF(I1014="","Unknown","No echo / error")))</f>
        <v>Range</v>
      </c>
      <c r="M1014" s="3" t="str">
        <f aca="false">IF(ISNUMBER(SEARCH(" m",J1014)),"Range",IF(J1014="offline","Offline",IF(J1014="","Unknown","No echo / error")))</f>
        <v>Range</v>
      </c>
      <c r="N1014" s="3" t="str">
        <f aca="false">IF(ISNUMBER(SEARCH(" m",K1014)),"Range",IF(K1014="offline","Offline",IF(K1014="","Unknown","No echo / error")))</f>
        <v>No echo / error</v>
      </c>
      <c r="O1014" s="3" t="str">
        <f aca="false">TEXT(B1014,"yyyy-mm-dd")</f>
        <v>2026-10-06</v>
      </c>
    </row>
    <row r="1015" customFormat="false" ht="15" hidden="false" customHeight="false" outlineLevel="0" collapsed="false">
      <c r="A1015" s="27" t="n">
        <v>16</v>
      </c>
      <c r="B1015" s="28" t="n">
        <v>46301.5248963542</v>
      </c>
      <c r="C1015" s="29" t="n">
        <f aca="false">IF(A1016=A1015,B1016,INDEX(Rounds!$D:$D,MATCH(A1015,Rounds!$A:$A,0)))</f>
        <v>46301.5248984028</v>
      </c>
      <c r="D1015" s="30" t="n">
        <f aca="false">(B1015-INDEX(Rounds!$C:$C,MATCH(A1015,Rounds!$A:$A,0)))*86400</f>
        <v>30.027999845</v>
      </c>
      <c r="E1015" s="30" t="n">
        <f aca="false">(C1015-INDEX(Rounds!$C:$C,MATCH(A1015,Rounds!$A:$A,0)))*86400</f>
        <v>30.204999865</v>
      </c>
      <c r="F1015" s="31" t="n">
        <f aca="false">(C1015-B1015)*86400</f>
        <v>0.17700002</v>
      </c>
      <c r="G1015" s="27" t="s">
        <v>152</v>
      </c>
      <c r="H1015" s="27" t="s">
        <v>208</v>
      </c>
      <c r="I1015" s="27" t="s">
        <v>431</v>
      </c>
      <c r="J1015" s="27" t="s">
        <v>204</v>
      </c>
      <c r="K1015" s="27" t="s">
        <v>204</v>
      </c>
      <c r="L1015" s="3" t="str">
        <f aca="false">IF(ISNUMBER(SEARCH(" m",I1015)),"Range",IF(I1015="offline","Offline",IF(I1015="","Unknown","No echo / error")))</f>
        <v>Range</v>
      </c>
      <c r="M1015" s="3" t="str">
        <f aca="false">IF(ISNUMBER(SEARCH(" m",J1015)),"Range",IF(J1015="offline","Offline",IF(J1015="","Unknown","No echo / error")))</f>
        <v>No echo / error</v>
      </c>
      <c r="N1015" s="3" t="str">
        <f aca="false">IF(ISNUMBER(SEARCH(" m",K1015)),"Range",IF(K1015="offline","Offline",IF(K1015="","Unknown","No echo / error")))</f>
        <v>No echo / error</v>
      </c>
      <c r="O1015" s="3" t="str">
        <f aca="false">TEXT(B1015,"yyyy-mm-dd")</f>
        <v>2026-10-06</v>
      </c>
    </row>
    <row r="1016" customFormat="false" ht="15" hidden="false" customHeight="false" outlineLevel="0" collapsed="false">
      <c r="A1016" s="27" t="n">
        <v>16</v>
      </c>
      <c r="B1016" s="28" t="n">
        <v>46301.5248984028</v>
      </c>
      <c r="C1016" s="29" t="n">
        <f aca="false">IF(A1017=A1016,B1017,INDEX(Rounds!$D:$D,MATCH(A1016,Rounds!$A:$A,0)))</f>
        <v>46301.5249042245</v>
      </c>
      <c r="D1016" s="30" t="n">
        <f aca="false">(B1016-INDEX(Rounds!$C:$C,MATCH(A1016,Rounds!$A:$A,0)))*86400</f>
        <v>30.204999865</v>
      </c>
      <c r="E1016" s="30" t="n">
        <f aca="false">(C1016-INDEX(Rounds!$C:$C,MATCH(A1016,Rounds!$A:$A,0)))*86400</f>
        <v>30.707998923</v>
      </c>
      <c r="F1016" s="31" t="n">
        <f aca="false">(C1016-B1016)*86400</f>
        <v>0.502999057</v>
      </c>
      <c r="G1016" s="27" t="s">
        <v>151</v>
      </c>
      <c r="H1016" s="27" t="s">
        <v>203</v>
      </c>
      <c r="I1016" s="27" t="s">
        <v>313</v>
      </c>
      <c r="J1016" s="27" t="s">
        <v>204</v>
      </c>
      <c r="K1016" s="27" t="s">
        <v>204</v>
      </c>
      <c r="L1016" s="3" t="str">
        <f aca="false">IF(ISNUMBER(SEARCH(" m",I1016)),"Range",IF(I1016="offline","Offline",IF(I1016="","Unknown","No echo / error")))</f>
        <v>Range</v>
      </c>
      <c r="M1016" s="3" t="str">
        <f aca="false">IF(ISNUMBER(SEARCH(" m",J1016)),"Range",IF(J1016="offline","Offline",IF(J1016="","Unknown","No echo / error")))</f>
        <v>No echo / error</v>
      </c>
      <c r="N1016" s="3" t="str">
        <f aca="false">IF(ISNUMBER(SEARCH(" m",K1016)),"Range",IF(K1016="offline","Offline",IF(K1016="","Unknown","No echo / error")))</f>
        <v>No echo / error</v>
      </c>
      <c r="O1016" s="3" t="str">
        <f aca="false">TEXT(B1016,"yyyy-mm-dd")</f>
        <v>2026-10-06</v>
      </c>
    </row>
    <row r="1017" customFormat="false" ht="15" hidden="false" customHeight="false" outlineLevel="0" collapsed="false">
      <c r="A1017" s="27" t="n">
        <v>16</v>
      </c>
      <c r="B1017" s="28" t="n">
        <v>46301.5249042245</v>
      </c>
      <c r="C1017" s="29" t="n">
        <f aca="false">IF(A1018=A1017,B1018,INDEX(Rounds!$D:$D,MATCH(A1017,Rounds!$A:$A,0)))</f>
        <v>46301.5249045949</v>
      </c>
      <c r="D1017" s="30" t="n">
        <f aca="false">(B1017-INDEX(Rounds!$C:$C,MATCH(A1017,Rounds!$A:$A,0)))*86400</f>
        <v>30.707998923</v>
      </c>
      <c r="E1017" s="30" t="n">
        <f aca="false">(C1017-INDEX(Rounds!$C:$C,MATCH(A1017,Rounds!$A:$A,0)))*86400</f>
        <v>30.739999981</v>
      </c>
      <c r="F1017" s="31" t="n">
        <f aca="false">(C1017-B1017)*86400</f>
        <v>0.032001058</v>
      </c>
      <c r="G1017" s="27" t="s">
        <v>152</v>
      </c>
      <c r="H1017" s="27" t="s">
        <v>208</v>
      </c>
      <c r="I1017" s="27" t="s">
        <v>335</v>
      </c>
      <c r="J1017" s="27" t="s">
        <v>204</v>
      </c>
      <c r="K1017" s="27" t="s">
        <v>316</v>
      </c>
      <c r="L1017" s="3" t="str">
        <f aca="false">IF(ISNUMBER(SEARCH(" m",I1017)),"Range",IF(I1017="offline","Offline",IF(I1017="","Unknown","No echo / error")))</f>
        <v>Range</v>
      </c>
      <c r="M1017" s="3" t="str">
        <f aca="false">IF(ISNUMBER(SEARCH(" m",J1017)),"Range",IF(J1017="offline","Offline",IF(J1017="","Unknown","No echo / error")))</f>
        <v>No echo / error</v>
      </c>
      <c r="N1017" s="3" t="str">
        <f aca="false">IF(ISNUMBER(SEARCH(" m",K1017)),"Range",IF(K1017="offline","Offline",IF(K1017="","Unknown","No echo / error")))</f>
        <v>Range</v>
      </c>
      <c r="O1017" s="3" t="str">
        <f aca="false">TEXT(B1017,"yyyy-mm-dd")</f>
        <v>2026-10-06</v>
      </c>
    </row>
    <row r="1018" customFormat="false" ht="15" hidden="false" customHeight="false" outlineLevel="0" collapsed="false">
      <c r="A1018" s="27" t="n">
        <v>16</v>
      </c>
      <c r="B1018" s="28" t="n">
        <v>46301.5249045949</v>
      </c>
      <c r="C1018" s="29" t="n">
        <f aca="false">IF(A1019=A1018,B1019,INDEX(Rounds!$D:$D,MATCH(A1018,Rounds!$A:$A,0)))</f>
        <v>46301.5249100116</v>
      </c>
      <c r="D1018" s="30" t="n">
        <f aca="false">(B1018-INDEX(Rounds!$C:$C,MATCH(A1018,Rounds!$A:$A,0)))*86400</f>
        <v>30.739999981</v>
      </c>
      <c r="E1018" s="30" t="n">
        <f aca="false">(C1018-INDEX(Rounds!$C:$C,MATCH(A1018,Rounds!$A:$A,0)))*86400</f>
        <v>31.208000611</v>
      </c>
      <c r="F1018" s="31" t="n">
        <f aca="false">(C1018-B1018)*86400</f>
        <v>0.468000629</v>
      </c>
      <c r="G1018" s="27" t="s">
        <v>151</v>
      </c>
      <c r="H1018" s="27" t="s">
        <v>203</v>
      </c>
      <c r="I1018" s="27" t="s">
        <v>336</v>
      </c>
      <c r="J1018" s="27" t="s">
        <v>204</v>
      </c>
      <c r="K1018" s="27" t="s">
        <v>316</v>
      </c>
      <c r="L1018" s="3" t="str">
        <f aca="false">IF(ISNUMBER(SEARCH(" m",I1018)),"Range",IF(I1018="offline","Offline",IF(I1018="","Unknown","No echo / error")))</f>
        <v>Range</v>
      </c>
      <c r="M1018" s="3" t="str">
        <f aca="false">IF(ISNUMBER(SEARCH(" m",J1018)),"Range",IF(J1018="offline","Offline",IF(J1018="","Unknown","No echo / error")))</f>
        <v>No echo / error</v>
      </c>
      <c r="N1018" s="3" t="str">
        <f aca="false">IF(ISNUMBER(SEARCH(" m",K1018)),"Range",IF(K1018="offline","Offline",IF(K1018="","Unknown","No echo / error")))</f>
        <v>Range</v>
      </c>
      <c r="O1018" s="3" t="str">
        <f aca="false">TEXT(B1018,"yyyy-mm-dd")</f>
        <v>2026-10-06</v>
      </c>
    </row>
    <row r="1019" customFormat="false" ht="15" hidden="false" customHeight="false" outlineLevel="0" collapsed="false">
      <c r="A1019" s="27" t="n">
        <v>16</v>
      </c>
      <c r="B1019" s="28" t="n">
        <v>46301.5249100116</v>
      </c>
      <c r="C1019" s="29" t="n">
        <f aca="false">IF(A1020=A1019,B1020,INDEX(Rounds!$D:$D,MATCH(A1019,Rounds!$A:$A,0)))</f>
        <v>46301.5249393056</v>
      </c>
      <c r="D1019" s="30" t="n">
        <f aca="false">(B1019-INDEX(Rounds!$C:$C,MATCH(A1019,Rounds!$A:$A,0)))*86400</f>
        <v>31.208000611</v>
      </c>
      <c r="E1019" s="30" t="n">
        <f aca="false">(C1019-INDEX(Rounds!$C:$C,MATCH(A1019,Rounds!$A:$A,0)))*86400</f>
        <v>33.738999883</v>
      </c>
      <c r="F1019" s="31" t="n">
        <f aca="false">(C1019-B1019)*86400</f>
        <v>2.530999272</v>
      </c>
      <c r="G1019" s="27" t="s">
        <v>150</v>
      </c>
      <c r="H1019" s="27" t="s">
        <v>206</v>
      </c>
      <c r="I1019" s="27" t="s">
        <v>252</v>
      </c>
      <c r="J1019" s="27" t="s">
        <v>214</v>
      </c>
      <c r="K1019" s="27" t="s">
        <v>413</v>
      </c>
      <c r="L1019" s="3" t="str">
        <f aca="false">IF(ISNUMBER(SEARCH(" m",I1019)),"Range",IF(I1019="offline","Offline",IF(I1019="","Unknown","No echo / error")))</f>
        <v>Range</v>
      </c>
      <c r="M1019" s="3" t="str">
        <f aca="false">IF(ISNUMBER(SEARCH(" m",J1019)),"Range",IF(J1019="offline","Offline",IF(J1019="","Unknown","No echo / error")))</f>
        <v>Range</v>
      </c>
      <c r="N1019" s="3" t="str">
        <f aca="false">IF(ISNUMBER(SEARCH(" m",K1019)),"Range",IF(K1019="offline","Offline",IF(K1019="","Unknown","No echo / error")))</f>
        <v>Range</v>
      </c>
      <c r="O1019" s="3" t="str">
        <f aca="false">TEXT(B1019,"yyyy-mm-dd")</f>
        <v>2026-10-06</v>
      </c>
    </row>
    <row r="1020" customFormat="false" ht="15" hidden="false" customHeight="false" outlineLevel="0" collapsed="false">
      <c r="A1020" s="27" t="n">
        <v>16</v>
      </c>
      <c r="B1020" s="28" t="n">
        <v>46301.5249393056</v>
      </c>
      <c r="C1020" s="29" t="n">
        <f aca="false">IF(A1021=A1020,B1021,INDEX(Rounds!$D:$D,MATCH(A1020,Rounds!$A:$A,0)))</f>
        <v>46301.5249398727</v>
      </c>
      <c r="D1020" s="30" t="n">
        <f aca="false">(B1020-INDEX(Rounds!$C:$C,MATCH(A1020,Rounds!$A:$A,0)))*86400</f>
        <v>33.738999883</v>
      </c>
      <c r="E1020" s="30" t="n">
        <f aca="false">(C1020-INDEX(Rounds!$C:$C,MATCH(A1020,Rounds!$A:$A,0)))*86400</f>
        <v>33.78800007</v>
      </c>
      <c r="F1020" s="31" t="n">
        <f aca="false">(C1020-B1020)*86400</f>
        <v>0.049000186</v>
      </c>
      <c r="G1020" s="27" t="s">
        <v>152</v>
      </c>
      <c r="H1020" s="27" t="s">
        <v>208</v>
      </c>
      <c r="I1020" s="27" t="s">
        <v>204</v>
      </c>
      <c r="J1020" s="27" t="s">
        <v>419</v>
      </c>
      <c r="K1020" s="27" t="s">
        <v>302</v>
      </c>
      <c r="L1020" s="3" t="str">
        <f aca="false">IF(ISNUMBER(SEARCH(" m",I1020)),"Range",IF(I1020="offline","Offline",IF(I1020="","Unknown","No echo / error")))</f>
        <v>No echo / error</v>
      </c>
      <c r="M1020" s="3" t="str">
        <f aca="false">IF(ISNUMBER(SEARCH(" m",J1020)),"Range",IF(J1020="offline","Offline",IF(J1020="","Unknown","No echo / error")))</f>
        <v>Range</v>
      </c>
      <c r="N1020" s="3" t="str">
        <f aca="false">IF(ISNUMBER(SEARCH(" m",K1020)),"Range",IF(K1020="offline","Offline",IF(K1020="","Unknown","No echo / error")))</f>
        <v>Range</v>
      </c>
      <c r="O1020" s="3" t="str">
        <f aca="false">TEXT(B1020,"yyyy-mm-dd")</f>
        <v>2026-10-06</v>
      </c>
    </row>
    <row r="1021" customFormat="false" ht="15" hidden="false" customHeight="false" outlineLevel="0" collapsed="false">
      <c r="A1021" s="27" t="n">
        <v>16</v>
      </c>
      <c r="B1021" s="28" t="n">
        <v>46301.5249398727</v>
      </c>
      <c r="C1021" s="29" t="n">
        <f aca="false">IF(A1022=A1021,B1022,INDEX(Rounds!$D:$D,MATCH(A1021,Rounds!$A:$A,0)))</f>
        <v>46301.5249411806</v>
      </c>
      <c r="D1021" s="30" t="n">
        <f aca="false">(B1021-INDEX(Rounds!$C:$C,MATCH(A1021,Rounds!$A:$A,0)))*86400</f>
        <v>33.78800007</v>
      </c>
      <c r="E1021" s="30" t="n">
        <f aca="false">(C1021-INDEX(Rounds!$C:$C,MATCH(A1021,Rounds!$A:$A,0)))*86400</f>
        <v>33.901000488</v>
      </c>
      <c r="F1021" s="31" t="n">
        <f aca="false">(C1021-B1021)*86400</f>
        <v>0.113000418</v>
      </c>
      <c r="G1021" s="27" t="s">
        <v>151</v>
      </c>
      <c r="H1021" s="27" t="s">
        <v>203</v>
      </c>
      <c r="I1021" s="27" t="s">
        <v>204</v>
      </c>
      <c r="J1021" s="27" t="s">
        <v>312</v>
      </c>
      <c r="K1021" s="27" t="s">
        <v>302</v>
      </c>
      <c r="L1021" s="3" t="str">
        <f aca="false">IF(ISNUMBER(SEARCH(" m",I1021)),"Range",IF(I1021="offline","Offline",IF(I1021="","Unknown","No echo / error")))</f>
        <v>No echo / error</v>
      </c>
      <c r="M1021" s="3" t="str">
        <f aca="false">IF(ISNUMBER(SEARCH(" m",J1021)),"Range",IF(J1021="offline","Offline",IF(J1021="","Unknown","No echo / error")))</f>
        <v>Range</v>
      </c>
      <c r="N1021" s="3" t="str">
        <f aca="false">IF(ISNUMBER(SEARCH(" m",K1021)),"Range",IF(K1021="offline","Offline",IF(K1021="","Unknown","No echo / error")))</f>
        <v>Range</v>
      </c>
      <c r="O1021" s="3" t="str">
        <f aca="false">TEXT(B1021,"yyyy-mm-dd")</f>
        <v>2026-10-06</v>
      </c>
    </row>
    <row r="1022" customFormat="false" ht="15" hidden="false" customHeight="false" outlineLevel="0" collapsed="false">
      <c r="A1022" s="27" t="n">
        <v>16</v>
      </c>
      <c r="B1022" s="28" t="n">
        <v>46301.5249411806</v>
      </c>
      <c r="C1022" s="29" t="n">
        <f aca="false">IF(A1023=A1022,B1023,INDEX(Rounds!$D:$D,MATCH(A1022,Rounds!$A:$A,0)))</f>
        <v>46301.5249458449</v>
      </c>
      <c r="D1022" s="30" t="n">
        <f aca="false">(B1022-INDEX(Rounds!$C:$C,MATCH(A1022,Rounds!$A:$A,0)))*86400</f>
        <v>33.901000488</v>
      </c>
      <c r="E1022" s="30" t="n">
        <f aca="false">(C1022-INDEX(Rounds!$C:$C,MATCH(A1022,Rounds!$A:$A,0)))*86400</f>
        <v>34.304000088</v>
      </c>
      <c r="F1022" s="31" t="n">
        <f aca="false">(C1022-B1022)*86400</f>
        <v>0.402999599</v>
      </c>
      <c r="G1022" s="27" t="s">
        <v>150</v>
      </c>
      <c r="H1022" s="27" t="s">
        <v>206</v>
      </c>
      <c r="I1022" s="27" t="s">
        <v>204</v>
      </c>
      <c r="J1022" s="27" t="s">
        <v>312</v>
      </c>
      <c r="K1022" s="27" t="s">
        <v>271</v>
      </c>
      <c r="L1022" s="3" t="str">
        <f aca="false">IF(ISNUMBER(SEARCH(" m",I1022)),"Range",IF(I1022="offline","Offline",IF(I1022="","Unknown","No echo / error")))</f>
        <v>No echo / error</v>
      </c>
      <c r="M1022" s="3" t="str">
        <f aca="false">IF(ISNUMBER(SEARCH(" m",J1022)),"Range",IF(J1022="offline","Offline",IF(J1022="","Unknown","No echo / error")))</f>
        <v>Range</v>
      </c>
      <c r="N1022" s="3" t="str">
        <f aca="false">IF(ISNUMBER(SEARCH(" m",K1022)),"Range",IF(K1022="offline","Offline",IF(K1022="","Unknown","No echo / error")))</f>
        <v>Range</v>
      </c>
      <c r="O1022" s="3" t="str">
        <f aca="false">TEXT(B1022,"yyyy-mm-dd")</f>
        <v>2026-10-06</v>
      </c>
    </row>
    <row r="1023" customFormat="false" ht="15" hidden="false" customHeight="false" outlineLevel="0" collapsed="false">
      <c r="A1023" s="27" t="n">
        <v>16</v>
      </c>
      <c r="B1023" s="28" t="n">
        <v>46301.5249458449</v>
      </c>
      <c r="C1023" s="29" t="n">
        <f aca="false">IF(A1024=A1023,B1024,INDEX(Rounds!$D:$D,MATCH(A1023,Rounds!$A:$A,0)))</f>
        <v>46301.524946956</v>
      </c>
      <c r="D1023" s="30" t="n">
        <f aca="false">(B1023-INDEX(Rounds!$C:$C,MATCH(A1023,Rounds!$A:$A,0)))*86400</f>
        <v>34.304000088</v>
      </c>
      <c r="E1023" s="30" t="n">
        <f aca="false">(C1023-INDEX(Rounds!$C:$C,MATCH(A1023,Rounds!$A:$A,0)))*86400</f>
        <v>34.399998863</v>
      </c>
      <c r="F1023" s="31" t="n">
        <f aca="false">(C1023-B1023)*86400</f>
        <v>0.095998775</v>
      </c>
      <c r="G1023" s="27" t="s">
        <v>151</v>
      </c>
      <c r="H1023" s="27" t="s">
        <v>203</v>
      </c>
      <c r="I1023" s="27" t="s">
        <v>204</v>
      </c>
      <c r="J1023" s="27" t="s">
        <v>498</v>
      </c>
      <c r="K1023" s="27" t="s">
        <v>510</v>
      </c>
      <c r="L1023" s="3" t="str">
        <f aca="false">IF(ISNUMBER(SEARCH(" m",I1023)),"Range",IF(I1023="offline","Offline",IF(I1023="","Unknown","No echo / error")))</f>
        <v>No echo / error</v>
      </c>
      <c r="M1023" s="3" t="str">
        <f aca="false">IF(ISNUMBER(SEARCH(" m",J1023)),"Range",IF(J1023="offline","Offline",IF(J1023="","Unknown","No echo / error")))</f>
        <v>Range</v>
      </c>
      <c r="N1023" s="3" t="str">
        <f aca="false">IF(ISNUMBER(SEARCH(" m",K1023)),"Range",IF(K1023="offline","Offline",IF(K1023="","Unknown","No echo / error")))</f>
        <v>Range</v>
      </c>
      <c r="O1023" s="3" t="str">
        <f aca="false">TEXT(B1023,"yyyy-mm-dd")</f>
        <v>2026-10-06</v>
      </c>
    </row>
    <row r="1024" customFormat="false" ht="15" hidden="false" customHeight="false" outlineLevel="0" collapsed="false">
      <c r="A1024" s="27" t="n">
        <v>16</v>
      </c>
      <c r="B1024" s="28" t="n">
        <v>46301.524946956</v>
      </c>
      <c r="C1024" s="29" t="n">
        <f aca="false">IF(A1025=A1024,B1025,INDEX(Rounds!$D:$D,MATCH(A1024,Rounds!$A:$A,0)))</f>
        <v>46301.5249713426</v>
      </c>
      <c r="D1024" s="30" t="n">
        <f aca="false">(B1024-INDEX(Rounds!$C:$C,MATCH(A1024,Rounds!$A:$A,0)))*86400</f>
        <v>34.399998863</v>
      </c>
      <c r="E1024" s="30" t="n">
        <f aca="false">(C1024-INDEX(Rounds!$C:$C,MATCH(A1024,Rounds!$A:$A,0)))*86400</f>
        <v>36.506999353</v>
      </c>
      <c r="F1024" s="31" t="n">
        <f aca="false">(C1024-B1024)*86400</f>
        <v>2.10700049</v>
      </c>
      <c r="G1024" s="27" t="s">
        <v>150</v>
      </c>
      <c r="H1024" s="27" t="s">
        <v>206</v>
      </c>
      <c r="I1024" s="27" t="s">
        <v>204</v>
      </c>
      <c r="J1024" s="27" t="s">
        <v>226</v>
      </c>
      <c r="K1024" s="27" t="s">
        <v>510</v>
      </c>
      <c r="L1024" s="3" t="str">
        <f aca="false">IF(ISNUMBER(SEARCH(" m",I1024)),"Range",IF(I1024="offline","Offline",IF(I1024="","Unknown","No echo / error")))</f>
        <v>No echo / error</v>
      </c>
      <c r="M1024" s="3" t="str">
        <f aca="false">IF(ISNUMBER(SEARCH(" m",J1024)),"Range",IF(J1024="offline","Offline",IF(J1024="","Unknown","No echo / error")))</f>
        <v>Range</v>
      </c>
      <c r="N1024" s="3" t="str">
        <f aca="false">IF(ISNUMBER(SEARCH(" m",K1024)),"Range",IF(K1024="offline","Offline",IF(K1024="","Unknown","No echo / error")))</f>
        <v>Range</v>
      </c>
      <c r="O1024" s="3" t="str">
        <f aca="false">TEXT(B1024,"yyyy-mm-dd")</f>
        <v>2026-10-06</v>
      </c>
    </row>
    <row r="1025" customFormat="false" ht="15" hidden="false" customHeight="false" outlineLevel="0" collapsed="false">
      <c r="A1025" s="27" t="n">
        <v>16</v>
      </c>
      <c r="B1025" s="28" t="n">
        <v>46301.5249713426</v>
      </c>
      <c r="C1025" s="29" t="n">
        <f aca="false">IF(A1026=A1025,B1026,INDEX(Rounds!$D:$D,MATCH(A1025,Rounds!$A:$A,0)))</f>
        <v>46301.5249726505</v>
      </c>
      <c r="D1025" s="30" t="n">
        <f aca="false">(B1025-INDEX(Rounds!$C:$C,MATCH(A1025,Rounds!$A:$A,0)))*86400</f>
        <v>36.506999353</v>
      </c>
      <c r="E1025" s="30" t="n">
        <f aca="false">(C1025-INDEX(Rounds!$C:$C,MATCH(A1025,Rounds!$A:$A,0)))*86400</f>
        <v>36.619999771</v>
      </c>
      <c r="F1025" s="31" t="n">
        <f aca="false">(C1025-B1025)*86400</f>
        <v>0.113000418</v>
      </c>
      <c r="G1025" s="27" t="s">
        <v>151</v>
      </c>
      <c r="H1025" s="27" t="s">
        <v>203</v>
      </c>
      <c r="I1025" s="27" t="s">
        <v>219</v>
      </c>
      <c r="J1025" s="27" t="s">
        <v>276</v>
      </c>
      <c r="K1025" s="27" t="s">
        <v>238</v>
      </c>
      <c r="L1025" s="3" t="str">
        <f aca="false">IF(ISNUMBER(SEARCH(" m",I1025)),"Range",IF(I1025="offline","Offline",IF(I1025="","Unknown","No echo / error")))</f>
        <v>Range</v>
      </c>
      <c r="M1025" s="3" t="str">
        <f aca="false">IF(ISNUMBER(SEARCH(" m",J1025)),"Range",IF(J1025="offline","Offline",IF(J1025="","Unknown","No echo / error")))</f>
        <v>Range</v>
      </c>
      <c r="N1025" s="3" t="str">
        <f aca="false">IF(ISNUMBER(SEARCH(" m",K1025)),"Range",IF(K1025="offline","Offline",IF(K1025="","Unknown","No echo / error")))</f>
        <v>Range</v>
      </c>
      <c r="O1025" s="3" t="str">
        <f aca="false">TEXT(B1025,"yyyy-mm-dd")</f>
        <v>2026-10-06</v>
      </c>
    </row>
    <row r="1026" customFormat="false" ht="15" hidden="false" customHeight="false" outlineLevel="0" collapsed="false">
      <c r="A1026" s="27" t="n">
        <v>16</v>
      </c>
      <c r="B1026" s="28" t="n">
        <v>46301.5249726505</v>
      </c>
      <c r="C1026" s="29" t="n">
        <f aca="false">IF(A1027=A1026,B1027,INDEX(Rounds!$D:$D,MATCH(A1026,Rounds!$A:$A,0)))</f>
        <v>46301.5249897107</v>
      </c>
      <c r="D1026" s="30" t="n">
        <f aca="false">(B1026-INDEX(Rounds!$C:$C,MATCH(A1026,Rounds!$A:$A,0)))*86400</f>
        <v>36.619999771</v>
      </c>
      <c r="E1026" s="30" t="n">
        <f aca="false">(C1026-INDEX(Rounds!$C:$C,MATCH(A1026,Rounds!$A:$A,0)))*86400</f>
        <v>38.093999773</v>
      </c>
      <c r="F1026" s="31" t="n">
        <f aca="false">(C1026-B1026)*86400</f>
        <v>1.474000001</v>
      </c>
      <c r="G1026" s="27" t="s">
        <v>150</v>
      </c>
      <c r="H1026" s="27" t="s">
        <v>206</v>
      </c>
      <c r="I1026" s="27" t="s">
        <v>219</v>
      </c>
      <c r="J1026" s="27" t="s">
        <v>276</v>
      </c>
      <c r="K1026" s="27" t="s">
        <v>281</v>
      </c>
      <c r="L1026" s="3" t="str">
        <f aca="false">IF(ISNUMBER(SEARCH(" m",I1026)),"Range",IF(I1026="offline","Offline",IF(I1026="","Unknown","No echo / error")))</f>
        <v>Range</v>
      </c>
      <c r="M1026" s="3" t="str">
        <f aca="false">IF(ISNUMBER(SEARCH(" m",J1026)),"Range",IF(J1026="offline","Offline",IF(J1026="","Unknown","No echo / error")))</f>
        <v>Range</v>
      </c>
      <c r="N1026" s="3" t="str">
        <f aca="false">IF(ISNUMBER(SEARCH(" m",K1026)),"Range",IF(K1026="offline","Offline",IF(K1026="","Unknown","No echo / error")))</f>
        <v>Range</v>
      </c>
      <c r="O1026" s="3" t="str">
        <f aca="false">TEXT(B1026,"yyyy-mm-dd")</f>
        <v>2026-10-06</v>
      </c>
    </row>
    <row r="1027" customFormat="false" ht="15" hidden="false" customHeight="false" outlineLevel="0" collapsed="false">
      <c r="A1027" s="27" t="n">
        <v>16</v>
      </c>
      <c r="B1027" s="28" t="n">
        <v>46301.5249897107</v>
      </c>
      <c r="C1027" s="29" t="n">
        <f aca="false">IF(A1028=A1027,B1028,INDEX(Rounds!$D:$D,MATCH(A1027,Rounds!$A:$A,0)))</f>
        <v>46301.5249904514</v>
      </c>
      <c r="D1027" s="30" t="n">
        <f aca="false">(B1027-INDEX(Rounds!$C:$C,MATCH(A1027,Rounds!$A:$A,0)))*86400</f>
        <v>38.093999773</v>
      </c>
      <c r="E1027" s="30" t="n">
        <f aca="false">(C1027-INDEX(Rounds!$C:$C,MATCH(A1027,Rounds!$A:$A,0)))*86400</f>
        <v>38.158000004</v>
      </c>
      <c r="F1027" s="31" t="n">
        <f aca="false">(C1027-B1027)*86400</f>
        <v>0.064000231</v>
      </c>
      <c r="G1027" s="27" t="s">
        <v>152</v>
      </c>
      <c r="H1027" s="27" t="s">
        <v>208</v>
      </c>
      <c r="I1027" s="27" t="s">
        <v>525</v>
      </c>
      <c r="J1027" s="27" t="s">
        <v>298</v>
      </c>
      <c r="K1027" s="27" t="s">
        <v>204</v>
      </c>
      <c r="L1027" s="3" t="str">
        <f aca="false">IF(ISNUMBER(SEARCH(" m",I1027)),"Range",IF(I1027="offline","Offline",IF(I1027="","Unknown","No echo / error")))</f>
        <v>Range</v>
      </c>
      <c r="M1027" s="3" t="str">
        <f aca="false">IF(ISNUMBER(SEARCH(" m",J1027)),"Range",IF(J1027="offline","Offline",IF(J1027="","Unknown","No echo / error")))</f>
        <v>Range</v>
      </c>
      <c r="N1027" s="3" t="str">
        <f aca="false">IF(ISNUMBER(SEARCH(" m",K1027)),"Range",IF(K1027="offline","Offline",IF(K1027="","Unknown","No echo / error")))</f>
        <v>No echo / error</v>
      </c>
      <c r="O1027" s="3" t="str">
        <f aca="false">TEXT(B1027,"yyyy-mm-dd")</f>
        <v>2026-10-06</v>
      </c>
    </row>
    <row r="1028" customFormat="false" ht="15" hidden="false" customHeight="false" outlineLevel="0" collapsed="false">
      <c r="A1028" s="27" t="n">
        <v>16</v>
      </c>
      <c r="B1028" s="28" t="n">
        <v>46301.5249904514</v>
      </c>
      <c r="C1028" s="29" t="n">
        <f aca="false">IF(A1029=A1028,B1029,INDEX(Rounds!$D:$D,MATCH(A1028,Rounds!$A:$A,0)))</f>
        <v>46301.5249988194</v>
      </c>
      <c r="D1028" s="30" t="n">
        <f aca="false">(B1028-INDEX(Rounds!$C:$C,MATCH(A1028,Rounds!$A:$A,0)))*86400</f>
        <v>38.158000004</v>
      </c>
      <c r="E1028" s="30" t="n">
        <f aca="false">(C1028-INDEX(Rounds!$C:$C,MATCH(A1028,Rounds!$A:$A,0)))*86400</f>
        <v>38.880999502</v>
      </c>
      <c r="F1028" s="31" t="n">
        <f aca="false">(C1028-B1028)*86400</f>
        <v>0.722999498</v>
      </c>
      <c r="G1028" s="27" t="s">
        <v>151</v>
      </c>
      <c r="H1028" s="27" t="s">
        <v>203</v>
      </c>
      <c r="I1028" s="27" t="s">
        <v>525</v>
      </c>
      <c r="J1028" s="27" t="s">
        <v>346</v>
      </c>
      <c r="K1028" s="27" t="s">
        <v>204</v>
      </c>
      <c r="L1028" s="3" t="str">
        <f aca="false">IF(ISNUMBER(SEARCH(" m",I1028)),"Range",IF(I1028="offline","Offline",IF(I1028="","Unknown","No echo / error")))</f>
        <v>Range</v>
      </c>
      <c r="M1028" s="3" t="str">
        <f aca="false">IF(ISNUMBER(SEARCH(" m",J1028)),"Range",IF(J1028="offline","Offline",IF(J1028="","Unknown","No echo / error")))</f>
        <v>Range</v>
      </c>
      <c r="N1028" s="3" t="str">
        <f aca="false">IF(ISNUMBER(SEARCH(" m",K1028)),"Range",IF(K1028="offline","Offline",IF(K1028="","Unknown","No echo / error")))</f>
        <v>No echo / error</v>
      </c>
      <c r="O1028" s="3" t="str">
        <f aca="false">TEXT(B1028,"yyyy-mm-dd")</f>
        <v>2026-10-06</v>
      </c>
    </row>
    <row r="1029" customFormat="false" ht="15" hidden="false" customHeight="false" outlineLevel="0" collapsed="false">
      <c r="A1029" s="27" t="n">
        <v>16</v>
      </c>
      <c r="B1029" s="28" t="n">
        <v>46301.5249988194</v>
      </c>
      <c r="C1029" s="29" t="n">
        <f aca="false">IF(A1030=A1029,B1030,INDEX(Rounds!$D:$D,MATCH(A1029,Rounds!$A:$A,0)))</f>
        <v>46301.5250105787</v>
      </c>
      <c r="D1029" s="30" t="n">
        <f aca="false">(B1029-INDEX(Rounds!$C:$C,MATCH(A1029,Rounds!$A:$A,0)))*86400</f>
        <v>38.880999502</v>
      </c>
      <c r="E1029" s="30" t="n">
        <f aca="false">(C1029-INDEX(Rounds!$C:$C,MATCH(A1029,Rounds!$A:$A,0)))*86400</f>
        <v>39.89700058</v>
      </c>
      <c r="F1029" s="31" t="n">
        <f aca="false">(C1029-B1029)*86400</f>
        <v>1.016001077</v>
      </c>
      <c r="G1029" s="27" t="s">
        <v>150</v>
      </c>
      <c r="H1029" s="27" t="s">
        <v>206</v>
      </c>
      <c r="I1029" s="27" t="s">
        <v>526</v>
      </c>
      <c r="J1029" s="27" t="s">
        <v>217</v>
      </c>
      <c r="K1029" s="27" t="s">
        <v>204</v>
      </c>
      <c r="L1029" s="3" t="str">
        <f aca="false">IF(ISNUMBER(SEARCH(" m",I1029)),"Range",IF(I1029="offline","Offline",IF(I1029="","Unknown","No echo / error")))</f>
        <v>Range</v>
      </c>
      <c r="M1029" s="3" t="str">
        <f aca="false">IF(ISNUMBER(SEARCH(" m",J1029)),"Range",IF(J1029="offline","Offline",IF(J1029="","Unknown","No echo / error")))</f>
        <v>Range</v>
      </c>
      <c r="N1029" s="3" t="str">
        <f aca="false">IF(ISNUMBER(SEARCH(" m",K1029)),"Range",IF(K1029="offline","Offline",IF(K1029="","Unknown","No echo / error")))</f>
        <v>No echo / error</v>
      </c>
      <c r="O1029" s="3" t="str">
        <f aca="false">TEXT(B1029,"yyyy-mm-dd")</f>
        <v>2026-10-06</v>
      </c>
    </row>
    <row r="1030" customFormat="false" ht="15" hidden="false" customHeight="false" outlineLevel="0" collapsed="false">
      <c r="A1030" s="27" t="n">
        <v>16</v>
      </c>
      <c r="B1030" s="28" t="n">
        <v>46301.5250105787</v>
      </c>
      <c r="C1030" s="29" t="n">
        <f aca="false">IF(A1031=A1030,B1031,INDEX(Rounds!$D:$D,MATCH(A1030,Rounds!$A:$A,0)))</f>
        <v>46301.5250163542</v>
      </c>
      <c r="D1030" s="30" t="n">
        <f aca="false">(B1030-INDEX(Rounds!$C:$C,MATCH(A1030,Rounds!$A:$A,0)))*86400</f>
        <v>39.89700058</v>
      </c>
      <c r="E1030" s="30" t="n">
        <f aca="false">(C1030-INDEX(Rounds!$C:$C,MATCH(A1030,Rounds!$A:$A,0)))*86400</f>
        <v>40.395998954</v>
      </c>
      <c r="F1030" s="31" t="n">
        <f aca="false">(C1030-B1030)*86400</f>
        <v>0.498998374</v>
      </c>
      <c r="G1030" s="27" t="s">
        <v>152</v>
      </c>
      <c r="H1030" s="27" t="s">
        <v>208</v>
      </c>
      <c r="I1030" s="27" t="s">
        <v>408</v>
      </c>
      <c r="J1030" s="27" t="s">
        <v>211</v>
      </c>
      <c r="K1030" s="27" t="s">
        <v>204</v>
      </c>
      <c r="L1030" s="3" t="str">
        <f aca="false">IF(ISNUMBER(SEARCH(" m",I1030)),"Range",IF(I1030="offline","Offline",IF(I1030="","Unknown","No echo / error")))</f>
        <v>Range</v>
      </c>
      <c r="M1030" s="3" t="str">
        <f aca="false">IF(ISNUMBER(SEARCH(" m",J1030)),"Range",IF(J1030="offline","Offline",IF(J1030="","Unknown","No echo / error")))</f>
        <v>No echo / error</v>
      </c>
      <c r="N1030" s="3" t="str">
        <f aca="false">IF(ISNUMBER(SEARCH(" m",K1030)),"Range",IF(K1030="offline","Offline",IF(K1030="","Unknown","No echo / error")))</f>
        <v>No echo / error</v>
      </c>
      <c r="O1030" s="3" t="str">
        <f aca="false">TEXT(B1030,"yyyy-mm-dd")</f>
        <v>2026-10-06</v>
      </c>
    </row>
    <row r="1031" customFormat="false" ht="15" hidden="false" customHeight="false" outlineLevel="0" collapsed="false">
      <c r="A1031" s="27" t="n">
        <v>16</v>
      </c>
      <c r="B1031" s="28" t="n">
        <v>46301.5250163542</v>
      </c>
      <c r="C1031" s="29" t="n">
        <f aca="false">IF(A1032=A1031,B1032,INDEX(Rounds!$D:$D,MATCH(A1031,Rounds!$A:$A,0)))</f>
        <v>46301.525018588</v>
      </c>
      <c r="D1031" s="30" t="n">
        <f aca="false">(B1031-INDEX(Rounds!$C:$C,MATCH(A1031,Rounds!$A:$A,0)))*86400</f>
        <v>40.395998954</v>
      </c>
      <c r="E1031" s="30" t="n">
        <f aca="false">(C1031-INDEX(Rounds!$C:$C,MATCH(A1031,Rounds!$A:$A,0)))*86400</f>
        <v>40.588999819</v>
      </c>
      <c r="F1031" s="31" t="n">
        <f aca="false">(C1031-B1031)*86400</f>
        <v>0.193000864</v>
      </c>
      <c r="G1031" s="27" t="s">
        <v>151</v>
      </c>
      <c r="H1031" s="27" t="s">
        <v>203</v>
      </c>
      <c r="I1031" s="27" t="s">
        <v>226</v>
      </c>
      <c r="J1031" s="27" t="s">
        <v>211</v>
      </c>
      <c r="K1031" s="27" t="s">
        <v>204</v>
      </c>
      <c r="L1031" s="3" t="str">
        <f aca="false">IF(ISNUMBER(SEARCH(" m",I1031)),"Range",IF(I1031="offline","Offline",IF(I1031="","Unknown","No echo / error")))</f>
        <v>Range</v>
      </c>
      <c r="M1031" s="3" t="str">
        <f aca="false">IF(ISNUMBER(SEARCH(" m",J1031)),"Range",IF(J1031="offline","Offline",IF(J1031="","Unknown","No echo / error")))</f>
        <v>No echo / error</v>
      </c>
      <c r="N1031" s="3" t="str">
        <f aca="false">IF(ISNUMBER(SEARCH(" m",K1031)),"Range",IF(K1031="offline","Offline",IF(K1031="","Unknown","No echo / error")))</f>
        <v>No echo / error</v>
      </c>
      <c r="O1031" s="3" t="str">
        <f aca="false">TEXT(B1031,"yyyy-mm-dd")</f>
        <v>2026-10-06</v>
      </c>
    </row>
    <row r="1032" customFormat="false" ht="15" hidden="false" customHeight="false" outlineLevel="0" collapsed="false">
      <c r="A1032" s="27" t="n">
        <v>16</v>
      </c>
      <c r="B1032" s="28" t="n">
        <v>46301.525018588</v>
      </c>
      <c r="C1032" s="29" t="n">
        <f aca="false">IF(A1033=A1032,B1033,INDEX(Rounds!$D:$D,MATCH(A1032,Rounds!$A:$A,0)))</f>
        <v>46301.5250239583</v>
      </c>
      <c r="D1032" s="30" t="n">
        <f aca="false">(B1032-INDEX(Rounds!$C:$C,MATCH(A1032,Rounds!$A:$A,0)))*86400</f>
        <v>40.588999819</v>
      </c>
      <c r="E1032" s="30" t="n">
        <f aca="false">(C1032-INDEX(Rounds!$C:$C,MATCH(A1032,Rounds!$A:$A,0)))*86400</f>
        <v>41.052999766</v>
      </c>
      <c r="F1032" s="31" t="n">
        <f aca="false">(C1032-B1032)*86400</f>
        <v>0.463999947</v>
      </c>
      <c r="G1032" s="27" t="s">
        <v>150</v>
      </c>
      <c r="H1032" s="27" t="s">
        <v>206</v>
      </c>
      <c r="I1032" s="27" t="s">
        <v>226</v>
      </c>
      <c r="J1032" s="27" t="s">
        <v>277</v>
      </c>
      <c r="K1032" s="27" t="s">
        <v>204</v>
      </c>
      <c r="L1032" s="3" t="str">
        <f aca="false">IF(ISNUMBER(SEARCH(" m",I1032)),"Range",IF(I1032="offline","Offline",IF(I1032="","Unknown","No echo / error")))</f>
        <v>Range</v>
      </c>
      <c r="M1032" s="3" t="str">
        <f aca="false">IF(ISNUMBER(SEARCH(" m",J1032)),"Range",IF(J1032="offline","Offline",IF(J1032="","Unknown","No echo / error")))</f>
        <v>Range</v>
      </c>
      <c r="N1032" s="3" t="str">
        <f aca="false">IF(ISNUMBER(SEARCH(" m",K1032)),"Range",IF(K1032="offline","Offline",IF(K1032="","Unknown","No echo / error")))</f>
        <v>No echo / error</v>
      </c>
      <c r="O1032" s="3" t="str">
        <f aca="false">TEXT(B1032,"yyyy-mm-dd")</f>
        <v>2026-10-06</v>
      </c>
    </row>
    <row r="1033" customFormat="false" ht="15" hidden="false" customHeight="false" outlineLevel="0" collapsed="false">
      <c r="A1033" s="27" t="n">
        <v>16</v>
      </c>
      <c r="B1033" s="28" t="n">
        <v>46301.5250239583</v>
      </c>
      <c r="C1033" s="29" t="n">
        <f aca="false">IF(A1034=A1033,B1034,INDEX(Rounds!$D:$D,MATCH(A1033,Rounds!$A:$A,0)))</f>
        <v>46301.5250284144</v>
      </c>
      <c r="D1033" s="30" t="n">
        <f aca="false">(B1033-INDEX(Rounds!$C:$C,MATCH(A1033,Rounds!$A:$A,0)))*86400</f>
        <v>41.052999766</v>
      </c>
      <c r="E1033" s="30" t="n">
        <f aca="false">(C1033-INDEX(Rounds!$C:$C,MATCH(A1033,Rounds!$A:$A,0)))*86400</f>
        <v>41.437999438</v>
      </c>
      <c r="F1033" s="31" t="n">
        <f aca="false">(C1033-B1033)*86400</f>
        <v>0.384999671</v>
      </c>
      <c r="G1033" s="27" t="s">
        <v>151</v>
      </c>
      <c r="H1033" s="27" t="s">
        <v>203</v>
      </c>
      <c r="I1033" s="27" t="s">
        <v>276</v>
      </c>
      <c r="J1033" s="27" t="s">
        <v>264</v>
      </c>
      <c r="K1033" s="27" t="s">
        <v>505</v>
      </c>
      <c r="L1033" s="3" t="str">
        <f aca="false">IF(ISNUMBER(SEARCH(" m",I1033)),"Range",IF(I1033="offline","Offline",IF(I1033="","Unknown","No echo / error")))</f>
        <v>Range</v>
      </c>
      <c r="M1033" s="3" t="str">
        <f aca="false">IF(ISNUMBER(SEARCH(" m",J1033)),"Range",IF(J1033="offline","Offline",IF(J1033="","Unknown","No echo / error")))</f>
        <v>Range</v>
      </c>
      <c r="N1033" s="3" t="str">
        <f aca="false">IF(ISNUMBER(SEARCH(" m",K1033)),"Range",IF(K1033="offline","Offline",IF(K1033="","Unknown","No echo / error")))</f>
        <v>Range</v>
      </c>
      <c r="O1033" s="3" t="str">
        <f aca="false">TEXT(B1033,"yyyy-mm-dd")</f>
        <v>2026-10-06</v>
      </c>
    </row>
    <row r="1034" customFormat="false" ht="15" hidden="false" customHeight="false" outlineLevel="0" collapsed="false">
      <c r="A1034" s="27" t="n">
        <v>16</v>
      </c>
      <c r="B1034" s="28" t="n">
        <v>46301.5250284144</v>
      </c>
      <c r="C1034" s="29" t="n">
        <f aca="false">IF(A1035=A1034,B1035,INDEX(Rounds!$D:$D,MATCH(A1034,Rounds!$A:$A,0)))</f>
        <v>46301.5250291551</v>
      </c>
      <c r="D1034" s="30" t="n">
        <f aca="false">(B1034-INDEX(Rounds!$C:$C,MATCH(A1034,Rounds!$A:$A,0)))*86400</f>
        <v>41.437999438</v>
      </c>
      <c r="E1034" s="30" t="n">
        <f aca="false">(C1034-INDEX(Rounds!$C:$C,MATCH(A1034,Rounds!$A:$A,0)))*86400</f>
        <v>41.501999669</v>
      </c>
      <c r="F1034" s="31" t="n">
        <f aca="false">(C1034-B1034)*86400</f>
        <v>0.064000231</v>
      </c>
      <c r="G1034" s="27" t="s">
        <v>152</v>
      </c>
      <c r="H1034" s="27" t="s">
        <v>208</v>
      </c>
      <c r="I1034" s="27" t="s">
        <v>432</v>
      </c>
      <c r="J1034" s="27" t="s">
        <v>527</v>
      </c>
      <c r="K1034" s="27" t="s">
        <v>505</v>
      </c>
      <c r="L1034" s="3" t="str">
        <f aca="false">IF(ISNUMBER(SEARCH(" m",I1034)),"Range",IF(I1034="offline","Offline",IF(I1034="","Unknown","No echo / error")))</f>
        <v>Range</v>
      </c>
      <c r="M1034" s="3" t="str">
        <f aca="false">IF(ISNUMBER(SEARCH(" m",J1034)),"Range",IF(J1034="offline","Offline",IF(J1034="","Unknown","No echo / error")))</f>
        <v>Range</v>
      </c>
      <c r="N1034" s="3" t="str">
        <f aca="false">IF(ISNUMBER(SEARCH(" m",K1034)),"Range",IF(K1034="offline","Offline",IF(K1034="","Unknown","No echo / error")))</f>
        <v>Range</v>
      </c>
      <c r="O1034" s="3" t="str">
        <f aca="false">TEXT(B1034,"yyyy-mm-dd")</f>
        <v>2026-10-06</v>
      </c>
    </row>
    <row r="1035" customFormat="false" ht="15" hidden="false" customHeight="false" outlineLevel="0" collapsed="false">
      <c r="A1035" s="27" t="n">
        <v>16</v>
      </c>
      <c r="B1035" s="28" t="n">
        <v>46301.5250291551</v>
      </c>
      <c r="C1035" s="29" t="n">
        <f aca="false">IF(A1036=A1035,B1036,INDEX(Rounds!$D:$D,MATCH(A1035,Rounds!$A:$A,0)))</f>
        <v>46301.5250399884</v>
      </c>
      <c r="D1035" s="30" t="n">
        <f aca="false">(B1035-INDEX(Rounds!$C:$C,MATCH(A1035,Rounds!$A:$A,0)))*86400</f>
        <v>41.501999669</v>
      </c>
      <c r="E1035" s="30" t="n">
        <f aca="false">(C1035-INDEX(Rounds!$C:$C,MATCH(A1035,Rounds!$A:$A,0)))*86400</f>
        <v>42.437999043</v>
      </c>
      <c r="F1035" s="31" t="n">
        <f aca="false">(C1035-B1035)*86400</f>
        <v>0.935999373</v>
      </c>
      <c r="G1035" s="27" t="s">
        <v>151</v>
      </c>
      <c r="H1035" s="27" t="s">
        <v>203</v>
      </c>
      <c r="I1035" s="27" t="s">
        <v>432</v>
      </c>
      <c r="J1035" s="27" t="s">
        <v>346</v>
      </c>
      <c r="K1035" s="27" t="s">
        <v>505</v>
      </c>
      <c r="L1035" s="3" t="str">
        <f aca="false">IF(ISNUMBER(SEARCH(" m",I1035)),"Range",IF(I1035="offline","Offline",IF(I1035="","Unknown","No echo / error")))</f>
        <v>Range</v>
      </c>
      <c r="M1035" s="3" t="str">
        <f aca="false">IF(ISNUMBER(SEARCH(" m",J1035)),"Range",IF(J1035="offline","Offline",IF(J1035="","Unknown","No echo / error")))</f>
        <v>Range</v>
      </c>
      <c r="N1035" s="3" t="str">
        <f aca="false">IF(ISNUMBER(SEARCH(" m",K1035)),"Range",IF(K1035="offline","Offline",IF(K1035="","Unknown","No echo / error")))</f>
        <v>Range</v>
      </c>
      <c r="O1035" s="3" t="str">
        <f aca="false">TEXT(B1035,"yyyy-mm-dd")</f>
        <v>2026-10-06</v>
      </c>
    </row>
    <row r="1036" customFormat="false" ht="15" hidden="false" customHeight="false" outlineLevel="0" collapsed="false">
      <c r="A1036" s="27" t="n">
        <v>16</v>
      </c>
      <c r="B1036" s="28" t="n">
        <v>46301.5250399884</v>
      </c>
      <c r="C1036" s="29" t="n">
        <f aca="false">IF(A1037=A1036,B1037,INDEX(Rounds!$D:$D,MATCH(A1036,Rounds!$A:$A,0)))</f>
        <v>46301.5251235532</v>
      </c>
      <c r="D1036" s="30" t="n">
        <f aca="false">(B1036-INDEX(Rounds!$C:$C,MATCH(A1036,Rounds!$A:$A,0)))*86400</f>
        <v>42.437999043</v>
      </c>
      <c r="E1036" s="30" t="n">
        <f aca="false">(C1036-INDEX(Rounds!$C:$C,MATCH(A1036,Rounds!$A:$A,0)))*86400</f>
        <v>49.657999863</v>
      </c>
      <c r="F1036" s="31" t="n">
        <f aca="false">(C1036-B1036)*86400</f>
        <v>7.22000082</v>
      </c>
      <c r="G1036" s="27" t="s">
        <v>153</v>
      </c>
      <c r="H1036" s="27" t="s">
        <v>324</v>
      </c>
      <c r="I1036" s="27" t="s">
        <v>204</v>
      </c>
      <c r="J1036" s="27" t="s">
        <v>279</v>
      </c>
      <c r="K1036" s="27" t="s">
        <v>505</v>
      </c>
      <c r="L1036" s="3" t="str">
        <f aca="false">IF(ISNUMBER(SEARCH(" m",I1036)),"Range",IF(I1036="offline","Offline",IF(I1036="","Unknown","No echo / error")))</f>
        <v>No echo / error</v>
      </c>
      <c r="M1036" s="3" t="str">
        <f aca="false">IF(ISNUMBER(SEARCH(" m",J1036)),"Range",IF(J1036="offline","Offline",IF(J1036="","Unknown","No echo / error")))</f>
        <v>Range</v>
      </c>
      <c r="N1036" s="3" t="str">
        <f aca="false">IF(ISNUMBER(SEARCH(" m",K1036)),"Range",IF(K1036="offline","Offline",IF(K1036="","Unknown","No echo / error")))</f>
        <v>Range</v>
      </c>
      <c r="O1036" s="3" t="str">
        <f aca="false">TEXT(B1036,"yyyy-mm-dd")</f>
        <v>2026-10-06</v>
      </c>
    </row>
    <row r="1037" customFormat="false" ht="15" hidden="false" customHeight="false" outlineLevel="0" collapsed="false">
      <c r="A1037" s="27" t="n">
        <v>16</v>
      </c>
      <c r="B1037" s="28" t="n">
        <v>46301.5251235532</v>
      </c>
      <c r="C1037" s="29" t="n">
        <f aca="false">IF(A1038=A1037,B1038,INDEX(Rounds!$D:$D,MATCH(A1037,Rounds!$A:$A,0)))</f>
        <v>46301.5251306366</v>
      </c>
      <c r="D1037" s="30" t="n">
        <f aca="false">(B1037-INDEX(Rounds!$C:$C,MATCH(A1037,Rounds!$A:$A,0)))*86400</f>
        <v>49.657999863</v>
      </c>
      <c r="E1037" s="30" t="n">
        <f aca="false">(C1037-INDEX(Rounds!$C:$C,MATCH(A1037,Rounds!$A:$A,0)))*86400</f>
        <v>50.270000542</v>
      </c>
      <c r="F1037" s="31" t="n">
        <f aca="false">(C1037-B1037)*86400</f>
        <v>0.612000678</v>
      </c>
      <c r="G1037" s="27" t="s">
        <v>150</v>
      </c>
      <c r="H1037" s="27" t="s">
        <v>206</v>
      </c>
      <c r="I1037" s="27" t="s">
        <v>313</v>
      </c>
      <c r="J1037" s="27" t="s">
        <v>407</v>
      </c>
      <c r="K1037" s="27" t="s">
        <v>204</v>
      </c>
      <c r="L1037" s="3" t="str">
        <f aca="false">IF(ISNUMBER(SEARCH(" m",I1037)),"Range",IF(I1037="offline","Offline",IF(I1037="","Unknown","No echo / error")))</f>
        <v>Range</v>
      </c>
      <c r="M1037" s="3" t="str">
        <f aca="false">IF(ISNUMBER(SEARCH(" m",J1037)),"Range",IF(J1037="offline","Offline",IF(J1037="","Unknown","No echo / error")))</f>
        <v>Range</v>
      </c>
      <c r="N1037" s="3" t="str">
        <f aca="false">IF(ISNUMBER(SEARCH(" m",K1037)),"Range",IF(K1037="offline","Offline",IF(K1037="","Unknown","No echo / error")))</f>
        <v>No echo / error</v>
      </c>
      <c r="O1037" s="3" t="str">
        <f aca="false">TEXT(B1037,"yyyy-mm-dd")</f>
        <v>2026-10-06</v>
      </c>
    </row>
    <row r="1038" customFormat="false" ht="15" hidden="false" customHeight="false" outlineLevel="0" collapsed="false">
      <c r="A1038" s="27" t="n">
        <v>16</v>
      </c>
      <c r="B1038" s="28" t="n">
        <v>46301.5251306366</v>
      </c>
      <c r="C1038" s="29" t="n">
        <f aca="false">IF(A1039=A1038,B1039,INDEX(Rounds!$D:$D,MATCH(A1038,Rounds!$A:$A,0)))</f>
        <v>46301.5251368171</v>
      </c>
      <c r="D1038" s="30" t="n">
        <f aca="false">(B1038-INDEX(Rounds!$C:$C,MATCH(A1038,Rounds!$A:$A,0)))*86400</f>
        <v>50.270000542</v>
      </c>
      <c r="E1038" s="30" t="n">
        <f aca="false">(C1038-INDEX(Rounds!$C:$C,MATCH(A1038,Rounds!$A:$A,0)))*86400</f>
        <v>50.803999858</v>
      </c>
      <c r="F1038" s="31" t="n">
        <f aca="false">(C1038-B1038)*86400</f>
        <v>0.533999316</v>
      </c>
      <c r="G1038" s="27" t="s">
        <v>152</v>
      </c>
      <c r="H1038" s="27" t="s">
        <v>208</v>
      </c>
      <c r="I1038" s="27" t="s">
        <v>432</v>
      </c>
      <c r="J1038" s="27" t="s">
        <v>204</v>
      </c>
      <c r="K1038" s="27" t="s">
        <v>220</v>
      </c>
      <c r="L1038" s="3" t="str">
        <f aca="false">IF(ISNUMBER(SEARCH(" m",I1038)),"Range",IF(I1038="offline","Offline",IF(I1038="","Unknown","No echo / error")))</f>
        <v>Range</v>
      </c>
      <c r="M1038" s="3" t="str">
        <f aca="false">IF(ISNUMBER(SEARCH(" m",J1038)),"Range",IF(J1038="offline","Offline",IF(J1038="","Unknown","No echo / error")))</f>
        <v>No echo / error</v>
      </c>
      <c r="N1038" s="3" t="str">
        <f aca="false">IF(ISNUMBER(SEARCH(" m",K1038)),"Range",IF(K1038="offline","Offline",IF(K1038="","Unknown","No echo / error")))</f>
        <v>No echo / error</v>
      </c>
      <c r="O1038" s="3" t="str">
        <f aca="false">TEXT(B1038,"yyyy-mm-dd")</f>
        <v>2026-10-06</v>
      </c>
    </row>
    <row r="1039" customFormat="false" ht="15" hidden="false" customHeight="false" outlineLevel="0" collapsed="false">
      <c r="A1039" s="27" t="n">
        <v>16</v>
      </c>
      <c r="B1039" s="28" t="n">
        <v>46301.5251368171</v>
      </c>
      <c r="C1039" s="29" t="n">
        <f aca="false">IF(A1040=A1039,B1040,INDEX(Rounds!$D:$D,MATCH(A1039,Rounds!$A:$A,0)))</f>
        <v>46301.5251410995</v>
      </c>
      <c r="D1039" s="30" t="n">
        <f aca="false">(B1039-INDEX(Rounds!$C:$C,MATCH(A1039,Rounds!$A:$A,0)))*86400</f>
        <v>50.803999858</v>
      </c>
      <c r="E1039" s="30" t="n">
        <f aca="false">(C1039-INDEX(Rounds!$C:$C,MATCH(A1039,Rounds!$A:$A,0)))*86400</f>
        <v>51.174000115</v>
      </c>
      <c r="F1039" s="31" t="n">
        <f aca="false">(C1039-B1039)*86400</f>
        <v>0.370000256</v>
      </c>
      <c r="G1039" s="27" t="s">
        <v>151</v>
      </c>
      <c r="H1039" s="27" t="s">
        <v>203</v>
      </c>
      <c r="I1039" s="27" t="s">
        <v>453</v>
      </c>
      <c r="J1039" s="27" t="s">
        <v>204</v>
      </c>
      <c r="K1039" s="27" t="s">
        <v>243</v>
      </c>
      <c r="L1039" s="3" t="str">
        <f aca="false">IF(ISNUMBER(SEARCH(" m",I1039)),"Range",IF(I1039="offline","Offline",IF(I1039="","Unknown","No echo / error")))</f>
        <v>Range</v>
      </c>
      <c r="M1039" s="3" t="str">
        <f aca="false">IF(ISNUMBER(SEARCH(" m",J1039)),"Range",IF(J1039="offline","Offline",IF(J1039="","Unknown","No echo / error")))</f>
        <v>No echo / error</v>
      </c>
      <c r="N1039" s="3" t="str">
        <f aca="false">IF(ISNUMBER(SEARCH(" m",K1039)),"Range",IF(K1039="offline","Offline",IF(K1039="","Unknown","No echo / error")))</f>
        <v>Range</v>
      </c>
      <c r="O1039" s="3" t="str">
        <f aca="false">TEXT(B1039,"yyyy-mm-dd")</f>
        <v>2026-10-06</v>
      </c>
    </row>
    <row r="1040" customFormat="false" ht="15" hidden="false" customHeight="false" outlineLevel="0" collapsed="false">
      <c r="A1040" s="27" t="n">
        <v>16</v>
      </c>
      <c r="B1040" s="28" t="n">
        <v>46301.5251410995</v>
      </c>
      <c r="C1040" s="29" t="n">
        <f aca="false">IF(A1041=A1040,B1041,INDEX(Rounds!$D:$D,MATCH(A1040,Rounds!$A:$A,0)))</f>
        <v>46301.525148912</v>
      </c>
      <c r="D1040" s="30" t="n">
        <f aca="false">(B1040-INDEX(Rounds!$C:$C,MATCH(A1040,Rounds!$A:$A,0)))*86400</f>
        <v>51.174000115</v>
      </c>
      <c r="E1040" s="30" t="n">
        <f aca="false">(C1040-INDEX(Rounds!$C:$C,MATCH(A1040,Rounds!$A:$A,0)))*86400</f>
        <v>51.848998968</v>
      </c>
      <c r="F1040" s="31" t="n">
        <f aca="false">(C1040-B1040)*86400</f>
        <v>0.674998853</v>
      </c>
      <c r="G1040" s="27" t="s">
        <v>150</v>
      </c>
      <c r="H1040" s="27" t="s">
        <v>206</v>
      </c>
      <c r="I1040" s="27" t="s">
        <v>453</v>
      </c>
      <c r="J1040" s="27" t="s">
        <v>277</v>
      </c>
      <c r="K1040" s="27" t="s">
        <v>371</v>
      </c>
      <c r="L1040" s="3" t="str">
        <f aca="false">IF(ISNUMBER(SEARCH(" m",I1040)),"Range",IF(I1040="offline","Offline",IF(I1040="","Unknown","No echo / error")))</f>
        <v>Range</v>
      </c>
      <c r="M1040" s="3" t="str">
        <f aca="false">IF(ISNUMBER(SEARCH(" m",J1040)),"Range",IF(J1040="offline","Offline",IF(J1040="","Unknown","No echo / error")))</f>
        <v>Range</v>
      </c>
      <c r="N1040" s="3" t="str">
        <f aca="false">IF(ISNUMBER(SEARCH(" m",K1040)),"Range",IF(K1040="offline","Offline",IF(K1040="","Unknown","No echo / error")))</f>
        <v>Range</v>
      </c>
      <c r="O1040" s="3" t="str">
        <f aca="false">TEXT(B1040,"yyyy-mm-dd")</f>
        <v>2026-10-06</v>
      </c>
    </row>
    <row r="1041" customFormat="false" ht="15" hidden="false" customHeight="false" outlineLevel="0" collapsed="false">
      <c r="A1041" s="27" t="n">
        <v>16</v>
      </c>
      <c r="B1041" s="28" t="n">
        <v>46301.525148912</v>
      </c>
      <c r="C1041" s="29" t="n">
        <f aca="false">IF(A1042=A1041,B1042,INDEX(Rounds!$D:$D,MATCH(A1041,Rounds!$A:$A,0)))</f>
        <v>46301.5251517361</v>
      </c>
      <c r="D1041" s="30" t="n">
        <f aca="false">(B1041-INDEX(Rounds!$C:$C,MATCH(A1041,Rounds!$A:$A,0)))*86400</f>
        <v>51.848998968</v>
      </c>
      <c r="E1041" s="30" t="n">
        <f aca="false">(C1041-INDEX(Rounds!$C:$C,MATCH(A1041,Rounds!$A:$A,0)))*86400</f>
        <v>52.092999732</v>
      </c>
      <c r="F1041" s="31" t="n">
        <f aca="false">(C1041-B1041)*86400</f>
        <v>0.244000763</v>
      </c>
      <c r="G1041" s="27" t="s">
        <v>152</v>
      </c>
      <c r="H1041" s="27" t="s">
        <v>208</v>
      </c>
      <c r="I1041" s="27" t="s">
        <v>204</v>
      </c>
      <c r="J1041" s="27" t="s">
        <v>435</v>
      </c>
      <c r="K1041" s="27" t="s">
        <v>260</v>
      </c>
      <c r="L1041" s="3" t="str">
        <f aca="false">IF(ISNUMBER(SEARCH(" m",I1041)),"Range",IF(I1041="offline","Offline",IF(I1041="","Unknown","No echo / error")))</f>
        <v>No echo / error</v>
      </c>
      <c r="M1041" s="3" t="str">
        <f aca="false">IF(ISNUMBER(SEARCH(" m",J1041)),"Range",IF(J1041="offline","Offline",IF(J1041="","Unknown","No echo / error")))</f>
        <v>Range</v>
      </c>
      <c r="N1041" s="3" t="str">
        <f aca="false">IF(ISNUMBER(SEARCH(" m",K1041)),"Range",IF(K1041="offline","Offline",IF(K1041="","Unknown","No echo / error")))</f>
        <v>Range</v>
      </c>
      <c r="O1041" s="3" t="str">
        <f aca="false">TEXT(B1041,"yyyy-mm-dd")</f>
        <v>2026-10-06</v>
      </c>
    </row>
    <row r="1042" customFormat="false" ht="15" hidden="false" customHeight="false" outlineLevel="0" collapsed="false">
      <c r="A1042" s="27" t="n">
        <v>16</v>
      </c>
      <c r="B1042" s="28" t="n">
        <v>46301.5251517361</v>
      </c>
      <c r="C1042" s="29" t="n">
        <f aca="false">IF(A1043=A1042,B1043,INDEX(Rounds!$D:$D,MATCH(A1042,Rounds!$A:$A,0)))</f>
        <v>46301.5251545486</v>
      </c>
      <c r="D1042" s="30" t="n">
        <f aca="false">(B1042-INDEX(Rounds!$C:$C,MATCH(A1042,Rounds!$A:$A,0)))*86400</f>
        <v>52.092999732</v>
      </c>
      <c r="E1042" s="30" t="n">
        <f aca="false">(C1042-INDEX(Rounds!$C:$C,MATCH(A1042,Rounds!$A:$A,0)))*86400</f>
        <v>52.335999696</v>
      </c>
      <c r="F1042" s="31" t="n">
        <f aca="false">(C1042-B1042)*86400</f>
        <v>0.242999964</v>
      </c>
      <c r="G1042" s="27" t="s">
        <v>151</v>
      </c>
      <c r="H1042" s="27" t="s">
        <v>203</v>
      </c>
      <c r="I1042" s="27" t="s">
        <v>204</v>
      </c>
      <c r="J1042" s="27" t="s">
        <v>381</v>
      </c>
      <c r="K1042" s="27" t="s">
        <v>242</v>
      </c>
      <c r="L1042" s="3" t="str">
        <f aca="false">IF(ISNUMBER(SEARCH(" m",I1042)),"Range",IF(I1042="offline","Offline",IF(I1042="","Unknown","No echo / error")))</f>
        <v>No echo / error</v>
      </c>
      <c r="M1042" s="3" t="str">
        <f aca="false">IF(ISNUMBER(SEARCH(" m",J1042)),"Range",IF(J1042="offline","Offline",IF(J1042="","Unknown","No echo / error")))</f>
        <v>Range</v>
      </c>
      <c r="N1042" s="3" t="str">
        <f aca="false">IF(ISNUMBER(SEARCH(" m",K1042)),"Range",IF(K1042="offline","Offline",IF(K1042="","Unknown","No echo / error")))</f>
        <v>Range</v>
      </c>
      <c r="O1042" s="3" t="str">
        <f aca="false">TEXT(B1042,"yyyy-mm-dd")</f>
        <v>2026-10-06</v>
      </c>
    </row>
    <row r="1043" customFormat="false" ht="15" hidden="false" customHeight="false" outlineLevel="0" collapsed="false">
      <c r="A1043" s="27" t="n">
        <v>16</v>
      </c>
      <c r="B1043" s="28" t="n">
        <v>46301.5251545486</v>
      </c>
      <c r="C1043" s="29" t="n">
        <f aca="false">IF(A1044=A1043,B1044,INDEX(Rounds!$D:$D,MATCH(A1043,Rounds!$A:$A,0)))</f>
        <v>46301.5251651852</v>
      </c>
      <c r="D1043" s="30" t="n">
        <f aca="false">(B1043-INDEX(Rounds!$C:$C,MATCH(A1043,Rounds!$A:$A,0)))*86400</f>
        <v>52.335999696</v>
      </c>
      <c r="E1043" s="30" t="n">
        <f aca="false">(C1043-INDEX(Rounds!$C:$C,MATCH(A1043,Rounds!$A:$A,0)))*86400</f>
        <v>53.254999942</v>
      </c>
      <c r="F1043" s="31" t="n">
        <f aca="false">(C1043-B1043)*86400</f>
        <v>0.919000245</v>
      </c>
      <c r="G1043" s="27" t="s">
        <v>150</v>
      </c>
      <c r="H1043" s="27" t="s">
        <v>206</v>
      </c>
      <c r="I1043" s="27" t="s">
        <v>204</v>
      </c>
      <c r="J1043" s="27" t="s">
        <v>243</v>
      </c>
      <c r="K1043" s="27" t="s">
        <v>242</v>
      </c>
      <c r="L1043" s="3" t="str">
        <f aca="false">IF(ISNUMBER(SEARCH(" m",I1043)),"Range",IF(I1043="offline","Offline",IF(I1043="","Unknown","No echo / error")))</f>
        <v>No echo / error</v>
      </c>
      <c r="M1043" s="3" t="str">
        <f aca="false">IF(ISNUMBER(SEARCH(" m",J1043)),"Range",IF(J1043="offline","Offline",IF(J1043="","Unknown","No echo / error")))</f>
        <v>Range</v>
      </c>
      <c r="N1043" s="3" t="str">
        <f aca="false">IF(ISNUMBER(SEARCH(" m",K1043)),"Range",IF(K1043="offline","Offline",IF(K1043="","Unknown","No echo / error")))</f>
        <v>Range</v>
      </c>
      <c r="O1043" s="3" t="str">
        <f aca="false">TEXT(B1043,"yyyy-mm-dd")</f>
        <v>2026-10-06</v>
      </c>
    </row>
    <row r="1044" customFormat="false" ht="15" hidden="false" customHeight="false" outlineLevel="0" collapsed="false">
      <c r="A1044" s="27" t="n">
        <v>16</v>
      </c>
      <c r="B1044" s="28" t="n">
        <v>46301.5251651852</v>
      </c>
      <c r="C1044" s="29" t="n">
        <f aca="false">IF(A1045=A1044,B1045,INDEX(Rounds!$D:$D,MATCH(A1044,Rounds!$A:$A,0)))</f>
        <v>46301.5251732176</v>
      </c>
      <c r="D1044" s="30" t="n">
        <f aca="false">(B1044-INDEX(Rounds!$C:$C,MATCH(A1044,Rounds!$A:$A,0)))*86400</f>
        <v>53.254999942</v>
      </c>
      <c r="E1044" s="30" t="n">
        <f aca="false">(C1044-INDEX(Rounds!$C:$C,MATCH(A1044,Rounds!$A:$A,0)))*86400</f>
        <v>53.948999522</v>
      </c>
      <c r="F1044" s="31" t="n">
        <f aca="false">(C1044-B1044)*86400</f>
        <v>0.69399958</v>
      </c>
      <c r="G1044" s="27" t="s">
        <v>152</v>
      </c>
      <c r="H1044" s="27" t="s">
        <v>208</v>
      </c>
      <c r="I1044" s="27" t="s">
        <v>335</v>
      </c>
      <c r="J1044" s="27" t="s">
        <v>298</v>
      </c>
      <c r="K1044" s="27" t="s">
        <v>288</v>
      </c>
      <c r="L1044" s="3" t="str">
        <f aca="false">IF(ISNUMBER(SEARCH(" m",I1044)),"Range",IF(I1044="offline","Offline",IF(I1044="","Unknown","No echo / error")))</f>
        <v>Range</v>
      </c>
      <c r="M1044" s="3" t="str">
        <f aca="false">IF(ISNUMBER(SEARCH(" m",J1044)),"Range",IF(J1044="offline","Offline",IF(J1044="","Unknown","No echo / error")))</f>
        <v>Range</v>
      </c>
      <c r="N1044" s="3" t="str">
        <f aca="false">IF(ISNUMBER(SEARCH(" m",K1044)),"Range",IF(K1044="offline","Offline",IF(K1044="","Unknown","No echo / error")))</f>
        <v>Range</v>
      </c>
      <c r="O1044" s="3" t="str">
        <f aca="false">TEXT(B1044,"yyyy-mm-dd")</f>
        <v>2026-10-06</v>
      </c>
    </row>
    <row r="1045" customFormat="false" ht="15" hidden="false" customHeight="false" outlineLevel="0" collapsed="false">
      <c r="A1045" s="27" t="n">
        <v>16</v>
      </c>
      <c r="B1045" s="28" t="n">
        <v>46301.5251732176</v>
      </c>
      <c r="C1045" s="29" t="n">
        <f aca="false">IF(A1046=A1045,B1046,INDEX(Rounds!$D:$D,MATCH(A1045,Rounds!$A:$A,0)))</f>
        <v>46301.5251743403</v>
      </c>
      <c r="D1045" s="30" t="n">
        <f aca="false">(B1045-INDEX(Rounds!$C:$C,MATCH(A1045,Rounds!$A:$A,0)))*86400</f>
        <v>53.948999522</v>
      </c>
      <c r="E1045" s="30" t="n">
        <f aca="false">(C1045-INDEX(Rounds!$C:$C,MATCH(A1045,Rounds!$A:$A,0)))*86400</f>
        <v>54.045999725</v>
      </c>
      <c r="F1045" s="31" t="n">
        <f aca="false">(C1045-B1045)*86400</f>
        <v>0.097000203</v>
      </c>
      <c r="G1045" s="27" t="s">
        <v>151</v>
      </c>
      <c r="H1045" s="27" t="s">
        <v>203</v>
      </c>
      <c r="I1045" s="27" t="s">
        <v>204</v>
      </c>
      <c r="J1045" s="27" t="s">
        <v>312</v>
      </c>
      <c r="K1045" s="27" t="s">
        <v>395</v>
      </c>
      <c r="L1045" s="3" t="str">
        <f aca="false">IF(ISNUMBER(SEARCH(" m",I1045)),"Range",IF(I1045="offline","Offline",IF(I1045="","Unknown","No echo / error")))</f>
        <v>No echo / error</v>
      </c>
      <c r="M1045" s="3" t="str">
        <f aca="false">IF(ISNUMBER(SEARCH(" m",J1045)),"Range",IF(J1045="offline","Offline",IF(J1045="","Unknown","No echo / error")))</f>
        <v>Range</v>
      </c>
      <c r="N1045" s="3" t="str">
        <f aca="false">IF(ISNUMBER(SEARCH(" m",K1045)),"Range",IF(K1045="offline","Offline",IF(K1045="","Unknown","No echo / error")))</f>
        <v>Range</v>
      </c>
      <c r="O1045" s="3" t="str">
        <f aca="false">TEXT(B1045,"yyyy-mm-dd")</f>
        <v>2026-10-06</v>
      </c>
    </row>
    <row r="1046" customFormat="false" ht="15" hidden="false" customHeight="false" outlineLevel="0" collapsed="false">
      <c r="A1046" s="27" t="n">
        <v>16</v>
      </c>
      <c r="B1046" s="28" t="n">
        <v>46301.5251743403</v>
      </c>
      <c r="C1046" s="29" t="n">
        <f aca="false">IF(A1047=A1046,B1047,INDEX(Rounds!$D:$D,MATCH(A1046,Rounds!$A:$A,0)))</f>
        <v>46301.5251813889</v>
      </c>
      <c r="D1046" s="30" t="n">
        <f aca="false">(B1046-INDEX(Rounds!$C:$C,MATCH(A1046,Rounds!$A:$A,0)))*86400</f>
        <v>54.045999725</v>
      </c>
      <c r="E1046" s="30" t="n">
        <f aca="false">(C1046-INDEX(Rounds!$C:$C,MATCH(A1046,Rounds!$A:$A,0)))*86400</f>
        <v>54.654999892</v>
      </c>
      <c r="F1046" s="31" t="n">
        <f aca="false">(C1046-B1046)*86400</f>
        <v>0.609000166</v>
      </c>
      <c r="G1046" s="27" t="s">
        <v>150</v>
      </c>
      <c r="H1046" s="27" t="s">
        <v>206</v>
      </c>
      <c r="I1046" s="27" t="s">
        <v>204</v>
      </c>
      <c r="J1046" s="27" t="s">
        <v>312</v>
      </c>
      <c r="K1046" s="27" t="s">
        <v>312</v>
      </c>
      <c r="L1046" s="3" t="str">
        <f aca="false">IF(ISNUMBER(SEARCH(" m",I1046)),"Range",IF(I1046="offline","Offline",IF(I1046="","Unknown","No echo / error")))</f>
        <v>No echo / error</v>
      </c>
      <c r="M1046" s="3" t="str">
        <f aca="false">IF(ISNUMBER(SEARCH(" m",J1046)),"Range",IF(J1046="offline","Offline",IF(J1046="","Unknown","No echo / error")))</f>
        <v>Range</v>
      </c>
      <c r="N1046" s="3" t="str">
        <f aca="false">IF(ISNUMBER(SEARCH(" m",K1046)),"Range",IF(K1046="offline","Offline",IF(K1046="","Unknown","No echo / error")))</f>
        <v>Range</v>
      </c>
      <c r="O1046" s="3" t="str">
        <f aca="false">TEXT(B1046,"yyyy-mm-dd")</f>
        <v>2026-10-06</v>
      </c>
    </row>
    <row r="1047" customFormat="false" ht="15" hidden="false" customHeight="false" outlineLevel="0" collapsed="false">
      <c r="A1047" s="27" t="n">
        <v>16</v>
      </c>
      <c r="B1047" s="28" t="n">
        <v>46301.5251813889</v>
      </c>
      <c r="C1047" s="29" t="n">
        <f aca="false">IF(A1048=A1047,B1048,INDEX(Rounds!$D:$D,MATCH(A1047,Rounds!$A:$A,0)))</f>
        <v>46301.5251825116</v>
      </c>
      <c r="D1047" s="30" t="n">
        <f aca="false">(B1047-INDEX(Rounds!$C:$C,MATCH(A1047,Rounds!$A:$A,0)))*86400</f>
        <v>54.654999892</v>
      </c>
      <c r="E1047" s="30" t="n">
        <f aca="false">(C1047-INDEX(Rounds!$C:$C,MATCH(A1047,Rounds!$A:$A,0)))*86400</f>
        <v>54.752000095</v>
      </c>
      <c r="F1047" s="31" t="n">
        <f aca="false">(C1047-B1047)*86400</f>
        <v>0.097000203</v>
      </c>
      <c r="G1047" s="27" t="s">
        <v>151</v>
      </c>
      <c r="H1047" s="27" t="s">
        <v>203</v>
      </c>
      <c r="I1047" s="27" t="s">
        <v>384</v>
      </c>
      <c r="J1047" s="27" t="s">
        <v>505</v>
      </c>
      <c r="K1047" s="27" t="s">
        <v>477</v>
      </c>
      <c r="L1047" s="3" t="str">
        <f aca="false">IF(ISNUMBER(SEARCH(" m",I1047)),"Range",IF(I1047="offline","Offline",IF(I1047="","Unknown","No echo / error")))</f>
        <v>Range</v>
      </c>
      <c r="M1047" s="3" t="str">
        <f aca="false">IF(ISNUMBER(SEARCH(" m",J1047)),"Range",IF(J1047="offline","Offline",IF(J1047="","Unknown","No echo / error")))</f>
        <v>Range</v>
      </c>
      <c r="N1047" s="3" t="str">
        <f aca="false">IF(ISNUMBER(SEARCH(" m",K1047)),"Range",IF(K1047="offline","Offline",IF(K1047="","Unknown","No echo / error")))</f>
        <v>Range</v>
      </c>
      <c r="O1047" s="3" t="str">
        <f aca="false">TEXT(B1047,"yyyy-mm-dd")</f>
        <v>2026-10-06</v>
      </c>
    </row>
    <row r="1048" customFormat="false" ht="15" hidden="false" customHeight="false" outlineLevel="0" collapsed="false">
      <c r="A1048" s="27" t="n">
        <v>16</v>
      </c>
      <c r="B1048" s="28" t="n">
        <v>46301.5251825116</v>
      </c>
      <c r="C1048" s="29" t="n">
        <f aca="false">IF(A1049=A1048,B1049,INDEX(Rounds!$D:$D,MATCH(A1048,Rounds!$A:$A,0)))</f>
        <v>46301.5251983218</v>
      </c>
      <c r="D1048" s="30" t="n">
        <f aca="false">(B1048-INDEX(Rounds!$C:$C,MATCH(A1048,Rounds!$A:$A,0)))*86400</f>
        <v>54.752000095</v>
      </c>
      <c r="E1048" s="30" t="n">
        <f aca="false">(C1048-INDEX(Rounds!$C:$C,MATCH(A1048,Rounds!$A:$A,0)))*86400</f>
        <v>56.117999902</v>
      </c>
      <c r="F1048" s="31" t="n">
        <f aca="false">(C1048-B1048)*86400</f>
        <v>1.365999807</v>
      </c>
      <c r="G1048" s="27" t="s">
        <v>150</v>
      </c>
      <c r="H1048" s="27" t="s">
        <v>206</v>
      </c>
      <c r="I1048" s="27" t="s">
        <v>384</v>
      </c>
      <c r="J1048" s="27" t="s">
        <v>505</v>
      </c>
      <c r="K1048" s="27" t="s">
        <v>528</v>
      </c>
      <c r="L1048" s="3" t="str">
        <f aca="false">IF(ISNUMBER(SEARCH(" m",I1048)),"Range",IF(I1048="offline","Offline",IF(I1048="","Unknown","No echo / error")))</f>
        <v>Range</v>
      </c>
      <c r="M1048" s="3" t="str">
        <f aca="false">IF(ISNUMBER(SEARCH(" m",J1048)),"Range",IF(J1048="offline","Offline",IF(J1048="","Unknown","No echo / error")))</f>
        <v>Range</v>
      </c>
      <c r="N1048" s="3" t="str">
        <f aca="false">IF(ISNUMBER(SEARCH(" m",K1048)),"Range",IF(K1048="offline","Offline",IF(K1048="","Unknown","No echo / error")))</f>
        <v>Range</v>
      </c>
      <c r="O1048" s="3" t="str">
        <f aca="false">TEXT(B1048,"yyyy-mm-dd")</f>
        <v>2026-10-06</v>
      </c>
    </row>
    <row r="1049" customFormat="false" ht="15" hidden="false" customHeight="false" outlineLevel="0" collapsed="false">
      <c r="A1049" s="27" t="n">
        <v>16</v>
      </c>
      <c r="B1049" s="28" t="n">
        <v>46301.5251983218</v>
      </c>
      <c r="C1049" s="29" t="n">
        <f aca="false">IF(A1050=A1049,B1050,INDEX(Rounds!$D:$D,MATCH(A1049,Rounds!$A:$A,0)))</f>
        <v>46301.525198507</v>
      </c>
      <c r="D1049" s="30" t="n">
        <f aca="false">(B1049-INDEX(Rounds!$C:$C,MATCH(A1049,Rounds!$A:$A,0)))*86400</f>
        <v>56.117999902</v>
      </c>
      <c r="E1049" s="30" t="n">
        <f aca="false">(C1049-INDEX(Rounds!$C:$C,MATCH(A1049,Rounds!$A:$A,0)))*86400</f>
        <v>56.134000117</v>
      </c>
      <c r="F1049" s="31" t="n">
        <f aca="false">(C1049-B1049)*86400</f>
        <v>0.016000214</v>
      </c>
      <c r="G1049" s="27" t="s">
        <v>152</v>
      </c>
      <c r="H1049" s="27" t="s">
        <v>208</v>
      </c>
      <c r="I1049" s="27" t="s">
        <v>373</v>
      </c>
      <c r="J1049" s="27" t="s">
        <v>354</v>
      </c>
      <c r="K1049" s="27" t="s">
        <v>238</v>
      </c>
      <c r="L1049" s="3" t="str">
        <f aca="false">IF(ISNUMBER(SEARCH(" m",I1049)),"Range",IF(I1049="offline","Offline",IF(I1049="","Unknown","No echo / error")))</f>
        <v>Range</v>
      </c>
      <c r="M1049" s="3" t="str">
        <f aca="false">IF(ISNUMBER(SEARCH(" m",J1049)),"Range",IF(J1049="offline","Offline",IF(J1049="","Unknown","No echo / error")))</f>
        <v>Range</v>
      </c>
      <c r="N1049" s="3" t="str">
        <f aca="false">IF(ISNUMBER(SEARCH(" m",K1049)),"Range",IF(K1049="offline","Offline",IF(K1049="","Unknown","No echo / error")))</f>
        <v>Range</v>
      </c>
      <c r="O1049" s="3" t="str">
        <f aca="false">TEXT(B1049,"yyyy-mm-dd")</f>
        <v>2026-10-06</v>
      </c>
    </row>
    <row r="1050" customFormat="false" ht="15" hidden="false" customHeight="false" outlineLevel="0" collapsed="false">
      <c r="A1050" s="27" t="n">
        <v>16</v>
      </c>
      <c r="B1050" s="28" t="n">
        <v>46301.525198507</v>
      </c>
      <c r="C1050" s="29" t="n">
        <f aca="false">IF(A1051=A1050,B1051,INDEX(Rounds!$D:$D,MATCH(A1050,Rounds!$A:$A,0)))</f>
        <v>46301.5252056134</v>
      </c>
      <c r="D1050" s="30" t="n">
        <f aca="false">(B1050-INDEX(Rounds!$C:$C,MATCH(A1050,Rounds!$A:$A,0)))*86400</f>
        <v>56.134000117</v>
      </c>
      <c r="E1050" s="30" t="n">
        <f aca="false">(C1050-INDEX(Rounds!$C:$C,MATCH(A1050,Rounds!$A:$A,0)))*86400</f>
        <v>56.74799988</v>
      </c>
      <c r="F1050" s="31" t="n">
        <f aca="false">(C1050-B1050)*86400</f>
        <v>0.613999762</v>
      </c>
      <c r="G1050" s="27" t="s">
        <v>151</v>
      </c>
      <c r="H1050" s="27" t="s">
        <v>203</v>
      </c>
      <c r="I1050" s="27" t="s">
        <v>289</v>
      </c>
      <c r="J1050" s="27" t="s">
        <v>354</v>
      </c>
      <c r="K1050" s="27" t="s">
        <v>238</v>
      </c>
      <c r="L1050" s="3" t="str">
        <f aca="false">IF(ISNUMBER(SEARCH(" m",I1050)),"Range",IF(I1050="offline","Offline",IF(I1050="","Unknown","No echo / error")))</f>
        <v>Range</v>
      </c>
      <c r="M1050" s="3" t="str">
        <f aca="false">IF(ISNUMBER(SEARCH(" m",J1050)),"Range",IF(J1050="offline","Offline",IF(J1050="","Unknown","No echo / error")))</f>
        <v>Range</v>
      </c>
      <c r="N1050" s="3" t="str">
        <f aca="false">IF(ISNUMBER(SEARCH(" m",K1050)),"Range",IF(K1050="offline","Offline",IF(K1050="","Unknown","No echo / error")))</f>
        <v>Range</v>
      </c>
      <c r="O1050" s="3" t="str">
        <f aca="false">TEXT(B1050,"yyyy-mm-dd")</f>
        <v>2026-10-06</v>
      </c>
    </row>
    <row r="1051" customFormat="false" ht="15" hidden="false" customHeight="false" outlineLevel="0" collapsed="false">
      <c r="A1051" s="27" t="n">
        <v>16</v>
      </c>
      <c r="B1051" s="28" t="n">
        <v>46301.5252056134</v>
      </c>
      <c r="C1051" s="29" t="n">
        <f aca="false">IF(A1052=A1051,B1052,INDEX(Rounds!$D:$D,MATCH(A1051,Rounds!$A:$A,0)))</f>
        <v>46301.5252084491</v>
      </c>
      <c r="D1051" s="30" t="n">
        <f aca="false">(B1051-INDEX(Rounds!$C:$C,MATCH(A1051,Rounds!$A:$A,0)))*86400</f>
        <v>56.74799988</v>
      </c>
      <c r="E1051" s="30" t="n">
        <f aca="false">(C1051-INDEX(Rounds!$C:$C,MATCH(A1051,Rounds!$A:$A,0)))*86400</f>
        <v>56.992999557</v>
      </c>
      <c r="F1051" s="31" t="n">
        <f aca="false">(C1051-B1051)*86400</f>
        <v>0.244999676</v>
      </c>
      <c r="G1051" s="27" t="s">
        <v>152</v>
      </c>
      <c r="H1051" s="27" t="s">
        <v>208</v>
      </c>
      <c r="I1051" s="27" t="s">
        <v>328</v>
      </c>
      <c r="J1051" s="27" t="s">
        <v>234</v>
      </c>
      <c r="K1051" s="27" t="s">
        <v>244</v>
      </c>
      <c r="L1051" s="3" t="str">
        <f aca="false">IF(ISNUMBER(SEARCH(" m",I1051)),"Range",IF(I1051="offline","Offline",IF(I1051="","Unknown","No echo / error")))</f>
        <v>Range</v>
      </c>
      <c r="M1051" s="3" t="str">
        <f aca="false">IF(ISNUMBER(SEARCH(" m",J1051)),"Range",IF(J1051="offline","Offline",IF(J1051="","Unknown","No echo / error")))</f>
        <v>Range</v>
      </c>
      <c r="N1051" s="3" t="str">
        <f aca="false">IF(ISNUMBER(SEARCH(" m",K1051)),"Range",IF(K1051="offline","Offline",IF(K1051="","Unknown","No echo / error")))</f>
        <v>Range</v>
      </c>
      <c r="O1051" s="3" t="str">
        <f aca="false">TEXT(B1051,"yyyy-mm-dd")</f>
        <v>2026-10-06</v>
      </c>
    </row>
    <row r="1052" customFormat="false" ht="15" hidden="false" customHeight="false" outlineLevel="0" collapsed="false">
      <c r="A1052" s="27" t="n">
        <v>16</v>
      </c>
      <c r="B1052" s="28" t="n">
        <v>46301.5252084491</v>
      </c>
      <c r="C1052" s="29" t="n">
        <f aca="false">IF(A1053=A1052,B1053,INDEX(Rounds!$D:$D,MATCH(A1052,Rounds!$A:$A,0)))</f>
        <v>46301.525209757</v>
      </c>
      <c r="D1052" s="30" t="n">
        <f aca="false">(B1052-INDEX(Rounds!$C:$C,MATCH(A1052,Rounds!$A:$A,0)))*86400</f>
        <v>56.992999557</v>
      </c>
      <c r="E1052" s="30" t="n">
        <f aca="false">(C1052-INDEX(Rounds!$C:$C,MATCH(A1052,Rounds!$A:$A,0)))*86400</f>
        <v>57.105999975</v>
      </c>
      <c r="F1052" s="31" t="n">
        <f aca="false">(C1052-B1052)*86400</f>
        <v>0.113000418</v>
      </c>
      <c r="G1052" s="27" t="s">
        <v>151</v>
      </c>
      <c r="H1052" s="27" t="s">
        <v>203</v>
      </c>
      <c r="I1052" s="27" t="s">
        <v>314</v>
      </c>
      <c r="J1052" s="27" t="s">
        <v>311</v>
      </c>
      <c r="K1052" s="27" t="s">
        <v>284</v>
      </c>
      <c r="L1052" s="3" t="str">
        <f aca="false">IF(ISNUMBER(SEARCH(" m",I1052)),"Range",IF(I1052="offline","Offline",IF(I1052="","Unknown","No echo / error")))</f>
        <v>Range</v>
      </c>
      <c r="M1052" s="3" t="str">
        <f aca="false">IF(ISNUMBER(SEARCH(" m",J1052)),"Range",IF(J1052="offline","Offline",IF(J1052="","Unknown","No echo / error")))</f>
        <v>Range</v>
      </c>
      <c r="N1052" s="3" t="str">
        <f aca="false">IF(ISNUMBER(SEARCH(" m",K1052)),"Range",IF(K1052="offline","Offline",IF(K1052="","Unknown","No echo / error")))</f>
        <v>Range</v>
      </c>
      <c r="O1052" s="3" t="str">
        <f aca="false">TEXT(B1052,"yyyy-mm-dd")</f>
        <v>2026-10-06</v>
      </c>
    </row>
    <row r="1053" customFormat="false" ht="15" hidden="false" customHeight="false" outlineLevel="0" collapsed="false">
      <c r="A1053" s="27" t="n">
        <v>16</v>
      </c>
      <c r="B1053" s="28" t="n">
        <v>46301.525209757</v>
      </c>
      <c r="C1053" s="29" t="n">
        <f aca="false">IF(A1054=A1053,B1054,INDEX(Rounds!$D:$D,MATCH(A1053,Rounds!$A:$A,0)))</f>
        <v>46301.5252192824</v>
      </c>
      <c r="D1053" s="30" t="n">
        <f aca="false">(B1053-INDEX(Rounds!$C:$C,MATCH(A1053,Rounds!$A:$A,0)))*86400</f>
        <v>57.105999975</v>
      </c>
      <c r="E1053" s="30" t="n">
        <f aca="false">(C1053-INDEX(Rounds!$C:$C,MATCH(A1053,Rounds!$A:$A,0)))*86400</f>
        <v>57.928998931</v>
      </c>
      <c r="F1053" s="31" t="n">
        <f aca="false">(C1053-B1053)*86400</f>
        <v>0.822998955</v>
      </c>
      <c r="G1053" s="27" t="s">
        <v>150</v>
      </c>
      <c r="H1053" s="27" t="s">
        <v>206</v>
      </c>
      <c r="I1053" s="27" t="s">
        <v>315</v>
      </c>
      <c r="J1053" s="27" t="s">
        <v>311</v>
      </c>
      <c r="K1053" s="27" t="s">
        <v>284</v>
      </c>
      <c r="L1053" s="3" t="str">
        <f aca="false">IF(ISNUMBER(SEARCH(" m",I1053)),"Range",IF(I1053="offline","Offline",IF(I1053="","Unknown","No echo / error")))</f>
        <v>Range</v>
      </c>
      <c r="M1053" s="3" t="str">
        <f aca="false">IF(ISNUMBER(SEARCH(" m",J1053)),"Range",IF(J1053="offline","Offline",IF(J1053="","Unknown","No echo / error")))</f>
        <v>Range</v>
      </c>
      <c r="N1053" s="3" t="str">
        <f aca="false">IF(ISNUMBER(SEARCH(" m",K1053)),"Range",IF(K1053="offline","Offline",IF(K1053="","Unknown","No echo / error")))</f>
        <v>Range</v>
      </c>
      <c r="O1053" s="3" t="str">
        <f aca="false">TEXT(B1053,"yyyy-mm-dd")</f>
        <v>2026-10-06</v>
      </c>
    </row>
    <row r="1054" customFormat="false" ht="15" hidden="false" customHeight="false" outlineLevel="0" collapsed="false">
      <c r="A1054" s="27" t="n">
        <v>16</v>
      </c>
      <c r="B1054" s="28" t="n">
        <v>46301.5252192824</v>
      </c>
      <c r="C1054" s="29" t="n">
        <f aca="false">IF(A1055=A1054,B1055,INDEX(Rounds!$D:$D,MATCH(A1054,Rounds!$A:$A,0)))</f>
        <v>46301.5252206019</v>
      </c>
      <c r="D1054" s="30" t="n">
        <f aca="false">(B1054-INDEX(Rounds!$C:$C,MATCH(A1054,Rounds!$A:$A,0)))*86400</f>
        <v>57.928998931</v>
      </c>
      <c r="E1054" s="30" t="n">
        <f aca="false">(C1054-INDEX(Rounds!$C:$C,MATCH(A1054,Rounds!$A:$A,0)))*86400</f>
        <v>58.042999519</v>
      </c>
      <c r="F1054" s="31" t="n">
        <f aca="false">(C1054-B1054)*86400</f>
        <v>0.114000588</v>
      </c>
      <c r="G1054" s="27" t="s">
        <v>152</v>
      </c>
      <c r="H1054" s="27" t="s">
        <v>208</v>
      </c>
      <c r="I1054" s="27" t="s">
        <v>311</v>
      </c>
      <c r="J1054" s="27" t="s">
        <v>426</v>
      </c>
      <c r="K1054" s="27" t="s">
        <v>204</v>
      </c>
      <c r="L1054" s="3" t="str">
        <f aca="false">IF(ISNUMBER(SEARCH(" m",I1054)),"Range",IF(I1054="offline","Offline",IF(I1054="","Unknown","No echo / error")))</f>
        <v>Range</v>
      </c>
      <c r="M1054" s="3" t="str">
        <f aca="false">IF(ISNUMBER(SEARCH(" m",J1054)),"Range",IF(J1054="offline","Offline",IF(J1054="","Unknown","No echo / error")))</f>
        <v>Range</v>
      </c>
      <c r="N1054" s="3" t="str">
        <f aca="false">IF(ISNUMBER(SEARCH(" m",K1054)),"Range",IF(K1054="offline","Offline",IF(K1054="","Unknown","No echo / error")))</f>
        <v>No echo / error</v>
      </c>
      <c r="O1054" s="3" t="str">
        <f aca="false">TEXT(B1054,"yyyy-mm-dd")</f>
        <v>2026-10-06</v>
      </c>
    </row>
    <row r="1055" customFormat="false" ht="15" hidden="false" customHeight="false" outlineLevel="0" collapsed="false">
      <c r="A1055" s="27" t="n">
        <v>16</v>
      </c>
      <c r="B1055" s="28" t="n">
        <v>46301.5252206019</v>
      </c>
      <c r="C1055" s="29" t="n">
        <f aca="false">IF(A1056=A1055,B1056,INDEX(Rounds!$D:$D,MATCH(A1055,Rounds!$A:$A,0)))</f>
        <v>46301.5252288426</v>
      </c>
      <c r="D1055" s="30" t="n">
        <f aca="false">(B1055-INDEX(Rounds!$C:$C,MATCH(A1055,Rounds!$A:$A,0)))*86400</f>
        <v>58.042999519</v>
      </c>
      <c r="E1055" s="30" t="n">
        <f aca="false">(C1055-INDEX(Rounds!$C:$C,MATCH(A1055,Rounds!$A:$A,0)))*86400</f>
        <v>58.754999656</v>
      </c>
      <c r="F1055" s="31" t="n">
        <f aca="false">(C1055-B1055)*86400</f>
        <v>0.712000136</v>
      </c>
      <c r="G1055" s="27" t="s">
        <v>151</v>
      </c>
      <c r="H1055" s="27" t="s">
        <v>203</v>
      </c>
      <c r="I1055" s="27" t="s">
        <v>441</v>
      </c>
      <c r="J1055" s="27" t="s">
        <v>426</v>
      </c>
      <c r="K1055" s="27" t="s">
        <v>204</v>
      </c>
      <c r="L1055" s="3" t="str">
        <f aca="false">IF(ISNUMBER(SEARCH(" m",I1055)),"Range",IF(I1055="offline","Offline",IF(I1055="","Unknown","No echo / error")))</f>
        <v>Range</v>
      </c>
      <c r="M1055" s="3" t="str">
        <f aca="false">IF(ISNUMBER(SEARCH(" m",J1055)),"Range",IF(J1055="offline","Offline",IF(J1055="","Unknown","No echo / error")))</f>
        <v>Range</v>
      </c>
      <c r="N1055" s="3" t="str">
        <f aca="false">IF(ISNUMBER(SEARCH(" m",K1055)),"Range",IF(K1055="offline","Offline",IF(K1055="","Unknown","No echo / error")))</f>
        <v>No echo / error</v>
      </c>
      <c r="O1055" s="3" t="str">
        <f aca="false">TEXT(B1055,"yyyy-mm-dd")</f>
        <v>2026-10-06</v>
      </c>
    </row>
    <row r="1056" customFormat="false" ht="15" hidden="false" customHeight="false" outlineLevel="0" collapsed="false">
      <c r="A1056" s="27" t="n">
        <v>16</v>
      </c>
      <c r="B1056" s="28" t="n">
        <v>46301.5252288426</v>
      </c>
      <c r="C1056" s="29" t="n">
        <f aca="false">IF(A1057=A1056,B1057,INDEX(Rounds!$D:$D,MATCH(A1056,Rounds!$A:$A,0)))</f>
        <v>46301.5252392824</v>
      </c>
      <c r="D1056" s="30" t="n">
        <f aca="false">(B1056-INDEX(Rounds!$C:$C,MATCH(A1056,Rounds!$A:$A,0)))*86400</f>
        <v>58.754999656</v>
      </c>
      <c r="E1056" s="30" t="n">
        <f aca="false">(C1056-INDEX(Rounds!$C:$C,MATCH(A1056,Rounds!$A:$A,0)))*86400</f>
        <v>59.656998887</v>
      </c>
      <c r="F1056" s="31" t="n">
        <f aca="false">(C1056-B1056)*86400</f>
        <v>0.901999231</v>
      </c>
      <c r="G1056" s="27" t="s">
        <v>150</v>
      </c>
      <c r="H1056" s="27" t="s">
        <v>206</v>
      </c>
      <c r="I1056" s="27" t="s">
        <v>313</v>
      </c>
      <c r="J1056" s="27" t="s">
        <v>412</v>
      </c>
      <c r="K1056" s="27" t="s">
        <v>450</v>
      </c>
      <c r="L1056" s="3" t="str">
        <f aca="false">IF(ISNUMBER(SEARCH(" m",I1056)),"Range",IF(I1056="offline","Offline",IF(I1056="","Unknown","No echo / error")))</f>
        <v>Range</v>
      </c>
      <c r="M1056" s="3" t="str">
        <f aca="false">IF(ISNUMBER(SEARCH(" m",J1056)),"Range",IF(J1056="offline","Offline",IF(J1056="","Unknown","No echo / error")))</f>
        <v>Range</v>
      </c>
      <c r="N1056" s="3" t="str">
        <f aca="false">IF(ISNUMBER(SEARCH(" m",K1056)),"Range",IF(K1056="offline","Offline",IF(K1056="","Unknown","No echo / error")))</f>
        <v>Range</v>
      </c>
      <c r="O1056" s="3" t="str">
        <f aca="false">TEXT(B1056,"yyyy-mm-dd")</f>
        <v>2026-10-06</v>
      </c>
    </row>
    <row r="1057" customFormat="false" ht="15" hidden="false" customHeight="false" outlineLevel="0" collapsed="false">
      <c r="A1057" s="27" t="n">
        <v>16</v>
      </c>
      <c r="B1057" s="28" t="n">
        <v>46301.5252392824</v>
      </c>
      <c r="C1057" s="29" t="n">
        <f aca="false">IF(A1058=A1057,B1058,INDEX(Rounds!$D:$D,MATCH(A1057,Rounds!$A:$A,0)))</f>
        <v>46301.5252448611</v>
      </c>
      <c r="D1057" s="30" t="n">
        <f aca="false">(B1057-INDEX(Rounds!$C:$C,MATCH(A1057,Rounds!$A:$A,0)))*86400</f>
        <v>59.656998887</v>
      </c>
      <c r="E1057" s="30" t="n">
        <f aca="false">(C1057-INDEX(Rounds!$C:$C,MATCH(A1057,Rounds!$A:$A,0)))*86400</f>
        <v>60.139000019</v>
      </c>
      <c r="F1057" s="31" t="n">
        <f aca="false">(C1057-B1057)*86400</f>
        <v>0.482001132</v>
      </c>
      <c r="G1057" s="27" t="s">
        <v>152</v>
      </c>
      <c r="H1057" s="27" t="s">
        <v>208</v>
      </c>
      <c r="I1057" s="27" t="s">
        <v>360</v>
      </c>
      <c r="J1057" s="27" t="s">
        <v>371</v>
      </c>
      <c r="K1057" s="27" t="s">
        <v>204</v>
      </c>
      <c r="L1057" s="3" t="str">
        <f aca="false">IF(ISNUMBER(SEARCH(" m",I1057)),"Range",IF(I1057="offline","Offline",IF(I1057="","Unknown","No echo / error")))</f>
        <v>Range</v>
      </c>
      <c r="M1057" s="3" t="str">
        <f aca="false">IF(ISNUMBER(SEARCH(" m",J1057)),"Range",IF(J1057="offline","Offline",IF(J1057="","Unknown","No echo / error")))</f>
        <v>Range</v>
      </c>
      <c r="N1057" s="3" t="str">
        <f aca="false">IF(ISNUMBER(SEARCH(" m",K1057)),"Range",IF(K1057="offline","Offline",IF(K1057="","Unknown","No echo / error")))</f>
        <v>No echo / error</v>
      </c>
      <c r="O1057" s="3" t="str">
        <f aca="false">TEXT(B1057,"yyyy-mm-dd")</f>
        <v>2026-10-06</v>
      </c>
    </row>
    <row r="1058" customFormat="false" ht="15" hidden="false" customHeight="false" outlineLevel="0" collapsed="false">
      <c r="A1058" s="27" t="n">
        <v>16</v>
      </c>
      <c r="B1058" s="28" t="n">
        <v>46301.5252448611</v>
      </c>
      <c r="C1058" s="29" t="n">
        <f aca="false">IF(A1059=A1058,B1059,INDEX(Rounds!$D:$D,MATCH(A1058,Rounds!$A:$A,0)))</f>
        <v>46301.5252495139</v>
      </c>
      <c r="D1058" s="30" t="n">
        <f aca="false">(B1058-INDEX(Rounds!$C:$C,MATCH(A1058,Rounds!$A:$A,0)))*86400</f>
        <v>60.139000019</v>
      </c>
      <c r="E1058" s="30" t="n">
        <f aca="false">(C1058-INDEX(Rounds!$C:$C,MATCH(A1058,Rounds!$A:$A,0)))*86400</f>
        <v>60.541000077</v>
      </c>
      <c r="F1058" s="31" t="n">
        <f aca="false">(C1058-B1058)*86400</f>
        <v>0.402000057</v>
      </c>
      <c r="G1058" s="27" t="s">
        <v>151</v>
      </c>
      <c r="H1058" s="27" t="s">
        <v>203</v>
      </c>
      <c r="I1058" s="27" t="s">
        <v>355</v>
      </c>
      <c r="J1058" s="27" t="s">
        <v>250</v>
      </c>
      <c r="K1058" s="27" t="s">
        <v>487</v>
      </c>
      <c r="L1058" s="3" t="str">
        <f aca="false">IF(ISNUMBER(SEARCH(" m",I1058)),"Range",IF(I1058="offline","Offline",IF(I1058="","Unknown","No echo / error")))</f>
        <v>Range</v>
      </c>
      <c r="M1058" s="3" t="str">
        <f aca="false">IF(ISNUMBER(SEARCH(" m",J1058)),"Range",IF(J1058="offline","Offline",IF(J1058="","Unknown","No echo / error")))</f>
        <v>Range</v>
      </c>
      <c r="N1058" s="3" t="str">
        <f aca="false">IF(ISNUMBER(SEARCH(" m",K1058)),"Range",IF(K1058="offline","Offline",IF(K1058="","Unknown","No echo / error")))</f>
        <v>Range</v>
      </c>
      <c r="O1058" s="3" t="str">
        <f aca="false">TEXT(B1058,"yyyy-mm-dd")</f>
        <v>2026-10-06</v>
      </c>
    </row>
    <row r="1059" customFormat="false" ht="15" hidden="false" customHeight="false" outlineLevel="0" collapsed="false">
      <c r="A1059" s="27" t="n">
        <v>16</v>
      </c>
      <c r="B1059" s="28" t="n">
        <v>46301.5252495139</v>
      </c>
      <c r="C1059" s="29" t="n">
        <f aca="false">IF(A1060=A1059,B1060,INDEX(Rounds!$D:$D,MATCH(A1059,Rounds!$A:$A,0)))</f>
        <v>46301.5252627199</v>
      </c>
      <c r="D1059" s="30" t="n">
        <f aca="false">(B1059-INDEX(Rounds!$C:$C,MATCH(A1059,Rounds!$A:$A,0)))*86400</f>
        <v>60.541000077</v>
      </c>
      <c r="E1059" s="30" t="n">
        <f aca="false">(C1059-INDEX(Rounds!$C:$C,MATCH(A1059,Rounds!$A:$A,0)))*86400</f>
        <v>61.681999848</v>
      </c>
      <c r="F1059" s="31" t="n">
        <f aca="false">(C1059-B1059)*86400</f>
        <v>1.14099977</v>
      </c>
      <c r="G1059" s="27" t="s">
        <v>150</v>
      </c>
      <c r="H1059" s="27" t="s">
        <v>206</v>
      </c>
      <c r="I1059" s="27" t="s">
        <v>410</v>
      </c>
      <c r="J1059" s="27" t="s">
        <v>209</v>
      </c>
      <c r="K1059" s="27" t="s">
        <v>529</v>
      </c>
      <c r="L1059" s="3" t="str">
        <f aca="false">IF(ISNUMBER(SEARCH(" m",I1059)),"Range",IF(I1059="offline","Offline",IF(I1059="","Unknown","No echo / error")))</f>
        <v>Range</v>
      </c>
      <c r="M1059" s="3" t="str">
        <f aca="false">IF(ISNUMBER(SEARCH(" m",J1059)),"Range",IF(J1059="offline","Offline",IF(J1059="","Unknown","No echo / error")))</f>
        <v>Range</v>
      </c>
      <c r="N1059" s="3" t="str">
        <f aca="false">IF(ISNUMBER(SEARCH(" m",K1059)),"Range",IF(K1059="offline","Offline",IF(K1059="","Unknown","No echo / error")))</f>
        <v>Range</v>
      </c>
      <c r="O1059" s="3" t="str">
        <f aca="false">TEXT(B1059,"yyyy-mm-dd")</f>
        <v>2026-10-06</v>
      </c>
    </row>
    <row r="1060" customFormat="false" ht="15" hidden="false" customHeight="false" outlineLevel="0" collapsed="false">
      <c r="A1060" s="27" t="n">
        <v>16</v>
      </c>
      <c r="B1060" s="28" t="n">
        <v>46301.5252627199</v>
      </c>
      <c r="C1060" s="29" t="n">
        <f aca="false">IF(A1061=A1060,B1061,INDEX(Rounds!$D:$D,MATCH(A1060,Rounds!$A:$A,0)))</f>
        <v>46301.5252658681</v>
      </c>
      <c r="D1060" s="30" t="n">
        <f aca="false">(B1060-INDEX(Rounds!$C:$C,MATCH(A1060,Rounds!$A:$A,0)))*86400</f>
        <v>61.681999848</v>
      </c>
      <c r="E1060" s="30" t="n">
        <f aca="false">(C1060-INDEX(Rounds!$C:$C,MATCH(A1060,Rounds!$A:$A,0)))*86400</f>
        <v>61.953999102</v>
      </c>
      <c r="F1060" s="31" t="n">
        <f aca="false">(C1060-B1060)*86400</f>
        <v>0.271999253</v>
      </c>
      <c r="G1060" s="27" t="s">
        <v>152</v>
      </c>
      <c r="H1060" s="27" t="s">
        <v>208</v>
      </c>
      <c r="I1060" s="27" t="s">
        <v>239</v>
      </c>
      <c r="J1060" s="27" t="s">
        <v>530</v>
      </c>
      <c r="K1060" s="27" t="s">
        <v>362</v>
      </c>
      <c r="L1060" s="3" t="str">
        <f aca="false">IF(ISNUMBER(SEARCH(" m",I1060)),"Range",IF(I1060="offline","Offline",IF(I1060="","Unknown","No echo / error")))</f>
        <v>Range</v>
      </c>
      <c r="M1060" s="3" t="str">
        <f aca="false">IF(ISNUMBER(SEARCH(" m",J1060)),"Range",IF(J1060="offline","Offline",IF(J1060="","Unknown","No echo / error")))</f>
        <v>Range</v>
      </c>
      <c r="N1060" s="3" t="str">
        <f aca="false">IF(ISNUMBER(SEARCH(" m",K1060)),"Range",IF(K1060="offline","Offline",IF(K1060="","Unknown","No echo / error")))</f>
        <v>Range</v>
      </c>
      <c r="O1060" s="3" t="str">
        <f aca="false">TEXT(B1060,"yyyy-mm-dd")</f>
        <v>2026-10-06</v>
      </c>
    </row>
    <row r="1061" customFormat="false" ht="15" hidden="false" customHeight="false" outlineLevel="0" collapsed="false">
      <c r="A1061" s="27" t="n">
        <v>16</v>
      </c>
      <c r="B1061" s="28" t="n">
        <v>46301.5252658681</v>
      </c>
      <c r="C1061" s="29" t="n">
        <f aca="false">IF(A1062=A1061,B1062,INDEX(Rounds!$D:$D,MATCH(A1061,Rounds!$A:$A,0)))</f>
        <v>46301.5252669907</v>
      </c>
      <c r="D1061" s="30" t="n">
        <f aca="false">(B1061-INDEX(Rounds!$C:$C,MATCH(A1061,Rounds!$A:$A,0)))*86400</f>
        <v>61.953999102</v>
      </c>
      <c r="E1061" s="30" t="n">
        <f aca="false">(C1061-INDEX(Rounds!$C:$C,MATCH(A1061,Rounds!$A:$A,0)))*86400</f>
        <v>62.050999933</v>
      </c>
      <c r="F1061" s="31" t="n">
        <f aca="false">(C1061-B1061)*86400</f>
        <v>0.097000831</v>
      </c>
      <c r="G1061" s="27" t="s">
        <v>151</v>
      </c>
      <c r="H1061" s="27" t="s">
        <v>203</v>
      </c>
      <c r="I1061" s="27" t="s">
        <v>432</v>
      </c>
      <c r="J1061" s="27" t="s">
        <v>531</v>
      </c>
      <c r="K1061" s="27" t="s">
        <v>214</v>
      </c>
      <c r="L1061" s="3" t="str">
        <f aca="false">IF(ISNUMBER(SEARCH(" m",I1061)),"Range",IF(I1061="offline","Offline",IF(I1061="","Unknown","No echo / error")))</f>
        <v>Range</v>
      </c>
      <c r="M1061" s="3" t="str">
        <f aca="false">IF(ISNUMBER(SEARCH(" m",J1061)),"Range",IF(J1061="offline","Offline",IF(J1061="","Unknown","No echo / error")))</f>
        <v>Range</v>
      </c>
      <c r="N1061" s="3" t="str">
        <f aca="false">IF(ISNUMBER(SEARCH(" m",K1061)),"Range",IF(K1061="offline","Offline",IF(K1061="","Unknown","No echo / error")))</f>
        <v>Range</v>
      </c>
      <c r="O1061" s="3" t="str">
        <f aca="false">TEXT(B1061,"yyyy-mm-dd")</f>
        <v>2026-10-06</v>
      </c>
    </row>
    <row r="1062" customFormat="false" ht="15" hidden="false" customHeight="false" outlineLevel="0" collapsed="false">
      <c r="A1062" s="27" t="n">
        <v>16</v>
      </c>
      <c r="B1062" s="28" t="n">
        <v>46301.5252669907</v>
      </c>
      <c r="C1062" s="29" t="n">
        <f aca="false">IF(A1063=A1062,B1063,INDEX(Rounds!$D:$D,MATCH(A1062,Rounds!$A:$A,0)))</f>
        <v>46301.525270162</v>
      </c>
      <c r="D1062" s="30" t="n">
        <f aca="false">(B1062-INDEX(Rounds!$C:$C,MATCH(A1062,Rounds!$A:$A,0)))*86400</f>
        <v>62.050999933</v>
      </c>
      <c r="E1062" s="30" t="n">
        <f aca="false">(C1062-INDEX(Rounds!$C:$C,MATCH(A1062,Rounds!$A:$A,0)))*86400</f>
        <v>62.3249989</v>
      </c>
      <c r="F1062" s="31" t="n">
        <f aca="false">(C1062-B1062)*86400</f>
        <v>0.273998966</v>
      </c>
      <c r="G1062" s="27" t="s">
        <v>150</v>
      </c>
      <c r="H1062" s="27" t="s">
        <v>206</v>
      </c>
      <c r="I1062" s="27" t="s">
        <v>432</v>
      </c>
      <c r="J1062" s="27" t="s">
        <v>379</v>
      </c>
      <c r="K1062" s="27" t="s">
        <v>214</v>
      </c>
      <c r="L1062" s="3" t="str">
        <f aca="false">IF(ISNUMBER(SEARCH(" m",I1062)),"Range",IF(I1062="offline","Offline",IF(I1062="","Unknown","No echo / error")))</f>
        <v>Range</v>
      </c>
      <c r="M1062" s="3" t="str">
        <f aca="false">IF(ISNUMBER(SEARCH(" m",J1062)),"Range",IF(J1062="offline","Offline",IF(J1062="","Unknown","No echo / error")))</f>
        <v>Range</v>
      </c>
      <c r="N1062" s="3" t="str">
        <f aca="false">IF(ISNUMBER(SEARCH(" m",K1062)),"Range",IF(K1062="offline","Offline",IF(K1062="","Unknown","No echo / error")))</f>
        <v>Range</v>
      </c>
      <c r="O1062" s="3" t="str">
        <f aca="false">TEXT(B1062,"yyyy-mm-dd")</f>
        <v>2026-10-06</v>
      </c>
    </row>
    <row r="1063" customFormat="false" ht="15" hidden="false" customHeight="false" outlineLevel="0" collapsed="false">
      <c r="A1063" s="27" t="n">
        <v>16</v>
      </c>
      <c r="B1063" s="28" t="n">
        <v>46301.525270162</v>
      </c>
      <c r="C1063" s="29" t="n">
        <f aca="false">IF(A1064=A1063,B1064,INDEX(Rounds!$D:$D,MATCH(A1063,Rounds!$A:$A,0)))</f>
        <v>46301.525319757</v>
      </c>
      <c r="D1063" s="30" t="n">
        <f aca="false">(B1063-INDEX(Rounds!$C:$C,MATCH(A1063,Rounds!$A:$A,0)))*86400</f>
        <v>62.3249989</v>
      </c>
      <c r="E1063" s="30" t="n">
        <f aca="false">(C1063-INDEX(Rounds!$C:$C,MATCH(A1063,Rounds!$A:$A,0)))*86400</f>
        <v>66.610000049</v>
      </c>
      <c r="F1063" s="31" t="n">
        <f aca="false">(C1063-B1063)*86400</f>
        <v>4.285001149</v>
      </c>
      <c r="G1063" s="27" t="s">
        <v>153</v>
      </c>
      <c r="H1063" s="27" t="s">
        <v>324</v>
      </c>
      <c r="I1063" s="27" t="s">
        <v>432</v>
      </c>
      <c r="J1063" s="27" t="s">
        <v>379</v>
      </c>
      <c r="K1063" s="27" t="s">
        <v>276</v>
      </c>
      <c r="L1063" s="3" t="str">
        <f aca="false">IF(ISNUMBER(SEARCH(" m",I1063)),"Range",IF(I1063="offline","Offline",IF(I1063="","Unknown","No echo / error")))</f>
        <v>Range</v>
      </c>
      <c r="M1063" s="3" t="str">
        <f aca="false">IF(ISNUMBER(SEARCH(" m",J1063)),"Range",IF(J1063="offline","Offline",IF(J1063="","Unknown","No echo / error")))</f>
        <v>Range</v>
      </c>
      <c r="N1063" s="3" t="str">
        <f aca="false">IF(ISNUMBER(SEARCH(" m",K1063)),"Range",IF(K1063="offline","Offline",IF(K1063="","Unknown","No echo / error")))</f>
        <v>Range</v>
      </c>
      <c r="O1063" s="3" t="str">
        <f aca="false">TEXT(B1063,"yyyy-mm-dd")</f>
        <v>2026-10-06</v>
      </c>
    </row>
    <row r="1064" customFormat="false" ht="15" hidden="false" customHeight="false" outlineLevel="0" collapsed="false">
      <c r="A1064" s="27" t="n">
        <v>16</v>
      </c>
      <c r="B1064" s="28" t="n">
        <v>46301.525319757</v>
      </c>
      <c r="C1064" s="29" t="n">
        <f aca="false">IF(A1065=A1064,B1065,INDEX(Rounds!$D:$D,MATCH(A1064,Rounds!$A:$A,0)))</f>
        <v>46301.525319757</v>
      </c>
      <c r="D1064" s="30" t="n">
        <f aca="false">(B1064-INDEX(Rounds!$C:$C,MATCH(A1064,Rounds!$A:$A,0)))*86400</f>
        <v>66.610000049</v>
      </c>
      <c r="E1064" s="30" t="n">
        <f aca="false">(C1064-INDEX(Rounds!$C:$C,MATCH(A1064,Rounds!$A:$A,0)))*86400</f>
        <v>66.610000049</v>
      </c>
      <c r="F1064" s="31" t="n">
        <f aca="false">(C1064-B1064)*86400</f>
        <v>0</v>
      </c>
      <c r="G1064" s="27" t="s">
        <v>154</v>
      </c>
      <c r="H1064" s="27" t="s">
        <v>324</v>
      </c>
      <c r="I1064" s="27" t="s">
        <v>235</v>
      </c>
      <c r="J1064" s="27" t="s">
        <v>267</v>
      </c>
      <c r="K1064" s="27" t="s">
        <v>204</v>
      </c>
      <c r="L1064" s="3" t="str">
        <f aca="false">IF(ISNUMBER(SEARCH(" m",I1064)),"Range",IF(I1064="offline","Offline",IF(I1064="","Unknown","No echo / error")))</f>
        <v>Range</v>
      </c>
      <c r="M1064" s="3" t="str">
        <f aca="false">IF(ISNUMBER(SEARCH(" m",J1064)),"Range",IF(J1064="offline","Offline",IF(J1064="","Unknown","No echo / error")))</f>
        <v>Range</v>
      </c>
      <c r="N1064" s="3" t="str">
        <f aca="false">IF(ISNUMBER(SEARCH(" m",K1064)),"Range",IF(K1064="offline","Offline",IF(K1064="","Unknown","No echo / error")))</f>
        <v>No echo / error</v>
      </c>
      <c r="O1064" s="3" t="str">
        <f aca="false">TEXT(B1064,"yyyy-mm-dd")</f>
        <v>2026-10-06</v>
      </c>
    </row>
    <row r="1065" customFormat="false" ht="15" hidden="false" customHeight="false" outlineLevel="0" collapsed="false">
      <c r="A1065" s="27" t="n">
        <v>17</v>
      </c>
      <c r="B1065" s="28" t="n">
        <v>46301.5256614931</v>
      </c>
      <c r="C1065" s="29" t="n">
        <f aca="false">IF(A1066=A1065,B1066,INDEX(Rounds!$D:$D,MATCH(A1065,Rounds!$A:$A,0)))</f>
        <v>46301.5256615046</v>
      </c>
      <c r="D1065" s="30" t="n">
        <f aca="false">(B1065-INDEX(Rounds!$C:$C,MATCH(A1065,Rounds!$A:$A,0)))*86400</f>
        <v>0</v>
      </c>
      <c r="E1065" s="30" t="n">
        <f aca="false">(C1065-INDEX(Rounds!$C:$C,MATCH(A1065,Rounds!$A:$A,0)))*86400</f>
        <v>0.001000799</v>
      </c>
      <c r="F1065" s="31" t="n">
        <f aca="false">(C1065-B1065)*86400</f>
        <v>0.001000799</v>
      </c>
      <c r="G1065" s="27" t="s">
        <v>153</v>
      </c>
      <c r="H1065" s="27" t="s">
        <v>324</v>
      </c>
      <c r="I1065" s="27" t="s">
        <v>235</v>
      </c>
      <c r="J1065" s="27" t="s">
        <v>267</v>
      </c>
      <c r="K1065" s="27" t="s">
        <v>204</v>
      </c>
      <c r="L1065" s="3" t="str">
        <f aca="false">IF(ISNUMBER(SEARCH(" m",I1065)),"Range",IF(I1065="offline","Offline",IF(I1065="","Unknown","No echo / error")))</f>
        <v>Range</v>
      </c>
      <c r="M1065" s="3" t="str">
        <f aca="false">IF(ISNUMBER(SEARCH(" m",J1065)),"Range",IF(J1065="offline","Offline",IF(J1065="","Unknown","No echo / error")))</f>
        <v>Range</v>
      </c>
      <c r="N1065" s="3" t="str">
        <f aca="false">IF(ISNUMBER(SEARCH(" m",K1065)),"Range",IF(K1065="offline","Offline",IF(K1065="","Unknown","No echo / error")))</f>
        <v>No echo / error</v>
      </c>
      <c r="O1065" s="3" t="str">
        <f aca="false">TEXT(B1065,"yyyy-mm-dd")</f>
        <v>2026-10-06</v>
      </c>
    </row>
    <row r="1066" customFormat="false" ht="15" hidden="false" customHeight="false" outlineLevel="0" collapsed="false">
      <c r="A1066" s="27" t="n">
        <v>17</v>
      </c>
      <c r="B1066" s="28" t="n">
        <v>46301.5256615046</v>
      </c>
      <c r="C1066" s="29" t="n">
        <f aca="false">IF(A1067=A1066,B1067,INDEX(Rounds!$D:$D,MATCH(A1066,Rounds!$A:$A,0)))</f>
        <v>46301.5256615046</v>
      </c>
      <c r="D1066" s="30" t="n">
        <f aca="false">(B1066-INDEX(Rounds!$C:$C,MATCH(A1066,Rounds!$A:$A,0)))*86400</f>
        <v>0.001000799</v>
      </c>
      <c r="E1066" s="30" t="n">
        <f aca="false">(C1066-INDEX(Rounds!$C:$C,MATCH(A1066,Rounds!$A:$A,0)))*86400</f>
        <v>0.001000799</v>
      </c>
      <c r="F1066" s="31" t="n">
        <f aca="false">(C1066-B1066)*86400</f>
        <v>0</v>
      </c>
      <c r="G1066" s="27" t="s">
        <v>153</v>
      </c>
      <c r="H1066" s="27" t="s">
        <v>324</v>
      </c>
      <c r="I1066" s="27" t="s">
        <v>235</v>
      </c>
      <c r="J1066" s="27" t="s">
        <v>267</v>
      </c>
      <c r="K1066" s="27" t="s">
        <v>204</v>
      </c>
      <c r="L1066" s="3" t="str">
        <f aca="false">IF(ISNUMBER(SEARCH(" m",I1066)),"Range",IF(I1066="offline","Offline",IF(I1066="","Unknown","No echo / error")))</f>
        <v>Range</v>
      </c>
      <c r="M1066" s="3" t="str">
        <f aca="false">IF(ISNUMBER(SEARCH(" m",J1066)),"Range",IF(J1066="offline","Offline",IF(J1066="","Unknown","No echo / error")))</f>
        <v>Range</v>
      </c>
      <c r="N1066" s="3" t="str">
        <f aca="false">IF(ISNUMBER(SEARCH(" m",K1066)),"Range",IF(K1066="offline","Offline",IF(K1066="","Unknown","No echo / error")))</f>
        <v>No echo / error</v>
      </c>
      <c r="O1066" s="3" t="str">
        <f aca="false">TEXT(B1066,"yyyy-mm-dd")</f>
        <v>2026-10-06</v>
      </c>
    </row>
    <row r="1067" customFormat="false" ht="15" hidden="false" customHeight="false" outlineLevel="0" collapsed="false">
      <c r="A1067" s="27" t="n">
        <v>17</v>
      </c>
      <c r="B1067" s="28" t="n">
        <v>46301.5256615046</v>
      </c>
      <c r="C1067" s="29" t="n">
        <f aca="false">IF(A1068=A1067,B1068,INDEX(Rounds!$D:$D,MATCH(A1067,Rounds!$A:$A,0)))</f>
        <v>46301.5256685532</v>
      </c>
      <c r="D1067" s="30" t="n">
        <f aca="false">(B1067-INDEX(Rounds!$C:$C,MATCH(A1067,Rounds!$A:$A,0)))*86400</f>
        <v>0.001000799</v>
      </c>
      <c r="E1067" s="30" t="n">
        <f aca="false">(C1067-INDEX(Rounds!$C:$C,MATCH(A1067,Rounds!$A:$A,0)))*86400</f>
        <v>0.610000337</v>
      </c>
      <c r="F1067" s="31" t="n">
        <f aca="false">(C1067-B1067)*86400</f>
        <v>0.608999538</v>
      </c>
      <c r="G1067" s="27" t="s">
        <v>152</v>
      </c>
      <c r="H1067" s="27" t="s">
        <v>199</v>
      </c>
      <c r="I1067" s="27" t="s">
        <v>235</v>
      </c>
      <c r="J1067" s="27" t="s">
        <v>204</v>
      </c>
      <c r="K1067" s="27" t="s">
        <v>316</v>
      </c>
      <c r="L1067" s="3" t="str">
        <f aca="false">IF(ISNUMBER(SEARCH(" m",I1067)),"Range",IF(I1067="offline","Offline",IF(I1067="","Unknown","No echo / error")))</f>
        <v>Range</v>
      </c>
      <c r="M1067" s="3" t="str">
        <f aca="false">IF(ISNUMBER(SEARCH(" m",J1067)),"Range",IF(J1067="offline","Offline",IF(J1067="","Unknown","No echo / error")))</f>
        <v>No echo / error</v>
      </c>
      <c r="N1067" s="3" t="str">
        <f aca="false">IF(ISNUMBER(SEARCH(" m",K1067)),"Range",IF(K1067="offline","Offline",IF(K1067="","Unknown","No echo / error")))</f>
        <v>Range</v>
      </c>
      <c r="O1067" s="3" t="str">
        <f aca="false">TEXT(B1067,"yyyy-mm-dd")</f>
        <v>2026-10-06</v>
      </c>
    </row>
    <row r="1068" customFormat="false" ht="15" hidden="false" customHeight="false" outlineLevel="0" collapsed="false">
      <c r="A1068" s="27" t="n">
        <v>17</v>
      </c>
      <c r="B1068" s="28" t="n">
        <v>46301.5256685532</v>
      </c>
      <c r="C1068" s="29" t="n">
        <f aca="false">IF(A1069=A1068,B1069,INDEX(Rounds!$D:$D,MATCH(A1068,Rounds!$A:$A,0)))</f>
        <v>46301.5256743056</v>
      </c>
      <c r="D1068" s="30" t="n">
        <f aca="false">(B1068-INDEX(Rounds!$C:$C,MATCH(A1068,Rounds!$A:$A,0)))*86400</f>
        <v>0.610000337</v>
      </c>
      <c r="E1068" s="30" t="n">
        <f aca="false">(C1068-INDEX(Rounds!$C:$C,MATCH(A1068,Rounds!$A:$A,0)))*86400</f>
        <v>1.107000885</v>
      </c>
      <c r="F1068" s="31" t="n">
        <f aca="false">(C1068-B1068)*86400</f>
        <v>0.497000548</v>
      </c>
      <c r="G1068" s="27" t="s">
        <v>151</v>
      </c>
      <c r="H1068" s="27" t="s">
        <v>203</v>
      </c>
      <c r="I1068" s="27" t="s">
        <v>432</v>
      </c>
      <c r="J1068" s="27" t="s">
        <v>532</v>
      </c>
      <c r="K1068" s="27" t="s">
        <v>249</v>
      </c>
      <c r="L1068" s="3" t="str">
        <f aca="false">IF(ISNUMBER(SEARCH(" m",I1068)),"Range",IF(I1068="offline","Offline",IF(I1068="","Unknown","No echo / error")))</f>
        <v>Range</v>
      </c>
      <c r="M1068" s="3" t="str">
        <f aca="false">IF(ISNUMBER(SEARCH(" m",J1068)),"Range",IF(J1068="offline","Offline",IF(J1068="","Unknown","No echo / error")))</f>
        <v>Range</v>
      </c>
      <c r="N1068" s="3" t="str">
        <f aca="false">IF(ISNUMBER(SEARCH(" m",K1068)),"Range",IF(K1068="offline","Offline",IF(K1068="","Unknown","No echo / error")))</f>
        <v>Range</v>
      </c>
      <c r="O1068" s="3" t="str">
        <f aca="false">TEXT(B1068,"yyyy-mm-dd")</f>
        <v>2026-10-06</v>
      </c>
    </row>
    <row r="1069" customFormat="false" ht="15" hidden="false" customHeight="false" outlineLevel="0" collapsed="false">
      <c r="A1069" s="27" t="n">
        <v>17</v>
      </c>
      <c r="B1069" s="28" t="n">
        <v>46301.5256743056</v>
      </c>
      <c r="C1069" s="29" t="n">
        <f aca="false">IF(A1070=A1069,B1070,INDEX(Rounds!$D:$D,MATCH(A1069,Rounds!$A:$A,0)))</f>
        <v>46301.5256746644</v>
      </c>
      <c r="D1069" s="30" t="n">
        <f aca="false">(B1069-INDEX(Rounds!$C:$C,MATCH(A1069,Rounds!$A:$A,0)))*86400</f>
        <v>1.107000885</v>
      </c>
      <c r="E1069" s="30" t="n">
        <f aca="false">(C1069-INDEX(Rounds!$C:$C,MATCH(A1069,Rounds!$A:$A,0)))*86400</f>
        <v>1.138000516</v>
      </c>
      <c r="F1069" s="31" t="n">
        <f aca="false">(C1069-B1069)*86400</f>
        <v>0.03099963</v>
      </c>
      <c r="G1069" s="27" t="s">
        <v>152</v>
      </c>
      <c r="H1069" s="27" t="s">
        <v>208</v>
      </c>
      <c r="I1069" s="27" t="s">
        <v>432</v>
      </c>
      <c r="J1069" s="27" t="s">
        <v>204</v>
      </c>
      <c r="K1069" s="27" t="s">
        <v>275</v>
      </c>
      <c r="L1069" s="3" t="str">
        <f aca="false">IF(ISNUMBER(SEARCH(" m",I1069)),"Range",IF(I1069="offline","Offline",IF(I1069="","Unknown","No echo / error")))</f>
        <v>Range</v>
      </c>
      <c r="M1069" s="3" t="str">
        <f aca="false">IF(ISNUMBER(SEARCH(" m",J1069)),"Range",IF(J1069="offline","Offline",IF(J1069="","Unknown","No echo / error")))</f>
        <v>No echo / error</v>
      </c>
      <c r="N1069" s="3" t="str">
        <f aca="false">IF(ISNUMBER(SEARCH(" m",K1069)),"Range",IF(K1069="offline","Offline",IF(K1069="","Unknown","No echo / error")))</f>
        <v>Range</v>
      </c>
      <c r="O1069" s="3" t="str">
        <f aca="false">TEXT(B1069,"yyyy-mm-dd")</f>
        <v>2026-10-06</v>
      </c>
    </row>
    <row r="1070" customFormat="false" ht="15" hidden="false" customHeight="false" outlineLevel="0" collapsed="false">
      <c r="A1070" s="27" t="n">
        <v>17</v>
      </c>
      <c r="B1070" s="28" t="n">
        <v>46301.5256746644</v>
      </c>
      <c r="C1070" s="29" t="n">
        <f aca="false">IF(A1071=A1070,B1071,INDEX(Rounds!$D:$D,MATCH(A1070,Rounds!$A:$A,0)))</f>
        <v>46301.5256813657</v>
      </c>
      <c r="D1070" s="30" t="n">
        <f aca="false">(B1070-INDEX(Rounds!$C:$C,MATCH(A1070,Rounds!$A:$A,0)))*86400</f>
        <v>1.138000516</v>
      </c>
      <c r="E1070" s="30" t="n">
        <f aca="false">(C1070-INDEX(Rounds!$C:$C,MATCH(A1070,Rounds!$A:$A,0)))*86400</f>
        <v>1.717000594</v>
      </c>
      <c r="F1070" s="31" t="n">
        <f aca="false">(C1070-B1070)*86400</f>
        <v>0.579000078</v>
      </c>
      <c r="G1070" s="27" t="s">
        <v>151</v>
      </c>
      <c r="H1070" s="27" t="s">
        <v>203</v>
      </c>
      <c r="I1070" s="27" t="s">
        <v>432</v>
      </c>
      <c r="J1070" s="27" t="s">
        <v>533</v>
      </c>
      <c r="K1070" s="27" t="s">
        <v>275</v>
      </c>
      <c r="L1070" s="3" t="str">
        <f aca="false">IF(ISNUMBER(SEARCH(" m",I1070)),"Range",IF(I1070="offline","Offline",IF(I1070="","Unknown","No echo / error")))</f>
        <v>Range</v>
      </c>
      <c r="M1070" s="3" t="str">
        <f aca="false">IF(ISNUMBER(SEARCH(" m",J1070)),"Range",IF(J1070="offline","Offline",IF(J1070="","Unknown","No echo / error")))</f>
        <v>Range</v>
      </c>
      <c r="N1070" s="3" t="str">
        <f aca="false">IF(ISNUMBER(SEARCH(" m",K1070)),"Range",IF(K1070="offline","Offline",IF(K1070="","Unknown","No echo / error")))</f>
        <v>Range</v>
      </c>
      <c r="O1070" s="3" t="str">
        <f aca="false">TEXT(B1070,"yyyy-mm-dd")</f>
        <v>2026-10-06</v>
      </c>
    </row>
    <row r="1071" customFormat="false" ht="15" hidden="false" customHeight="false" outlineLevel="0" collapsed="false">
      <c r="A1071" s="27" t="n">
        <v>17</v>
      </c>
      <c r="B1071" s="28" t="n">
        <v>46301.5256813657</v>
      </c>
      <c r="C1071" s="29" t="n">
        <f aca="false">IF(A1072=A1071,B1072,INDEX(Rounds!$D:$D,MATCH(A1071,Rounds!$A:$A,0)))</f>
        <v>46301.5256843287</v>
      </c>
      <c r="D1071" s="30" t="n">
        <f aca="false">(B1071-INDEX(Rounds!$C:$C,MATCH(A1071,Rounds!$A:$A,0)))*86400</f>
        <v>1.717000594</v>
      </c>
      <c r="E1071" s="30" t="n">
        <f aca="false">(C1071-INDEX(Rounds!$C:$C,MATCH(A1071,Rounds!$A:$A,0)))*86400</f>
        <v>1.973001519</v>
      </c>
      <c r="F1071" s="31" t="n">
        <f aca="false">(C1071-B1071)*86400</f>
        <v>0.256000924</v>
      </c>
      <c r="G1071" s="27" t="s">
        <v>152</v>
      </c>
      <c r="H1071" s="27" t="s">
        <v>208</v>
      </c>
      <c r="I1071" s="27" t="s">
        <v>232</v>
      </c>
      <c r="J1071" s="27" t="s">
        <v>204</v>
      </c>
      <c r="K1071" s="27" t="s">
        <v>339</v>
      </c>
      <c r="L1071" s="3" t="str">
        <f aca="false">IF(ISNUMBER(SEARCH(" m",I1071)),"Range",IF(I1071="offline","Offline",IF(I1071="","Unknown","No echo / error")))</f>
        <v>Range</v>
      </c>
      <c r="M1071" s="3" t="str">
        <f aca="false">IF(ISNUMBER(SEARCH(" m",J1071)),"Range",IF(J1071="offline","Offline",IF(J1071="","Unknown","No echo / error")))</f>
        <v>No echo / error</v>
      </c>
      <c r="N1071" s="3" t="str">
        <f aca="false">IF(ISNUMBER(SEARCH(" m",K1071)),"Range",IF(K1071="offline","Offline",IF(K1071="","Unknown","No echo / error")))</f>
        <v>Range</v>
      </c>
      <c r="O1071" s="3" t="str">
        <f aca="false">TEXT(B1071,"yyyy-mm-dd")</f>
        <v>2026-10-06</v>
      </c>
    </row>
    <row r="1072" customFormat="false" ht="15" hidden="false" customHeight="false" outlineLevel="0" collapsed="false">
      <c r="A1072" s="27" t="n">
        <v>17</v>
      </c>
      <c r="B1072" s="28" t="n">
        <v>46301.5256843287</v>
      </c>
      <c r="C1072" s="29" t="n">
        <f aca="false">IF(A1073=A1072,B1073,INDEX(Rounds!$D:$D,MATCH(A1072,Rounds!$A:$A,0)))</f>
        <v>46301.5256949421</v>
      </c>
      <c r="D1072" s="30" t="n">
        <f aca="false">(B1072-INDEX(Rounds!$C:$C,MATCH(A1072,Rounds!$A:$A,0)))*86400</f>
        <v>1.973001519</v>
      </c>
      <c r="E1072" s="30" t="n">
        <f aca="false">(C1072-INDEX(Rounds!$C:$C,MATCH(A1072,Rounds!$A:$A,0)))*86400</f>
        <v>2.890000795</v>
      </c>
      <c r="F1072" s="31" t="n">
        <f aca="false">(C1072-B1072)*86400</f>
        <v>0.916999275</v>
      </c>
      <c r="G1072" s="27" t="s">
        <v>151</v>
      </c>
      <c r="H1072" s="27" t="s">
        <v>203</v>
      </c>
      <c r="I1072" s="27" t="s">
        <v>281</v>
      </c>
      <c r="J1072" s="27" t="s">
        <v>534</v>
      </c>
      <c r="K1072" s="27" t="s">
        <v>277</v>
      </c>
      <c r="L1072" s="3" t="str">
        <f aca="false">IF(ISNUMBER(SEARCH(" m",I1072)),"Range",IF(I1072="offline","Offline",IF(I1072="","Unknown","No echo / error")))</f>
        <v>Range</v>
      </c>
      <c r="M1072" s="3" t="str">
        <f aca="false">IF(ISNUMBER(SEARCH(" m",J1072)),"Range",IF(J1072="offline","Offline",IF(J1072="","Unknown","No echo / error")))</f>
        <v>Range</v>
      </c>
      <c r="N1072" s="3" t="str">
        <f aca="false">IF(ISNUMBER(SEARCH(" m",K1072)),"Range",IF(K1072="offline","Offline",IF(K1072="","Unknown","No echo / error")))</f>
        <v>Range</v>
      </c>
      <c r="O1072" s="3" t="str">
        <f aca="false">TEXT(B1072,"yyyy-mm-dd")</f>
        <v>2026-10-06</v>
      </c>
    </row>
    <row r="1073" customFormat="false" ht="15" hidden="false" customHeight="false" outlineLevel="0" collapsed="false">
      <c r="A1073" s="27" t="n">
        <v>17</v>
      </c>
      <c r="B1073" s="28" t="n">
        <v>46301.5256949421</v>
      </c>
      <c r="C1073" s="29" t="n">
        <f aca="false">IF(A1074=A1073,B1074,INDEX(Rounds!$D:$D,MATCH(A1073,Rounds!$A:$A,0)))</f>
        <v>46301.5256964236</v>
      </c>
      <c r="D1073" s="30" t="n">
        <f aca="false">(B1073-INDEX(Rounds!$C:$C,MATCH(A1073,Rounds!$A:$A,0)))*86400</f>
        <v>2.890000795</v>
      </c>
      <c r="E1073" s="30" t="n">
        <f aca="false">(C1073-INDEX(Rounds!$C:$C,MATCH(A1073,Rounds!$A:$A,0)))*86400</f>
        <v>3.018000628</v>
      </c>
      <c r="F1073" s="31" t="n">
        <f aca="false">(C1073-B1073)*86400</f>
        <v>0.127999833</v>
      </c>
      <c r="G1073" s="27" t="s">
        <v>152</v>
      </c>
      <c r="H1073" s="27" t="s">
        <v>208</v>
      </c>
      <c r="I1073" s="27" t="s">
        <v>307</v>
      </c>
      <c r="J1073" s="27" t="s">
        <v>339</v>
      </c>
      <c r="K1073" s="27" t="s">
        <v>385</v>
      </c>
      <c r="L1073" s="3" t="str">
        <f aca="false">IF(ISNUMBER(SEARCH(" m",I1073)),"Range",IF(I1073="offline","Offline",IF(I1073="","Unknown","No echo / error")))</f>
        <v>Range</v>
      </c>
      <c r="M1073" s="3" t="str">
        <f aca="false">IF(ISNUMBER(SEARCH(" m",J1073)),"Range",IF(J1073="offline","Offline",IF(J1073="","Unknown","No echo / error")))</f>
        <v>Range</v>
      </c>
      <c r="N1073" s="3" t="str">
        <f aca="false">IF(ISNUMBER(SEARCH(" m",K1073)),"Range",IF(K1073="offline","Offline",IF(K1073="","Unknown","No echo / error")))</f>
        <v>Range</v>
      </c>
      <c r="O1073" s="3" t="str">
        <f aca="false">TEXT(B1073,"yyyy-mm-dd")</f>
        <v>2026-10-06</v>
      </c>
    </row>
    <row r="1074" customFormat="false" ht="15" hidden="false" customHeight="false" outlineLevel="0" collapsed="false">
      <c r="A1074" s="27" t="n">
        <v>17</v>
      </c>
      <c r="B1074" s="28" t="n">
        <v>46301.5256964236</v>
      </c>
      <c r="C1074" s="29" t="n">
        <f aca="false">IF(A1075=A1074,B1075,INDEX(Rounds!$D:$D,MATCH(A1074,Rounds!$A:$A,0)))</f>
        <v>46301.5256979282</v>
      </c>
      <c r="D1074" s="30" t="n">
        <f aca="false">(B1074-INDEX(Rounds!$C:$C,MATCH(A1074,Rounds!$A:$A,0)))*86400</f>
        <v>3.018000628</v>
      </c>
      <c r="E1074" s="30" t="n">
        <f aca="false">(C1074-INDEX(Rounds!$C:$C,MATCH(A1074,Rounds!$A:$A,0)))*86400</f>
        <v>3.148000803</v>
      </c>
      <c r="F1074" s="31" t="n">
        <f aca="false">(C1074-B1074)*86400</f>
        <v>0.130000174</v>
      </c>
      <c r="G1074" s="27" t="s">
        <v>151</v>
      </c>
      <c r="H1074" s="27" t="s">
        <v>203</v>
      </c>
      <c r="I1074" s="27" t="s">
        <v>438</v>
      </c>
      <c r="J1074" s="27" t="s">
        <v>408</v>
      </c>
      <c r="K1074" s="27" t="s">
        <v>385</v>
      </c>
      <c r="L1074" s="3" t="str">
        <f aca="false">IF(ISNUMBER(SEARCH(" m",I1074)),"Range",IF(I1074="offline","Offline",IF(I1074="","Unknown","No echo / error")))</f>
        <v>Range</v>
      </c>
      <c r="M1074" s="3" t="str">
        <f aca="false">IF(ISNUMBER(SEARCH(" m",J1074)),"Range",IF(J1074="offline","Offline",IF(J1074="","Unknown","No echo / error")))</f>
        <v>Range</v>
      </c>
      <c r="N1074" s="3" t="str">
        <f aca="false">IF(ISNUMBER(SEARCH(" m",K1074)),"Range",IF(K1074="offline","Offline",IF(K1074="","Unknown","No echo / error")))</f>
        <v>Range</v>
      </c>
      <c r="O1074" s="3" t="str">
        <f aca="false">TEXT(B1074,"yyyy-mm-dd")</f>
        <v>2026-10-06</v>
      </c>
    </row>
    <row r="1075" customFormat="false" ht="15" hidden="false" customHeight="false" outlineLevel="0" collapsed="false">
      <c r="A1075" s="27" t="n">
        <v>17</v>
      </c>
      <c r="B1075" s="28" t="n">
        <v>46301.5256979282</v>
      </c>
      <c r="C1075" s="29" t="n">
        <f aca="false">IF(A1076=A1075,B1076,INDEX(Rounds!$D:$D,MATCH(A1075,Rounds!$A:$A,0)))</f>
        <v>46301.5257109144</v>
      </c>
      <c r="D1075" s="30" t="n">
        <f aca="false">(B1075-INDEX(Rounds!$C:$C,MATCH(A1075,Rounds!$A:$A,0)))*86400</f>
        <v>3.148000803</v>
      </c>
      <c r="E1075" s="30" t="n">
        <f aca="false">(C1075-INDEX(Rounds!$C:$C,MATCH(A1075,Rounds!$A:$A,0)))*86400</f>
        <v>4.270000476</v>
      </c>
      <c r="F1075" s="31" t="n">
        <f aca="false">(C1075-B1075)*86400</f>
        <v>1.121999672</v>
      </c>
      <c r="G1075" s="27" t="s">
        <v>150</v>
      </c>
      <c r="H1075" s="27" t="s">
        <v>206</v>
      </c>
      <c r="I1075" s="27" t="s">
        <v>438</v>
      </c>
      <c r="J1075" s="27" t="s">
        <v>408</v>
      </c>
      <c r="K1075" s="27" t="s">
        <v>255</v>
      </c>
      <c r="L1075" s="3" t="str">
        <f aca="false">IF(ISNUMBER(SEARCH(" m",I1075)),"Range",IF(I1075="offline","Offline",IF(I1075="","Unknown","No echo / error")))</f>
        <v>Range</v>
      </c>
      <c r="M1075" s="3" t="str">
        <f aca="false">IF(ISNUMBER(SEARCH(" m",J1075)),"Range",IF(J1075="offline","Offline",IF(J1075="","Unknown","No echo / error")))</f>
        <v>Range</v>
      </c>
      <c r="N1075" s="3" t="str">
        <f aca="false">IF(ISNUMBER(SEARCH(" m",K1075)),"Range",IF(K1075="offline","Offline",IF(K1075="","Unknown","No echo / error")))</f>
        <v>Range</v>
      </c>
      <c r="O1075" s="3" t="str">
        <f aca="false">TEXT(B1075,"yyyy-mm-dd")</f>
        <v>2026-10-06</v>
      </c>
    </row>
    <row r="1076" customFormat="false" ht="15" hidden="false" customHeight="false" outlineLevel="0" collapsed="false">
      <c r="A1076" s="27" t="n">
        <v>17</v>
      </c>
      <c r="B1076" s="28" t="n">
        <v>46301.5257109144</v>
      </c>
      <c r="C1076" s="29" t="n">
        <f aca="false">IF(A1077=A1076,B1077,INDEX(Rounds!$D:$D,MATCH(A1076,Rounds!$A:$A,0)))</f>
        <v>46301.5257597569</v>
      </c>
      <c r="D1076" s="30" t="n">
        <f aca="false">(B1076-INDEX(Rounds!$C:$C,MATCH(A1076,Rounds!$A:$A,0)))*86400</f>
        <v>4.270000476</v>
      </c>
      <c r="E1076" s="30" t="n">
        <f aca="false">(C1076-INDEX(Rounds!$C:$C,MATCH(A1076,Rounds!$A:$A,0)))*86400</f>
        <v>8.490000595</v>
      </c>
      <c r="F1076" s="31" t="n">
        <f aca="false">(C1076-B1076)*86400</f>
        <v>4.220000118</v>
      </c>
      <c r="G1076" s="27" t="s">
        <v>153</v>
      </c>
      <c r="H1076" s="27" t="s">
        <v>508</v>
      </c>
      <c r="I1076" s="27" t="s">
        <v>303</v>
      </c>
      <c r="J1076" s="27" t="s">
        <v>535</v>
      </c>
      <c r="K1076" s="27" t="s">
        <v>240</v>
      </c>
      <c r="L1076" s="3" t="str">
        <f aca="false">IF(ISNUMBER(SEARCH(" m",I1076)),"Range",IF(I1076="offline","Offline",IF(I1076="","Unknown","No echo / error")))</f>
        <v>Range</v>
      </c>
      <c r="M1076" s="3" t="str">
        <f aca="false">IF(ISNUMBER(SEARCH(" m",J1076)),"Range",IF(J1076="offline","Offline",IF(J1076="","Unknown","No echo / error")))</f>
        <v>Range</v>
      </c>
      <c r="N1076" s="3" t="str">
        <f aca="false">IF(ISNUMBER(SEARCH(" m",K1076)),"Range",IF(K1076="offline","Offline",IF(K1076="","Unknown","No echo / error")))</f>
        <v>Range</v>
      </c>
      <c r="O1076" s="3" t="str">
        <f aca="false">TEXT(B1076,"yyyy-mm-dd")</f>
        <v>2026-10-06</v>
      </c>
    </row>
    <row r="1077" customFormat="false" ht="15" hidden="false" customHeight="false" outlineLevel="0" collapsed="false">
      <c r="A1077" s="27" t="n">
        <v>17</v>
      </c>
      <c r="B1077" s="28" t="n">
        <v>46301.5257597569</v>
      </c>
      <c r="C1077" s="29" t="n">
        <f aca="false">IF(A1078=A1077,B1078,INDEX(Rounds!$D:$D,MATCH(A1077,Rounds!$A:$A,0)))</f>
        <v>46301.5257633102</v>
      </c>
      <c r="D1077" s="30" t="n">
        <f aca="false">(B1077-INDEX(Rounds!$C:$C,MATCH(A1077,Rounds!$A:$A,0)))*86400</f>
        <v>8.490000595</v>
      </c>
      <c r="E1077" s="30" t="n">
        <f aca="false">(C1077-INDEX(Rounds!$C:$C,MATCH(A1077,Rounds!$A:$A,0)))*86400</f>
        <v>8.79700079</v>
      </c>
      <c r="F1077" s="31" t="n">
        <f aca="false">(C1077-B1077)*86400</f>
        <v>0.307000195</v>
      </c>
      <c r="G1077" s="27" t="s">
        <v>150</v>
      </c>
      <c r="H1077" s="27" t="s">
        <v>206</v>
      </c>
      <c r="I1077" s="27" t="s">
        <v>301</v>
      </c>
      <c r="J1077" s="27" t="s">
        <v>379</v>
      </c>
      <c r="K1077" s="27" t="s">
        <v>351</v>
      </c>
      <c r="L1077" s="3" t="str">
        <f aca="false">IF(ISNUMBER(SEARCH(" m",I1077)),"Range",IF(I1077="offline","Offline",IF(I1077="","Unknown","No echo / error")))</f>
        <v>Range</v>
      </c>
      <c r="M1077" s="3" t="str">
        <f aca="false">IF(ISNUMBER(SEARCH(" m",J1077)),"Range",IF(J1077="offline","Offline",IF(J1077="","Unknown","No echo / error")))</f>
        <v>Range</v>
      </c>
      <c r="N1077" s="3" t="str">
        <f aca="false">IF(ISNUMBER(SEARCH(" m",K1077)),"Range",IF(K1077="offline","Offline",IF(K1077="","Unknown","No echo / error")))</f>
        <v>Range</v>
      </c>
      <c r="O1077" s="3" t="str">
        <f aca="false">TEXT(B1077,"yyyy-mm-dd")</f>
        <v>2026-10-06</v>
      </c>
    </row>
    <row r="1078" customFormat="false" ht="15" hidden="false" customHeight="false" outlineLevel="0" collapsed="false">
      <c r="A1078" s="27" t="n">
        <v>17</v>
      </c>
      <c r="B1078" s="28" t="n">
        <v>46301.5257633102</v>
      </c>
      <c r="C1078" s="29" t="n">
        <f aca="false">IF(A1079=A1078,B1079,INDEX(Rounds!$D:$D,MATCH(A1078,Rounds!$A:$A,0)))</f>
        <v>46301.5257644213</v>
      </c>
      <c r="D1078" s="30" t="n">
        <f aca="false">(B1078-INDEX(Rounds!$C:$C,MATCH(A1078,Rounds!$A:$A,0)))*86400</f>
        <v>8.79700079</v>
      </c>
      <c r="E1078" s="30" t="n">
        <f aca="false">(C1078-INDEX(Rounds!$C:$C,MATCH(A1078,Rounds!$A:$A,0)))*86400</f>
        <v>8.893000823</v>
      </c>
      <c r="F1078" s="31" t="n">
        <f aca="false">(C1078-B1078)*86400</f>
        <v>0.096000032</v>
      </c>
      <c r="G1078" s="27" t="s">
        <v>151</v>
      </c>
      <c r="H1078" s="27" t="s">
        <v>203</v>
      </c>
      <c r="I1078" s="27" t="s">
        <v>403</v>
      </c>
      <c r="J1078" s="27" t="s">
        <v>510</v>
      </c>
      <c r="K1078" s="27" t="s">
        <v>214</v>
      </c>
      <c r="L1078" s="3" t="str">
        <f aca="false">IF(ISNUMBER(SEARCH(" m",I1078)),"Range",IF(I1078="offline","Offline",IF(I1078="","Unknown","No echo / error")))</f>
        <v>Range</v>
      </c>
      <c r="M1078" s="3" t="str">
        <f aca="false">IF(ISNUMBER(SEARCH(" m",J1078)),"Range",IF(J1078="offline","Offline",IF(J1078="","Unknown","No echo / error")))</f>
        <v>Range</v>
      </c>
      <c r="N1078" s="3" t="str">
        <f aca="false">IF(ISNUMBER(SEARCH(" m",K1078)),"Range",IF(K1078="offline","Offline",IF(K1078="","Unknown","No echo / error")))</f>
        <v>Range</v>
      </c>
      <c r="O1078" s="3" t="str">
        <f aca="false">TEXT(B1078,"yyyy-mm-dd")</f>
        <v>2026-10-06</v>
      </c>
    </row>
    <row r="1079" customFormat="false" ht="15" hidden="false" customHeight="false" outlineLevel="0" collapsed="false">
      <c r="A1079" s="27" t="n">
        <v>17</v>
      </c>
      <c r="B1079" s="28" t="n">
        <v>46301.5257644213</v>
      </c>
      <c r="C1079" s="29" t="n">
        <f aca="false">IF(A1080=A1079,B1080,INDEX(Rounds!$D:$D,MATCH(A1079,Rounds!$A:$A,0)))</f>
        <v>46301.5257702083</v>
      </c>
      <c r="D1079" s="30" t="n">
        <f aca="false">(B1079-INDEX(Rounds!$C:$C,MATCH(A1079,Rounds!$A:$A,0)))*86400</f>
        <v>8.893000823</v>
      </c>
      <c r="E1079" s="30" t="n">
        <f aca="false">(C1079-INDEX(Rounds!$C:$C,MATCH(A1079,Rounds!$A:$A,0)))*86400</f>
        <v>9.393000626</v>
      </c>
      <c r="F1079" s="31" t="n">
        <f aca="false">(C1079-B1079)*86400</f>
        <v>0.499999802</v>
      </c>
      <c r="G1079" s="27" t="s">
        <v>150</v>
      </c>
      <c r="H1079" s="27" t="s">
        <v>206</v>
      </c>
      <c r="I1079" s="27" t="s">
        <v>212</v>
      </c>
      <c r="J1079" s="27" t="s">
        <v>510</v>
      </c>
      <c r="K1079" s="27" t="s">
        <v>214</v>
      </c>
      <c r="L1079" s="3" t="str">
        <f aca="false">IF(ISNUMBER(SEARCH(" m",I1079)),"Range",IF(I1079="offline","Offline",IF(I1079="","Unknown","No echo / error")))</f>
        <v>Range</v>
      </c>
      <c r="M1079" s="3" t="str">
        <f aca="false">IF(ISNUMBER(SEARCH(" m",J1079)),"Range",IF(J1079="offline","Offline",IF(J1079="","Unknown","No echo / error")))</f>
        <v>Range</v>
      </c>
      <c r="N1079" s="3" t="str">
        <f aca="false">IF(ISNUMBER(SEARCH(" m",K1079)),"Range",IF(K1079="offline","Offline",IF(K1079="","Unknown","No echo / error")))</f>
        <v>Range</v>
      </c>
      <c r="O1079" s="3" t="str">
        <f aca="false">TEXT(B1079,"yyyy-mm-dd")</f>
        <v>2026-10-06</v>
      </c>
    </row>
    <row r="1080" customFormat="false" ht="15" hidden="false" customHeight="false" outlineLevel="0" collapsed="false">
      <c r="A1080" s="27" t="n">
        <v>17</v>
      </c>
      <c r="B1080" s="28" t="n">
        <v>46301.5257702083</v>
      </c>
      <c r="C1080" s="29" t="n">
        <f aca="false">IF(A1081=A1080,B1081,INDEX(Rounds!$D:$D,MATCH(A1080,Rounds!$A:$A,0)))</f>
        <v>46301.5257752431</v>
      </c>
      <c r="D1080" s="30" t="n">
        <f aca="false">(B1080-INDEX(Rounds!$C:$C,MATCH(A1080,Rounds!$A:$A,0)))*86400</f>
        <v>9.393000626</v>
      </c>
      <c r="E1080" s="30" t="n">
        <f aca="false">(C1080-INDEX(Rounds!$C:$C,MATCH(A1080,Rounds!$A:$A,0)))*86400</f>
        <v>9.828001284</v>
      </c>
      <c r="F1080" s="31" t="n">
        <f aca="false">(C1080-B1080)*86400</f>
        <v>0.435000658</v>
      </c>
      <c r="G1080" s="27" t="s">
        <v>152</v>
      </c>
      <c r="H1080" s="27" t="s">
        <v>208</v>
      </c>
      <c r="I1080" s="27" t="s">
        <v>277</v>
      </c>
      <c r="J1080" s="27" t="s">
        <v>204</v>
      </c>
      <c r="K1080" s="27" t="s">
        <v>262</v>
      </c>
      <c r="L1080" s="3" t="str">
        <f aca="false">IF(ISNUMBER(SEARCH(" m",I1080)),"Range",IF(I1080="offline","Offline",IF(I1080="","Unknown","No echo / error")))</f>
        <v>Range</v>
      </c>
      <c r="M1080" s="3" t="str">
        <f aca="false">IF(ISNUMBER(SEARCH(" m",J1080)),"Range",IF(J1080="offline","Offline",IF(J1080="","Unknown","No echo / error")))</f>
        <v>No echo / error</v>
      </c>
      <c r="N1080" s="3" t="str">
        <f aca="false">IF(ISNUMBER(SEARCH(" m",K1080)),"Range",IF(K1080="offline","Offline",IF(K1080="","Unknown","No echo / error")))</f>
        <v>Range</v>
      </c>
      <c r="O1080" s="3" t="str">
        <f aca="false">TEXT(B1080,"yyyy-mm-dd")</f>
        <v>2026-10-06</v>
      </c>
    </row>
    <row r="1081" customFormat="false" ht="15" hidden="false" customHeight="false" outlineLevel="0" collapsed="false">
      <c r="A1081" s="27" t="n">
        <v>17</v>
      </c>
      <c r="B1081" s="28" t="n">
        <v>46301.5257752431</v>
      </c>
      <c r="C1081" s="29" t="n">
        <f aca="false">IF(A1082=A1081,B1082,INDEX(Rounds!$D:$D,MATCH(A1081,Rounds!$A:$A,0)))</f>
        <v>46301.5257763426</v>
      </c>
      <c r="D1081" s="30" t="n">
        <f aca="false">(B1081-INDEX(Rounds!$C:$C,MATCH(A1081,Rounds!$A:$A,0)))*86400</f>
        <v>9.828001284</v>
      </c>
      <c r="E1081" s="30" t="n">
        <f aca="false">(C1081-INDEX(Rounds!$C:$C,MATCH(A1081,Rounds!$A:$A,0)))*86400</f>
        <v>9.923000517</v>
      </c>
      <c r="F1081" s="31" t="n">
        <f aca="false">(C1081-B1081)*86400</f>
        <v>0.094999233</v>
      </c>
      <c r="G1081" s="27" t="s">
        <v>151</v>
      </c>
      <c r="H1081" s="27" t="s">
        <v>203</v>
      </c>
      <c r="I1081" s="27" t="s">
        <v>243</v>
      </c>
      <c r="J1081" s="27" t="s">
        <v>317</v>
      </c>
      <c r="K1081" s="27" t="s">
        <v>477</v>
      </c>
      <c r="L1081" s="3" t="str">
        <f aca="false">IF(ISNUMBER(SEARCH(" m",I1081)),"Range",IF(I1081="offline","Offline",IF(I1081="","Unknown","No echo / error")))</f>
        <v>Range</v>
      </c>
      <c r="M1081" s="3" t="str">
        <f aca="false">IF(ISNUMBER(SEARCH(" m",J1081)),"Range",IF(J1081="offline","Offline",IF(J1081="","Unknown","No echo / error")))</f>
        <v>Range</v>
      </c>
      <c r="N1081" s="3" t="str">
        <f aca="false">IF(ISNUMBER(SEARCH(" m",K1081)),"Range",IF(K1081="offline","Offline",IF(K1081="","Unknown","No echo / error")))</f>
        <v>Range</v>
      </c>
      <c r="O1081" s="3" t="str">
        <f aca="false">TEXT(B1081,"yyyy-mm-dd")</f>
        <v>2026-10-06</v>
      </c>
    </row>
    <row r="1082" customFormat="false" ht="15" hidden="false" customHeight="false" outlineLevel="0" collapsed="false">
      <c r="A1082" s="27" t="n">
        <v>17</v>
      </c>
      <c r="B1082" s="28" t="n">
        <v>46301.5257763426</v>
      </c>
      <c r="C1082" s="29" t="n">
        <f aca="false">IF(A1083=A1082,B1083,INDEX(Rounds!$D:$D,MATCH(A1082,Rounds!$A:$A,0)))</f>
        <v>46301.5257820949</v>
      </c>
      <c r="D1082" s="30" t="n">
        <f aca="false">(B1082-INDEX(Rounds!$C:$C,MATCH(A1082,Rounds!$A:$A,0)))*86400</f>
        <v>9.923000517</v>
      </c>
      <c r="E1082" s="30" t="n">
        <f aca="false">(C1082-INDEX(Rounds!$C:$C,MATCH(A1082,Rounds!$A:$A,0)))*86400</f>
        <v>10.419999808</v>
      </c>
      <c r="F1082" s="31" t="n">
        <f aca="false">(C1082-B1082)*86400</f>
        <v>0.49699929</v>
      </c>
      <c r="G1082" s="27" t="s">
        <v>150</v>
      </c>
      <c r="H1082" s="27" t="s">
        <v>206</v>
      </c>
      <c r="I1082" s="27" t="s">
        <v>243</v>
      </c>
      <c r="J1082" s="27" t="s">
        <v>213</v>
      </c>
      <c r="K1082" s="27" t="s">
        <v>477</v>
      </c>
      <c r="L1082" s="3" t="str">
        <f aca="false">IF(ISNUMBER(SEARCH(" m",I1082)),"Range",IF(I1082="offline","Offline",IF(I1082="","Unknown","No echo / error")))</f>
        <v>Range</v>
      </c>
      <c r="M1082" s="3" t="str">
        <f aca="false">IF(ISNUMBER(SEARCH(" m",J1082)),"Range",IF(J1082="offline","Offline",IF(J1082="","Unknown","No echo / error")))</f>
        <v>Range</v>
      </c>
      <c r="N1082" s="3" t="str">
        <f aca="false">IF(ISNUMBER(SEARCH(" m",K1082)),"Range",IF(K1082="offline","Offline",IF(K1082="","Unknown","No echo / error")))</f>
        <v>Range</v>
      </c>
      <c r="O1082" s="3" t="str">
        <f aca="false">TEXT(B1082,"yyyy-mm-dd")</f>
        <v>2026-10-06</v>
      </c>
    </row>
    <row r="1083" customFormat="false" ht="15" hidden="false" customHeight="false" outlineLevel="0" collapsed="false">
      <c r="A1083" s="27" t="n">
        <v>17</v>
      </c>
      <c r="B1083" s="28" t="n">
        <v>46301.5257820949</v>
      </c>
      <c r="C1083" s="29" t="n">
        <f aca="false">IF(A1084=A1083,B1084,INDEX(Rounds!$D:$D,MATCH(A1083,Rounds!$A:$A,0)))</f>
        <v>46301.5257846991</v>
      </c>
      <c r="D1083" s="30" t="n">
        <f aca="false">(B1083-INDEX(Rounds!$C:$C,MATCH(A1083,Rounds!$A:$A,0)))*86400</f>
        <v>10.419999808</v>
      </c>
      <c r="E1083" s="30" t="n">
        <f aca="false">(C1083-INDEX(Rounds!$C:$C,MATCH(A1083,Rounds!$A:$A,0)))*86400</f>
        <v>10.645000473</v>
      </c>
      <c r="F1083" s="31" t="n">
        <f aca="false">(C1083-B1083)*86400</f>
        <v>0.225000665</v>
      </c>
      <c r="G1083" s="27" t="s">
        <v>152</v>
      </c>
      <c r="H1083" s="27" t="s">
        <v>208</v>
      </c>
      <c r="I1083" s="27" t="s">
        <v>204</v>
      </c>
      <c r="J1083" s="27" t="s">
        <v>305</v>
      </c>
      <c r="K1083" s="27" t="s">
        <v>419</v>
      </c>
      <c r="L1083" s="3" t="str">
        <f aca="false">IF(ISNUMBER(SEARCH(" m",I1083)),"Range",IF(I1083="offline","Offline",IF(I1083="","Unknown","No echo / error")))</f>
        <v>No echo / error</v>
      </c>
      <c r="M1083" s="3" t="str">
        <f aca="false">IF(ISNUMBER(SEARCH(" m",J1083)),"Range",IF(J1083="offline","Offline",IF(J1083="","Unknown","No echo / error")))</f>
        <v>Range</v>
      </c>
      <c r="N1083" s="3" t="str">
        <f aca="false">IF(ISNUMBER(SEARCH(" m",K1083)),"Range",IF(K1083="offline","Offline",IF(K1083="","Unknown","No echo / error")))</f>
        <v>Range</v>
      </c>
      <c r="O1083" s="3" t="str">
        <f aca="false">TEXT(B1083,"yyyy-mm-dd")</f>
        <v>2026-10-06</v>
      </c>
    </row>
    <row r="1084" customFormat="false" ht="15" hidden="false" customHeight="false" outlineLevel="0" collapsed="false">
      <c r="A1084" s="27" t="n">
        <v>17</v>
      </c>
      <c r="B1084" s="28" t="n">
        <v>46301.5257846991</v>
      </c>
      <c r="C1084" s="29" t="n">
        <f aca="false">IF(A1085=A1084,B1085,INDEX(Rounds!$D:$D,MATCH(A1084,Rounds!$A:$A,0)))</f>
        <v>46301.5257925695</v>
      </c>
      <c r="D1084" s="30" t="n">
        <f aca="false">(B1084-INDEX(Rounds!$C:$C,MATCH(A1084,Rounds!$A:$A,0)))*86400</f>
        <v>10.645000473</v>
      </c>
      <c r="E1084" s="30" t="n">
        <f aca="false">(C1084-INDEX(Rounds!$C:$C,MATCH(A1084,Rounds!$A:$A,0)))*86400</f>
        <v>11.325001437</v>
      </c>
      <c r="F1084" s="31" t="n">
        <f aca="false">(C1084-B1084)*86400</f>
        <v>0.680000963</v>
      </c>
      <c r="G1084" s="27" t="s">
        <v>151</v>
      </c>
      <c r="H1084" s="27" t="s">
        <v>203</v>
      </c>
      <c r="I1084" s="27" t="s">
        <v>536</v>
      </c>
      <c r="J1084" s="27" t="s">
        <v>372</v>
      </c>
      <c r="K1084" s="27" t="s">
        <v>419</v>
      </c>
      <c r="L1084" s="3" t="str">
        <f aca="false">IF(ISNUMBER(SEARCH(" m",I1084)),"Range",IF(I1084="offline","Offline",IF(I1084="","Unknown","No echo / error")))</f>
        <v>Range</v>
      </c>
      <c r="M1084" s="3" t="str">
        <f aca="false">IF(ISNUMBER(SEARCH(" m",J1084)),"Range",IF(J1084="offline","Offline",IF(J1084="","Unknown","No echo / error")))</f>
        <v>Range</v>
      </c>
      <c r="N1084" s="3" t="str">
        <f aca="false">IF(ISNUMBER(SEARCH(" m",K1084)),"Range",IF(K1084="offline","Offline",IF(K1084="","Unknown","No echo / error")))</f>
        <v>Range</v>
      </c>
      <c r="O1084" s="3" t="str">
        <f aca="false">TEXT(B1084,"yyyy-mm-dd")</f>
        <v>2026-10-06</v>
      </c>
    </row>
    <row r="1085" customFormat="false" ht="15" hidden="false" customHeight="false" outlineLevel="0" collapsed="false">
      <c r="A1085" s="27" t="n">
        <v>17</v>
      </c>
      <c r="B1085" s="28" t="n">
        <v>46301.5257925695</v>
      </c>
      <c r="C1085" s="29" t="n">
        <f aca="false">IF(A1086=A1085,B1086,INDEX(Rounds!$D:$D,MATCH(A1085,Rounds!$A:$A,0)))</f>
        <v>46301.5258058218</v>
      </c>
      <c r="D1085" s="30" t="n">
        <f aca="false">(B1085-INDEX(Rounds!$C:$C,MATCH(A1085,Rounds!$A:$A,0)))*86400</f>
        <v>11.325001437</v>
      </c>
      <c r="E1085" s="30" t="n">
        <f aca="false">(C1085-INDEX(Rounds!$C:$C,MATCH(A1085,Rounds!$A:$A,0)))*86400</f>
        <v>12.470000633</v>
      </c>
      <c r="F1085" s="31" t="n">
        <f aca="false">(C1085-B1085)*86400</f>
        <v>1.144999195</v>
      </c>
      <c r="G1085" s="27" t="s">
        <v>150</v>
      </c>
      <c r="H1085" s="27" t="s">
        <v>206</v>
      </c>
      <c r="I1085" s="27" t="s">
        <v>243</v>
      </c>
      <c r="J1085" s="27" t="s">
        <v>403</v>
      </c>
      <c r="K1085" s="27" t="s">
        <v>226</v>
      </c>
      <c r="L1085" s="3" t="str">
        <f aca="false">IF(ISNUMBER(SEARCH(" m",I1085)),"Range",IF(I1085="offline","Offline",IF(I1085="","Unknown","No echo / error")))</f>
        <v>Range</v>
      </c>
      <c r="M1085" s="3" t="str">
        <f aca="false">IF(ISNUMBER(SEARCH(" m",J1085)),"Range",IF(J1085="offline","Offline",IF(J1085="","Unknown","No echo / error")))</f>
        <v>Range</v>
      </c>
      <c r="N1085" s="3" t="str">
        <f aca="false">IF(ISNUMBER(SEARCH(" m",K1085)),"Range",IF(K1085="offline","Offline",IF(K1085="","Unknown","No echo / error")))</f>
        <v>Range</v>
      </c>
      <c r="O1085" s="3" t="str">
        <f aca="false">TEXT(B1085,"yyyy-mm-dd")</f>
        <v>2026-10-06</v>
      </c>
    </row>
    <row r="1086" customFormat="false" ht="15" hidden="false" customHeight="false" outlineLevel="0" collapsed="false">
      <c r="A1086" s="27" t="n">
        <v>17</v>
      </c>
      <c r="B1086" s="28" t="n">
        <v>46301.5258058218</v>
      </c>
      <c r="C1086" s="29" t="n">
        <f aca="false">IF(A1087=A1086,B1087,INDEX(Rounds!$D:$D,MATCH(A1086,Rounds!$A:$A,0)))</f>
        <v>46301.5258592708</v>
      </c>
      <c r="D1086" s="30" t="n">
        <f aca="false">(B1086-INDEX(Rounds!$C:$C,MATCH(A1086,Rounds!$A:$A,0)))*86400</f>
        <v>12.470000633</v>
      </c>
      <c r="E1086" s="30" t="n">
        <f aca="false">(C1086-INDEX(Rounds!$C:$C,MATCH(A1086,Rounds!$A:$A,0)))*86400</f>
        <v>17.088000127</v>
      </c>
      <c r="F1086" s="31" t="n">
        <f aca="false">(C1086-B1086)*86400</f>
        <v>4.617999494</v>
      </c>
      <c r="G1086" s="27" t="s">
        <v>153</v>
      </c>
      <c r="H1086" s="27" t="s">
        <v>508</v>
      </c>
      <c r="I1086" s="27" t="s">
        <v>248</v>
      </c>
      <c r="J1086" s="27" t="s">
        <v>537</v>
      </c>
      <c r="K1086" s="27" t="s">
        <v>248</v>
      </c>
      <c r="L1086" s="3" t="str">
        <f aca="false">IF(ISNUMBER(SEARCH(" m",I1086)),"Range",IF(I1086="offline","Offline",IF(I1086="","Unknown","No echo / error")))</f>
        <v>Range</v>
      </c>
      <c r="M1086" s="3" t="str">
        <f aca="false">IF(ISNUMBER(SEARCH(" m",J1086)),"Range",IF(J1086="offline","Offline",IF(J1086="","Unknown","No echo / error")))</f>
        <v>Range</v>
      </c>
      <c r="N1086" s="3" t="str">
        <f aca="false">IF(ISNUMBER(SEARCH(" m",K1086)),"Range",IF(K1086="offline","Offline",IF(K1086="","Unknown","No echo / error")))</f>
        <v>Range</v>
      </c>
      <c r="O1086" s="3" t="str">
        <f aca="false">TEXT(B1086,"yyyy-mm-dd")</f>
        <v>2026-10-06</v>
      </c>
    </row>
    <row r="1087" customFormat="false" ht="15" hidden="false" customHeight="false" outlineLevel="0" collapsed="false">
      <c r="A1087" s="27" t="n">
        <v>17</v>
      </c>
      <c r="B1087" s="28" t="n">
        <v>46301.5258592708</v>
      </c>
      <c r="C1087" s="29" t="n">
        <f aca="false">IF(A1088=A1087,B1088,INDEX(Rounds!$D:$D,MATCH(A1087,Rounds!$A:$A,0)))</f>
        <v>46301.5258596412</v>
      </c>
      <c r="D1087" s="30" t="n">
        <f aca="false">(B1087-INDEX(Rounds!$C:$C,MATCH(A1087,Rounds!$A:$A,0)))*86400</f>
        <v>17.088000127</v>
      </c>
      <c r="E1087" s="30" t="n">
        <f aca="false">(C1087-INDEX(Rounds!$C:$C,MATCH(A1087,Rounds!$A:$A,0)))*86400</f>
        <v>17.120000557</v>
      </c>
      <c r="F1087" s="31" t="n">
        <f aca="false">(C1087-B1087)*86400</f>
        <v>0.032000429</v>
      </c>
      <c r="G1087" s="27" t="s">
        <v>152</v>
      </c>
      <c r="H1087" s="27" t="s">
        <v>208</v>
      </c>
      <c r="I1087" s="27" t="s">
        <v>204</v>
      </c>
      <c r="J1087" s="27" t="s">
        <v>339</v>
      </c>
      <c r="K1087" s="27" t="s">
        <v>346</v>
      </c>
      <c r="L1087" s="3" t="str">
        <f aca="false">IF(ISNUMBER(SEARCH(" m",I1087)),"Range",IF(I1087="offline","Offline",IF(I1087="","Unknown","No echo / error")))</f>
        <v>No echo / error</v>
      </c>
      <c r="M1087" s="3" t="str">
        <f aca="false">IF(ISNUMBER(SEARCH(" m",J1087)),"Range",IF(J1087="offline","Offline",IF(J1087="","Unknown","No echo / error")))</f>
        <v>Range</v>
      </c>
      <c r="N1087" s="3" t="str">
        <f aca="false">IF(ISNUMBER(SEARCH(" m",K1087)),"Range",IF(K1087="offline","Offline",IF(K1087="","Unknown","No echo / error")))</f>
        <v>Range</v>
      </c>
      <c r="O1087" s="3" t="str">
        <f aca="false">TEXT(B1087,"yyyy-mm-dd")</f>
        <v>2026-10-06</v>
      </c>
    </row>
    <row r="1088" customFormat="false" ht="15" hidden="false" customHeight="false" outlineLevel="0" collapsed="false">
      <c r="A1088" s="27" t="n">
        <v>17</v>
      </c>
      <c r="B1088" s="28" t="n">
        <v>46301.5258596412</v>
      </c>
      <c r="C1088" s="29" t="n">
        <f aca="false">IF(A1089=A1088,B1089,INDEX(Rounds!$D:$D,MATCH(A1088,Rounds!$A:$A,0)))</f>
        <v>46301.5258710185</v>
      </c>
      <c r="D1088" s="30" t="n">
        <f aca="false">(B1088-INDEX(Rounds!$C:$C,MATCH(A1088,Rounds!$A:$A,0)))*86400</f>
        <v>17.120000557</v>
      </c>
      <c r="E1088" s="30" t="n">
        <f aca="false">(C1088-INDEX(Rounds!$C:$C,MATCH(A1088,Rounds!$A:$A,0)))*86400</f>
        <v>18.103001033</v>
      </c>
      <c r="F1088" s="31" t="n">
        <f aca="false">(C1088-B1088)*86400</f>
        <v>0.983000476</v>
      </c>
      <c r="G1088" s="27" t="s">
        <v>151</v>
      </c>
      <c r="H1088" s="27" t="s">
        <v>203</v>
      </c>
      <c r="I1088" s="27" t="s">
        <v>204</v>
      </c>
      <c r="J1088" s="27" t="s">
        <v>225</v>
      </c>
      <c r="K1088" s="27" t="s">
        <v>346</v>
      </c>
      <c r="L1088" s="3" t="str">
        <f aca="false">IF(ISNUMBER(SEARCH(" m",I1088)),"Range",IF(I1088="offline","Offline",IF(I1088="","Unknown","No echo / error")))</f>
        <v>No echo / error</v>
      </c>
      <c r="M1088" s="3" t="str">
        <f aca="false">IF(ISNUMBER(SEARCH(" m",J1088)),"Range",IF(J1088="offline","Offline",IF(J1088="","Unknown","No echo / error")))</f>
        <v>Range</v>
      </c>
      <c r="N1088" s="3" t="str">
        <f aca="false">IF(ISNUMBER(SEARCH(" m",K1088)),"Range",IF(K1088="offline","Offline",IF(K1088="","Unknown","No echo / error")))</f>
        <v>Range</v>
      </c>
      <c r="O1088" s="3" t="str">
        <f aca="false">TEXT(B1088,"yyyy-mm-dd")</f>
        <v>2026-10-06</v>
      </c>
    </row>
    <row r="1089" customFormat="false" ht="15" hidden="false" customHeight="false" outlineLevel="0" collapsed="false">
      <c r="A1089" s="27" t="n">
        <v>17</v>
      </c>
      <c r="B1089" s="28" t="n">
        <v>46301.5258710185</v>
      </c>
      <c r="C1089" s="29" t="n">
        <f aca="false">IF(A1090=A1089,B1090,INDEX(Rounds!$D:$D,MATCH(A1089,Rounds!$A:$A,0)))</f>
        <v>46301.5259187963</v>
      </c>
      <c r="D1089" s="30" t="n">
        <f aca="false">(B1089-INDEX(Rounds!$C:$C,MATCH(A1089,Rounds!$A:$A,0)))*86400</f>
        <v>18.103001033</v>
      </c>
      <c r="E1089" s="30" t="n">
        <f aca="false">(C1089-INDEX(Rounds!$C:$C,MATCH(A1089,Rounds!$A:$A,0)))*86400</f>
        <v>22.230999916</v>
      </c>
      <c r="F1089" s="31" t="n">
        <f aca="false">(C1089-B1089)*86400</f>
        <v>4.127998882</v>
      </c>
      <c r="G1089" s="27" t="s">
        <v>150</v>
      </c>
      <c r="H1089" s="27" t="s">
        <v>206</v>
      </c>
      <c r="I1089" s="27" t="s">
        <v>241</v>
      </c>
      <c r="J1089" s="27" t="s">
        <v>410</v>
      </c>
      <c r="K1089" s="27" t="s">
        <v>209</v>
      </c>
      <c r="L1089" s="3" t="str">
        <f aca="false">IF(ISNUMBER(SEARCH(" m",I1089)),"Range",IF(I1089="offline","Offline",IF(I1089="","Unknown","No echo / error")))</f>
        <v>Range</v>
      </c>
      <c r="M1089" s="3" t="str">
        <f aca="false">IF(ISNUMBER(SEARCH(" m",J1089)),"Range",IF(J1089="offline","Offline",IF(J1089="","Unknown","No echo / error")))</f>
        <v>Range</v>
      </c>
      <c r="N1089" s="3" t="str">
        <f aca="false">IF(ISNUMBER(SEARCH(" m",K1089)),"Range",IF(K1089="offline","Offline",IF(K1089="","Unknown","No echo / error")))</f>
        <v>Range</v>
      </c>
      <c r="O1089" s="3" t="str">
        <f aca="false">TEXT(B1089,"yyyy-mm-dd")</f>
        <v>2026-10-06</v>
      </c>
    </row>
    <row r="1090" customFormat="false" ht="15" hidden="false" customHeight="false" outlineLevel="0" collapsed="false">
      <c r="A1090" s="27" t="n">
        <v>17</v>
      </c>
      <c r="B1090" s="28" t="n">
        <v>46301.5259187963</v>
      </c>
      <c r="C1090" s="29" t="n">
        <f aca="false">IF(A1091=A1090,B1091,INDEX(Rounds!$D:$D,MATCH(A1090,Rounds!$A:$A,0)))</f>
        <v>46301.5259714236</v>
      </c>
      <c r="D1090" s="30" t="n">
        <f aca="false">(B1090-INDEX(Rounds!$C:$C,MATCH(A1090,Rounds!$A:$A,0)))*86400</f>
        <v>22.230999916</v>
      </c>
      <c r="E1090" s="30" t="n">
        <f aca="false">(C1090-INDEX(Rounds!$C:$C,MATCH(A1090,Rounds!$A:$A,0)))*86400</f>
        <v>26.7780005</v>
      </c>
      <c r="F1090" s="31" t="n">
        <f aca="false">(C1090-B1090)*86400</f>
        <v>4.547000583</v>
      </c>
      <c r="G1090" s="27" t="s">
        <v>153</v>
      </c>
      <c r="H1090" s="27" t="s">
        <v>508</v>
      </c>
      <c r="I1090" s="27" t="s">
        <v>274</v>
      </c>
      <c r="J1090" s="27" t="s">
        <v>538</v>
      </c>
      <c r="K1090" s="27" t="s">
        <v>271</v>
      </c>
      <c r="L1090" s="3" t="str">
        <f aca="false">IF(ISNUMBER(SEARCH(" m",I1090)),"Range",IF(I1090="offline","Offline",IF(I1090="","Unknown","No echo / error")))</f>
        <v>Range</v>
      </c>
      <c r="M1090" s="3" t="str">
        <f aca="false">IF(ISNUMBER(SEARCH(" m",J1090)),"Range",IF(J1090="offline","Offline",IF(J1090="","Unknown","No echo / error")))</f>
        <v>Range</v>
      </c>
      <c r="N1090" s="3" t="str">
        <f aca="false">IF(ISNUMBER(SEARCH(" m",K1090)),"Range",IF(K1090="offline","Offline",IF(K1090="","Unknown","No echo / error")))</f>
        <v>Range</v>
      </c>
      <c r="O1090" s="3" t="str">
        <f aca="false">TEXT(B1090,"yyyy-mm-dd")</f>
        <v>2026-10-06</v>
      </c>
    </row>
    <row r="1091" customFormat="false" ht="15" hidden="false" customHeight="false" outlineLevel="0" collapsed="false">
      <c r="A1091" s="27" t="n">
        <v>17</v>
      </c>
      <c r="B1091" s="28" t="n">
        <v>46301.5259714236</v>
      </c>
      <c r="C1091" s="29" t="n">
        <f aca="false">IF(A1092=A1091,B1092,INDEX(Rounds!$D:$D,MATCH(A1091,Rounds!$A:$A,0)))</f>
        <v>46301.525986331</v>
      </c>
      <c r="D1091" s="30" t="n">
        <f aca="false">(B1091-INDEX(Rounds!$C:$C,MATCH(A1091,Rounds!$A:$A,0)))*86400</f>
        <v>26.7780005</v>
      </c>
      <c r="E1091" s="30" t="n">
        <f aca="false">(C1091-INDEX(Rounds!$C:$C,MATCH(A1091,Rounds!$A:$A,0)))*86400</f>
        <v>28.066000831</v>
      </c>
      <c r="F1091" s="31" t="n">
        <f aca="false">(C1091-B1091)*86400</f>
        <v>1.288000331</v>
      </c>
      <c r="G1091" s="27" t="s">
        <v>150</v>
      </c>
      <c r="H1091" s="27" t="s">
        <v>206</v>
      </c>
      <c r="I1091" s="27" t="s">
        <v>214</v>
      </c>
      <c r="J1091" s="27" t="s">
        <v>225</v>
      </c>
      <c r="K1091" s="27" t="s">
        <v>371</v>
      </c>
      <c r="L1091" s="3" t="str">
        <f aca="false">IF(ISNUMBER(SEARCH(" m",I1091)),"Range",IF(I1091="offline","Offline",IF(I1091="","Unknown","No echo / error")))</f>
        <v>Range</v>
      </c>
      <c r="M1091" s="3" t="str">
        <f aca="false">IF(ISNUMBER(SEARCH(" m",J1091)),"Range",IF(J1091="offline","Offline",IF(J1091="","Unknown","No echo / error")))</f>
        <v>Range</v>
      </c>
      <c r="N1091" s="3" t="str">
        <f aca="false">IF(ISNUMBER(SEARCH(" m",K1091)),"Range",IF(K1091="offline","Offline",IF(K1091="","Unknown","No echo / error")))</f>
        <v>Range</v>
      </c>
      <c r="O1091" s="3" t="str">
        <f aca="false">TEXT(B1091,"yyyy-mm-dd")</f>
        <v>2026-10-06</v>
      </c>
    </row>
    <row r="1092" customFormat="false" ht="15" hidden="false" customHeight="false" outlineLevel="0" collapsed="false">
      <c r="A1092" s="27" t="n">
        <v>17</v>
      </c>
      <c r="B1092" s="28" t="n">
        <v>46301.525986331</v>
      </c>
      <c r="C1092" s="29" t="n">
        <f aca="false">IF(A1093=A1092,B1093,INDEX(Rounds!$D:$D,MATCH(A1092,Rounds!$A:$A,0)))</f>
        <v>46301.5259893171</v>
      </c>
      <c r="D1092" s="30" t="n">
        <f aca="false">(B1092-INDEX(Rounds!$C:$C,MATCH(A1092,Rounds!$A:$A,0)))*86400</f>
        <v>28.066000831</v>
      </c>
      <c r="E1092" s="30" t="n">
        <f aca="false">(C1092-INDEX(Rounds!$C:$C,MATCH(A1092,Rounds!$A:$A,0)))*86400</f>
        <v>28.32400084</v>
      </c>
      <c r="F1092" s="31" t="n">
        <f aca="false">(C1092-B1092)*86400</f>
        <v>0.258000008</v>
      </c>
      <c r="G1092" s="27" t="s">
        <v>151</v>
      </c>
      <c r="H1092" s="27" t="s">
        <v>203</v>
      </c>
      <c r="I1092" s="27" t="s">
        <v>204</v>
      </c>
      <c r="J1092" s="27" t="s">
        <v>379</v>
      </c>
      <c r="K1092" s="27" t="s">
        <v>395</v>
      </c>
      <c r="L1092" s="3" t="str">
        <f aca="false">IF(ISNUMBER(SEARCH(" m",I1092)),"Range",IF(I1092="offline","Offline",IF(I1092="","Unknown","No echo / error")))</f>
        <v>No echo / error</v>
      </c>
      <c r="M1092" s="3" t="str">
        <f aca="false">IF(ISNUMBER(SEARCH(" m",J1092)),"Range",IF(J1092="offline","Offline",IF(J1092="","Unknown","No echo / error")))</f>
        <v>Range</v>
      </c>
      <c r="N1092" s="3" t="str">
        <f aca="false">IF(ISNUMBER(SEARCH(" m",K1092)),"Range",IF(K1092="offline","Offline",IF(K1092="","Unknown","No echo / error")))</f>
        <v>Range</v>
      </c>
      <c r="O1092" s="3" t="str">
        <f aca="false">TEXT(B1092,"yyyy-mm-dd")</f>
        <v>2026-10-06</v>
      </c>
    </row>
    <row r="1093" customFormat="false" ht="15" hidden="false" customHeight="false" outlineLevel="0" collapsed="false">
      <c r="A1093" s="27" t="n">
        <v>17</v>
      </c>
      <c r="B1093" s="28" t="n">
        <v>46301.5259893171</v>
      </c>
      <c r="C1093" s="29" t="n">
        <f aca="false">IF(A1094=A1093,B1094,INDEX(Rounds!$D:$D,MATCH(A1093,Rounds!$A:$A,0)))</f>
        <v>46301.5259976968</v>
      </c>
      <c r="D1093" s="30" t="n">
        <f aca="false">(B1093-INDEX(Rounds!$C:$C,MATCH(A1093,Rounds!$A:$A,0)))*86400</f>
        <v>28.32400084</v>
      </c>
      <c r="E1093" s="30" t="n">
        <f aca="false">(C1093-INDEX(Rounds!$C:$C,MATCH(A1093,Rounds!$A:$A,0)))*86400</f>
        <v>29.048000508</v>
      </c>
      <c r="F1093" s="31" t="n">
        <f aca="false">(C1093-B1093)*86400</f>
        <v>0.723999668</v>
      </c>
      <c r="G1093" s="27" t="s">
        <v>150</v>
      </c>
      <c r="H1093" s="27" t="s">
        <v>206</v>
      </c>
      <c r="I1093" s="27" t="s">
        <v>204</v>
      </c>
      <c r="J1093" s="27" t="s">
        <v>379</v>
      </c>
      <c r="K1093" s="27" t="s">
        <v>291</v>
      </c>
      <c r="L1093" s="3" t="str">
        <f aca="false">IF(ISNUMBER(SEARCH(" m",I1093)),"Range",IF(I1093="offline","Offline",IF(I1093="","Unknown","No echo / error")))</f>
        <v>No echo / error</v>
      </c>
      <c r="M1093" s="3" t="str">
        <f aca="false">IF(ISNUMBER(SEARCH(" m",J1093)),"Range",IF(J1093="offline","Offline",IF(J1093="","Unknown","No echo / error")))</f>
        <v>Range</v>
      </c>
      <c r="N1093" s="3" t="str">
        <f aca="false">IF(ISNUMBER(SEARCH(" m",K1093)),"Range",IF(K1093="offline","Offline",IF(K1093="","Unknown","No echo / error")))</f>
        <v>Range</v>
      </c>
      <c r="O1093" s="3" t="str">
        <f aca="false">TEXT(B1093,"yyyy-mm-dd")</f>
        <v>2026-10-06</v>
      </c>
    </row>
    <row r="1094" customFormat="false" ht="15" hidden="false" customHeight="false" outlineLevel="0" collapsed="false">
      <c r="A1094" s="27" t="n">
        <v>17</v>
      </c>
      <c r="B1094" s="28" t="n">
        <v>46301.5259976968</v>
      </c>
      <c r="C1094" s="29" t="n">
        <f aca="false">IF(A1095=A1094,B1095,INDEX(Rounds!$D:$D,MATCH(A1094,Rounds!$A:$A,0)))</f>
        <v>46301.5259990046</v>
      </c>
      <c r="D1094" s="30" t="n">
        <f aca="false">(B1094-INDEX(Rounds!$C:$C,MATCH(A1094,Rounds!$A:$A,0)))*86400</f>
        <v>29.048000508</v>
      </c>
      <c r="E1094" s="30" t="n">
        <f aca="false">(C1094-INDEX(Rounds!$C:$C,MATCH(A1094,Rounds!$A:$A,0)))*86400</f>
        <v>29.161000926</v>
      </c>
      <c r="F1094" s="31" t="n">
        <f aca="false">(C1094-B1094)*86400</f>
        <v>0.113000418</v>
      </c>
      <c r="G1094" s="27" t="s">
        <v>151</v>
      </c>
      <c r="H1094" s="27" t="s">
        <v>203</v>
      </c>
      <c r="I1094" s="27" t="s">
        <v>274</v>
      </c>
      <c r="J1094" s="27" t="s">
        <v>409</v>
      </c>
      <c r="K1094" s="27" t="s">
        <v>223</v>
      </c>
      <c r="L1094" s="3" t="str">
        <f aca="false">IF(ISNUMBER(SEARCH(" m",I1094)),"Range",IF(I1094="offline","Offline",IF(I1094="","Unknown","No echo / error")))</f>
        <v>Range</v>
      </c>
      <c r="M1094" s="3" t="str">
        <f aca="false">IF(ISNUMBER(SEARCH(" m",J1094)),"Range",IF(J1094="offline","Offline",IF(J1094="","Unknown","No echo / error")))</f>
        <v>Range</v>
      </c>
      <c r="N1094" s="3" t="str">
        <f aca="false">IF(ISNUMBER(SEARCH(" m",K1094)),"Range",IF(K1094="offline","Offline",IF(K1094="","Unknown","No echo / error")))</f>
        <v>Range</v>
      </c>
      <c r="O1094" s="3" t="str">
        <f aca="false">TEXT(B1094,"yyyy-mm-dd")</f>
        <v>2026-10-06</v>
      </c>
    </row>
    <row r="1095" customFormat="false" ht="15" hidden="false" customHeight="false" outlineLevel="0" collapsed="false">
      <c r="A1095" s="27" t="n">
        <v>17</v>
      </c>
      <c r="B1095" s="28" t="n">
        <v>46301.5259990046</v>
      </c>
      <c r="C1095" s="29" t="n">
        <f aca="false">IF(A1096=A1095,B1096,INDEX(Rounds!$D:$D,MATCH(A1095,Rounds!$A:$A,0)))</f>
        <v>46301.5260083333</v>
      </c>
      <c r="D1095" s="30" t="n">
        <f aca="false">(B1095-INDEX(Rounds!$C:$C,MATCH(A1095,Rounds!$A:$A,0)))*86400</f>
        <v>29.161000926</v>
      </c>
      <c r="E1095" s="30" t="n">
        <f aca="false">(C1095-INDEX(Rounds!$C:$C,MATCH(A1095,Rounds!$A:$A,0)))*86400</f>
        <v>29.967000125</v>
      </c>
      <c r="F1095" s="31" t="n">
        <f aca="false">(C1095-B1095)*86400</f>
        <v>0.805999198</v>
      </c>
      <c r="G1095" s="27" t="s">
        <v>150</v>
      </c>
      <c r="H1095" s="27" t="s">
        <v>206</v>
      </c>
      <c r="I1095" s="27" t="s">
        <v>274</v>
      </c>
      <c r="J1095" s="27" t="s">
        <v>409</v>
      </c>
      <c r="K1095" s="27" t="s">
        <v>372</v>
      </c>
      <c r="L1095" s="3" t="str">
        <f aca="false">IF(ISNUMBER(SEARCH(" m",I1095)),"Range",IF(I1095="offline","Offline",IF(I1095="","Unknown","No echo / error")))</f>
        <v>Range</v>
      </c>
      <c r="M1095" s="3" t="str">
        <f aca="false">IF(ISNUMBER(SEARCH(" m",J1095)),"Range",IF(J1095="offline","Offline",IF(J1095="","Unknown","No echo / error")))</f>
        <v>Range</v>
      </c>
      <c r="N1095" s="3" t="str">
        <f aca="false">IF(ISNUMBER(SEARCH(" m",K1095)),"Range",IF(K1095="offline","Offline",IF(K1095="","Unknown","No echo / error")))</f>
        <v>Range</v>
      </c>
      <c r="O1095" s="3" t="str">
        <f aca="false">TEXT(B1095,"yyyy-mm-dd")</f>
        <v>2026-10-06</v>
      </c>
    </row>
    <row r="1096" customFormat="false" ht="15" hidden="false" customHeight="false" outlineLevel="0" collapsed="false">
      <c r="A1096" s="27" t="n">
        <v>17</v>
      </c>
      <c r="B1096" s="28" t="n">
        <v>46301.5260083333</v>
      </c>
      <c r="C1096" s="29" t="n">
        <f aca="false">IF(A1097=A1096,B1097,INDEX(Rounds!$D:$D,MATCH(A1096,Rounds!$A:$A,0)))</f>
        <v>46301.5260111111</v>
      </c>
      <c r="D1096" s="30" t="n">
        <f aca="false">(B1096-INDEX(Rounds!$C:$C,MATCH(A1096,Rounds!$A:$A,0)))*86400</f>
        <v>29.967000125</v>
      </c>
      <c r="E1096" s="30" t="n">
        <f aca="false">(C1096-INDEX(Rounds!$C:$C,MATCH(A1096,Rounds!$A:$A,0)))*86400</f>
        <v>30.207000835</v>
      </c>
      <c r="F1096" s="31" t="n">
        <f aca="false">(C1096-B1096)*86400</f>
        <v>0.240000709</v>
      </c>
      <c r="G1096" s="27" t="s">
        <v>152</v>
      </c>
      <c r="H1096" s="27" t="s">
        <v>208</v>
      </c>
      <c r="I1096" s="27" t="s">
        <v>539</v>
      </c>
      <c r="J1096" s="27" t="s">
        <v>223</v>
      </c>
      <c r="K1096" s="27" t="s">
        <v>233</v>
      </c>
      <c r="L1096" s="3" t="str">
        <f aca="false">IF(ISNUMBER(SEARCH(" m",I1096)),"Range",IF(I1096="offline","Offline",IF(I1096="","Unknown","No echo / error")))</f>
        <v>Range</v>
      </c>
      <c r="M1096" s="3" t="str">
        <f aca="false">IF(ISNUMBER(SEARCH(" m",J1096)),"Range",IF(J1096="offline","Offline",IF(J1096="","Unknown","No echo / error")))</f>
        <v>Range</v>
      </c>
      <c r="N1096" s="3" t="str">
        <f aca="false">IF(ISNUMBER(SEARCH(" m",K1096)),"Range",IF(K1096="offline","Offline",IF(K1096="","Unknown","No echo / error")))</f>
        <v>Range</v>
      </c>
      <c r="O1096" s="3" t="str">
        <f aca="false">TEXT(B1096,"yyyy-mm-dd")</f>
        <v>2026-10-06</v>
      </c>
    </row>
    <row r="1097" customFormat="false" ht="15" hidden="false" customHeight="false" outlineLevel="0" collapsed="false">
      <c r="A1097" s="27" t="n">
        <v>17</v>
      </c>
      <c r="B1097" s="28" t="n">
        <v>46301.5260111111</v>
      </c>
      <c r="C1097" s="29" t="n">
        <f aca="false">IF(A1098=A1097,B1098,INDEX(Rounds!$D:$D,MATCH(A1097,Rounds!$A:$A,0)))</f>
        <v>46301.5260418403</v>
      </c>
      <c r="D1097" s="30" t="n">
        <f aca="false">(B1097-INDEX(Rounds!$C:$C,MATCH(A1097,Rounds!$A:$A,0)))*86400</f>
        <v>30.207000835</v>
      </c>
      <c r="E1097" s="30" t="n">
        <f aca="false">(C1097-INDEX(Rounds!$C:$C,MATCH(A1097,Rounds!$A:$A,0)))*86400</f>
        <v>32.862001145</v>
      </c>
      <c r="F1097" s="31" t="n">
        <f aca="false">(C1097-B1097)*86400</f>
        <v>2.655000309</v>
      </c>
      <c r="G1097" s="27" t="s">
        <v>153</v>
      </c>
      <c r="H1097" s="27" t="s">
        <v>540</v>
      </c>
      <c r="I1097" s="27" t="s">
        <v>539</v>
      </c>
      <c r="J1097" s="27" t="s">
        <v>541</v>
      </c>
      <c r="K1097" s="27" t="s">
        <v>261</v>
      </c>
      <c r="L1097" s="3" t="str">
        <f aca="false">IF(ISNUMBER(SEARCH(" m",I1097)),"Range",IF(I1097="offline","Offline",IF(I1097="","Unknown","No echo / error")))</f>
        <v>Range</v>
      </c>
      <c r="M1097" s="3" t="str">
        <f aca="false">IF(ISNUMBER(SEARCH(" m",J1097)),"Range",IF(J1097="offline","Offline",IF(J1097="","Unknown","No echo / error")))</f>
        <v>Range</v>
      </c>
      <c r="N1097" s="3" t="str">
        <f aca="false">IF(ISNUMBER(SEARCH(" m",K1097)),"Range",IF(K1097="offline","Offline",IF(K1097="","Unknown","No echo / error")))</f>
        <v>Range</v>
      </c>
      <c r="O1097" s="3" t="str">
        <f aca="false">TEXT(B1097,"yyyy-mm-dd")</f>
        <v>2026-10-06</v>
      </c>
    </row>
    <row r="1098" customFormat="false" ht="15" hidden="false" customHeight="false" outlineLevel="0" collapsed="false">
      <c r="A1098" s="27" t="n">
        <v>17</v>
      </c>
      <c r="B1098" s="28" t="n">
        <v>46301.5260418403</v>
      </c>
      <c r="C1098" s="29" t="n">
        <f aca="false">IF(A1099=A1098,B1099,INDEX(Rounds!$D:$D,MATCH(A1098,Rounds!$A:$A,0)))</f>
        <v>46301.5260438889</v>
      </c>
      <c r="D1098" s="30" t="n">
        <f aca="false">(B1098-INDEX(Rounds!$C:$C,MATCH(A1098,Rounds!$A:$A,0)))*86400</f>
        <v>32.862001145</v>
      </c>
      <c r="E1098" s="30" t="n">
        <f aca="false">(C1098-INDEX(Rounds!$C:$C,MATCH(A1098,Rounds!$A:$A,0)))*86400</f>
        <v>33.039000537</v>
      </c>
      <c r="F1098" s="31" t="n">
        <f aca="false">(C1098-B1098)*86400</f>
        <v>0.176999391</v>
      </c>
      <c r="G1098" s="27" t="s">
        <v>151</v>
      </c>
      <c r="H1098" s="27" t="s">
        <v>203</v>
      </c>
      <c r="I1098" s="27" t="s">
        <v>232</v>
      </c>
      <c r="J1098" s="27" t="s">
        <v>215</v>
      </c>
      <c r="K1098" s="27" t="s">
        <v>365</v>
      </c>
      <c r="L1098" s="3" t="str">
        <f aca="false">IF(ISNUMBER(SEARCH(" m",I1098)),"Range",IF(I1098="offline","Offline",IF(I1098="","Unknown","No echo / error")))</f>
        <v>Range</v>
      </c>
      <c r="M1098" s="3" t="str">
        <f aca="false">IF(ISNUMBER(SEARCH(" m",J1098)),"Range",IF(J1098="offline","Offline",IF(J1098="","Unknown","No echo / error")))</f>
        <v>Range</v>
      </c>
      <c r="N1098" s="3" t="str">
        <f aca="false">IF(ISNUMBER(SEARCH(" m",K1098)),"Range",IF(K1098="offline","Offline",IF(K1098="","Unknown","No echo / error")))</f>
        <v>Range</v>
      </c>
      <c r="O1098" s="3" t="str">
        <f aca="false">TEXT(B1098,"yyyy-mm-dd")</f>
        <v>2026-10-06</v>
      </c>
    </row>
    <row r="1099" customFormat="false" ht="15" hidden="false" customHeight="false" outlineLevel="0" collapsed="false">
      <c r="A1099" s="27" t="n">
        <v>17</v>
      </c>
      <c r="B1099" s="28" t="n">
        <v>46301.5260438889</v>
      </c>
      <c r="C1099" s="29" t="n">
        <f aca="false">IF(A1100=A1099,B1100,INDEX(Rounds!$D:$D,MATCH(A1099,Rounds!$A:$A,0)))</f>
        <v>46301.5260628704</v>
      </c>
      <c r="D1099" s="30" t="n">
        <f aca="false">(B1099-INDEX(Rounds!$C:$C,MATCH(A1099,Rounds!$A:$A,0)))*86400</f>
        <v>33.039000537</v>
      </c>
      <c r="E1099" s="30" t="n">
        <f aca="false">(C1099-INDEX(Rounds!$C:$C,MATCH(A1099,Rounds!$A:$A,0)))*86400</f>
        <v>34.679000568</v>
      </c>
      <c r="F1099" s="31" t="n">
        <f aca="false">(C1099-B1099)*86400</f>
        <v>1.640000031</v>
      </c>
      <c r="G1099" s="27" t="s">
        <v>150</v>
      </c>
      <c r="H1099" s="27" t="s">
        <v>206</v>
      </c>
      <c r="I1099" s="27" t="s">
        <v>274</v>
      </c>
      <c r="J1099" s="27" t="s">
        <v>215</v>
      </c>
      <c r="K1099" s="27" t="s">
        <v>261</v>
      </c>
      <c r="L1099" s="3" t="str">
        <f aca="false">IF(ISNUMBER(SEARCH(" m",I1099)),"Range",IF(I1099="offline","Offline",IF(I1099="","Unknown","No echo / error")))</f>
        <v>Range</v>
      </c>
      <c r="M1099" s="3" t="str">
        <f aca="false">IF(ISNUMBER(SEARCH(" m",J1099)),"Range",IF(J1099="offline","Offline",IF(J1099="","Unknown","No echo / error")))</f>
        <v>Range</v>
      </c>
      <c r="N1099" s="3" t="str">
        <f aca="false">IF(ISNUMBER(SEARCH(" m",K1099)),"Range",IF(K1099="offline","Offline",IF(K1099="","Unknown","No echo / error")))</f>
        <v>Range</v>
      </c>
      <c r="O1099" s="3" t="str">
        <f aca="false">TEXT(B1099,"yyyy-mm-dd")</f>
        <v>2026-10-06</v>
      </c>
    </row>
    <row r="1100" customFormat="false" ht="15" hidden="false" customHeight="false" outlineLevel="0" collapsed="false">
      <c r="A1100" s="27" t="n">
        <v>17</v>
      </c>
      <c r="B1100" s="28" t="n">
        <v>46301.5260628704</v>
      </c>
      <c r="C1100" s="29" t="n">
        <f aca="false">IF(A1101=A1100,B1101,INDEX(Rounds!$D:$D,MATCH(A1100,Rounds!$A:$A,0)))</f>
        <v>46301.5260704745</v>
      </c>
      <c r="D1100" s="30" t="n">
        <f aca="false">(B1100-INDEX(Rounds!$C:$C,MATCH(A1100,Rounds!$A:$A,0)))*86400</f>
        <v>34.679000568</v>
      </c>
      <c r="E1100" s="30" t="n">
        <f aca="false">(C1100-INDEX(Rounds!$C:$C,MATCH(A1100,Rounds!$A:$A,0)))*86400</f>
        <v>35.336000751</v>
      </c>
      <c r="F1100" s="31" t="n">
        <f aca="false">(C1100-B1100)*86400</f>
        <v>0.657000183</v>
      </c>
      <c r="G1100" s="27" t="s">
        <v>151</v>
      </c>
      <c r="H1100" s="27" t="s">
        <v>203</v>
      </c>
      <c r="I1100" s="27" t="s">
        <v>453</v>
      </c>
      <c r="J1100" s="27" t="s">
        <v>248</v>
      </c>
      <c r="K1100" s="27" t="s">
        <v>301</v>
      </c>
      <c r="L1100" s="3" t="str">
        <f aca="false">IF(ISNUMBER(SEARCH(" m",I1100)),"Range",IF(I1100="offline","Offline",IF(I1100="","Unknown","No echo / error")))</f>
        <v>Range</v>
      </c>
      <c r="M1100" s="3" t="str">
        <f aca="false">IF(ISNUMBER(SEARCH(" m",J1100)),"Range",IF(J1100="offline","Offline",IF(J1100="","Unknown","No echo / error")))</f>
        <v>Range</v>
      </c>
      <c r="N1100" s="3" t="str">
        <f aca="false">IF(ISNUMBER(SEARCH(" m",K1100)),"Range",IF(K1100="offline","Offline",IF(K1100="","Unknown","No echo / error")))</f>
        <v>Range</v>
      </c>
      <c r="O1100" s="3" t="str">
        <f aca="false">TEXT(B1100,"yyyy-mm-dd")</f>
        <v>2026-10-06</v>
      </c>
    </row>
    <row r="1101" customFormat="false" ht="15" hidden="false" customHeight="false" outlineLevel="0" collapsed="false">
      <c r="A1101" s="27" t="n">
        <v>17</v>
      </c>
      <c r="B1101" s="28" t="n">
        <v>46301.5260704745</v>
      </c>
      <c r="C1101" s="29" t="n">
        <f aca="false">IF(A1102=A1101,B1102,INDEX(Rounds!$D:$D,MATCH(A1101,Rounds!$A:$A,0)))</f>
        <v>46301.5261018287</v>
      </c>
      <c r="D1101" s="30" t="n">
        <f aca="false">(B1101-INDEX(Rounds!$C:$C,MATCH(A1101,Rounds!$A:$A,0)))*86400</f>
        <v>35.336000751</v>
      </c>
      <c r="E1101" s="30" t="n">
        <f aca="false">(C1101-INDEX(Rounds!$C:$C,MATCH(A1101,Rounds!$A:$A,0)))*86400</f>
        <v>38.045001472</v>
      </c>
      <c r="F1101" s="31" t="n">
        <f aca="false">(C1101-B1101)*86400</f>
        <v>2.70900072</v>
      </c>
      <c r="G1101" s="27" t="s">
        <v>153</v>
      </c>
      <c r="H1101" s="27" t="s">
        <v>540</v>
      </c>
      <c r="I1101" s="27" t="s">
        <v>541</v>
      </c>
      <c r="J1101" s="27" t="s">
        <v>272</v>
      </c>
      <c r="K1101" s="27" t="s">
        <v>248</v>
      </c>
      <c r="L1101" s="3" t="str">
        <f aca="false">IF(ISNUMBER(SEARCH(" m",I1101)),"Range",IF(I1101="offline","Offline",IF(I1101="","Unknown","No echo / error")))</f>
        <v>Range</v>
      </c>
      <c r="M1101" s="3" t="str">
        <f aca="false">IF(ISNUMBER(SEARCH(" m",J1101)),"Range",IF(J1101="offline","Offline",IF(J1101="","Unknown","No echo / error")))</f>
        <v>Range</v>
      </c>
      <c r="N1101" s="3" t="str">
        <f aca="false">IF(ISNUMBER(SEARCH(" m",K1101)),"Range",IF(K1101="offline","Offline",IF(K1101="","Unknown","No echo / error")))</f>
        <v>Range</v>
      </c>
      <c r="O1101" s="3" t="str">
        <f aca="false">TEXT(B1101,"yyyy-mm-dd")</f>
        <v>2026-10-06</v>
      </c>
    </row>
    <row r="1102" customFormat="false" ht="15" hidden="false" customHeight="false" outlineLevel="0" collapsed="false">
      <c r="A1102" s="27" t="n">
        <v>17</v>
      </c>
      <c r="B1102" s="28" t="n">
        <v>46301.5261018287</v>
      </c>
      <c r="C1102" s="29" t="n">
        <f aca="false">IF(A1103=A1102,B1103,INDEX(Rounds!$D:$D,MATCH(A1102,Rounds!$A:$A,0)))</f>
        <v>46301.5261087269</v>
      </c>
      <c r="D1102" s="30" t="n">
        <f aca="false">(B1102-INDEX(Rounds!$C:$C,MATCH(A1102,Rounds!$A:$A,0)))*86400</f>
        <v>38.045001472</v>
      </c>
      <c r="E1102" s="30" t="n">
        <f aca="false">(C1102-INDEX(Rounds!$C:$C,MATCH(A1102,Rounds!$A:$A,0)))*86400</f>
        <v>38.641000678</v>
      </c>
      <c r="F1102" s="31" t="n">
        <f aca="false">(C1102-B1102)*86400</f>
        <v>0.595999206</v>
      </c>
      <c r="G1102" s="27" t="s">
        <v>150</v>
      </c>
      <c r="H1102" s="27" t="s">
        <v>206</v>
      </c>
      <c r="I1102" s="27" t="s">
        <v>276</v>
      </c>
      <c r="J1102" s="27" t="s">
        <v>248</v>
      </c>
      <c r="K1102" s="27" t="s">
        <v>291</v>
      </c>
      <c r="L1102" s="3" t="str">
        <f aca="false">IF(ISNUMBER(SEARCH(" m",I1102)),"Range",IF(I1102="offline","Offline",IF(I1102="","Unknown","No echo / error")))</f>
        <v>Range</v>
      </c>
      <c r="M1102" s="3" t="str">
        <f aca="false">IF(ISNUMBER(SEARCH(" m",J1102)),"Range",IF(J1102="offline","Offline",IF(J1102="","Unknown","No echo / error")))</f>
        <v>Range</v>
      </c>
      <c r="N1102" s="3" t="str">
        <f aca="false">IF(ISNUMBER(SEARCH(" m",K1102)),"Range",IF(K1102="offline","Offline",IF(K1102="","Unknown","No echo / error")))</f>
        <v>Range</v>
      </c>
      <c r="O1102" s="3" t="str">
        <f aca="false">TEXT(B1102,"yyyy-mm-dd")</f>
        <v>2026-10-06</v>
      </c>
    </row>
    <row r="1103" customFormat="false" ht="15" hidden="false" customHeight="false" outlineLevel="0" collapsed="false">
      <c r="A1103" s="27" t="n">
        <v>17</v>
      </c>
      <c r="B1103" s="28" t="n">
        <v>46301.5261087269</v>
      </c>
      <c r="C1103" s="29" t="n">
        <f aca="false">IF(A1104=A1103,B1104,INDEX(Rounds!$D:$D,MATCH(A1103,Rounds!$A:$A,0)))</f>
        <v>46301.526113206</v>
      </c>
      <c r="D1103" s="30" t="n">
        <f aca="false">(B1103-INDEX(Rounds!$C:$C,MATCH(A1103,Rounds!$A:$A,0)))*86400</f>
        <v>38.641000678</v>
      </c>
      <c r="E1103" s="30" t="n">
        <f aca="false">(C1103-INDEX(Rounds!$C:$C,MATCH(A1103,Rounds!$A:$A,0)))*86400</f>
        <v>39.028000691</v>
      </c>
      <c r="F1103" s="31" t="n">
        <f aca="false">(C1103-B1103)*86400</f>
        <v>0.387000013</v>
      </c>
      <c r="G1103" s="27" t="s">
        <v>152</v>
      </c>
      <c r="H1103" s="27" t="s">
        <v>208</v>
      </c>
      <c r="I1103" s="27" t="s">
        <v>212</v>
      </c>
      <c r="J1103" s="27" t="s">
        <v>306</v>
      </c>
      <c r="K1103" s="27" t="s">
        <v>377</v>
      </c>
      <c r="L1103" s="3" t="str">
        <f aca="false">IF(ISNUMBER(SEARCH(" m",I1103)),"Range",IF(I1103="offline","Offline",IF(I1103="","Unknown","No echo / error")))</f>
        <v>Range</v>
      </c>
      <c r="M1103" s="3" t="str">
        <f aca="false">IF(ISNUMBER(SEARCH(" m",J1103)),"Range",IF(J1103="offline","Offline",IF(J1103="","Unknown","No echo / error")))</f>
        <v>Range</v>
      </c>
      <c r="N1103" s="3" t="str">
        <f aca="false">IF(ISNUMBER(SEARCH(" m",K1103)),"Range",IF(K1103="offline","Offline",IF(K1103="","Unknown","No echo / error")))</f>
        <v>Range</v>
      </c>
      <c r="O1103" s="3" t="str">
        <f aca="false">TEXT(B1103,"yyyy-mm-dd")</f>
        <v>2026-10-06</v>
      </c>
    </row>
    <row r="1104" customFormat="false" ht="15" hidden="false" customHeight="false" outlineLevel="0" collapsed="false">
      <c r="A1104" s="27" t="n">
        <v>17</v>
      </c>
      <c r="B1104" s="28" t="n">
        <v>46301.526113206</v>
      </c>
      <c r="C1104" s="29" t="n">
        <f aca="false">IF(A1105=A1104,B1105,INDEX(Rounds!$D:$D,MATCH(A1104,Rounds!$A:$A,0)))</f>
        <v>46301.5261145023</v>
      </c>
      <c r="D1104" s="30" t="n">
        <f aca="false">(B1104-INDEX(Rounds!$C:$C,MATCH(A1104,Rounds!$A:$A,0)))*86400</f>
        <v>39.028000691</v>
      </c>
      <c r="E1104" s="30" t="n">
        <f aca="false">(C1104-INDEX(Rounds!$C:$C,MATCH(A1104,Rounds!$A:$A,0)))*86400</f>
        <v>39.140000939</v>
      </c>
      <c r="F1104" s="31" t="n">
        <f aca="false">(C1104-B1104)*86400</f>
        <v>0.112000247</v>
      </c>
      <c r="G1104" s="27" t="s">
        <v>151</v>
      </c>
      <c r="H1104" s="27" t="s">
        <v>203</v>
      </c>
      <c r="I1104" s="27" t="s">
        <v>365</v>
      </c>
      <c r="J1104" s="27" t="s">
        <v>419</v>
      </c>
      <c r="K1104" s="27" t="s">
        <v>291</v>
      </c>
      <c r="L1104" s="3" t="str">
        <f aca="false">IF(ISNUMBER(SEARCH(" m",I1104)),"Range",IF(I1104="offline","Offline",IF(I1104="","Unknown","No echo / error")))</f>
        <v>Range</v>
      </c>
      <c r="M1104" s="3" t="str">
        <f aca="false">IF(ISNUMBER(SEARCH(" m",J1104)),"Range",IF(J1104="offline","Offline",IF(J1104="","Unknown","No echo / error")))</f>
        <v>Range</v>
      </c>
      <c r="N1104" s="3" t="str">
        <f aca="false">IF(ISNUMBER(SEARCH(" m",K1104)),"Range",IF(K1104="offline","Offline",IF(K1104="","Unknown","No echo / error")))</f>
        <v>Range</v>
      </c>
      <c r="O1104" s="3" t="str">
        <f aca="false">TEXT(B1104,"yyyy-mm-dd")</f>
        <v>2026-10-06</v>
      </c>
    </row>
    <row r="1105" customFormat="false" ht="15" hidden="false" customHeight="false" outlineLevel="0" collapsed="false">
      <c r="A1105" s="27" t="n">
        <v>17</v>
      </c>
      <c r="B1105" s="28" t="n">
        <v>46301.5261145023</v>
      </c>
      <c r="C1105" s="29" t="n">
        <f aca="false">IF(A1106=A1105,B1106,INDEX(Rounds!$D:$D,MATCH(A1105,Rounds!$A:$A,0)))</f>
        <v>46301.5261258796</v>
      </c>
      <c r="D1105" s="30" t="n">
        <f aca="false">(B1105-INDEX(Rounds!$C:$C,MATCH(A1105,Rounds!$A:$A,0)))*86400</f>
        <v>39.140000939</v>
      </c>
      <c r="E1105" s="30" t="n">
        <f aca="false">(C1105-INDEX(Rounds!$C:$C,MATCH(A1105,Rounds!$A:$A,0)))*86400</f>
        <v>40.123000787</v>
      </c>
      <c r="F1105" s="31" t="n">
        <f aca="false">(C1105-B1105)*86400</f>
        <v>0.982999848</v>
      </c>
      <c r="G1105" s="27" t="s">
        <v>150</v>
      </c>
      <c r="H1105" s="27" t="s">
        <v>206</v>
      </c>
      <c r="I1105" s="27" t="s">
        <v>365</v>
      </c>
      <c r="J1105" s="27" t="s">
        <v>248</v>
      </c>
      <c r="K1105" s="27" t="s">
        <v>291</v>
      </c>
      <c r="L1105" s="3" t="str">
        <f aca="false">IF(ISNUMBER(SEARCH(" m",I1105)),"Range",IF(I1105="offline","Offline",IF(I1105="","Unknown","No echo / error")))</f>
        <v>Range</v>
      </c>
      <c r="M1105" s="3" t="str">
        <f aca="false">IF(ISNUMBER(SEARCH(" m",J1105)),"Range",IF(J1105="offline","Offline",IF(J1105="","Unknown","No echo / error")))</f>
        <v>Range</v>
      </c>
      <c r="N1105" s="3" t="str">
        <f aca="false">IF(ISNUMBER(SEARCH(" m",K1105)),"Range",IF(K1105="offline","Offline",IF(K1105="","Unknown","No echo / error")))</f>
        <v>Range</v>
      </c>
      <c r="O1105" s="3" t="str">
        <f aca="false">TEXT(B1105,"yyyy-mm-dd")</f>
        <v>2026-10-06</v>
      </c>
    </row>
    <row r="1106" customFormat="false" ht="15" hidden="false" customHeight="false" outlineLevel="0" collapsed="false">
      <c r="A1106" s="27" t="n">
        <v>17</v>
      </c>
      <c r="B1106" s="28" t="n">
        <v>46301.5261258796</v>
      </c>
      <c r="C1106" s="29" t="n">
        <f aca="false">IF(A1107=A1106,B1107,INDEX(Rounds!$D:$D,MATCH(A1106,Rounds!$A:$A,0)))</f>
        <v>46301.5261641551</v>
      </c>
      <c r="D1106" s="30" t="n">
        <f aca="false">(B1106-INDEX(Rounds!$C:$C,MATCH(A1106,Rounds!$A:$A,0)))*86400</f>
        <v>40.123000787</v>
      </c>
      <c r="E1106" s="30" t="n">
        <f aca="false">(C1106-INDEX(Rounds!$C:$C,MATCH(A1106,Rounds!$A:$A,0)))*86400</f>
        <v>43.430000427</v>
      </c>
      <c r="F1106" s="31" t="n">
        <f aca="false">(C1106-B1106)*86400</f>
        <v>3.306999639</v>
      </c>
      <c r="G1106" s="27" t="s">
        <v>153</v>
      </c>
      <c r="H1106" s="27" t="s">
        <v>508</v>
      </c>
      <c r="I1106" s="27" t="s">
        <v>241</v>
      </c>
      <c r="J1106" s="27" t="s">
        <v>537</v>
      </c>
      <c r="K1106" s="27" t="s">
        <v>272</v>
      </c>
      <c r="L1106" s="3" t="str">
        <f aca="false">IF(ISNUMBER(SEARCH(" m",I1106)),"Range",IF(I1106="offline","Offline",IF(I1106="","Unknown","No echo / error")))</f>
        <v>Range</v>
      </c>
      <c r="M1106" s="3" t="str">
        <f aca="false">IF(ISNUMBER(SEARCH(" m",J1106)),"Range",IF(J1106="offline","Offline",IF(J1106="","Unknown","No echo / error")))</f>
        <v>Range</v>
      </c>
      <c r="N1106" s="3" t="str">
        <f aca="false">IF(ISNUMBER(SEARCH(" m",K1106)),"Range",IF(K1106="offline","Offline",IF(K1106="","Unknown","No echo / error")))</f>
        <v>Range</v>
      </c>
      <c r="O1106" s="3" t="str">
        <f aca="false">TEXT(B1106,"yyyy-mm-dd")</f>
        <v>2026-10-06</v>
      </c>
    </row>
    <row r="1107" customFormat="false" ht="15" hidden="false" customHeight="false" outlineLevel="0" collapsed="false">
      <c r="A1107" s="27" t="n">
        <v>17</v>
      </c>
      <c r="B1107" s="28" t="n">
        <v>46301.5261641551</v>
      </c>
      <c r="C1107" s="29" t="n">
        <f aca="false">IF(A1108=A1107,B1108,INDEX(Rounds!$D:$D,MATCH(A1107,Rounds!$A:$A,0)))</f>
        <v>46301.5261708912</v>
      </c>
      <c r="D1107" s="30" t="n">
        <f aca="false">(B1107-INDEX(Rounds!$C:$C,MATCH(A1107,Rounds!$A:$A,0)))*86400</f>
        <v>43.430000427</v>
      </c>
      <c r="E1107" s="30" t="n">
        <f aca="false">(C1107-INDEX(Rounds!$C:$C,MATCH(A1107,Rounds!$A:$A,0)))*86400</f>
        <v>44.012000388</v>
      </c>
      <c r="F1107" s="31" t="n">
        <f aca="false">(C1107-B1107)*86400</f>
        <v>0.581999961</v>
      </c>
      <c r="G1107" s="27" t="s">
        <v>151</v>
      </c>
      <c r="H1107" s="27" t="s">
        <v>203</v>
      </c>
      <c r="I1107" s="27" t="s">
        <v>207</v>
      </c>
      <c r="J1107" s="27" t="s">
        <v>410</v>
      </c>
      <c r="K1107" s="27" t="s">
        <v>204</v>
      </c>
      <c r="L1107" s="3" t="str">
        <f aca="false">IF(ISNUMBER(SEARCH(" m",I1107)),"Range",IF(I1107="offline","Offline",IF(I1107="","Unknown","No echo / error")))</f>
        <v>Range</v>
      </c>
      <c r="M1107" s="3" t="str">
        <f aca="false">IF(ISNUMBER(SEARCH(" m",J1107)),"Range",IF(J1107="offline","Offline",IF(J1107="","Unknown","No echo / error")))</f>
        <v>Range</v>
      </c>
      <c r="N1107" s="3" t="str">
        <f aca="false">IF(ISNUMBER(SEARCH(" m",K1107)),"Range",IF(K1107="offline","Offline",IF(K1107="","Unknown","No echo / error")))</f>
        <v>No echo / error</v>
      </c>
      <c r="O1107" s="3" t="str">
        <f aca="false">TEXT(B1107,"yyyy-mm-dd")</f>
        <v>2026-10-06</v>
      </c>
    </row>
    <row r="1108" customFormat="false" ht="15" hidden="false" customHeight="false" outlineLevel="0" collapsed="false">
      <c r="A1108" s="27" t="n">
        <v>17</v>
      </c>
      <c r="B1108" s="28" t="n">
        <v>46301.5261708912</v>
      </c>
      <c r="C1108" s="29" t="n">
        <f aca="false">IF(A1109=A1108,B1109,INDEX(Rounds!$D:$D,MATCH(A1108,Rounds!$A:$A,0)))</f>
        <v>46301.5262206597</v>
      </c>
      <c r="D1108" s="30" t="n">
        <f aca="false">(B1108-INDEX(Rounds!$C:$C,MATCH(A1108,Rounds!$A:$A,0)))*86400</f>
        <v>44.012000388</v>
      </c>
      <c r="E1108" s="30" t="n">
        <f aca="false">(C1108-INDEX(Rounds!$C:$C,MATCH(A1108,Rounds!$A:$A,0)))*86400</f>
        <v>48.312001582</v>
      </c>
      <c r="F1108" s="31" t="n">
        <f aca="false">(C1108-B1108)*86400</f>
        <v>4.300001193</v>
      </c>
      <c r="G1108" s="27" t="s">
        <v>150</v>
      </c>
      <c r="H1108" s="27" t="s">
        <v>206</v>
      </c>
      <c r="I1108" s="27" t="s">
        <v>219</v>
      </c>
      <c r="J1108" s="27" t="s">
        <v>312</v>
      </c>
      <c r="K1108" s="27" t="s">
        <v>214</v>
      </c>
      <c r="L1108" s="3" t="str">
        <f aca="false">IF(ISNUMBER(SEARCH(" m",I1108)),"Range",IF(I1108="offline","Offline",IF(I1108="","Unknown","No echo / error")))</f>
        <v>Range</v>
      </c>
      <c r="M1108" s="3" t="str">
        <f aca="false">IF(ISNUMBER(SEARCH(" m",J1108)),"Range",IF(J1108="offline","Offline",IF(J1108="","Unknown","No echo / error")))</f>
        <v>Range</v>
      </c>
      <c r="N1108" s="3" t="str">
        <f aca="false">IF(ISNUMBER(SEARCH(" m",K1108)),"Range",IF(K1108="offline","Offline",IF(K1108="","Unknown","No echo / error")))</f>
        <v>Range</v>
      </c>
      <c r="O1108" s="3" t="str">
        <f aca="false">TEXT(B1108,"yyyy-mm-dd")</f>
        <v>2026-10-06</v>
      </c>
    </row>
    <row r="1109" customFormat="false" ht="15" hidden="false" customHeight="false" outlineLevel="0" collapsed="false">
      <c r="A1109" s="27" t="n">
        <v>17</v>
      </c>
      <c r="B1109" s="28" t="n">
        <v>46301.5262206597</v>
      </c>
      <c r="C1109" s="29" t="n">
        <f aca="false">IF(A1110=A1109,B1110,INDEX(Rounds!$D:$D,MATCH(A1109,Rounds!$A:$A,0)))</f>
        <v>46301.5262247454</v>
      </c>
      <c r="D1109" s="30" t="n">
        <f aca="false">(B1109-INDEX(Rounds!$C:$C,MATCH(A1109,Rounds!$A:$A,0)))*86400</f>
        <v>48.312001582</v>
      </c>
      <c r="E1109" s="30" t="n">
        <f aca="false">(C1109-INDEX(Rounds!$C:$C,MATCH(A1109,Rounds!$A:$A,0)))*86400</f>
        <v>48.665000824</v>
      </c>
      <c r="F1109" s="31" t="n">
        <f aca="false">(C1109-B1109)*86400</f>
        <v>0.352999242</v>
      </c>
      <c r="G1109" s="27" t="s">
        <v>151</v>
      </c>
      <c r="H1109" s="27" t="s">
        <v>203</v>
      </c>
      <c r="I1109" s="27" t="s">
        <v>204</v>
      </c>
      <c r="J1109" s="27" t="s">
        <v>382</v>
      </c>
      <c r="K1109" s="27" t="s">
        <v>207</v>
      </c>
      <c r="L1109" s="3" t="str">
        <f aca="false">IF(ISNUMBER(SEARCH(" m",I1109)),"Range",IF(I1109="offline","Offline",IF(I1109="","Unknown","No echo / error")))</f>
        <v>No echo / error</v>
      </c>
      <c r="M1109" s="3" t="str">
        <f aca="false">IF(ISNUMBER(SEARCH(" m",J1109)),"Range",IF(J1109="offline","Offline",IF(J1109="","Unknown","No echo / error")))</f>
        <v>Range</v>
      </c>
      <c r="N1109" s="3" t="str">
        <f aca="false">IF(ISNUMBER(SEARCH(" m",K1109)),"Range",IF(K1109="offline","Offline",IF(K1109="","Unknown","No echo / error")))</f>
        <v>Range</v>
      </c>
      <c r="O1109" s="3" t="str">
        <f aca="false">TEXT(B1109,"yyyy-mm-dd")</f>
        <v>2026-10-06</v>
      </c>
    </row>
    <row r="1110" customFormat="false" ht="15" hidden="false" customHeight="false" outlineLevel="0" collapsed="false">
      <c r="A1110" s="27" t="n">
        <v>17</v>
      </c>
      <c r="B1110" s="28" t="n">
        <v>46301.5262247454</v>
      </c>
      <c r="C1110" s="29" t="n">
        <f aca="false">IF(A1111=A1110,B1111,INDEX(Rounds!$D:$D,MATCH(A1110,Rounds!$A:$A,0)))</f>
        <v>46301.5262392593</v>
      </c>
      <c r="D1110" s="30" t="n">
        <f aca="false">(B1110-INDEX(Rounds!$C:$C,MATCH(A1110,Rounds!$A:$A,0)))*86400</f>
        <v>48.665000824</v>
      </c>
      <c r="E1110" s="30" t="n">
        <f aca="false">(C1110-INDEX(Rounds!$C:$C,MATCH(A1110,Rounds!$A:$A,0)))*86400</f>
        <v>49.919001013</v>
      </c>
      <c r="F1110" s="31" t="n">
        <f aca="false">(C1110-B1110)*86400</f>
        <v>1.254000188</v>
      </c>
      <c r="G1110" s="27" t="s">
        <v>150</v>
      </c>
      <c r="H1110" s="27" t="s">
        <v>206</v>
      </c>
      <c r="I1110" s="27" t="s">
        <v>542</v>
      </c>
      <c r="J1110" s="27" t="s">
        <v>543</v>
      </c>
      <c r="K1110" s="27" t="s">
        <v>287</v>
      </c>
      <c r="L1110" s="3" t="str">
        <f aca="false">IF(ISNUMBER(SEARCH(" m",I1110)),"Range",IF(I1110="offline","Offline",IF(I1110="","Unknown","No echo / error")))</f>
        <v>Range</v>
      </c>
      <c r="M1110" s="3" t="str">
        <f aca="false">IF(ISNUMBER(SEARCH(" m",J1110)),"Range",IF(J1110="offline","Offline",IF(J1110="","Unknown","No echo / error")))</f>
        <v>Range</v>
      </c>
      <c r="N1110" s="3" t="str">
        <f aca="false">IF(ISNUMBER(SEARCH(" m",K1110)),"Range",IF(K1110="offline","Offline",IF(K1110="","Unknown","No echo / error")))</f>
        <v>Range</v>
      </c>
      <c r="O1110" s="3" t="str">
        <f aca="false">TEXT(B1110,"yyyy-mm-dd")</f>
        <v>2026-10-06</v>
      </c>
    </row>
    <row r="1111" customFormat="false" ht="15" hidden="false" customHeight="false" outlineLevel="0" collapsed="false">
      <c r="A1111" s="27" t="n">
        <v>17</v>
      </c>
      <c r="B1111" s="28" t="n">
        <v>46301.5262392593</v>
      </c>
      <c r="C1111" s="29" t="n">
        <f aca="false">IF(A1112=A1111,B1112,INDEX(Rounds!$D:$D,MATCH(A1111,Rounds!$A:$A,0)))</f>
        <v>46301.5262479861</v>
      </c>
      <c r="D1111" s="30" t="n">
        <f aca="false">(B1111-INDEX(Rounds!$C:$C,MATCH(A1111,Rounds!$A:$A,0)))*86400</f>
        <v>49.919001013</v>
      </c>
      <c r="E1111" s="30" t="n">
        <f aca="false">(C1111-INDEX(Rounds!$C:$C,MATCH(A1111,Rounds!$A:$A,0)))*86400</f>
        <v>50.67300077</v>
      </c>
      <c r="F1111" s="31" t="n">
        <f aca="false">(C1111-B1111)*86400</f>
        <v>0.753999757</v>
      </c>
      <c r="G1111" s="27" t="s">
        <v>151</v>
      </c>
      <c r="H1111" s="27" t="s">
        <v>203</v>
      </c>
      <c r="I1111" s="27" t="s">
        <v>312</v>
      </c>
      <c r="J1111" s="27" t="s">
        <v>346</v>
      </c>
      <c r="K1111" s="27" t="s">
        <v>260</v>
      </c>
      <c r="L1111" s="3" t="str">
        <f aca="false">IF(ISNUMBER(SEARCH(" m",I1111)),"Range",IF(I1111="offline","Offline",IF(I1111="","Unknown","No echo / error")))</f>
        <v>Range</v>
      </c>
      <c r="M1111" s="3" t="str">
        <f aca="false">IF(ISNUMBER(SEARCH(" m",J1111)),"Range",IF(J1111="offline","Offline",IF(J1111="","Unknown","No echo / error")))</f>
        <v>Range</v>
      </c>
      <c r="N1111" s="3" t="str">
        <f aca="false">IF(ISNUMBER(SEARCH(" m",K1111)),"Range",IF(K1111="offline","Offline",IF(K1111="","Unknown","No echo / error")))</f>
        <v>Range</v>
      </c>
      <c r="O1111" s="3" t="str">
        <f aca="false">TEXT(B1111,"yyyy-mm-dd")</f>
        <v>2026-10-06</v>
      </c>
    </row>
    <row r="1112" customFormat="false" ht="15" hidden="false" customHeight="false" outlineLevel="0" collapsed="false">
      <c r="A1112" s="27" t="n">
        <v>17</v>
      </c>
      <c r="B1112" s="28" t="n">
        <v>46301.5262479861</v>
      </c>
      <c r="C1112" s="29" t="n">
        <f aca="false">IF(A1113=A1112,B1113,INDEX(Rounds!$D:$D,MATCH(A1112,Rounds!$A:$A,0)))</f>
        <v>46301.5262657176</v>
      </c>
      <c r="D1112" s="30" t="n">
        <f aca="false">(B1112-INDEX(Rounds!$C:$C,MATCH(A1112,Rounds!$A:$A,0)))*86400</f>
        <v>50.67300077</v>
      </c>
      <c r="E1112" s="30" t="n">
        <f aca="false">(C1112-INDEX(Rounds!$C:$C,MATCH(A1112,Rounds!$A:$A,0)))*86400</f>
        <v>52.205000608</v>
      </c>
      <c r="F1112" s="31" t="n">
        <f aca="false">(C1112-B1112)*86400</f>
        <v>1.531999837</v>
      </c>
      <c r="G1112" s="27" t="s">
        <v>150</v>
      </c>
      <c r="H1112" s="27" t="s">
        <v>206</v>
      </c>
      <c r="I1112" s="27" t="s">
        <v>396</v>
      </c>
      <c r="J1112" s="27" t="s">
        <v>420</v>
      </c>
      <c r="K1112" s="27" t="s">
        <v>265</v>
      </c>
      <c r="L1112" s="3" t="str">
        <f aca="false">IF(ISNUMBER(SEARCH(" m",I1112)),"Range",IF(I1112="offline","Offline",IF(I1112="","Unknown","No echo / error")))</f>
        <v>Range</v>
      </c>
      <c r="M1112" s="3" t="str">
        <f aca="false">IF(ISNUMBER(SEARCH(" m",J1112)),"Range",IF(J1112="offline","Offline",IF(J1112="","Unknown","No echo / error")))</f>
        <v>Range</v>
      </c>
      <c r="N1112" s="3" t="str">
        <f aca="false">IF(ISNUMBER(SEARCH(" m",K1112)),"Range",IF(K1112="offline","Offline",IF(K1112="","Unknown","No echo / error")))</f>
        <v>Range</v>
      </c>
      <c r="O1112" s="3" t="str">
        <f aca="false">TEXT(B1112,"yyyy-mm-dd")</f>
        <v>2026-10-06</v>
      </c>
    </row>
    <row r="1113" customFormat="false" ht="15" hidden="false" customHeight="false" outlineLevel="0" collapsed="false">
      <c r="A1113" s="27" t="n">
        <v>17</v>
      </c>
      <c r="B1113" s="28" t="n">
        <v>46301.5262657176</v>
      </c>
      <c r="C1113" s="29" t="n">
        <f aca="false">IF(A1114=A1113,B1114,INDEX(Rounds!$D:$D,MATCH(A1113,Rounds!$A:$A,0)))</f>
        <v>46301.526276331</v>
      </c>
      <c r="D1113" s="30" t="n">
        <f aca="false">(B1113-INDEX(Rounds!$C:$C,MATCH(A1113,Rounds!$A:$A,0)))*86400</f>
        <v>52.205000608</v>
      </c>
      <c r="E1113" s="30" t="n">
        <f aca="false">(C1113-INDEX(Rounds!$C:$C,MATCH(A1113,Rounds!$A:$A,0)))*86400</f>
        <v>53.122000512</v>
      </c>
      <c r="F1113" s="31" t="n">
        <f aca="false">(C1113-B1113)*86400</f>
        <v>0.916999904</v>
      </c>
      <c r="G1113" s="27" t="s">
        <v>152</v>
      </c>
      <c r="H1113" s="27" t="s">
        <v>208</v>
      </c>
      <c r="I1113" s="27" t="s">
        <v>225</v>
      </c>
      <c r="J1113" s="27" t="s">
        <v>420</v>
      </c>
      <c r="K1113" s="27" t="s">
        <v>274</v>
      </c>
      <c r="L1113" s="3" t="str">
        <f aca="false">IF(ISNUMBER(SEARCH(" m",I1113)),"Range",IF(I1113="offline","Offline",IF(I1113="","Unknown","No echo / error")))</f>
        <v>Range</v>
      </c>
      <c r="M1113" s="3" t="str">
        <f aca="false">IF(ISNUMBER(SEARCH(" m",J1113)),"Range",IF(J1113="offline","Offline",IF(J1113="","Unknown","No echo / error")))</f>
        <v>Range</v>
      </c>
      <c r="N1113" s="3" t="str">
        <f aca="false">IF(ISNUMBER(SEARCH(" m",K1113)),"Range",IF(K1113="offline","Offline",IF(K1113="","Unknown","No echo / error")))</f>
        <v>Range</v>
      </c>
      <c r="O1113" s="3" t="str">
        <f aca="false">TEXT(B1113,"yyyy-mm-dd")</f>
        <v>2026-10-06</v>
      </c>
    </row>
    <row r="1114" customFormat="false" ht="15" hidden="false" customHeight="false" outlineLevel="0" collapsed="false">
      <c r="A1114" s="27" t="n">
        <v>17</v>
      </c>
      <c r="B1114" s="28" t="n">
        <v>46301.526276331</v>
      </c>
      <c r="C1114" s="29" t="n">
        <f aca="false">IF(A1115=A1114,B1115,INDEX(Rounds!$D:$D,MATCH(A1114,Rounds!$A:$A,0)))</f>
        <v>46301.5262776505</v>
      </c>
      <c r="D1114" s="30" t="n">
        <f aca="false">(B1114-INDEX(Rounds!$C:$C,MATCH(A1114,Rounds!$A:$A,0)))*86400</f>
        <v>53.122000512</v>
      </c>
      <c r="E1114" s="30" t="n">
        <f aca="false">(C1114-INDEX(Rounds!$C:$C,MATCH(A1114,Rounds!$A:$A,0)))*86400</f>
        <v>53.236000472</v>
      </c>
      <c r="F1114" s="31" t="n">
        <f aca="false">(C1114-B1114)*86400</f>
        <v>0.11399996</v>
      </c>
      <c r="G1114" s="27" t="s">
        <v>151</v>
      </c>
      <c r="H1114" s="27" t="s">
        <v>203</v>
      </c>
      <c r="I1114" s="27" t="s">
        <v>312</v>
      </c>
      <c r="J1114" s="27" t="s">
        <v>529</v>
      </c>
      <c r="K1114" s="27" t="s">
        <v>274</v>
      </c>
      <c r="L1114" s="3" t="str">
        <f aca="false">IF(ISNUMBER(SEARCH(" m",I1114)),"Range",IF(I1114="offline","Offline",IF(I1114="","Unknown","No echo / error")))</f>
        <v>Range</v>
      </c>
      <c r="M1114" s="3" t="str">
        <f aca="false">IF(ISNUMBER(SEARCH(" m",J1114)),"Range",IF(J1114="offline","Offline",IF(J1114="","Unknown","No echo / error")))</f>
        <v>Range</v>
      </c>
      <c r="N1114" s="3" t="str">
        <f aca="false">IF(ISNUMBER(SEARCH(" m",K1114)),"Range",IF(K1114="offline","Offline",IF(K1114="","Unknown","No echo / error")))</f>
        <v>Range</v>
      </c>
      <c r="O1114" s="3" t="str">
        <f aca="false">TEXT(B1114,"yyyy-mm-dd")</f>
        <v>2026-10-06</v>
      </c>
    </row>
    <row r="1115" customFormat="false" ht="15" hidden="false" customHeight="false" outlineLevel="0" collapsed="false">
      <c r="A1115" s="27" t="n">
        <v>17</v>
      </c>
      <c r="B1115" s="28" t="n">
        <v>46301.5262776505</v>
      </c>
      <c r="C1115" s="29" t="n">
        <f aca="false">IF(A1116=A1115,B1116,INDEX(Rounds!$D:$D,MATCH(A1115,Rounds!$A:$A,0)))</f>
        <v>46301.5262832407</v>
      </c>
      <c r="D1115" s="30" t="n">
        <f aca="false">(B1115-INDEX(Rounds!$C:$C,MATCH(A1115,Rounds!$A:$A,0)))*86400</f>
        <v>53.236000472</v>
      </c>
      <c r="E1115" s="30" t="n">
        <f aca="false">(C1115-INDEX(Rounds!$C:$C,MATCH(A1115,Rounds!$A:$A,0)))*86400</f>
        <v>53.719000518</v>
      </c>
      <c r="F1115" s="31" t="n">
        <f aca="false">(C1115-B1115)*86400</f>
        <v>0.483000045</v>
      </c>
      <c r="G1115" s="27" t="s">
        <v>150</v>
      </c>
      <c r="H1115" s="27" t="s">
        <v>206</v>
      </c>
      <c r="I1115" s="27" t="s">
        <v>312</v>
      </c>
      <c r="J1115" s="27" t="s">
        <v>322</v>
      </c>
      <c r="K1115" s="27" t="s">
        <v>274</v>
      </c>
      <c r="L1115" s="3" t="str">
        <f aca="false">IF(ISNUMBER(SEARCH(" m",I1115)),"Range",IF(I1115="offline","Offline",IF(I1115="","Unknown","No echo / error")))</f>
        <v>Range</v>
      </c>
      <c r="M1115" s="3" t="str">
        <f aca="false">IF(ISNUMBER(SEARCH(" m",J1115)),"Range",IF(J1115="offline","Offline",IF(J1115="","Unknown","No echo / error")))</f>
        <v>Range</v>
      </c>
      <c r="N1115" s="3" t="str">
        <f aca="false">IF(ISNUMBER(SEARCH(" m",K1115)),"Range",IF(K1115="offline","Offline",IF(K1115="","Unknown","No echo / error")))</f>
        <v>Range</v>
      </c>
      <c r="O1115" s="3" t="str">
        <f aca="false">TEXT(B1115,"yyyy-mm-dd")</f>
        <v>2026-10-06</v>
      </c>
    </row>
    <row r="1116" customFormat="false" ht="15" hidden="false" customHeight="false" outlineLevel="0" collapsed="false">
      <c r="A1116" s="27" t="n">
        <v>17</v>
      </c>
      <c r="B1116" s="28" t="n">
        <v>46301.5262832407</v>
      </c>
      <c r="C1116" s="29" t="n">
        <f aca="false">IF(A1117=A1116,B1117,INDEX(Rounds!$D:$D,MATCH(A1116,Rounds!$A:$A,0)))</f>
        <v>46301.5262858449</v>
      </c>
      <c r="D1116" s="30" t="n">
        <f aca="false">(B1116-INDEX(Rounds!$C:$C,MATCH(A1116,Rounds!$A:$A,0)))*86400</f>
        <v>53.719000518</v>
      </c>
      <c r="E1116" s="30" t="n">
        <f aca="false">(C1116-INDEX(Rounds!$C:$C,MATCH(A1116,Rounds!$A:$A,0)))*86400</f>
        <v>53.944001183</v>
      </c>
      <c r="F1116" s="31" t="n">
        <f aca="false">(C1116-B1116)*86400</f>
        <v>0.225000665</v>
      </c>
      <c r="G1116" s="27" t="s">
        <v>152</v>
      </c>
      <c r="H1116" s="27" t="s">
        <v>208</v>
      </c>
      <c r="I1116" s="27" t="s">
        <v>521</v>
      </c>
      <c r="J1116" s="27" t="s">
        <v>322</v>
      </c>
      <c r="K1116" s="27" t="s">
        <v>346</v>
      </c>
      <c r="L1116" s="3" t="str">
        <f aca="false">IF(ISNUMBER(SEARCH(" m",I1116)),"Range",IF(I1116="offline","Offline",IF(I1116="","Unknown","No echo / error")))</f>
        <v>Range</v>
      </c>
      <c r="M1116" s="3" t="str">
        <f aca="false">IF(ISNUMBER(SEARCH(" m",J1116)),"Range",IF(J1116="offline","Offline",IF(J1116="","Unknown","No echo / error")))</f>
        <v>Range</v>
      </c>
      <c r="N1116" s="3" t="str">
        <f aca="false">IF(ISNUMBER(SEARCH(" m",K1116)),"Range",IF(K1116="offline","Offline",IF(K1116="","Unknown","No echo / error")))</f>
        <v>Range</v>
      </c>
      <c r="O1116" s="3" t="str">
        <f aca="false">TEXT(B1116,"yyyy-mm-dd")</f>
        <v>2026-10-06</v>
      </c>
    </row>
    <row r="1117" customFormat="false" ht="15" hidden="false" customHeight="false" outlineLevel="0" collapsed="false">
      <c r="A1117" s="27" t="n">
        <v>17</v>
      </c>
      <c r="B1117" s="28" t="n">
        <v>46301.5262858449</v>
      </c>
      <c r="C1117" s="29" t="n">
        <f aca="false">IF(A1118=A1117,B1118,INDEX(Rounds!$D:$D,MATCH(A1117,Rounds!$A:$A,0)))</f>
        <v>46301.5263041435</v>
      </c>
      <c r="D1117" s="30" t="n">
        <f aca="false">(B1117-INDEX(Rounds!$C:$C,MATCH(A1117,Rounds!$A:$A,0)))*86400</f>
        <v>53.944001183</v>
      </c>
      <c r="E1117" s="30" t="n">
        <f aca="false">(C1117-INDEX(Rounds!$C:$C,MATCH(A1117,Rounds!$A:$A,0)))*86400</f>
        <v>55.525000579</v>
      </c>
      <c r="F1117" s="31" t="n">
        <f aca="false">(C1117-B1117)*86400</f>
        <v>1.580999395</v>
      </c>
      <c r="G1117" s="27" t="s">
        <v>151</v>
      </c>
      <c r="H1117" s="27" t="s">
        <v>203</v>
      </c>
      <c r="I1117" s="27" t="s">
        <v>521</v>
      </c>
      <c r="J1117" s="27" t="s">
        <v>543</v>
      </c>
      <c r="K1117" s="27" t="s">
        <v>346</v>
      </c>
      <c r="L1117" s="3" t="str">
        <f aca="false">IF(ISNUMBER(SEARCH(" m",I1117)),"Range",IF(I1117="offline","Offline",IF(I1117="","Unknown","No echo / error")))</f>
        <v>Range</v>
      </c>
      <c r="M1117" s="3" t="str">
        <f aca="false">IF(ISNUMBER(SEARCH(" m",J1117)),"Range",IF(J1117="offline","Offline",IF(J1117="","Unknown","No echo / error")))</f>
        <v>Range</v>
      </c>
      <c r="N1117" s="3" t="str">
        <f aca="false">IF(ISNUMBER(SEARCH(" m",K1117)),"Range",IF(K1117="offline","Offline",IF(K1117="","Unknown","No echo / error")))</f>
        <v>Range</v>
      </c>
      <c r="O1117" s="3" t="str">
        <f aca="false">TEXT(B1117,"yyyy-mm-dd")</f>
        <v>2026-10-06</v>
      </c>
    </row>
    <row r="1118" customFormat="false" ht="15" hidden="false" customHeight="false" outlineLevel="0" collapsed="false">
      <c r="A1118" s="27" t="n">
        <v>17</v>
      </c>
      <c r="B1118" s="28" t="n">
        <v>46301.5263041435</v>
      </c>
      <c r="C1118" s="29" t="n">
        <f aca="false">IF(A1119=A1118,B1119,INDEX(Rounds!$D:$D,MATCH(A1118,Rounds!$A:$A,0)))</f>
        <v>46301.5263253819</v>
      </c>
      <c r="D1118" s="30" t="n">
        <f aca="false">(B1118-INDEX(Rounds!$C:$C,MATCH(A1118,Rounds!$A:$A,0)))*86400</f>
        <v>55.525000579</v>
      </c>
      <c r="E1118" s="30" t="n">
        <f aca="false">(C1118-INDEX(Rounds!$C:$C,MATCH(A1118,Rounds!$A:$A,0)))*86400</f>
        <v>57.360000559</v>
      </c>
      <c r="F1118" s="31" t="n">
        <f aca="false">(C1118-B1118)*86400</f>
        <v>1.834999979</v>
      </c>
      <c r="G1118" s="27" t="s">
        <v>150</v>
      </c>
      <c r="H1118" s="27" t="s">
        <v>206</v>
      </c>
      <c r="I1118" s="27" t="s">
        <v>510</v>
      </c>
      <c r="J1118" s="27" t="s">
        <v>513</v>
      </c>
      <c r="K1118" s="27" t="s">
        <v>238</v>
      </c>
      <c r="L1118" s="3" t="str">
        <f aca="false">IF(ISNUMBER(SEARCH(" m",I1118)),"Range",IF(I1118="offline","Offline",IF(I1118="","Unknown","No echo / error")))</f>
        <v>Range</v>
      </c>
      <c r="M1118" s="3" t="str">
        <f aca="false">IF(ISNUMBER(SEARCH(" m",J1118)),"Range",IF(J1118="offline","Offline",IF(J1118="","Unknown","No echo / error")))</f>
        <v>Range</v>
      </c>
      <c r="N1118" s="3" t="str">
        <f aca="false">IF(ISNUMBER(SEARCH(" m",K1118)),"Range",IF(K1118="offline","Offline",IF(K1118="","Unknown","No echo / error")))</f>
        <v>Range</v>
      </c>
      <c r="O1118" s="3" t="str">
        <f aca="false">TEXT(B1118,"yyyy-mm-dd")</f>
        <v>2026-10-06</v>
      </c>
    </row>
    <row r="1119" customFormat="false" ht="15" hidden="false" customHeight="false" outlineLevel="0" collapsed="false">
      <c r="A1119" s="27" t="n">
        <v>17</v>
      </c>
      <c r="B1119" s="28" t="n">
        <v>46301.5263253819</v>
      </c>
      <c r="C1119" s="29" t="n">
        <f aca="false">IF(A1120=A1119,B1120,INDEX(Rounds!$D:$D,MATCH(A1119,Rounds!$A:$A,0)))</f>
        <v>46301.5263311343</v>
      </c>
      <c r="D1119" s="30" t="n">
        <f aca="false">(B1119-INDEX(Rounds!$C:$C,MATCH(A1119,Rounds!$A:$A,0)))*86400</f>
        <v>57.360000559</v>
      </c>
      <c r="E1119" s="30" t="n">
        <f aca="false">(C1119-INDEX(Rounds!$C:$C,MATCH(A1119,Rounds!$A:$A,0)))*86400</f>
        <v>57.857000478</v>
      </c>
      <c r="F1119" s="31" t="n">
        <f aca="false">(C1119-B1119)*86400</f>
        <v>0.496999919</v>
      </c>
      <c r="G1119" s="27" t="s">
        <v>151</v>
      </c>
      <c r="H1119" s="27" t="s">
        <v>203</v>
      </c>
      <c r="I1119" s="27" t="s">
        <v>271</v>
      </c>
      <c r="J1119" s="27" t="s">
        <v>475</v>
      </c>
      <c r="K1119" s="27" t="s">
        <v>212</v>
      </c>
      <c r="L1119" s="3" t="str">
        <f aca="false">IF(ISNUMBER(SEARCH(" m",I1119)),"Range",IF(I1119="offline","Offline",IF(I1119="","Unknown","No echo / error")))</f>
        <v>Range</v>
      </c>
      <c r="M1119" s="3" t="str">
        <f aca="false">IF(ISNUMBER(SEARCH(" m",J1119)),"Range",IF(J1119="offline","Offline",IF(J1119="","Unknown","No echo / error")))</f>
        <v>Range</v>
      </c>
      <c r="N1119" s="3" t="str">
        <f aca="false">IF(ISNUMBER(SEARCH(" m",K1119)),"Range",IF(K1119="offline","Offline",IF(K1119="","Unknown","No echo / error")))</f>
        <v>Range</v>
      </c>
      <c r="O1119" s="3" t="str">
        <f aca="false">TEXT(B1119,"yyyy-mm-dd")</f>
        <v>2026-10-06</v>
      </c>
    </row>
    <row r="1120" customFormat="false" ht="15" hidden="false" customHeight="false" outlineLevel="0" collapsed="false">
      <c r="A1120" s="27" t="n">
        <v>17</v>
      </c>
      <c r="B1120" s="28" t="n">
        <v>46301.5263311343</v>
      </c>
      <c r="C1120" s="29" t="n">
        <f aca="false">IF(A1121=A1120,B1121,INDEX(Rounds!$D:$D,MATCH(A1120,Rounds!$A:$A,0)))</f>
        <v>46301.5263357639</v>
      </c>
      <c r="D1120" s="30" t="n">
        <f aca="false">(B1120-INDEX(Rounds!$C:$C,MATCH(A1120,Rounds!$A:$A,0)))*86400</f>
        <v>57.857000478</v>
      </c>
      <c r="E1120" s="30" t="n">
        <f aca="false">(C1120-INDEX(Rounds!$C:$C,MATCH(A1120,Rounds!$A:$A,0)))*86400</f>
        <v>58.257000823</v>
      </c>
      <c r="F1120" s="31" t="n">
        <f aca="false">(C1120-B1120)*86400</f>
        <v>0.400000344</v>
      </c>
      <c r="G1120" s="27" t="s">
        <v>152</v>
      </c>
      <c r="H1120" s="27" t="s">
        <v>208</v>
      </c>
      <c r="I1120" s="27" t="s">
        <v>250</v>
      </c>
      <c r="J1120" s="27" t="s">
        <v>204</v>
      </c>
      <c r="K1120" s="27" t="s">
        <v>248</v>
      </c>
      <c r="L1120" s="3" t="str">
        <f aca="false">IF(ISNUMBER(SEARCH(" m",I1120)),"Range",IF(I1120="offline","Offline",IF(I1120="","Unknown","No echo / error")))</f>
        <v>Range</v>
      </c>
      <c r="M1120" s="3" t="str">
        <f aca="false">IF(ISNUMBER(SEARCH(" m",J1120)),"Range",IF(J1120="offline","Offline",IF(J1120="","Unknown","No echo / error")))</f>
        <v>No echo / error</v>
      </c>
      <c r="N1120" s="3" t="str">
        <f aca="false">IF(ISNUMBER(SEARCH(" m",K1120)),"Range",IF(K1120="offline","Offline",IF(K1120="","Unknown","No echo / error")))</f>
        <v>Range</v>
      </c>
      <c r="O1120" s="3" t="str">
        <f aca="false">TEXT(B1120,"yyyy-mm-dd")</f>
        <v>2026-10-06</v>
      </c>
    </row>
    <row r="1121" customFormat="false" ht="15" hidden="false" customHeight="false" outlineLevel="0" collapsed="false">
      <c r="A1121" s="27" t="n">
        <v>17</v>
      </c>
      <c r="B1121" s="28" t="n">
        <v>46301.5263357639</v>
      </c>
      <c r="C1121" s="29" t="n">
        <f aca="false">IF(A1122=A1121,B1122,INDEX(Rounds!$D:$D,MATCH(A1121,Rounds!$A:$A,0)))</f>
        <v>46301.5263463426</v>
      </c>
      <c r="D1121" s="30" t="n">
        <f aca="false">(B1121-INDEX(Rounds!$C:$C,MATCH(A1121,Rounds!$A:$A,0)))*86400</f>
        <v>58.257000823</v>
      </c>
      <c r="E1121" s="30" t="n">
        <f aca="false">(C1121-INDEX(Rounds!$C:$C,MATCH(A1121,Rounds!$A:$A,0)))*86400</f>
        <v>59.171000216</v>
      </c>
      <c r="F1121" s="31" t="n">
        <f aca="false">(C1121-B1121)*86400</f>
        <v>0.913999392</v>
      </c>
      <c r="G1121" s="27" t="s">
        <v>151</v>
      </c>
      <c r="H1121" s="27" t="s">
        <v>203</v>
      </c>
      <c r="I1121" s="27" t="s">
        <v>242</v>
      </c>
      <c r="J1121" s="27" t="s">
        <v>204</v>
      </c>
      <c r="K1121" s="27" t="s">
        <v>248</v>
      </c>
      <c r="L1121" s="3" t="str">
        <f aca="false">IF(ISNUMBER(SEARCH(" m",I1121)),"Range",IF(I1121="offline","Offline",IF(I1121="","Unknown","No echo / error")))</f>
        <v>Range</v>
      </c>
      <c r="M1121" s="3" t="str">
        <f aca="false">IF(ISNUMBER(SEARCH(" m",J1121)),"Range",IF(J1121="offline","Offline",IF(J1121="","Unknown","No echo / error")))</f>
        <v>No echo / error</v>
      </c>
      <c r="N1121" s="3" t="str">
        <f aca="false">IF(ISNUMBER(SEARCH(" m",K1121)),"Range",IF(K1121="offline","Offline",IF(K1121="","Unknown","No echo / error")))</f>
        <v>Range</v>
      </c>
      <c r="O1121" s="3" t="str">
        <f aca="false">TEXT(B1121,"yyyy-mm-dd")</f>
        <v>2026-10-06</v>
      </c>
    </row>
    <row r="1122" customFormat="false" ht="15" hidden="false" customHeight="false" outlineLevel="0" collapsed="false">
      <c r="A1122" s="27" t="n">
        <v>17</v>
      </c>
      <c r="B1122" s="28" t="n">
        <v>46301.5263463426</v>
      </c>
      <c r="C1122" s="29" t="n">
        <f aca="false">IF(A1123=A1122,B1123,INDEX(Rounds!$D:$D,MATCH(A1122,Rounds!$A:$A,0)))</f>
        <v>46301.5263606597</v>
      </c>
      <c r="D1122" s="30" t="n">
        <f aca="false">(B1122-INDEX(Rounds!$C:$C,MATCH(A1122,Rounds!$A:$A,0)))*86400</f>
        <v>59.171000216</v>
      </c>
      <c r="E1122" s="30" t="n">
        <f aca="false">(C1122-INDEX(Rounds!$C:$C,MATCH(A1122,Rounds!$A:$A,0)))*86400</f>
        <v>60.408000648</v>
      </c>
      <c r="F1122" s="31" t="n">
        <f aca="false">(C1122-B1122)*86400</f>
        <v>1.237000431</v>
      </c>
      <c r="G1122" s="27" t="s">
        <v>150</v>
      </c>
      <c r="H1122" s="27" t="s">
        <v>206</v>
      </c>
      <c r="I1122" s="27" t="s">
        <v>201</v>
      </c>
      <c r="J1122" s="27" t="s">
        <v>204</v>
      </c>
      <c r="K1122" s="27" t="s">
        <v>307</v>
      </c>
      <c r="L1122" s="3" t="str">
        <f aca="false">IF(ISNUMBER(SEARCH(" m",I1122)),"Range",IF(I1122="offline","Offline",IF(I1122="","Unknown","No echo / error")))</f>
        <v>Range</v>
      </c>
      <c r="M1122" s="3" t="str">
        <f aca="false">IF(ISNUMBER(SEARCH(" m",J1122)),"Range",IF(J1122="offline","Offline",IF(J1122="","Unknown","No echo / error")))</f>
        <v>No echo / error</v>
      </c>
      <c r="N1122" s="3" t="str">
        <f aca="false">IF(ISNUMBER(SEARCH(" m",K1122)),"Range",IF(K1122="offline","Offline",IF(K1122="","Unknown","No echo / error")))</f>
        <v>Range</v>
      </c>
      <c r="O1122" s="3" t="str">
        <f aca="false">TEXT(B1122,"yyyy-mm-dd")</f>
        <v>2026-10-06</v>
      </c>
    </row>
    <row r="1123" customFormat="false" ht="15" hidden="false" customHeight="false" outlineLevel="0" collapsed="false">
      <c r="A1123" s="27" t="n">
        <v>17</v>
      </c>
      <c r="B1123" s="28" t="n">
        <v>46301.5263606597</v>
      </c>
      <c r="C1123" s="29" t="n">
        <f aca="false">IF(A1124=A1123,B1124,INDEX(Rounds!$D:$D,MATCH(A1123,Rounds!$A:$A,0)))</f>
        <v>46301.5263669907</v>
      </c>
      <c r="D1123" s="30" t="n">
        <f aca="false">(B1123-INDEX(Rounds!$C:$C,MATCH(A1123,Rounds!$A:$A,0)))*86400</f>
        <v>60.408000648</v>
      </c>
      <c r="E1123" s="30" t="n">
        <f aca="false">(C1123-INDEX(Rounds!$C:$C,MATCH(A1123,Rounds!$A:$A,0)))*86400</f>
        <v>60.955000924</v>
      </c>
      <c r="F1123" s="31" t="n">
        <f aca="false">(C1123-B1123)*86400</f>
        <v>0.547000276</v>
      </c>
      <c r="G1123" s="27" t="s">
        <v>152</v>
      </c>
      <c r="H1123" s="27" t="s">
        <v>208</v>
      </c>
      <c r="I1123" s="27" t="s">
        <v>243</v>
      </c>
      <c r="J1123" s="27" t="s">
        <v>505</v>
      </c>
      <c r="K1123" s="27" t="s">
        <v>248</v>
      </c>
      <c r="L1123" s="3" t="str">
        <f aca="false">IF(ISNUMBER(SEARCH(" m",I1123)),"Range",IF(I1123="offline","Offline",IF(I1123="","Unknown","No echo / error")))</f>
        <v>Range</v>
      </c>
      <c r="M1123" s="3" t="str">
        <f aca="false">IF(ISNUMBER(SEARCH(" m",J1123)),"Range",IF(J1123="offline","Offline",IF(J1123="","Unknown","No echo / error")))</f>
        <v>Range</v>
      </c>
      <c r="N1123" s="3" t="str">
        <f aca="false">IF(ISNUMBER(SEARCH(" m",K1123)),"Range",IF(K1123="offline","Offline",IF(K1123="","Unknown","No echo / error")))</f>
        <v>Range</v>
      </c>
      <c r="O1123" s="3" t="str">
        <f aca="false">TEXT(B1123,"yyyy-mm-dd")</f>
        <v>2026-10-06</v>
      </c>
    </row>
    <row r="1124" customFormat="false" ht="15" hidden="false" customHeight="false" outlineLevel="0" collapsed="false">
      <c r="A1124" s="27" t="n">
        <v>17</v>
      </c>
      <c r="B1124" s="28" t="n">
        <v>46301.5263669907</v>
      </c>
      <c r="C1124" s="29" t="n">
        <f aca="false">IF(A1125=A1124,B1125,INDEX(Rounds!$D:$D,MATCH(A1124,Rounds!$A:$A,0)))</f>
        <v>46301.5263725695</v>
      </c>
      <c r="D1124" s="30" t="n">
        <f aca="false">(B1124-INDEX(Rounds!$C:$C,MATCH(A1124,Rounds!$A:$A,0)))*86400</f>
        <v>60.955000924</v>
      </c>
      <c r="E1124" s="30" t="n">
        <f aca="false">(C1124-INDEX(Rounds!$C:$C,MATCH(A1124,Rounds!$A:$A,0)))*86400</f>
        <v>61.437001428</v>
      </c>
      <c r="F1124" s="31" t="n">
        <f aca="false">(C1124-B1124)*86400</f>
        <v>0.482000503</v>
      </c>
      <c r="G1124" s="27" t="s">
        <v>151</v>
      </c>
      <c r="H1124" s="27" t="s">
        <v>203</v>
      </c>
      <c r="I1124" s="27" t="s">
        <v>211</v>
      </c>
      <c r="J1124" s="27" t="s">
        <v>505</v>
      </c>
      <c r="K1124" s="27" t="s">
        <v>303</v>
      </c>
      <c r="L1124" s="3" t="str">
        <f aca="false">IF(ISNUMBER(SEARCH(" m",I1124)),"Range",IF(I1124="offline","Offline",IF(I1124="","Unknown","No echo / error")))</f>
        <v>No echo / error</v>
      </c>
      <c r="M1124" s="3" t="str">
        <f aca="false">IF(ISNUMBER(SEARCH(" m",J1124)),"Range",IF(J1124="offline","Offline",IF(J1124="","Unknown","No echo / error")))</f>
        <v>Range</v>
      </c>
      <c r="N1124" s="3" t="str">
        <f aca="false">IF(ISNUMBER(SEARCH(" m",K1124)),"Range",IF(K1124="offline","Offline",IF(K1124="","Unknown","No echo / error")))</f>
        <v>Range</v>
      </c>
      <c r="O1124" s="3" t="str">
        <f aca="false">TEXT(B1124,"yyyy-mm-dd")</f>
        <v>2026-10-06</v>
      </c>
    </row>
    <row r="1125" customFormat="false" ht="15" hidden="false" customHeight="false" outlineLevel="0" collapsed="false">
      <c r="A1125" s="27" t="n">
        <v>17</v>
      </c>
      <c r="B1125" s="28" t="n">
        <v>46301.5263725695</v>
      </c>
      <c r="C1125" s="29" t="n">
        <f aca="false">IF(A1126=A1125,B1126,INDEX(Rounds!$D:$D,MATCH(A1125,Rounds!$A:$A,0)))</f>
        <v>46301.5263753588</v>
      </c>
      <c r="D1125" s="30" t="n">
        <f aca="false">(B1125-INDEX(Rounds!$C:$C,MATCH(A1125,Rounds!$A:$A,0)))*86400</f>
        <v>61.437001428</v>
      </c>
      <c r="E1125" s="30" t="n">
        <f aca="false">(C1125-INDEX(Rounds!$C:$C,MATCH(A1125,Rounds!$A:$A,0)))*86400</f>
        <v>61.678000423</v>
      </c>
      <c r="F1125" s="31" t="n">
        <f aca="false">(C1125-B1125)*86400</f>
        <v>0.240998994</v>
      </c>
      <c r="G1125" s="27" t="s">
        <v>152</v>
      </c>
      <c r="H1125" s="27" t="s">
        <v>208</v>
      </c>
      <c r="I1125" s="27" t="s">
        <v>294</v>
      </c>
      <c r="J1125" s="27" t="s">
        <v>505</v>
      </c>
      <c r="K1125" s="27" t="s">
        <v>248</v>
      </c>
      <c r="L1125" s="3" t="str">
        <f aca="false">IF(ISNUMBER(SEARCH(" m",I1125)),"Range",IF(I1125="offline","Offline",IF(I1125="","Unknown","No echo / error")))</f>
        <v>Range</v>
      </c>
      <c r="M1125" s="3" t="str">
        <f aca="false">IF(ISNUMBER(SEARCH(" m",J1125)),"Range",IF(J1125="offline","Offline",IF(J1125="","Unknown","No echo / error")))</f>
        <v>Range</v>
      </c>
      <c r="N1125" s="3" t="str">
        <f aca="false">IF(ISNUMBER(SEARCH(" m",K1125)),"Range",IF(K1125="offline","Offline",IF(K1125="","Unknown","No echo / error")))</f>
        <v>Range</v>
      </c>
      <c r="O1125" s="3" t="str">
        <f aca="false">TEXT(B1125,"yyyy-mm-dd")</f>
        <v>2026-10-06</v>
      </c>
    </row>
    <row r="1126" customFormat="false" ht="15" hidden="false" customHeight="false" outlineLevel="0" collapsed="false">
      <c r="A1126" s="27" t="n">
        <v>17</v>
      </c>
      <c r="B1126" s="28" t="n">
        <v>46301.5263753588</v>
      </c>
      <c r="C1126" s="29" t="n">
        <f aca="false">IF(A1127=A1126,B1127,INDEX(Rounds!$D:$D,MATCH(A1126,Rounds!$A:$A,0)))</f>
        <v>46301.5263810995</v>
      </c>
      <c r="D1126" s="30" t="n">
        <f aca="false">(B1126-INDEX(Rounds!$C:$C,MATCH(A1126,Rounds!$A:$A,0)))*86400</f>
        <v>61.678000423</v>
      </c>
      <c r="E1126" s="30" t="n">
        <f aca="false">(C1126-INDEX(Rounds!$C:$C,MATCH(A1126,Rounds!$A:$A,0)))*86400</f>
        <v>62.1740008</v>
      </c>
      <c r="F1126" s="31" t="n">
        <f aca="false">(C1126-B1126)*86400</f>
        <v>0.496000377</v>
      </c>
      <c r="G1126" s="27" t="s">
        <v>151</v>
      </c>
      <c r="H1126" s="27" t="s">
        <v>203</v>
      </c>
      <c r="I1126" s="27" t="s">
        <v>294</v>
      </c>
      <c r="J1126" s="27" t="s">
        <v>204</v>
      </c>
      <c r="K1126" s="27" t="s">
        <v>272</v>
      </c>
      <c r="L1126" s="3" t="str">
        <f aca="false">IF(ISNUMBER(SEARCH(" m",I1126)),"Range",IF(I1126="offline","Offline",IF(I1126="","Unknown","No echo / error")))</f>
        <v>Range</v>
      </c>
      <c r="M1126" s="3" t="str">
        <f aca="false">IF(ISNUMBER(SEARCH(" m",J1126)),"Range",IF(J1126="offline","Offline",IF(J1126="","Unknown","No echo / error")))</f>
        <v>No echo / error</v>
      </c>
      <c r="N1126" s="3" t="str">
        <f aca="false">IF(ISNUMBER(SEARCH(" m",K1126)),"Range",IF(K1126="offline","Offline",IF(K1126="","Unknown","No echo / error")))</f>
        <v>Range</v>
      </c>
      <c r="O1126" s="3" t="str">
        <f aca="false">TEXT(B1126,"yyyy-mm-dd")</f>
        <v>2026-10-06</v>
      </c>
    </row>
    <row r="1127" customFormat="false" ht="15" hidden="false" customHeight="false" outlineLevel="0" collapsed="false">
      <c r="A1127" s="27" t="n">
        <v>17</v>
      </c>
      <c r="B1127" s="28" t="n">
        <v>46301.5263810995</v>
      </c>
      <c r="C1127" s="29" t="n">
        <f aca="false">IF(A1128=A1127,B1128,INDEX(Rounds!$D:$D,MATCH(A1127,Rounds!$A:$A,0)))</f>
        <v>46301.5263825926</v>
      </c>
      <c r="D1127" s="30" t="n">
        <f aca="false">(B1127-INDEX(Rounds!$C:$C,MATCH(A1127,Rounds!$A:$A,0)))*86400</f>
        <v>62.1740008</v>
      </c>
      <c r="E1127" s="30" t="n">
        <f aca="false">(C1127-INDEX(Rounds!$C:$C,MATCH(A1127,Rounds!$A:$A,0)))*86400</f>
        <v>62.303000176</v>
      </c>
      <c r="F1127" s="31" t="n">
        <f aca="false">(C1127-B1127)*86400</f>
        <v>0.128999375</v>
      </c>
      <c r="G1127" s="27" t="s">
        <v>152</v>
      </c>
      <c r="H1127" s="27" t="s">
        <v>208</v>
      </c>
      <c r="I1127" s="27" t="s">
        <v>453</v>
      </c>
      <c r="J1127" s="27" t="s">
        <v>204</v>
      </c>
      <c r="K1127" s="27" t="s">
        <v>272</v>
      </c>
      <c r="L1127" s="3" t="str">
        <f aca="false">IF(ISNUMBER(SEARCH(" m",I1127)),"Range",IF(I1127="offline","Offline",IF(I1127="","Unknown","No echo / error")))</f>
        <v>Range</v>
      </c>
      <c r="M1127" s="3" t="str">
        <f aca="false">IF(ISNUMBER(SEARCH(" m",J1127)),"Range",IF(J1127="offline","Offline",IF(J1127="","Unknown","No echo / error")))</f>
        <v>No echo / error</v>
      </c>
      <c r="N1127" s="3" t="str">
        <f aca="false">IF(ISNUMBER(SEARCH(" m",K1127)),"Range",IF(K1127="offline","Offline",IF(K1127="","Unknown","No echo / error")))</f>
        <v>Range</v>
      </c>
      <c r="O1127" s="3" t="str">
        <f aca="false">TEXT(B1127,"yyyy-mm-dd")</f>
        <v>2026-10-06</v>
      </c>
    </row>
    <row r="1128" customFormat="false" ht="15" hidden="false" customHeight="false" outlineLevel="0" collapsed="false">
      <c r="A1128" s="27" t="n">
        <v>17</v>
      </c>
      <c r="B1128" s="28" t="n">
        <v>46301.5263825926</v>
      </c>
      <c r="C1128" s="29" t="n">
        <f aca="false">IF(A1129=A1128,B1129,INDEX(Rounds!$D:$D,MATCH(A1128,Rounds!$A:$A,0)))</f>
        <v>46301.5263842708</v>
      </c>
      <c r="D1128" s="30" t="n">
        <f aca="false">(B1128-INDEX(Rounds!$C:$C,MATCH(A1128,Rounds!$A:$A,0)))*86400</f>
        <v>62.303000176</v>
      </c>
      <c r="E1128" s="30" t="n">
        <f aca="false">(C1128-INDEX(Rounds!$C:$C,MATCH(A1128,Rounds!$A:$A,0)))*86400</f>
        <v>62.448000395</v>
      </c>
      <c r="F1128" s="31" t="n">
        <f aca="false">(C1128-B1128)*86400</f>
        <v>0.145000219</v>
      </c>
      <c r="G1128" s="27" t="s">
        <v>151</v>
      </c>
      <c r="H1128" s="27" t="s">
        <v>203</v>
      </c>
      <c r="I1128" s="27" t="s">
        <v>237</v>
      </c>
      <c r="J1128" s="27" t="s">
        <v>204</v>
      </c>
      <c r="K1128" s="27" t="s">
        <v>272</v>
      </c>
      <c r="L1128" s="3" t="str">
        <f aca="false">IF(ISNUMBER(SEARCH(" m",I1128)),"Range",IF(I1128="offline","Offline",IF(I1128="","Unknown","No echo / error")))</f>
        <v>Range</v>
      </c>
      <c r="M1128" s="3" t="str">
        <f aca="false">IF(ISNUMBER(SEARCH(" m",J1128)),"Range",IF(J1128="offline","Offline",IF(J1128="","Unknown","No echo / error")))</f>
        <v>No echo / error</v>
      </c>
      <c r="N1128" s="3" t="str">
        <f aca="false">IF(ISNUMBER(SEARCH(" m",K1128)),"Range",IF(K1128="offline","Offline",IF(K1128="","Unknown","No echo / error")))</f>
        <v>Range</v>
      </c>
      <c r="O1128" s="3" t="str">
        <f aca="false">TEXT(B1128,"yyyy-mm-dd")</f>
        <v>2026-10-06</v>
      </c>
    </row>
    <row r="1129" customFormat="false" ht="15" hidden="false" customHeight="false" outlineLevel="0" collapsed="false">
      <c r="A1129" s="27" t="n">
        <v>17</v>
      </c>
      <c r="B1129" s="28" t="n">
        <v>46301.5263842708</v>
      </c>
      <c r="C1129" s="29" t="n">
        <f aca="false">IF(A1130=A1129,B1130,INDEX(Rounds!$D:$D,MATCH(A1129,Rounds!$A:$A,0)))</f>
        <v>46301.5263952315</v>
      </c>
      <c r="D1129" s="30" t="n">
        <f aca="false">(B1129-INDEX(Rounds!$C:$C,MATCH(A1129,Rounds!$A:$A,0)))*86400</f>
        <v>62.448000395</v>
      </c>
      <c r="E1129" s="30" t="n">
        <f aca="false">(C1129-INDEX(Rounds!$C:$C,MATCH(A1129,Rounds!$A:$A,0)))*86400</f>
        <v>63.395000388</v>
      </c>
      <c r="F1129" s="31" t="n">
        <f aca="false">(C1129-B1129)*86400</f>
        <v>0.946999993</v>
      </c>
      <c r="G1129" s="27" t="s">
        <v>150</v>
      </c>
      <c r="H1129" s="27" t="s">
        <v>206</v>
      </c>
      <c r="I1129" s="27" t="s">
        <v>237</v>
      </c>
      <c r="J1129" s="27" t="s">
        <v>204</v>
      </c>
      <c r="K1129" s="27" t="s">
        <v>307</v>
      </c>
      <c r="L1129" s="3" t="str">
        <f aca="false">IF(ISNUMBER(SEARCH(" m",I1129)),"Range",IF(I1129="offline","Offline",IF(I1129="","Unknown","No echo / error")))</f>
        <v>Range</v>
      </c>
      <c r="M1129" s="3" t="str">
        <f aca="false">IF(ISNUMBER(SEARCH(" m",J1129)),"Range",IF(J1129="offline","Offline",IF(J1129="","Unknown","No echo / error")))</f>
        <v>No echo / error</v>
      </c>
      <c r="N1129" s="3" t="str">
        <f aca="false">IF(ISNUMBER(SEARCH(" m",K1129)),"Range",IF(K1129="offline","Offline",IF(K1129="","Unknown","No echo / error")))</f>
        <v>Range</v>
      </c>
      <c r="O1129" s="3" t="str">
        <f aca="false">TEXT(B1129,"yyyy-mm-dd")</f>
        <v>2026-10-06</v>
      </c>
    </row>
    <row r="1130" customFormat="false" ht="15" hidden="false" customHeight="false" outlineLevel="0" collapsed="false">
      <c r="A1130" s="27" t="n">
        <v>17</v>
      </c>
      <c r="B1130" s="28" t="n">
        <v>46301.5263952315</v>
      </c>
      <c r="C1130" s="29" t="n">
        <f aca="false">IF(A1131=A1130,B1131,INDEX(Rounds!$D:$D,MATCH(A1130,Rounds!$A:$A,0)))</f>
        <v>46301.5263969097</v>
      </c>
      <c r="D1130" s="30" t="n">
        <f aca="false">(B1130-INDEX(Rounds!$C:$C,MATCH(A1130,Rounds!$A:$A,0)))*86400</f>
        <v>63.395000388</v>
      </c>
      <c r="E1130" s="30" t="n">
        <f aca="false">(C1130-INDEX(Rounds!$C:$C,MATCH(A1130,Rounds!$A:$A,0)))*86400</f>
        <v>63.540000608</v>
      </c>
      <c r="F1130" s="31" t="n">
        <f aca="false">(C1130-B1130)*86400</f>
        <v>0.145000219</v>
      </c>
      <c r="G1130" s="27" t="s">
        <v>151</v>
      </c>
      <c r="H1130" s="27" t="s">
        <v>203</v>
      </c>
      <c r="I1130" s="27" t="s">
        <v>204</v>
      </c>
      <c r="J1130" s="27" t="s">
        <v>474</v>
      </c>
      <c r="K1130" s="27" t="s">
        <v>396</v>
      </c>
      <c r="L1130" s="3" t="str">
        <f aca="false">IF(ISNUMBER(SEARCH(" m",I1130)),"Range",IF(I1130="offline","Offline",IF(I1130="","Unknown","No echo / error")))</f>
        <v>No echo / error</v>
      </c>
      <c r="M1130" s="3" t="str">
        <f aca="false">IF(ISNUMBER(SEARCH(" m",J1130)),"Range",IF(J1130="offline","Offline",IF(J1130="","Unknown","No echo / error")))</f>
        <v>Range</v>
      </c>
      <c r="N1130" s="3" t="str">
        <f aca="false">IF(ISNUMBER(SEARCH(" m",K1130)),"Range",IF(K1130="offline","Offline",IF(K1130="","Unknown","No echo / error")))</f>
        <v>Range</v>
      </c>
      <c r="O1130" s="3" t="str">
        <f aca="false">TEXT(B1130,"yyyy-mm-dd")</f>
        <v>2026-10-06</v>
      </c>
    </row>
    <row r="1131" customFormat="false" ht="15" hidden="false" customHeight="false" outlineLevel="0" collapsed="false">
      <c r="A1131" s="27" t="n">
        <v>17</v>
      </c>
      <c r="B1131" s="28" t="n">
        <v>46301.5263969097</v>
      </c>
      <c r="C1131" s="29" t="n">
        <f aca="false">IF(A1132=A1131,B1132,INDEX(Rounds!$D:$D,MATCH(A1131,Rounds!$A:$A,0)))</f>
        <v>46301.5264133102</v>
      </c>
      <c r="D1131" s="30" t="n">
        <f aca="false">(B1131-INDEX(Rounds!$C:$C,MATCH(A1131,Rounds!$A:$A,0)))*86400</f>
        <v>63.540000608</v>
      </c>
      <c r="E1131" s="30" t="n">
        <f aca="false">(C1131-INDEX(Rounds!$C:$C,MATCH(A1131,Rounds!$A:$A,0)))*86400</f>
        <v>64.957000943</v>
      </c>
      <c r="F1131" s="31" t="n">
        <f aca="false">(C1131-B1131)*86400</f>
        <v>1.417000335</v>
      </c>
      <c r="G1131" s="27" t="s">
        <v>150</v>
      </c>
      <c r="H1131" s="27" t="s">
        <v>206</v>
      </c>
      <c r="I1131" s="27" t="s">
        <v>204</v>
      </c>
      <c r="J1131" s="27" t="s">
        <v>474</v>
      </c>
      <c r="K1131" s="27" t="s">
        <v>301</v>
      </c>
      <c r="L1131" s="3" t="str">
        <f aca="false">IF(ISNUMBER(SEARCH(" m",I1131)),"Range",IF(I1131="offline","Offline",IF(I1131="","Unknown","No echo / error")))</f>
        <v>No echo / error</v>
      </c>
      <c r="M1131" s="3" t="str">
        <f aca="false">IF(ISNUMBER(SEARCH(" m",J1131)),"Range",IF(J1131="offline","Offline",IF(J1131="","Unknown","No echo / error")))</f>
        <v>Range</v>
      </c>
      <c r="N1131" s="3" t="str">
        <f aca="false">IF(ISNUMBER(SEARCH(" m",K1131)),"Range",IF(K1131="offline","Offline",IF(K1131="","Unknown","No echo / error")))</f>
        <v>Range</v>
      </c>
      <c r="O1131" s="3" t="str">
        <f aca="false">TEXT(B1131,"yyyy-mm-dd")</f>
        <v>2026-10-06</v>
      </c>
    </row>
    <row r="1132" customFormat="false" ht="15" hidden="false" customHeight="false" outlineLevel="0" collapsed="false">
      <c r="A1132" s="27" t="n">
        <v>17</v>
      </c>
      <c r="B1132" s="28" t="n">
        <v>46301.5264133102</v>
      </c>
      <c r="C1132" s="29" t="n">
        <f aca="false">IF(A1133=A1132,B1133,INDEX(Rounds!$D:$D,MATCH(A1132,Rounds!$A:$A,0)))</f>
        <v>46301.5264190857</v>
      </c>
      <c r="D1132" s="30" t="n">
        <f aca="false">(B1132-INDEX(Rounds!$C:$C,MATCH(A1132,Rounds!$A:$A,0)))*86400</f>
        <v>64.957000943</v>
      </c>
      <c r="E1132" s="30" t="n">
        <f aca="false">(C1132-INDEX(Rounds!$C:$C,MATCH(A1132,Rounds!$A:$A,0)))*86400</f>
        <v>65.456000575</v>
      </c>
      <c r="F1132" s="31" t="n">
        <f aca="false">(C1132-B1132)*86400</f>
        <v>0.498999631</v>
      </c>
      <c r="G1132" s="27" t="s">
        <v>151</v>
      </c>
      <c r="H1132" s="27" t="s">
        <v>203</v>
      </c>
      <c r="I1132" s="27" t="s">
        <v>204</v>
      </c>
      <c r="J1132" s="27" t="s">
        <v>205</v>
      </c>
      <c r="K1132" s="27" t="s">
        <v>204</v>
      </c>
      <c r="L1132" s="3" t="str">
        <f aca="false">IF(ISNUMBER(SEARCH(" m",I1132)),"Range",IF(I1132="offline","Offline",IF(I1132="","Unknown","No echo / error")))</f>
        <v>No echo / error</v>
      </c>
      <c r="M1132" s="3" t="str">
        <f aca="false">IF(ISNUMBER(SEARCH(" m",J1132)),"Range",IF(J1132="offline","Offline",IF(J1132="","Unknown","No echo / error")))</f>
        <v>Range</v>
      </c>
      <c r="N1132" s="3" t="str">
        <f aca="false">IF(ISNUMBER(SEARCH(" m",K1132)),"Range",IF(K1132="offline","Offline",IF(K1132="","Unknown","No echo / error")))</f>
        <v>No echo / error</v>
      </c>
      <c r="O1132" s="3" t="str">
        <f aca="false">TEXT(B1132,"yyyy-mm-dd")</f>
        <v>2026-10-06</v>
      </c>
    </row>
    <row r="1133" customFormat="false" ht="15" hidden="false" customHeight="false" outlineLevel="0" collapsed="false">
      <c r="A1133" s="27" t="n">
        <v>17</v>
      </c>
      <c r="B1133" s="28" t="n">
        <v>46301.5264190857</v>
      </c>
      <c r="C1133" s="29" t="n">
        <f aca="false">IF(A1134=A1133,B1134,INDEX(Rounds!$D:$D,MATCH(A1133,Rounds!$A:$A,0)))</f>
        <v>46301.5264757986</v>
      </c>
      <c r="D1133" s="30" t="n">
        <f aca="false">(B1133-INDEX(Rounds!$C:$C,MATCH(A1133,Rounds!$A:$A,0)))*86400</f>
        <v>65.456000575</v>
      </c>
      <c r="E1133" s="30" t="n">
        <f aca="false">(C1133-INDEX(Rounds!$C:$C,MATCH(A1133,Rounds!$A:$A,0)))*86400</f>
        <v>70.356000401</v>
      </c>
      <c r="F1133" s="31" t="n">
        <f aca="false">(C1133-B1133)*86400</f>
        <v>4.899999825</v>
      </c>
      <c r="G1133" s="27" t="s">
        <v>152</v>
      </c>
      <c r="H1133" s="27" t="s">
        <v>208</v>
      </c>
      <c r="I1133" s="27" t="s">
        <v>204</v>
      </c>
      <c r="J1133" s="27" t="s">
        <v>469</v>
      </c>
      <c r="K1133" s="27" t="s">
        <v>204</v>
      </c>
      <c r="L1133" s="3" t="str">
        <f aca="false">IF(ISNUMBER(SEARCH(" m",I1133)),"Range",IF(I1133="offline","Offline",IF(I1133="","Unknown","No echo / error")))</f>
        <v>No echo / error</v>
      </c>
      <c r="M1133" s="3" t="str">
        <f aca="false">IF(ISNUMBER(SEARCH(" m",J1133)),"Range",IF(J1133="offline","Offline",IF(J1133="","Unknown","No echo / error")))</f>
        <v>Range</v>
      </c>
      <c r="N1133" s="3" t="str">
        <f aca="false">IF(ISNUMBER(SEARCH(" m",K1133)),"Range",IF(K1133="offline","Offline",IF(K1133="","Unknown","No echo / error")))</f>
        <v>No echo / error</v>
      </c>
      <c r="O1133" s="3" t="str">
        <f aca="false">TEXT(B1133,"yyyy-mm-dd")</f>
        <v>2026-10-06</v>
      </c>
    </row>
    <row r="1134" customFormat="false" ht="15" hidden="false" customHeight="false" outlineLevel="0" collapsed="false">
      <c r="A1134" s="27" t="n">
        <v>17</v>
      </c>
      <c r="B1134" s="28" t="n">
        <v>46301.5264757986</v>
      </c>
      <c r="C1134" s="29" t="n">
        <f aca="false">IF(A1135=A1134,B1135,INDEX(Rounds!$D:$D,MATCH(A1134,Rounds!$A:$A,0)))</f>
        <v>46301.526503044</v>
      </c>
      <c r="D1134" s="30" t="n">
        <f aca="false">(B1134-INDEX(Rounds!$C:$C,MATCH(A1134,Rounds!$A:$A,0)))*86400</f>
        <v>70.356000401</v>
      </c>
      <c r="E1134" s="30" t="n">
        <f aca="false">(C1134-INDEX(Rounds!$C:$C,MATCH(A1134,Rounds!$A:$A,0)))*86400</f>
        <v>72.710000281</v>
      </c>
      <c r="F1134" s="31" t="n">
        <f aca="false">(C1134-B1134)*86400</f>
        <v>2.35399988</v>
      </c>
      <c r="G1134" s="27" t="s">
        <v>151</v>
      </c>
      <c r="H1134" s="27" t="s">
        <v>203</v>
      </c>
      <c r="I1134" s="27" t="s">
        <v>204</v>
      </c>
      <c r="J1134" s="27" t="s">
        <v>221</v>
      </c>
      <c r="K1134" s="27" t="s">
        <v>444</v>
      </c>
      <c r="L1134" s="3" t="str">
        <f aca="false">IF(ISNUMBER(SEARCH(" m",I1134)),"Range",IF(I1134="offline","Offline",IF(I1134="","Unknown","No echo / error")))</f>
        <v>No echo / error</v>
      </c>
      <c r="M1134" s="3" t="str">
        <f aca="false">IF(ISNUMBER(SEARCH(" m",J1134)),"Range",IF(J1134="offline","Offline",IF(J1134="","Unknown","No echo / error")))</f>
        <v>Range</v>
      </c>
      <c r="N1134" s="3" t="str">
        <f aca="false">IF(ISNUMBER(SEARCH(" m",K1134)),"Range",IF(K1134="offline","Offline",IF(K1134="","Unknown","No echo / error")))</f>
        <v>Range</v>
      </c>
      <c r="O1134" s="3" t="str">
        <f aca="false">TEXT(B1134,"yyyy-mm-dd")</f>
        <v>2026-10-06</v>
      </c>
    </row>
    <row r="1135" customFormat="false" ht="15" hidden="false" customHeight="false" outlineLevel="0" collapsed="false">
      <c r="A1135" s="27" t="n">
        <v>17</v>
      </c>
      <c r="B1135" s="28" t="n">
        <v>46301.526503044</v>
      </c>
      <c r="C1135" s="29" t="n">
        <f aca="false">IF(A1136=A1135,B1136,INDEX(Rounds!$D:$D,MATCH(A1135,Rounds!$A:$A,0)))</f>
        <v>46301.5267220486</v>
      </c>
      <c r="D1135" s="30" t="n">
        <f aca="false">(B1135-INDEX(Rounds!$C:$C,MATCH(A1135,Rounds!$A:$A,0)))*86400</f>
        <v>72.710000281</v>
      </c>
      <c r="E1135" s="30" t="n">
        <f aca="false">(C1135-INDEX(Rounds!$C:$C,MATCH(A1135,Rounds!$A:$A,0)))*86400</f>
        <v>91.632000845</v>
      </c>
      <c r="F1135" s="31" t="n">
        <f aca="false">(C1135-B1135)*86400</f>
        <v>18.922000564</v>
      </c>
      <c r="G1135" s="27" t="s">
        <v>152</v>
      </c>
      <c r="H1135" s="27" t="s">
        <v>208</v>
      </c>
      <c r="I1135" s="27" t="s">
        <v>204</v>
      </c>
      <c r="J1135" s="27" t="s">
        <v>204</v>
      </c>
      <c r="K1135" s="27" t="s">
        <v>204</v>
      </c>
      <c r="L1135" s="3" t="str">
        <f aca="false">IF(ISNUMBER(SEARCH(" m",I1135)),"Range",IF(I1135="offline","Offline",IF(I1135="","Unknown","No echo / error")))</f>
        <v>No echo / error</v>
      </c>
      <c r="M1135" s="3" t="str">
        <f aca="false">IF(ISNUMBER(SEARCH(" m",J1135)),"Range",IF(J1135="offline","Offline",IF(J1135="","Unknown","No echo / error")))</f>
        <v>No echo / error</v>
      </c>
      <c r="N1135" s="3" t="str">
        <f aca="false">IF(ISNUMBER(SEARCH(" m",K1135)),"Range",IF(K1135="offline","Offline",IF(K1135="","Unknown","No echo / error")))</f>
        <v>No echo / error</v>
      </c>
      <c r="O1135" s="3" t="str">
        <f aca="false">TEXT(B1135,"yyyy-mm-dd")</f>
        <v>2026-10-06</v>
      </c>
    </row>
    <row r="1136" customFormat="false" ht="15" hidden="false" customHeight="false" outlineLevel="0" collapsed="false">
      <c r="A1136" s="27" t="n">
        <v>17</v>
      </c>
      <c r="B1136" s="28" t="n">
        <v>46301.5267220486</v>
      </c>
      <c r="C1136" s="29" t="n">
        <f aca="false">IF(A1137=A1136,B1137,INDEX(Rounds!$D:$D,MATCH(A1136,Rounds!$A:$A,0)))</f>
        <v>46301.5267276505</v>
      </c>
      <c r="D1136" s="30" t="n">
        <f aca="false">(B1136-INDEX(Rounds!$C:$C,MATCH(A1136,Rounds!$A:$A,0)))*86400</f>
        <v>91.632000845</v>
      </c>
      <c r="E1136" s="30" t="n">
        <f aca="false">(C1136-INDEX(Rounds!$C:$C,MATCH(A1136,Rounds!$A:$A,0)))*86400</f>
        <v>92.116000433</v>
      </c>
      <c r="F1136" s="31" t="n">
        <f aca="false">(C1136-B1136)*86400</f>
        <v>0.483999587</v>
      </c>
      <c r="G1136" s="27" t="s">
        <v>151</v>
      </c>
      <c r="H1136" s="27" t="s">
        <v>203</v>
      </c>
      <c r="I1136" s="27" t="s">
        <v>453</v>
      </c>
      <c r="J1136" s="27" t="s">
        <v>286</v>
      </c>
      <c r="K1136" s="27" t="s">
        <v>204</v>
      </c>
      <c r="L1136" s="3" t="str">
        <f aca="false">IF(ISNUMBER(SEARCH(" m",I1136)),"Range",IF(I1136="offline","Offline",IF(I1136="","Unknown","No echo / error")))</f>
        <v>Range</v>
      </c>
      <c r="M1136" s="3" t="str">
        <f aca="false">IF(ISNUMBER(SEARCH(" m",J1136)),"Range",IF(J1136="offline","Offline",IF(J1136="","Unknown","No echo / error")))</f>
        <v>Range</v>
      </c>
      <c r="N1136" s="3" t="str">
        <f aca="false">IF(ISNUMBER(SEARCH(" m",K1136)),"Range",IF(K1136="offline","Offline",IF(K1136="","Unknown","No echo / error")))</f>
        <v>No echo / error</v>
      </c>
      <c r="O1136" s="3" t="str">
        <f aca="false">TEXT(B1136,"yyyy-mm-dd")</f>
        <v>2026-10-06</v>
      </c>
    </row>
    <row r="1137" customFormat="false" ht="15" hidden="false" customHeight="false" outlineLevel="0" collapsed="false">
      <c r="A1137" s="27" t="n">
        <v>17</v>
      </c>
      <c r="B1137" s="28" t="n">
        <v>46301.5267276505</v>
      </c>
      <c r="C1137" s="29" t="n">
        <f aca="false">IF(A1138=A1137,B1138,INDEX(Rounds!$D:$D,MATCH(A1137,Rounds!$A:$A,0)))</f>
        <v>46301.5267278472</v>
      </c>
      <c r="D1137" s="30" t="n">
        <f aca="false">(B1137-INDEX(Rounds!$C:$C,MATCH(A1137,Rounds!$A:$A,0)))*86400</f>
        <v>92.116000433</v>
      </c>
      <c r="E1137" s="30" t="n">
        <f aca="false">(C1137-INDEX(Rounds!$C:$C,MATCH(A1137,Rounds!$A:$A,0)))*86400</f>
        <v>92.13300019</v>
      </c>
      <c r="F1137" s="31" t="n">
        <f aca="false">(C1137-B1137)*86400</f>
        <v>0.016999756</v>
      </c>
      <c r="G1137" s="27" t="s">
        <v>152</v>
      </c>
      <c r="H1137" s="27" t="s">
        <v>208</v>
      </c>
      <c r="I1137" s="27" t="s">
        <v>453</v>
      </c>
      <c r="J1137" s="27" t="s">
        <v>402</v>
      </c>
      <c r="K1137" s="27" t="s">
        <v>204</v>
      </c>
      <c r="L1137" s="3" t="str">
        <f aca="false">IF(ISNUMBER(SEARCH(" m",I1137)),"Range",IF(I1137="offline","Offline",IF(I1137="","Unknown","No echo / error")))</f>
        <v>Range</v>
      </c>
      <c r="M1137" s="3" t="str">
        <f aca="false">IF(ISNUMBER(SEARCH(" m",J1137)),"Range",IF(J1137="offline","Offline",IF(J1137="","Unknown","No echo / error")))</f>
        <v>Range</v>
      </c>
      <c r="N1137" s="3" t="str">
        <f aca="false">IF(ISNUMBER(SEARCH(" m",K1137)),"Range",IF(K1137="offline","Offline",IF(K1137="","Unknown","No echo / error")))</f>
        <v>No echo / error</v>
      </c>
      <c r="O1137" s="3" t="str">
        <f aca="false">TEXT(B1137,"yyyy-mm-dd")</f>
        <v>2026-10-06</v>
      </c>
    </row>
    <row r="1138" customFormat="false" ht="15" hidden="false" customHeight="false" outlineLevel="0" collapsed="false">
      <c r="A1138" s="27" t="n">
        <v>17</v>
      </c>
      <c r="B1138" s="28" t="n">
        <v>46301.5267278472</v>
      </c>
      <c r="C1138" s="29" t="n">
        <f aca="false">IF(A1139=A1138,B1139,INDEX(Rounds!$D:$D,MATCH(A1138,Rounds!$A:$A,0)))</f>
        <v>46301.5267332292</v>
      </c>
      <c r="D1138" s="30" t="n">
        <f aca="false">(B1138-INDEX(Rounds!$C:$C,MATCH(A1138,Rounds!$A:$A,0)))*86400</f>
        <v>92.13300019</v>
      </c>
      <c r="E1138" s="30" t="n">
        <f aca="false">(C1138-INDEX(Rounds!$C:$C,MATCH(A1138,Rounds!$A:$A,0)))*86400</f>
        <v>92.598000937</v>
      </c>
      <c r="F1138" s="31" t="n">
        <f aca="false">(C1138-B1138)*86400</f>
        <v>0.465000746</v>
      </c>
      <c r="G1138" s="27" t="s">
        <v>151</v>
      </c>
      <c r="H1138" s="27" t="s">
        <v>203</v>
      </c>
      <c r="I1138" s="27" t="s">
        <v>453</v>
      </c>
      <c r="J1138" s="27" t="s">
        <v>218</v>
      </c>
      <c r="K1138" s="27" t="s">
        <v>204</v>
      </c>
      <c r="L1138" s="3" t="str">
        <f aca="false">IF(ISNUMBER(SEARCH(" m",I1138)),"Range",IF(I1138="offline","Offline",IF(I1138="","Unknown","No echo / error")))</f>
        <v>Range</v>
      </c>
      <c r="M1138" s="3" t="str">
        <f aca="false">IF(ISNUMBER(SEARCH(" m",J1138)),"Range",IF(J1138="offline","Offline",IF(J1138="","Unknown","No echo / error")))</f>
        <v>Range</v>
      </c>
      <c r="N1138" s="3" t="str">
        <f aca="false">IF(ISNUMBER(SEARCH(" m",K1138)),"Range",IF(K1138="offline","Offline",IF(K1138="","Unknown","No echo / error")))</f>
        <v>No echo / error</v>
      </c>
      <c r="O1138" s="3" t="str">
        <f aca="false">TEXT(B1138,"yyyy-mm-dd")</f>
        <v>2026-10-06</v>
      </c>
    </row>
    <row r="1139" customFormat="false" ht="15" hidden="false" customHeight="false" outlineLevel="0" collapsed="false">
      <c r="A1139" s="27" t="n">
        <v>17</v>
      </c>
      <c r="B1139" s="28" t="n">
        <v>46301.5267332292</v>
      </c>
      <c r="C1139" s="29" t="n">
        <f aca="false">IF(A1140=A1139,B1140,INDEX(Rounds!$D:$D,MATCH(A1139,Rounds!$A:$A,0)))</f>
        <v>46301.5267362037</v>
      </c>
      <c r="D1139" s="30" t="n">
        <f aca="false">(B1139-INDEX(Rounds!$C:$C,MATCH(A1139,Rounds!$A:$A,0)))*86400</f>
        <v>92.598000937</v>
      </c>
      <c r="E1139" s="30" t="n">
        <f aca="false">(C1139-INDEX(Rounds!$C:$C,MATCH(A1139,Rounds!$A:$A,0)))*86400</f>
        <v>92.855000146</v>
      </c>
      <c r="F1139" s="31" t="n">
        <f aca="false">(C1139-B1139)*86400</f>
        <v>0.256999209</v>
      </c>
      <c r="G1139" s="27" t="s">
        <v>152</v>
      </c>
      <c r="H1139" s="27" t="s">
        <v>208</v>
      </c>
      <c r="I1139" s="27" t="s">
        <v>204</v>
      </c>
      <c r="J1139" s="27" t="s">
        <v>469</v>
      </c>
      <c r="K1139" s="27" t="s">
        <v>204</v>
      </c>
      <c r="L1139" s="3" t="str">
        <f aca="false">IF(ISNUMBER(SEARCH(" m",I1139)),"Range",IF(I1139="offline","Offline",IF(I1139="","Unknown","No echo / error")))</f>
        <v>No echo / error</v>
      </c>
      <c r="M1139" s="3" t="str">
        <f aca="false">IF(ISNUMBER(SEARCH(" m",J1139)),"Range",IF(J1139="offline","Offline",IF(J1139="","Unknown","No echo / error")))</f>
        <v>Range</v>
      </c>
      <c r="N1139" s="3" t="str">
        <f aca="false">IF(ISNUMBER(SEARCH(" m",K1139)),"Range",IF(K1139="offline","Offline",IF(K1139="","Unknown","No echo / error")))</f>
        <v>No echo / error</v>
      </c>
      <c r="O1139" s="3" t="str">
        <f aca="false">TEXT(B1139,"yyyy-mm-dd")</f>
        <v>2026-10-06</v>
      </c>
    </row>
    <row r="1140" customFormat="false" ht="15" hidden="false" customHeight="false" outlineLevel="0" collapsed="false">
      <c r="A1140" s="27" t="n">
        <v>17</v>
      </c>
      <c r="B1140" s="28" t="n">
        <v>46301.5267362037</v>
      </c>
      <c r="C1140" s="29" t="n">
        <f aca="false">IF(A1141=A1140,B1141,INDEX(Rounds!$D:$D,MATCH(A1140,Rounds!$A:$A,0)))</f>
        <v>46301.5267420023</v>
      </c>
      <c r="D1140" s="30" t="n">
        <f aca="false">(B1140-INDEX(Rounds!$C:$C,MATCH(A1140,Rounds!$A:$A,0)))*86400</f>
        <v>92.855000146</v>
      </c>
      <c r="E1140" s="30" t="n">
        <f aca="false">(C1140-INDEX(Rounds!$C:$C,MATCH(A1140,Rounds!$A:$A,0)))*86400</f>
        <v>93.356001377</v>
      </c>
      <c r="F1140" s="31" t="n">
        <f aca="false">(C1140-B1140)*86400</f>
        <v>0.50100123</v>
      </c>
      <c r="G1140" s="27" t="s">
        <v>151</v>
      </c>
      <c r="H1140" s="27" t="s">
        <v>203</v>
      </c>
      <c r="I1140" s="27" t="s">
        <v>204</v>
      </c>
      <c r="J1140" s="27" t="s">
        <v>469</v>
      </c>
      <c r="K1140" s="27" t="s">
        <v>544</v>
      </c>
      <c r="L1140" s="3" t="str">
        <f aca="false">IF(ISNUMBER(SEARCH(" m",I1140)),"Range",IF(I1140="offline","Offline",IF(I1140="","Unknown","No echo / error")))</f>
        <v>No echo / error</v>
      </c>
      <c r="M1140" s="3" t="str">
        <f aca="false">IF(ISNUMBER(SEARCH(" m",J1140)),"Range",IF(J1140="offline","Offline",IF(J1140="","Unknown","No echo / error")))</f>
        <v>Range</v>
      </c>
      <c r="N1140" s="3" t="str">
        <f aca="false">IF(ISNUMBER(SEARCH(" m",K1140)),"Range",IF(K1140="offline","Offline",IF(K1140="","Unknown","No echo / error")))</f>
        <v>Range</v>
      </c>
      <c r="O1140" s="3" t="str">
        <f aca="false">TEXT(B1140,"yyyy-mm-dd")</f>
        <v>2026-10-06</v>
      </c>
    </row>
    <row r="1141" customFormat="false" ht="15" hidden="false" customHeight="false" outlineLevel="0" collapsed="false">
      <c r="A1141" s="27" t="n">
        <v>17</v>
      </c>
      <c r="B1141" s="28" t="n">
        <v>46301.5267420023</v>
      </c>
      <c r="C1141" s="29" t="n">
        <f aca="false">IF(A1142=A1141,B1142,INDEX(Rounds!$D:$D,MATCH(A1141,Rounds!$A:$A,0)))</f>
        <v>46301.5267440394</v>
      </c>
      <c r="D1141" s="30" t="n">
        <f aca="false">(B1141-INDEX(Rounds!$C:$C,MATCH(A1141,Rounds!$A:$A,0)))*86400</f>
        <v>93.356001377</v>
      </c>
      <c r="E1141" s="30" t="n">
        <f aca="false">(C1141-INDEX(Rounds!$C:$C,MATCH(A1141,Rounds!$A:$A,0)))*86400</f>
        <v>93.532000598</v>
      </c>
      <c r="F1141" s="31" t="n">
        <f aca="false">(C1141-B1141)*86400</f>
        <v>0.175999221</v>
      </c>
      <c r="G1141" s="27" t="s">
        <v>152</v>
      </c>
      <c r="H1141" s="27" t="s">
        <v>208</v>
      </c>
      <c r="I1141" s="27" t="s">
        <v>204</v>
      </c>
      <c r="J1141" s="27" t="s">
        <v>249</v>
      </c>
      <c r="K1141" s="27" t="s">
        <v>204</v>
      </c>
      <c r="L1141" s="3" t="str">
        <f aca="false">IF(ISNUMBER(SEARCH(" m",I1141)),"Range",IF(I1141="offline","Offline",IF(I1141="","Unknown","No echo / error")))</f>
        <v>No echo / error</v>
      </c>
      <c r="M1141" s="3" t="str">
        <f aca="false">IF(ISNUMBER(SEARCH(" m",J1141)),"Range",IF(J1141="offline","Offline",IF(J1141="","Unknown","No echo / error")))</f>
        <v>Range</v>
      </c>
      <c r="N1141" s="3" t="str">
        <f aca="false">IF(ISNUMBER(SEARCH(" m",K1141)),"Range",IF(K1141="offline","Offline",IF(K1141="","Unknown","No echo / error")))</f>
        <v>No echo / error</v>
      </c>
      <c r="O1141" s="3" t="str">
        <f aca="false">TEXT(B1141,"yyyy-mm-dd")</f>
        <v>2026-10-06</v>
      </c>
    </row>
    <row r="1142" customFormat="false" ht="15" hidden="false" customHeight="false" outlineLevel="0" collapsed="false">
      <c r="A1142" s="27" t="n">
        <v>17</v>
      </c>
      <c r="B1142" s="28" t="n">
        <v>46301.5267440394</v>
      </c>
      <c r="C1142" s="29" t="n">
        <f aca="false">IF(A1143=A1142,B1143,INDEX(Rounds!$D:$D,MATCH(A1142,Rounds!$A:$A,0)))</f>
        <v>46301.5267496296</v>
      </c>
      <c r="D1142" s="30" t="n">
        <f aca="false">(B1142-INDEX(Rounds!$C:$C,MATCH(A1142,Rounds!$A:$A,0)))*86400</f>
        <v>93.532000598</v>
      </c>
      <c r="E1142" s="30" t="n">
        <f aca="false">(C1142-INDEX(Rounds!$C:$C,MATCH(A1142,Rounds!$A:$A,0)))*86400</f>
        <v>94.015000644</v>
      </c>
      <c r="F1142" s="31" t="n">
        <f aca="false">(C1142-B1142)*86400</f>
        <v>0.483000045</v>
      </c>
      <c r="G1142" s="27" t="s">
        <v>151</v>
      </c>
      <c r="H1142" s="27" t="s">
        <v>203</v>
      </c>
      <c r="I1142" s="27" t="s">
        <v>460</v>
      </c>
      <c r="J1142" s="27" t="s">
        <v>217</v>
      </c>
      <c r="K1142" s="27" t="s">
        <v>204</v>
      </c>
      <c r="L1142" s="3" t="str">
        <f aca="false">IF(ISNUMBER(SEARCH(" m",I1142)),"Range",IF(I1142="offline","Offline",IF(I1142="","Unknown","No echo / error")))</f>
        <v>Range</v>
      </c>
      <c r="M1142" s="3" t="str">
        <f aca="false">IF(ISNUMBER(SEARCH(" m",J1142)),"Range",IF(J1142="offline","Offline",IF(J1142="","Unknown","No echo / error")))</f>
        <v>Range</v>
      </c>
      <c r="N1142" s="3" t="str">
        <f aca="false">IF(ISNUMBER(SEARCH(" m",K1142)),"Range",IF(K1142="offline","Offline",IF(K1142="","Unknown","No echo / error")))</f>
        <v>No echo / error</v>
      </c>
      <c r="O1142" s="3" t="str">
        <f aca="false">TEXT(B1142,"yyyy-mm-dd")</f>
        <v>2026-10-06</v>
      </c>
    </row>
    <row r="1143" customFormat="false" ht="15" hidden="false" customHeight="false" outlineLevel="0" collapsed="false">
      <c r="A1143" s="27" t="n">
        <v>17</v>
      </c>
      <c r="B1143" s="28" t="n">
        <v>46301.5267496296</v>
      </c>
      <c r="C1143" s="29" t="n">
        <f aca="false">IF(A1144=A1143,B1144,INDEX(Rounds!$D:$D,MATCH(A1143,Rounds!$A:$A,0)))</f>
        <v>46301.5267511343</v>
      </c>
      <c r="D1143" s="30" t="n">
        <f aca="false">(B1143-INDEX(Rounds!$C:$C,MATCH(A1143,Rounds!$A:$A,0)))*86400</f>
        <v>94.015000644</v>
      </c>
      <c r="E1143" s="30" t="n">
        <f aca="false">(C1143-INDEX(Rounds!$C:$C,MATCH(A1143,Rounds!$A:$A,0)))*86400</f>
        <v>94.145000819</v>
      </c>
      <c r="F1143" s="31" t="n">
        <f aca="false">(C1143-B1143)*86400</f>
        <v>0.130000174</v>
      </c>
      <c r="G1143" s="27" t="s">
        <v>152</v>
      </c>
      <c r="H1143" s="27" t="s">
        <v>208</v>
      </c>
      <c r="I1143" s="27" t="s">
        <v>204</v>
      </c>
      <c r="J1143" s="27" t="s">
        <v>458</v>
      </c>
      <c r="K1143" s="27" t="s">
        <v>204</v>
      </c>
      <c r="L1143" s="3" t="str">
        <f aca="false">IF(ISNUMBER(SEARCH(" m",I1143)),"Range",IF(I1143="offline","Offline",IF(I1143="","Unknown","No echo / error")))</f>
        <v>No echo / error</v>
      </c>
      <c r="M1143" s="3" t="str">
        <f aca="false">IF(ISNUMBER(SEARCH(" m",J1143)),"Range",IF(J1143="offline","Offline",IF(J1143="","Unknown","No echo / error")))</f>
        <v>Range</v>
      </c>
      <c r="N1143" s="3" t="str">
        <f aca="false">IF(ISNUMBER(SEARCH(" m",K1143)),"Range",IF(K1143="offline","Offline",IF(K1143="","Unknown","No echo / error")))</f>
        <v>No echo / error</v>
      </c>
      <c r="O1143" s="3" t="str">
        <f aca="false">TEXT(B1143,"yyyy-mm-dd")</f>
        <v>2026-10-06</v>
      </c>
    </row>
    <row r="1144" customFormat="false" ht="15" hidden="false" customHeight="false" outlineLevel="0" collapsed="false">
      <c r="A1144" s="27" t="n">
        <v>17</v>
      </c>
      <c r="B1144" s="28" t="n">
        <v>46301.5267511343</v>
      </c>
      <c r="C1144" s="29" t="n">
        <f aca="false">IF(A1145=A1144,B1145,INDEX(Rounds!$D:$D,MATCH(A1144,Rounds!$A:$A,0)))</f>
        <v>46301.5267533912</v>
      </c>
      <c r="D1144" s="30" t="n">
        <f aca="false">(B1144-INDEX(Rounds!$C:$C,MATCH(A1144,Rounds!$A:$A,0)))*86400</f>
        <v>94.145000819</v>
      </c>
      <c r="E1144" s="30" t="n">
        <f aca="false">(C1144-INDEX(Rounds!$C:$C,MATCH(A1144,Rounds!$A:$A,0)))*86400</f>
        <v>94.340000138</v>
      </c>
      <c r="F1144" s="31" t="n">
        <f aca="false">(C1144-B1144)*86400</f>
        <v>0.194999319</v>
      </c>
      <c r="G1144" s="27" t="s">
        <v>151</v>
      </c>
      <c r="H1144" s="27" t="s">
        <v>203</v>
      </c>
      <c r="I1144" s="27" t="s">
        <v>328</v>
      </c>
      <c r="J1144" s="27" t="s">
        <v>420</v>
      </c>
      <c r="K1144" s="27" t="s">
        <v>204</v>
      </c>
      <c r="L1144" s="3" t="str">
        <f aca="false">IF(ISNUMBER(SEARCH(" m",I1144)),"Range",IF(I1144="offline","Offline",IF(I1144="","Unknown","No echo / error")))</f>
        <v>Range</v>
      </c>
      <c r="M1144" s="3" t="str">
        <f aca="false">IF(ISNUMBER(SEARCH(" m",J1144)),"Range",IF(J1144="offline","Offline",IF(J1144="","Unknown","No echo / error")))</f>
        <v>Range</v>
      </c>
      <c r="N1144" s="3" t="str">
        <f aca="false">IF(ISNUMBER(SEARCH(" m",K1144)),"Range",IF(K1144="offline","Offline",IF(K1144="","Unknown","No echo / error")))</f>
        <v>No echo / error</v>
      </c>
      <c r="O1144" s="3" t="str">
        <f aca="false">TEXT(B1144,"yyyy-mm-dd")</f>
        <v>2026-10-06</v>
      </c>
    </row>
    <row r="1145" customFormat="false" ht="15" hidden="false" customHeight="false" outlineLevel="0" collapsed="false">
      <c r="A1145" s="27" t="n">
        <v>17</v>
      </c>
      <c r="B1145" s="28" t="n">
        <v>46301.5267533912</v>
      </c>
      <c r="C1145" s="29" t="n">
        <f aca="false">IF(A1146=A1145,B1146,INDEX(Rounds!$D:$D,MATCH(A1145,Rounds!$A:$A,0)))</f>
        <v>46301.5267603241</v>
      </c>
      <c r="D1145" s="30" t="n">
        <f aca="false">(B1145-INDEX(Rounds!$C:$C,MATCH(A1145,Rounds!$A:$A,0)))*86400</f>
        <v>94.340000138</v>
      </c>
      <c r="E1145" s="30" t="n">
        <f aca="false">(C1145-INDEX(Rounds!$C:$C,MATCH(A1145,Rounds!$A:$A,0)))*86400</f>
        <v>94.939000485</v>
      </c>
      <c r="F1145" s="31" t="n">
        <f aca="false">(C1145-B1145)*86400</f>
        <v>0.599000346</v>
      </c>
      <c r="G1145" s="27" t="s">
        <v>150</v>
      </c>
      <c r="H1145" s="27" t="s">
        <v>206</v>
      </c>
      <c r="I1145" s="27" t="s">
        <v>280</v>
      </c>
      <c r="J1145" s="27" t="s">
        <v>420</v>
      </c>
      <c r="K1145" s="27" t="s">
        <v>502</v>
      </c>
      <c r="L1145" s="3" t="str">
        <f aca="false">IF(ISNUMBER(SEARCH(" m",I1145)),"Range",IF(I1145="offline","Offline",IF(I1145="","Unknown","No echo / error")))</f>
        <v>Range</v>
      </c>
      <c r="M1145" s="3" t="str">
        <f aca="false">IF(ISNUMBER(SEARCH(" m",J1145)),"Range",IF(J1145="offline","Offline",IF(J1145="","Unknown","No echo / error")))</f>
        <v>Range</v>
      </c>
      <c r="N1145" s="3" t="str">
        <f aca="false">IF(ISNUMBER(SEARCH(" m",K1145)),"Range",IF(K1145="offline","Offline",IF(K1145="","Unknown","No echo / error")))</f>
        <v>Range</v>
      </c>
      <c r="O1145" s="3" t="str">
        <f aca="false">TEXT(B1145,"yyyy-mm-dd")</f>
        <v>2026-10-06</v>
      </c>
    </row>
    <row r="1146" customFormat="false" ht="15" hidden="false" customHeight="false" outlineLevel="0" collapsed="false">
      <c r="A1146" s="27" t="n">
        <v>17</v>
      </c>
      <c r="B1146" s="28" t="n">
        <v>46301.5267603241</v>
      </c>
      <c r="C1146" s="29" t="n">
        <f aca="false">IF(A1147=A1146,B1147,INDEX(Rounds!$D:$D,MATCH(A1146,Rounds!$A:$A,0)))</f>
        <v>46301.5267610648</v>
      </c>
      <c r="D1146" s="30" t="n">
        <f aca="false">(B1146-INDEX(Rounds!$C:$C,MATCH(A1146,Rounds!$A:$A,0)))*86400</f>
        <v>94.939000485</v>
      </c>
      <c r="E1146" s="30" t="n">
        <f aca="false">(C1146-INDEX(Rounds!$C:$C,MATCH(A1146,Rounds!$A:$A,0)))*86400</f>
        <v>95.003001345</v>
      </c>
      <c r="F1146" s="31" t="n">
        <f aca="false">(C1146-B1146)*86400</f>
        <v>0.064000859</v>
      </c>
      <c r="G1146" s="27" t="s">
        <v>152</v>
      </c>
      <c r="H1146" s="27" t="s">
        <v>208</v>
      </c>
      <c r="I1146" s="27" t="s">
        <v>250</v>
      </c>
      <c r="J1146" s="27" t="s">
        <v>302</v>
      </c>
      <c r="K1146" s="27" t="s">
        <v>444</v>
      </c>
      <c r="L1146" s="3" t="str">
        <f aca="false">IF(ISNUMBER(SEARCH(" m",I1146)),"Range",IF(I1146="offline","Offline",IF(I1146="","Unknown","No echo / error")))</f>
        <v>Range</v>
      </c>
      <c r="M1146" s="3" t="str">
        <f aca="false">IF(ISNUMBER(SEARCH(" m",J1146)),"Range",IF(J1146="offline","Offline",IF(J1146="","Unknown","No echo / error")))</f>
        <v>Range</v>
      </c>
      <c r="N1146" s="3" t="str">
        <f aca="false">IF(ISNUMBER(SEARCH(" m",K1146)),"Range",IF(K1146="offline","Offline",IF(K1146="","Unknown","No echo / error")))</f>
        <v>Range</v>
      </c>
      <c r="O1146" s="3" t="str">
        <f aca="false">TEXT(B1146,"yyyy-mm-dd")</f>
        <v>2026-10-06</v>
      </c>
    </row>
    <row r="1147" customFormat="false" ht="15" hidden="false" customHeight="false" outlineLevel="0" collapsed="false">
      <c r="A1147" s="27" t="n">
        <v>17</v>
      </c>
      <c r="B1147" s="28" t="n">
        <v>46301.5267610648</v>
      </c>
      <c r="C1147" s="29" t="n">
        <f aca="false">IF(A1148=A1147,B1148,INDEX(Rounds!$D:$D,MATCH(A1147,Rounds!$A:$A,0)))</f>
        <v>46301.5267666319</v>
      </c>
      <c r="D1147" s="30" t="n">
        <f aca="false">(B1147-INDEX(Rounds!$C:$C,MATCH(A1147,Rounds!$A:$A,0)))*86400</f>
        <v>95.003001345</v>
      </c>
      <c r="E1147" s="30" t="n">
        <f aca="false">(C1147-INDEX(Rounds!$C:$C,MATCH(A1147,Rounds!$A:$A,0)))*86400</f>
        <v>95.484000421</v>
      </c>
      <c r="F1147" s="31" t="n">
        <f aca="false">(C1147-B1147)*86400</f>
        <v>0.480999075</v>
      </c>
      <c r="G1147" s="27" t="s">
        <v>151</v>
      </c>
      <c r="H1147" s="27" t="s">
        <v>203</v>
      </c>
      <c r="I1147" s="27" t="s">
        <v>250</v>
      </c>
      <c r="J1147" s="27" t="s">
        <v>248</v>
      </c>
      <c r="K1147" s="27" t="s">
        <v>444</v>
      </c>
      <c r="L1147" s="3" t="str">
        <f aca="false">IF(ISNUMBER(SEARCH(" m",I1147)),"Range",IF(I1147="offline","Offline",IF(I1147="","Unknown","No echo / error")))</f>
        <v>Range</v>
      </c>
      <c r="M1147" s="3" t="str">
        <f aca="false">IF(ISNUMBER(SEARCH(" m",J1147)),"Range",IF(J1147="offline","Offline",IF(J1147="","Unknown","No echo / error")))</f>
        <v>Range</v>
      </c>
      <c r="N1147" s="3" t="str">
        <f aca="false">IF(ISNUMBER(SEARCH(" m",K1147)),"Range",IF(K1147="offline","Offline",IF(K1147="","Unknown","No echo / error")))</f>
        <v>Range</v>
      </c>
      <c r="O1147" s="3" t="str">
        <f aca="false">TEXT(B1147,"yyyy-mm-dd")</f>
        <v>2026-10-06</v>
      </c>
    </row>
    <row r="1148" customFormat="false" ht="15" hidden="false" customHeight="false" outlineLevel="0" collapsed="false">
      <c r="A1148" s="27" t="n">
        <v>17</v>
      </c>
      <c r="B1148" s="28" t="n">
        <v>46301.5267666319</v>
      </c>
      <c r="C1148" s="29" t="n">
        <f aca="false">IF(A1149=A1148,B1149,INDEX(Rounds!$D:$D,MATCH(A1148,Rounds!$A:$A,0)))</f>
        <v>46301.5267699769</v>
      </c>
      <c r="D1148" s="30" t="n">
        <f aca="false">(B1148-INDEX(Rounds!$C:$C,MATCH(A1148,Rounds!$A:$A,0)))*86400</f>
        <v>95.484000421</v>
      </c>
      <c r="E1148" s="30" t="n">
        <f aca="false">(C1148-INDEX(Rounds!$C:$C,MATCH(A1148,Rounds!$A:$A,0)))*86400</f>
        <v>95.773000689</v>
      </c>
      <c r="F1148" s="31" t="n">
        <f aca="false">(C1148-B1148)*86400</f>
        <v>0.289000268</v>
      </c>
      <c r="G1148" s="27" t="s">
        <v>152</v>
      </c>
      <c r="H1148" s="27" t="s">
        <v>208</v>
      </c>
      <c r="I1148" s="27" t="s">
        <v>259</v>
      </c>
      <c r="J1148" s="27" t="s">
        <v>469</v>
      </c>
      <c r="K1148" s="27" t="s">
        <v>251</v>
      </c>
      <c r="L1148" s="3" t="str">
        <f aca="false">IF(ISNUMBER(SEARCH(" m",I1148)),"Range",IF(I1148="offline","Offline",IF(I1148="","Unknown","No echo / error")))</f>
        <v>Range</v>
      </c>
      <c r="M1148" s="3" t="str">
        <f aca="false">IF(ISNUMBER(SEARCH(" m",J1148)),"Range",IF(J1148="offline","Offline",IF(J1148="","Unknown","No echo / error")))</f>
        <v>Range</v>
      </c>
      <c r="N1148" s="3" t="str">
        <f aca="false">IF(ISNUMBER(SEARCH(" m",K1148)),"Range",IF(K1148="offline","Offline",IF(K1148="","Unknown","No echo / error")))</f>
        <v>Range</v>
      </c>
      <c r="O1148" s="3" t="str">
        <f aca="false">TEXT(B1148,"yyyy-mm-dd")</f>
        <v>2026-10-06</v>
      </c>
    </row>
    <row r="1149" customFormat="false" ht="15" hidden="false" customHeight="false" outlineLevel="0" collapsed="false">
      <c r="A1149" s="27" t="n">
        <v>17</v>
      </c>
      <c r="B1149" s="28" t="n">
        <v>46301.5267699769</v>
      </c>
      <c r="C1149" s="29" t="n">
        <f aca="false">IF(A1150=A1149,B1150,INDEX(Rounds!$D:$D,MATCH(A1149,Rounds!$A:$A,0)))</f>
        <v>46301.5267712847</v>
      </c>
      <c r="D1149" s="30" t="n">
        <f aca="false">(B1149-INDEX(Rounds!$C:$C,MATCH(A1149,Rounds!$A:$A,0)))*86400</f>
        <v>95.773000689</v>
      </c>
      <c r="E1149" s="30" t="n">
        <f aca="false">(C1149-INDEX(Rounds!$C:$C,MATCH(A1149,Rounds!$A:$A,0)))*86400</f>
        <v>95.886000478</v>
      </c>
      <c r="F1149" s="31" t="n">
        <f aca="false">(C1149-B1149)*86400</f>
        <v>0.112999789</v>
      </c>
      <c r="G1149" s="27" t="s">
        <v>151</v>
      </c>
      <c r="H1149" s="27" t="s">
        <v>203</v>
      </c>
      <c r="I1149" s="27" t="s">
        <v>214</v>
      </c>
      <c r="J1149" s="27" t="s">
        <v>469</v>
      </c>
      <c r="K1149" s="27" t="s">
        <v>292</v>
      </c>
      <c r="L1149" s="3" t="str">
        <f aca="false">IF(ISNUMBER(SEARCH(" m",I1149)),"Range",IF(I1149="offline","Offline",IF(I1149="","Unknown","No echo / error")))</f>
        <v>Range</v>
      </c>
      <c r="M1149" s="3" t="str">
        <f aca="false">IF(ISNUMBER(SEARCH(" m",J1149)),"Range",IF(J1149="offline","Offline",IF(J1149="","Unknown","No echo / error")))</f>
        <v>Range</v>
      </c>
      <c r="N1149" s="3" t="str">
        <f aca="false">IF(ISNUMBER(SEARCH(" m",K1149)),"Range",IF(K1149="offline","Offline",IF(K1149="","Unknown","No echo / error")))</f>
        <v>Range</v>
      </c>
      <c r="O1149" s="3" t="str">
        <f aca="false">TEXT(B1149,"yyyy-mm-dd")</f>
        <v>2026-10-06</v>
      </c>
    </row>
    <row r="1150" customFormat="false" ht="15" hidden="false" customHeight="false" outlineLevel="0" collapsed="false">
      <c r="A1150" s="27" t="n">
        <v>17</v>
      </c>
      <c r="B1150" s="28" t="n">
        <v>46301.5267712847</v>
      </c>
      <c r="C1150" s="29" t="n">
        <f aca="false">IF(A1151=A1150,B1151,INDEX(Rounds!$D:$D,MATCH(A1150,Rounds!$A:$A,0)))</f>
        <v>46301.5267860185</v>
      </c>
      <c r="D1150" s="30" t="n">
        <f aca="false">(B1150-INDEX(Rounds!$C:$C,MATCH(A1150,Rounds!$A:$A,0)))*86400</f>
        <v>95.886000478</v>
      </c>
      <c r="E1150" s="30" t="n">
        <f aca="false">(C1150-INDEX(Rounds!$C:$C,MATCH(A1150,Rounds!$A:$A,0)))*86400</f>
        <v>97.159000765</v>
      </c>
      <c r="F1150" s="31" t="n">
        <f aca="false">(C1150-B1150)*86400</f>
        <v>1.273000286</v>
      </c>
      <c r="G1150" s="27" t="s">
        <v>150</v>
      </c>
      <c r="H1150" s="27" t="s">
        <v>206</v>
      </c>
      <c r="I1150" s="27" t="s">
        <v>214</v>
      </c>
      <c r="J1150" s="27" t="s">
        <v>469</v>
      </c>
      <c r="K1150" s="27" t="s">
        <v>283</v>
      </c>
      <c r="L1150" s="3" t="str">
        <f aca="false">IF(ISNUMBER(SEARCH(" m",I1150)),"Range",IF(I1150="offline","Offline",IF(I1150="","Unknown","No echo / error")))</f>
        <v>Range</v>
      </c>
      <c r="M1150" s="3" t="str">
        <f aca="false">IF(ISNUMBER(SEARCH(" m",J1150)),"Range",IF(J1150="offline","Offline",IF(J1150="","Unknown","No echo / error")))</f>
        <v>Range</v>
      </c>
      <c r="N1150" s="3" t="str">
        <f aca="false">IF(ISNUMBER(SEARCH(" m",K1150)),"Range",IF(K1150="offline","Offline",IF(K1150="","Unknown","No echo / error")))</f>
        <v>Range</v>
      </c>
      <c r="O1150" s="3" t="str">
        <f aca="false">TEXT(B1150,"yyyy-mm-dd")</f>
        <v>2026-10-06</v>
      </c>
    </row>
    <row r="1151" customFormat="false" ht="15" hidden="false" customHeight="false" outlineLevel="0" collapsed="false">
      <c r="A1151" s="27" t="n">
        <v>17</v>
      </c>
      <c r="B1151" s="28" t="n">
        <v>46301.5267860185</v>
      </c>
      <c r="C1151" s="29" t="n">
        <f aca="false">IF(A1152=A1151,B1152,INDEX(Rounds!$D:$D,MATCH(A1151,Rounds!$A:$A,0)))</f>
        <v>46301.5267860185</v>
      </c>
      <c r="D1151" s="30" t="n">
        <f aca="false">(B1151-INDEX(Rounds!$C:$C,MATCH(A1151,Rounds!$A:$A,0)))*86400</f>
        <v>97.159000765</v>
      </c>
      <c r="E1151" s="30" t="n">
        <f aca="false">(C1151-INDEX(Rounds!$C:$C,MATCH(A1151,Rounds!$A:$A,0)))*86400</f>
        <v>97.159000765</v>
      </c>
      <c r="F1151" s="31" t="n">
        <f aca="false">(C1151-B1151)*86400</f>
        <v>0</v>
      </c>
      <c r="G1151" s="27" t="s">
        <v>154</v>
      </c>
      <c r="H1151" s="27" t="s">
        <v>206</v>
      </c>
      <c r="I1151" s="27" t="s">
        <v>214</v>
      </c>
      <c r="J1151" s="27" t="s">
        <v>469</v>
      </c>
      <c r="K1151" s="27" t="s">
        <v>283</v>
      </c>
      <c r="L1151" s="3" t="str">
        <f aca="false">IF(ISNUMBER(SEARCH(" m",I1151)),"Range",IF(I1151="offline","Offline",IF(I1151="","Unknown","No echo / error")))</f>
        <v>Range</v>
      </c>
      <c r="M1151" s="3" t="str">
        <f aca="false">IF(ISNUMBER(SEARCH(" m",J1151)),"Range",IF(J1151="offline","Offline",IF(J1151="","Unknown","No echo / error")))</f>
        <v>Range</v>
      </c>
      <c r="N1151" s="3" t="str">
        <f aca="false">IF(ISNUMBER(SEARCH(" m",K1151)),"Range",IF(K1151="offline","Offline",IF(K1151="","Unknown","No echo / error")))</f>
        <v>Range</v>
      </c>
      <c r="O1151" s="3" t="str">
        <f aca="false">TEXT(B1151,"yyyy-mm-dd")</f>
        <v>2026-10-06</v>
      </c>
    </row>
  </sheetData>
  <autoFilter ref="A4:O115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9765625" defaultRowHeight="15" zeroHeight="false" outlineLevelRow="0" outlineLevelCol="0"/>
  <cols>
    <col collapsed="false" customWidth="true" hidden="false" outlineLevel="0" max="1" min="1" style="1" width="7"/>
    <col collapsed="false" customWidth="true" hidden="false" outlineLevel="0" max="3" min="2" style="1" width="22"/>
    <col collapsed="false" customWidth="true" hidden="false" outlineLevel="0" max="4" min="4" style="1" width="12"/>
    <col collapsed="false" customWidth="true" hidden="false" outlineLevel="0" max="5" min="5" style="1" width="13"/>
    <col collapsed="false" customWidth="true" hidden="false" outlineLevel="0" max="7" min="6" style="1" width="12"/>
    <col collapsed="false" customWidth="true" hidden="false" outlineLevel="0" max="9" min="9" style="1" width="12"/>
    <col collapsed="false" customWidth="true" hidden="false" outlineLevel="0" max="11" min="10" style="1" width="9"/>
    <col collapsed="false" customWidth="true" hidden="false" outlineLevel="0" max="13" min="12" style="1" width="11"/>
    <col collapsed="false" customWidth="true" hidden="false" outlineLevel="0" max="15" min="14" style="1" width="10"/>
  </cols>
  <sheetData>
    <row r="1" customFormat="false" ht="19.7" hidden="false" customHeight="false" outlineLevel="0" collapsed="false">
      <c r="A1" s="2" t="s">
        <v>545</v>
      </c>
      <c r="B1" s="3"/>
      <c r="C1" s="3"/>
      <c r="D1" s="3"/>
      <c r="E1" s="3"/>
      <c r="F1" s="3"/>
      <c r="G1" s="3"/>
      <c r="H1" s="3"/>
      <c r="I1" s="3"/>
      <c r="J1" s="3"/>
      <c r="K1" s="3"/>
      <c r="L1" s="3"/>
      <c r="M1" s="3"/>
      <c r="N1" s="3"/>
      <c r="O1" s="3"/>
    </row>
    <row r="2" customFormat="false" ht="15" hidden="false" customHeight="false" outlineLevel="0" collapsed="false">
      <c r="A2" s="4" t="s">
        <v>546</v>
      </c>
      <c r="B2" s="3"/>
      <c r="C2" s="3"/>
      <c r="D2" s="3"/>
      <c r="E2" s="3"/>
      <c r="F2" s="3"/>
      <c r="G2" s="3"/>
      <c r="H2" s="3"/>
      <c r="I2" s="3"/>
      <c r="J2" s="3"/>
      <c r="K2" s="3"/>
      <c r="L2" s="3"/>
      <c r="M2" s="3"/>
      <c r="N2" s="3"/>
      <c r="O2" s="3"/>
    </row>
    <row r="3" customFormat="false" ht="15" hidden="false" customHeight="false" outlineLevel="0" collapsed="false">
      <c r="A3" s="3"/>
      <c r="B3" s="3"/>
      <c r="C3" s="3"/>
      <c r="D3" s="3"/>
      <c r="E3" s="3"/>
      <c r="F3" s="3"/>
      <c r="G3" s="3"/>
      <c r="H3" s="3"/>
      <c r="I3" s="3"/>
      <c r="J3" s="3"/>
      <c r="K3" s="3"/>
      <c r="L3" s="3"/>
      <c r="M3" s="3"/>
      <c r="N3" s="3"/>
      <c r="O3" s="3"/>
    </row>
    <row r="4" customFormat="false" ht="26.85" hidden="false" customHeight="false" outlineLevel="0" collapsed="false">
      <c r="A4" s="12" t="s">
        <v>155</v>
      </c>
      <c r="B4" s="12" t="s">
        <v>547</v>
      </c>
      <c r="C4" s="12" t="s">
        <v>548</v>
      </c>
      <c r="D4" s="12" t="s">
        <v>549</v>
      </c>
      <c r="E4" s="12" t="s">
        <v>160</v>
      </c>
      <c r="F4" s="12" t="s">
        <v>550</v>
      </c>
      <c r="G4" s="12" t="s">
        <v>551</v>
      </c>
      <c r="H4" s="3"/>
      <c r="I4" s="5" t="s">
        <v>552</v>
      </c>
      <c r="J4" s="3"/>
      <c r="K4" s="3"/>
      <c r="L4" s="3"/>
      <c r="M4" s="3"/>
      <c r="N4" s="3"/>
      <c r="O4" s="3"/>
    </row>
    <row r="5" customFormat="false" ht="15" hidden="false" customHeight="false" outlineLevel="0" collapsed="false">
      <c r="A5" s="27" t="n">
        <v>1</v>
      </c>
      <c r="B5" s="28" t="n">
        <v>46300.1111735532</v>
      </c>
      <c r="C5" s="28" t="n">
        <v>46300.1111737384</v>
      </c>
      <c r="D5" s="32" t="n">
        <f aca="false">(B5-INDEX(Rounds!$C:$C,MATCH(A5,Rounds!$A:$A,0)))*86400</f>
        <v>1.464000181</v>
      </c>
      <c r="E5" s="3" t="str">
        <f aca="false">INDEX(Rounds!$F:$F,MATCH(A5,Rounds!$A:$A,0))</f>
        <v>Before fix</v>
      </c>
      <c r="F5" s="31" t="n">
        <f aca="false">(C5-B5)*86400</f>
        <v>0.016000214</v>
      </c>
      <c r="G5" s="3" t="str">
        <f aca="false">IF(F5*1000&gt;Constants!$B$12,"Yes","No")</f>
        <v>No</v>
      </c>
      <c r="H5" s="3"/>
      <c r="I5" s="12" t="s">
        <v>553</v>
      </c>
      <c r="J5" s="12" t="s">
        <v>554</v>
      </c>
      <c r="K5" s="12" t="s">
        <v>555</v>
      </c>
      <c r="L5" s="12" t="s">
        <v>182</v>
      </c>
      <c r="M5" s="12" t="s">
        <v>183</v>
      </c>
      <c r="N5" s="12" t="s">
        <v>556</v>
      </c>
      <c r="O5" s="12" t="s">
        <v>557</v>
      </c>
    </row>
    <row r="6" customFormat="false" ht="15" hidden="false" customHeight="false" outlineLevel="0" collapsed="false">
      <c r="A6" s="27" t="n">
        <v>1</v>
      </c>
      <c r="B6" s="28" t="n">
        <v>46300.1111832292</v>
      </c>
      <c r="C6" s="28" t="n">
        <v>46300.1111906829</v>
      </c>
      <c r="D6" s="32" t="n">
        <f aca="false">(B6-INDEX(Rounds!$C:$C,MATCH(A6,Rounds!$A:$A,0)))*86400</f>
        <v>2.299999468</v>
      </c>
      <c r="E6" s="3" t="str">
        <f aca="false">INDEX(Rounds!$F:$F,MATCH(A6,Rounds!$A:$A,0))</f>
        <v>Before fix</v>
      </c>
      <c r="F6" s="31" t="n">
        <f aca="false">(C6-B6)*86400</f>
        <v>0.644000479</v>
      </c>
      <c r="G6" s="3" t="str">
        <f aca="false">IF(F6*1000&gt;Constants!$B$12,"Yes","No")</f>
        <v>No</v>
      </c>
      <c r="H6" s="3"/>
      <c r="I6" s="6" t="s">
        <v>558</v>
      </c>
      <c r="J6" s="20" t="n">
        <v>0</v>
      </c>
      <c r="K6" s="20" t="n">
        <v>0.25</v>
      </c>
      <c r="L6" s="6" t="n">
        <f aca="false">COUNTIFS($E$5:$E$327,"Before fix",$F$5:$F$327,"&gt;="&amp;$J6,$F$5:$F$327,"&lt;"&amp;$K6)</f>
        <v>32</v>
      </c>
      <c r="M6" s="6" t="n">
        <f aca="false">COUNTIFS($E$5:$E$327,"After fix",$F$5:$F$327,"&gt;="&amp;$J6,$F$5:$F$327,"&lt;"&amp;$K6)</f>
        <v>104</v>
      </c>
      <c r="N6" s="24" t="n">
        <f aca="false">L6/SUM(L$6:L$11)</f>
        <v>0.484848484848485</v>
      </c>
      <c r="O6" s="24" t="n">
        <f aca="false">M6/SUM(M$6:M$11)</f>
        <v>0.404669260700389</v>
      </c>
    </row>
    <row r="7" customFormat="false" ht="15" hidden="false" customHeight="false" outlineLevel="0" collapsed="false">
      <c r="A7" s="27" t="n">
        <v>1</v>
      </c>
      <c r="B7" s="28" t="n">
        <v>46300.111226331</v>
      </c>
      <c r="C7" s="28" t="n">
        <v>46300.1112270833</v>
      </c>
      <c r="D7" s="32" t="n">
        <f aca="false">(B7-INDEX(Rounds!$C:$C,MATCH(A7,Rounds!$A:$A,0)))*86400</f>
        <v>6.024000467</v>
      </c>
      <c r="E7" s="3" t="str">
        <f aca="false">INDEX(Rounds!$F:$F,MATCH(A7,Rounds!$A:$A,0))</f>
        <v>Before fix</v>
      </c>
      <c r="F7" s="31" t="n">
        <f aca="false">(C7-B7)*86400</f>
        <v>0.064999773</v>
      </c>
      <c r="G7" s="3" t="str">
        <f aca="false">IF(F7*1000&gt;Constants!$B$12,"Yes","No")</f>
        <v>No</v>
      </c>
      <c r="H7" s="3"/>
      <c r="I7" s="6" t="s">
        <v>559</v>
      </c>
      <c r="J7" s="20" t="n">
        <v>0.25</v>
      </c>
      <c r="K7" s="20" t="n">
        <v>0.5</v>
      </c>
      <c r="L7" s="6" t="n">
        <f aca="false">COUNTIFS($E$5:$E$327,"Before fix",$F$5:$F$327,"&gt;="&amp;$J7,$F$5:$F$327,"&lt;"&amp;$K7)</f>
        <v>6</v>
      </c>
      <c r="M7" s="6" t="n">
        <f aca="false">COUNTIFS($E$5:$E$327,"After fix",$F$5:$F$327,"&gt;="&amp;$J7,$F$5:$F$327,"&lt;"&amp;$K7)</f>
        <v>46</v>
      </c>
      <c r="N7" s="24" t="n">
        <f aca="false">L7/SUM(L$6:L$11)</f>
        <v>0.0909090909090909</v>
      </c>
      <c r="O7" s="24" t="n">
        <f aca="false">M7/SUM(M$6:M$11)</f>
        <v>0.178988326848249</v>
      </c>
    </row>
    <row r="8" customFormat="false" ht="15" hidden="false" customHeight="false" outlineLevel="0" collapsed="false">
      <c r="A8" s="27" t="n">
        <v>1</v>
      </c>
      <c r="B8" s="28" t="n">
        <v>46300.1113115972</v>
      </c>
      <c r="C8" s="28" t="n">
        <v>46300.111314375</v>
      </c>
      <c r="D8" s="32" t="n">
        <f aca="false">(B8-INDEX(Rounds!$C:$C,MATCH(A8,Rounds!$A:$A,0)))*86400</f>
        <v>13.391001219</v>
      </c>
      <c r="E8" s="3" t="str">
        <f aca="false">INDEX(Rounds!$F:$F,MATCH(A8,Rounds!$A:$A,0))</f>
        <v>Before fix</v>
      </c>
      <c r="F8" s="31" t="n">
        <f aca="false">(C8-B8)*86400</f>
        <v>0.239998823</v>
      </c>
      <c r="G8" s="3" t="str">
        <f aca="false">IF(F8*1000&gt;Constants!$B$12,"Yes","No")</f>
        <v>No</v>
      </c>
      <c r="H8" s="3"/>
      <c r="I8" s="6" t="s">
        <v>560</v>
      </c>
      <c r="J8" s="20" t="n">
        <v>0.5</v>
      </c>
      <c r="K8" s="20" t="n">
        <v>1</v>
      </c>
      <c r="L8" s="6" t="n">
        <f aca="false">COUNTIFS($E$5:$E$327,"Before fix",$F$5:$F$327,"&gt;="&amp;$J8,$F$5:$F$327,"&lt;"&amp;$K8)</f>
        <v>19</v>
      </c>
      <c r="M8" s="6" t="n">
        <f aca="false">COUNTIFS($E$5:$E$327,"After fix",$F$5:$F$327,"&gt;="&amp;$J8,$F$5:$F$327,"&lt;"&amp;$K8)</f>
        <v>55</v>
      </c>
      <c r="N8" s="24" t="n">
        <f aca="false">L8/SUM(L$6:L$11)</f>
        <v>0.287878787878788</v>
      </c>
      <c r="O8" s="24" t="n">
        <f aca="false">M8/SUM(M$6:M$11)</f>
        <v>0.214007782101167</v>
      </c>
    </row>
    <row r="9" customFormat="false" ht="15" hidden="false" customHeight="false" outlineLevel="0" collapsed="false">
      <c r="A9" s="27" t="n">
        <v>1</v>
      </c>
      <c r="B9" s="28" t="n">
        <v>46300.1114886458</v>
      </c>
      <c r="C9" s="28" t="n">
        <v>46300.111489375</v>
      </c>
      <c r="D9" s="32" t="n">
        <f aca="false">(B9-INDEX(Rounds!$C:$C,MATCH(A9,Rounds!$A:$A,0)))*86400</f>
        <v>28.688000072</v>
      </c>
      <c r="E9" s="3" t="str">
        <f aca="false">INDEX(Rounds!$F:$F,MATCH(A9,Rounds!$A:$A,0))</f>
        <v>Before fix</v>
      </c>
      <c r="F9" s="31" t="n">
        <f aca="false">(C9-B9)*86400</f>
        <v>0.06300006</v>
      </c>
      <c r="G9" s="3" t="str">
        <f aca="false">IF(F9*1000&gt;Constants!$B$12,"Yes","No")</f>
        <v>No</v>
      </c>
      <c r="H9" s="3"/>
      <c r="I9" s="6" t="s">
        <v>561</v>
      </c>
      <c r="J9" s="20" t="n">
        <v>1</v>
      </c>
      <c r="K9" s="20" t="n">
        <v>2</v>
      </c>
      <c r="L9" s="6" t="n">
        <f aca="false">COUNTIFS($E$5:$E$327,"Before fix",$F$5:$F$327,"&gt;="&amp;$J9,$F$5:$F$327,"&lt;"&amp;$K9)</f>
        <v>8</v>
      </c>
      <c r="M9" s="6" t="n">
        <f aca="false">COUNTIFS($E$5:$E$327,"After fix",$F$5:$F$327,"&gt;="&amp;$J9,$F$5:$F$327,"&lt;"&amp;$K9)</f>
        <v>36</v>
      </c>
      <c r="N9" s="24" t="n">
        <f aca="false">L9/SUM(L$6:L$11)</f>
        <v>0.121212121212121</v>
      </c>
      <c r="O9" s="24" t="n">
        <f aca="false">M9/SUM(M$6:M$11)</f>
        <v>0.140077821011673</v>
      </c>
    </row>
    <row r="10" customFormat="false" ht="15" hidden="false" customHeight="false" outlineLevel="0" collapsed="false">
      <c r="A10" s="27" t="n">
        <v>1</v>
      </c>
      <c r="B10" s="28" t="n">
        <v>46300.1115456482</v>
      </c>
      <c r="C10" s="28" t="n">
        <v>46300.1115588426</v>
      </c>
      <c r="D10" s="32" t="n">
        <f aca="false">(B10-INDEX(Rounds!$C:$C,MATCH(A10,Rounds!$A:$A,0)))*86400</f>
        <v>33.613000391</v>
      </c>
      <c r="E10" s="3" t="str">
        <f aca="false">INDEX(Rounds!$F:$F,MATCH(A10,Rounds!$A:$A,0))</f>
        <v>Before fix</v>
      </c>
      <c r="F10" s="31" t="n">
        <f aca="false">(C10-B10)*86400</f>
        <v>1.1399996</v>
      </c>
      <c r="G10" s="3" t="str">
        <f aca="false">IF(F10*1000&gt;Constants!$B$12,"Yes","No")</f>
        <v>Yes</v>
      </c>
      <c r="H10" s="3"/>
      <c r="I10" s="6" t="s">
        <v>562</v>
      </c>
      <c r="J10" s="20" t="n">
        <v>2</v>
      </c>
      <c r="K10" s="20" t="n">
        <v>3</v>
      </c>
      <c r="L10" s="6" t="n">
        <f aca="false">COUNTIFS($E$5:$E$327,"Before fix",$F$5:$F$327,"&gt;="&amp;$J10,$F$5:$F$327,"&lt;"&amp;$K10)</f>
        <v>1</v>
      </c>
      <c r="M10" s="6" t="n">
        <f aca="false">COUNTIFS($E$5:$E$327,"After fix",$F$5:$F$327,"&gt;="&amp;$J10,$F$5:$F$327,"&lt;"&amp;$K10)</f>
        <v>6</v>
      </c>
      <c r="N10" s="24" t="n">
        <f aca="false">L10/SUM(L$6:L$11)</f>
        <v>0.0151515151515152</v>
      </c>
      <c r="O10" s="24" t="n">
        <f aca="false">M10/SUM(M$6:M$11)</f>
        <v>0.0233463035019455</v>
      </c>
    </row>
    <row r="11" customFormat="false" ht="15" hidden="false" customHeight="false" outlineLevel="0" collapsed="false">
      <c r="A11" s="27" t="n">
        <v>1</v>
      </c>
      <c r="B11" s="28" t="n">
        <v>46300.1117017593</v>
      </c>
      <c r="C11" s="28" t="n">
        <v>46300.111701956</v>
      </c>
      <c r="D11" s="32" t="n">
        <f aca="false">(B11-INDEX(Rounds!$C:$C,MATCH(A11,Rounds!$A:$A,0)))*86400</f>
        <v>47.101000556</v>
      </c>
      <c r="E11" s="3" t="str">
        <f aca="false">INDEX(Rounds!$F:$F,MATCH(A11,Rounds!$A:$A,0))</f>
        <v>Before fix</v>
      </c>
      <c r="F11" s="31" t="n">
        <f aca="false">(C11-B11)*86400</f>
        <v>0.016999756</v>
      </c>
      <c r="G11" s="3" t="str">
        <f aca="false">IF(F11*1000&gt;Constants!$B$12,"Yes","No")</f>
        <v>No</v>
      </c>
      <c r="H11" s="3"/>
      <c r="I11" s="6" t="s">
        <v>563</v>
      </c>
      <c r="J11" s="20" t="n">
        <v>3</v>
      </c>
      <c r="K11" s="20" t="n">
        <v>9999</v>
      </c>
      <c r="L11" s="6" t="n">
        <f aca="false">COUNTIFS($E$5:$E$327,"Before fix",$F$5:$F$327,"&gt;="&amp;$J11,$F$5:$F$327,"&lt;"&amp;$K11)</f>
        <v>0</v>
      </c>
      <c r="M11" s="6" t="n">
        <f aca="false">COUNTIFS($E$5:$E$327,"After fix",$F$5:$F$327,"&gt;="&amp;$J11,$F$5:$F$327,"&lt;"&amp;$K11)</f>
        <v>10</v>
      </c>
      <c r="N11" s="24" t="n">
        <f aca="false">L11/SUM(L$6:L$11)</f>
        <v>0</v>
      </c>
      <c r="O11" s="24" t="n">
        <f aca="false">M11/SUM(M$6:M$11)</f>
        <v>0.0389105058365759</v>
      </c>
    </row>
    <row r="12" customFormat="false" ht="15" hidden="false" customHeight="false" outlineLevel="0" collapsed="false">
      <c r="A12" s="27" t="n">
        <v>1</v>
      </c>
      <c r="B12" s="28" t="n">
        <v>46300.1117282755</v>
      </c>
      <c r="C12" s="28" t="n">
        <v>46300.1117292014</v>
      </c>
      <c r="D12" s="32" t="n">
        <f aca="false">(B12-INDEX(Rounds!$C:$C,MATCH(A12,Rounds!$A:$A,0)))*86400</f>
        <v>49.391999747</v>
      </c>
      <c r="E12" s="3" t="str">
        <f aca="false">INDEX(Rounds!$F:$F,MATCH(A12,Rounds!$A:$A,0))</f>
        <v>Before fix</v>
      </c>
      <c r="F12" s="31" t="n">
        <f aca="false">(C12-B12)*86400</f>
        <v>0.080000446</v>
      </c>
      <c r="G12" s="3" t="str">
        <f aca="false">IF(F12*1000&gt;Constants!$B$12,"Yes","No")</f>
        <v>No</v>
      </c>
      <c r="H12" s="3"/>
      <c r="I12" s="25" t="s">
        <v>564</v>
      </c>
      <c r="J12" s="6"/>
      <c r="K12" s="6"/>
      <c r="L12" s="25" t="n">
        <f aca="false">SUM(L6:L11)</f>
        <v>66</v>
      </c>
      <c r="M12" s="25" t="n">
        <f aca="false">SUM(M6:M11)</f>
        <v>257</v>
      </c>
      <c r="N12" s="6"/>
      <c r="O12" s="6"/>
    </row>
    <row r="13" customFormat="false" ht="15" hidden="false" customHeight="false" outlineLevel="0" collapsed="false">
      <c r="A13" s="27" t="n">
        <v>1</v>
      </c>
      <c r="B13" s="28" t="n">
        <v>46300.1117440394</v>
      </c>
      <c r="C13" s="28" t="n">
        <v>46300.1117523843</v>
      </c>
      <c r="D13" s="32" t="n">
        <f aca="false">(B13-INDEX(Rounds!$C:$C,MATCH(A13,Rounds!$A:$A,0)))*86400</f>
        <v>50.75400013</v>
      </c>
      <c r="E13" s="3" t="str">
        <f aca="false">INDEX(Rounds!$F:$F,MATCH(A13,Rounds!$A:$A,0))</f>
        <v>Before fix</v>
      </c>
      <c r="F13" s="31" t="n">
        <f aca="false">(C13-B13)*86400</f>
        <v>0.721000414</v>
      </c>
      <c r="G13" s="3" t="str">
        <f aca="false">IF(F13*1000&gt;Constants!$B$12,"Yes","No")</f>
        <v>No</v>
      </c>
      <c r="H13" s="3"/>
      <c r="I13" s="3"/>
      <c r="J13" s="3"/>
      <c r="K13" s="3"/>
      <c r="L13" s="3"/>
      <c r="M13" s="3"/>
      <c r="N13" s="3"/>
      <c r="O13" s="3"/>
    </row>
    <row r="14" customFormat="false" ht="15" hidden="false" customHeight="false" outlineLevel="0" collapsed="false">
      <c r="A14" s="27" t="n">
        <v>1</v>
      </c>
      <c r="B14" s="28" t="n">
        <v>46300.1118423958</v>
      </c>
      <c r="C14" s="28" t="n">
        <v>46300.1118632755</v>
      </c>
      <c r="D14" s="32" t="n">
        <f aca="false">(B14-INDEX(Rounds!$C:$C,MATCH(A14,Rounds!$A:$A,0)))*86400</f>
        <v>59.252000204</v>
      </c>
      <c r="E14" s="3" t="str">
        <f aca="false">INDEX(Rounds!$F:$F,MATCH(A14,Rounds!$A:$A,0))</f>
        <v>Before fix</v>
      </c>
      <c r="F14" s="31" t="n">
        <f aca="false">(C14-B14)*86400</f>
        <v>1.804000977</v>
      </c>
      <c r="G14" s="3" t="str">
        <f aca="false">IF(F14*1000&gt;Constants!$B$12,"Yes","No")</f>
        <v>Yes</v>
      </c>
      <c r="H14" s="3"/>
      <c r="I14" s="6" t="s">
        <v>565</v>
      </c>
      <c r="J14" s="6"/>
      <c r="K14" s="6"/>
      <c r="L14" s="26" t="n">
        <f aca="false" t="array" ref="L14:L14">MEDIAN(IF($E$5:$E$327="Before fix",$F$5:$F$327))</f>
        <v>0.2825001015</v>
      </c>
      <c r="M14" s="26" t="n">
        <f aca="false" t="array" ref="M14:M14">MEDIAN(IF($E$5:$E$327="After fix",$F$5:$F$327))</f>
        <v>0.387000013</v>
      </c>
      <c r="N14" s="3"/>
      <c r="O14" s="3"/>
    </row>
    <row r="15" customFormat="false" ht="15" hidden="false" customHeight="false" outlineLevel="0" collapsed="false">
      <c r="A15" s="27" t="n">
        <v>2</v>
      </c>
      <c r="B15" s="28" t="n">
        <v>46300.1128526968</v>
      </c>
      <c r="C15" s="28" t="n">
        <v>46300.1128588426</v>
      </c>
      <c r="D15" s="32" t="n">
        <f aca="false">(B15-INDEX(Rounds!$C:$C,MATCH(A15,Rounds!$A:$A,0)))*86400</f>
        <v>1.154999644</v>
      </c>
      <c r="E15" s="3" t="str">
        <f aca="false">INDEX(Rounds!$F:$F,MATCH(A15,Rounds!$A:$A,0))</f>
        <v>Before fix</v>
      </c>
      <c r="F15" s="31" t="n">
        <f aca="false">(C15-B15)*86400</f>
        <v>0.531000061</v>
      </c>
      <c r="G15" s="3" t="str">
        <f aca="false">IF(F15*1000&gt;Constants!$B$12,"Yes","No")</f>
        <v>No</v>
      </c>
      <c r="H15" s="3"/>
      <c r="I15" s="6" t="s">
        <v>566</v>
      </c>
      <c r="J15" s="6"/>
      <c r="K15" s="6"/>
      <c r="L15" s="24" t="n">
        <f aca="false">COUNTIFS($E$5:$E$327,"Before fix",$G$5:$G$327,"Yes")/L12</f>
        <v>0.136363636363636</v>
      </c>
      <c r="M15" s="24" t="n">
        <f aca="false">COUNTIFS($E$5:$E$327,"After fix",$G$5:$G$327,"Yes")/M12</f>
        <v>0.202334630350195</v>
      </c>
      <c r="N15" s="3"/>
      <c r="O15" s="3"/>
    </row>
    <row r="16" customFormat="false" ht="15" hidden="false" customHeight="false" outlineLevel="0" collapsed="false">
      <c r="A16" s="27" t="n">
        <v>2</v>
      </c>
      <c r="B16" s="28" t="n">
        <v>46300.1128815972</v>
      </c>
      <c r="C16" s="28" t="n">
        <v>46300.1128817824</v>
      </c>
      <c r="D16" s="32" t="n">
        <f aca="false">(B16-INDEX(Rounds!$C:$C,MATCH(A16,Rounds!$A:$A,0)))*86400</f>
        <v>3.651999402</v>
      </c>
      <c r="E16" s="3" t="str">
        <f aca="false">INDEX(Rounds!$F:$F,MATCH(A16,Rounds!$A:$A,0))</f>
        <v>Before fix</v>
      </c>
      <c r="F16" s="31" t="n">
        <f aca="false">(C16-B16)*86400</f>
        <v>0.016000214</v>
      </c>
      <c r="G16" s="3" t="str">
        <f aca="false">IF(F16*1000&gt;Constants!$B$12,"Yes","No")</f>
        <v>No</v>
      </c>
      <c r="H16" s="3"/>
      <c r="I16" s="3"/>
      <c r="J16" s="3"/>
      <c r="K16" s="3"/>
      <c r="L16" s="3"/>
      <c r="M16" s="3"/>
      <c r="N16" s="3"/>
      <c r="O16" s="3"/>
    </row>
    <row r="17" customFormat="false" ht="15" hidden="false" customHeight="false" outlineLevel="0" collapsed="false">
      <c r="A17" s="27" t="n">
        <v>2</v>
      </c>
      <c r="B17" s="28" t="n">
        <v>46300.1131016435</v>
      </c>
      <c r="C17" s="28" t="n">
        <v>46300.1131111111</v>
      </c>
      <c r="D17" s="32" t="n">
        <f aca="false">(B17-INDEX(Rounds!$C:$C,MATCH(A17,Rounds!$A:$A,0)))*86400</f>
        <v>22.663999604</v>
      </c>
      <c r="E17" s="3" t="str">
        <f aca="false">INDEX(Rounds!$F:$F,MATCH(A17,Rounds!$A:$A,0))</f>
        <v>Before fix</v>
      </c>
      <c r="F17" s="31" t="n">
        <f aca="false">(C17-B17)*86400</f>
        <v>0.817999988</v>
      </c>
      <c r="G17" s="3" t="str">
        <f aca="false">IF(F17*1000&gt;Constants!$B$12,"Yes","No")</f>
        <v>No</v>
      </c>
      <c r="H17" s="3"/>
      <c r="I17" s="3"/>
      <c r="J17" s="3"/>
      <c r="K17" s="3"/>
      <c r="L17" s="3"/>
      <c r="M17" s="3"/>
      <c r="N17" s="3"/>
      <c r="O17" s="3"/>
    </row>
    <row r="18" customFormat="false" ht="15" hidden="false" customHeight="false" outlineLevel="0" collapsed="false">
      <c r="A18" s="27" t="n">
        <v>2</v>
      </c>
      <c r="B18" s="28" t="n">
        <v>46300.1131633449</v>
      </c>
      <c r="C18" s="28" t="n">
        <v>46300.1131740857</v>
      </c>
      <c r="D18" s="32" t="n">
        <f aca="false">(B18-INDEX(Rounds!$C:$C,MATCH(A18,Rounds!$A:$A,0)))*86400</f>
        <v>27.994998777</v>
      </c>
      <c r="E18" s="3" t="str">
        <f aca="false">INDEX(Rounds!$F:$F,MATCH(A18,Rounds!$A:$A,0))</f>
        <v>Before fix</v>
      </c>
      <c r="F18" s="31" t="n">
        <f aca="false">(C18-B18)*86400</f>
        <v>0.928001152</v>
      </c>
      <c r="G18" s="3" t="str">
        <f aca="false">IF(F18*1000&gt;Constants!$B$12,"Yes","No")</f>
        <v>No</v>
      </c>
      <c r="H18" s="3"/>
      <c r="I18" s="3"/>
      <c r="J18" s="3"/>
      <c r="K18" s="3"/>
      <c r="L18" s="3"/>
      <c r="M18" s="3"/>
      <c r="N18" s="3"/>
      <c r="O18" s="3"/>
    </row>
    <row r="19" customFormat="false" ht="15" hidden="false" customHeight="false" outlineLevel="0" collapsed="false">
      <c r="A19" s="27" t="n">
        <v>2</v>
      </c>
      <c r="B19" s="28" t="n">
        <v>46300.1131874537</v>
      </c>
      <c r="C19" s="28" t="n">
        <v>46300.1131878357</v>
      </c>
      <c r="D19" s="32" t="n">
        <f aca="false">(B19-INDEX(Rounds!$C:$C,MATCH(A19,Rounds!$A:$A,0)))*86400</f>
        <v>30.077999574</v>
      </c>
      <c r="E19" s="3" t="str">
        <f aca="false">INDEX(Rounds!$F:$F,MATCH(A19,Rounds!$A:$A,0))</f>
        <v>Before fix</v>
      </c>
      <c r="F19" s="31" t="n">
        <f aca="false">(C19-B19)*86400</f>
        <v>0.032999971</v>
      </c>
      <c r="G19" s="3" t="str">
        <f aca="false">IF(F19*1000&gt;Constants!$B$12,"Yes","No")</f>
        <v>No</v>
      </c>
      <c r="H19" s="3"/>
      <c r="I19" s="3"/>
      <c r="J19" s="3"/>
      <c r="K19" s="3"/>
      <c r="L19" s="3"/>
      <c r="M19" s="3"/>
      <c r="N19" s="3"/>
      <c r="O19" s="3"/>
    </row>
    <row r="20" customFormat="false" ht="15" hidden="false" customHeight="false" outlineLevel="0" collapsed="false">
      <c r="A20" s="27" t="n">
        <v>2</v>
      </c>
      <c r="B20" s="28" t="n">
        <v>46300.1131946991</v>
      </c>
      <c r="C20" s="28" t="n">
        <v>46300.1132060764</v>
      </c>
      <c r="D20" s="32" t="n">
        <f aca="false">(B20-INDEX(Rounds!$C:$C,MATCH(A20,Rounds!$A:$A,0)))*86400</f>
        <v>30.703999497</v>
      </c>
      <c r="E20" s="3" t="str">
        <f aca="false">INDEX(Rounds!$F:$F,MATCH(A20,Rounds!$A:$A,0))</f>
        <v>Before fix</v>
      </c>
      <c r="F20" s="31" t="n">
        <f aca="false">(C20-B20)*86400</f>
        <v>0.983000476</v>
      </c>
      <c r="G20" s="3" t="str">
        <f aca="false">IF(F20*1000&gt;Constants!$B$12,"Yes","No")</f>
        <v>No</v>
      </c>
      <c r="H20" s="3"/>
      <c r="I20" s="3"/>
      <c r="J20" s="3"/>
      <c r="K20" s="3"/>
      <c r="L20" s="3"/>
      <c r="M20" s="3"/>
      <c r="N20" s="3"/>
      <c r="O20" s="3"/>
    </row>
    <row r="21" customFormat="false" ht="15" hidden="false" customHeight="false" outlineLevel="0" collapsed="false">
      <c r="A21" s="27" t="n">
        <v>2</v>
      </c>
      <c r="B21" s="28" t="n">
        <v>46300.1132112847</v>
      </c>
      <c r="C21" s="28" t="n">
        <v>46300.1132177894</v>
      </c>
      <c r="D21" s="32" t="n">
        <f aca="false">(B21-INDEX(Rounds!$C:$C,MATCH(A21,Rounds!$A:$A,0)))*86400</f>
        <v>32.136999419</v>
      </c>
      <c r="E21" s="3" t="str">
        <f aca="false">INDEX(Rounds!$F:$F,MATCH(A21,Rounds!$A:$A,0))</f>
        <v>Before fix</v>
      </c>
      <c r="F21" s="31" t="n">
        <f aca="false">(C21-B21)*86400</f>
        <v>0.562000321</v>
      </c>
      <c r="G21" s="3" t="str">
        <f aca="false">IF(F21*1000&gt;Constants!$B$12,"Yes","No")</f>
        <v>No</v>
      </c>
      <c r="H21" s="3"/>
      <c r="I21" s="3"/>
      <c r="J21" s="3"/>
      <c r="K21" s="3"/>
      <c r="L21" s="3"/>
      <c r="M21" s="3"/>
      <c r="N21" s="3"/>
      <c r="O21" s="3"/>
    </row>
    <row r="22" customFormat="false" ht="15" hidden="false" customHeight="false" outlineLevel="0" collapsed="false">
      <c r="A22" s="27" t="n">
        <v>2</v>
      </c>
      <c r="B22" s="28" t="n">
        <v>46300.1132298843</v>
      </c>
      <c r="C22" s="28" t="n">
        <v>46300.1132453704</v>
      </c>
      <c r="D22" s="32" t="n">
        <f aca="false">(B22-INDEX(Rounds!$C:$C,MATCH(A22,Rounds!$A:$A,0)))*86400</f>
        <v>33.743999479</v>
      </c>
      <c r="E22" s="3" t="str">
        <f aca="false">INDEX(Rounds!$F:$F,MATCH(A22,Rounds!$A:$A,0))</f>
        <v>Before fix</v>
      </c>
      <c r="F22" s="31" t="n">
        <f aca="false">(C22-B22)*86400</f>
        <v>1.33800006</v>
      </c>
      <c r="G22" s="3" t="str">
        <f aca="false">IF(F22*1000&gt;Constants!$B$12,"Yes","No")</f>
        <v>Yes</v>
      </c>
      <c r="H22" s="3"/>
      <c r="I22" s="3"/>
      <c r="J22" s="3"/>
      <c r="K22" s="3"/>
      <c r="L22" s="3"/>
      <c r="M22" s="3"/>
      <c r="N22" s="3"/>
      <c r="O22" s="3"/>
    </row>
    <row r="23" customFormat="false" ht="15" hidden="false" customHeight="false" outlineLevel="0" collapsed="false">
      <c r="A23" s="27" t="n">
        <v>2</v>
      </c>
      <c r="B23" s="28" t="n">
        <v>46300.1133731829</v>
      </c>
      <c r="C23" s="28" t="n">
        <v>46300.1133819213</v>
      </c>
      <c r="D23" s="32" t="n">
        <f aca="false">(B23-INDEX(Rounds!$C:$C,MATCH(A23,Rounds!$A:$A,0)))*86400</f>
        <v>46.124999388</v>
      </c>
      <c r="E23" s="3" t="str">
        <f aca="false">INDEX(Rounds!$F:$F,MATCH(A23,Rounds!$A:$A,0))</f>
        <v>Before fix</v>
      </c>
      <c r="F23" s="31" t="n">
        <f aca="false">(C23-B23)*86400</f>
        <v>0.755000556</v>
      </c>
      <c r="G23" s="3" t="str">
        <f aca="false">IF(F23*1000&gt;Constants!$B$12,"Yes","No")</f>
        <v>No</v>
      </c>
      <c r="H23" s="3"/>
      <c r="I23" s="3"/>
      <c r="J23" s="3"/>
      <c r="K23" s="3"/>
      <c r="L23" s="3"/>
      <c r="M23" s="3"/>
      <c r="N23" s="3"/>
      <c r="O23" s="3"/>
    </row>
    <row r="24" customFormat="false" ht="15" hidden="false" customHeight="false" outlineLevel="0" collapsed="false">
      <c r="A24" s="27" t="n">
        <v>2</v>
      </c>
      <c r="B24" s="28" t="n">
        <v>46300.1134140972</v>
      </c>
      <c r="C24" s="28" t="n">
        <v>46300.1134241782</v>
      </c>
      <c r="D24" s="32" t="n">
        <f aca="false">(B24-INDEX(Rounds!$C:$C,MATCH(A24,Rounds!$A:$A,0)))*86400</f>
        <v>49.659999576</v>
      </c>
      <c r="E24" s="3" t="str">
        <f aca="false">INDEX(Rounds!$F:$F,MATCH(A24,Rounds!$A:$A,0))</f>
        <v>Before fix</v>
      </c>
      <c r="F24" s="31" t="n">
        <f aca="false">(C24-B24)*86400</f>
        <v>0.871000229</v>
      </c>
      <c r="G24" s="3" t="str">
        <f aca="false">IF(F24*1000&gt;Constants!$B$12,"Yes","No")</f>
        <v>No</v>
      </c>
      <c r="H24" s="3"/>
      <c r="I24" s="3"/>
      <c r="J24" s="3"/>
      <c r="K24" s="3"/>
      <c r="L24" s="3"/>
      <c r="M24" s="3"/>
      <c r="N24" s="3"/>
      <c r="O24" s="3"/>
    </row>
    <row r="25" customFormat="false" ht="15" hidden="false" customHeight="false" outlineLevel="0" collapsed="false">
      <c r="A25" s="27" t="n">
        <v>2</v>
      </c>
      <c r="B25" s="28" t="n">
        <v>46300.1134349421</v>
      </c>
      <c r="C25" s="28" t="n">
        <v>46300.1134358681</v>
      </c>
      <c r="D25" s="32" t="n">
        <f aca="false">(B25-INDEX(Rounds!$C:$C,MATCH(A25,Rounds!$A:$A,0)))*86400</f>
        <v>51.461000042</v>
      </c>
      <c r="E25" s="3" t="str">
        <f aca="false">INDEX(Rounds!$F:$F,MATCH(A25,Rounds!$A:$A,0))</f>
        <v>Before fix</v>
      </c>
      <c r="F25" s="31" t="n">
        <f aca="false">(C25-B25)*86400</f>
        <v>0.079999817</v>
      </c>
      <c r="G25" s="3" t="str">
        <f aca="false">IF(F25*1000&gt;Constants!$B$12,"Yes","No")</f>
        <v>No</v>
      </c>
      <c r="H25" s="3"/>
      <c r="I25" s="3"/>
      <c r="J25" s="3"/>
      <c r="K25" s="3"/>
      <c r="L25" s="3"/>
      <c r="M25" s="3"/>
      <c r="N25" s="3"/>
      <c r="O25" s="3"/>
    </row>
    <row r="26" customFormat="false" ht="15" hidden="false" customHeight="false" outlineLevel="0" collapsed="false">
      <c r="A26" s="27" t="n">
        <v>2</v>
      </c>
      <c r="B26" s="28" t="n">
        <v>46300.1134847917</v>
      </c>
      <c r="C26" s="28" t="n">
        <v>46300.1135024884</v>
      </c>
      <c r="D26" s="32" t="n">
        <f aca="false">(B26-INDEX(Rounds!$C:$C,MATCH(A26,Rounds!$A:$A,0)))*86400</f>
        <v>55.767999915</v>
      </c>
      <c r="E26" s="3" t="str">
        <f aca="false">INDEX(Rounds!$F:$F,MATCH(A26,Rounds!$A:$A,0))</f>
        <v>Before fix</v>
      </c>
      <c r="F26" s="31" t="n">
        <f aca="false">(C26-B26)*86400</f>
        <v>1.528999954</v>
      </c>
      <c r="G26" s="3" t="str">
        <f aca="false">IF(F26*1000&gt;Constants!$B$12,"Yes","No")</f>
        <v>Yes</v>
      </c>
      <c r="H26" s="3"/>
      <c r="I26" s="3"/>
      <c r="J26" s="3"/>
      <c r="K26" s="3"/>
      <c r="L26" s="3"/>
      <c r="M26" s="3"/>
      <c r="N26" s="3"/>
      <c r="O26" s="3"/>
    </row>
    <row r="27" customFormat="false" ht="15" hidden="false" customHeight="false" outlineLevel="0" collapsed="false">
      <c r="A27" s="27" t="n">
        <v>3</v>
      </c>
      <c r="B27" s="28" t="n">
        <v>46300.1140284954</v>
      </c>
      <c r="C27" s="28" t="n">
        <v>46300.1140294097</v>
      </c>
      <c r="D27" s="32" t="n">
        <f aca="false">(B27-INDEX(Rounds!$C:$C,MATCH(A27,Rounds!$A:$A,0)))*86400</f>
        <v>5.753000127</v>
      </c>
      <c r="E27" s="3" t="str">
        <f aca="false">INDEX(Rounds!$F:$F,MATCH(A27,Rounds!$A:$A,0))</f>
        <v>Before fix</v>
      </c>
      <c r="F27" s="31" t="n">
        <f aca="false">(C27-B27)*86400</f>
        <v>0.078999646</v>
      </c>
      <c r="G27" s="3" t="str">
        <f aca="false">IF(F27*1000&gt;Constants!$B$12,"Yes","No")</f>
        <v>No</v>
      </c>
      <c r="H27" s="3"/>
      <c r="I27" s="3"/>
      <c r="J27" s="3"/>
      <c r="K27" s="3"/>
      <c r="L27" s="3"/>
      <c r="M27" s="3"/>
      <c r="N27" s="3"/>
      <c r="O27" s="3"/>
    </row>
    <row r="28" customFormat="false" ht="15" hidden="false" customHeight="false" outlineLevel="0" collapsed="false">
      <c r="A28" s="27" t="n">
        <v>3</v>
      </c>
      <c r="B28" s="28" t="n">
        <v>46300.1140362963</v>
      </c>
      <c r="C28" s="28" t="n">
        <v>46300.1140392824</v>
      </c>
      <c r="D28" s="32" t="n">
        <f aca="false">(B28-INDEX(Rounds!$C:$C,MATCH(A28,Rounds!$A:$A,0)))*86400</f>
        <v>6.427000067</v>
      </c>
      <c r="E28" s="3" t="str">
        <f aca="false">INDEX(Rounds!$F:$F,MATCH(A28,Rounds!$A:$A,0))</f>
        <v>Before fix</v>
      </c>
      <c r="F28" s="31" t="n">
        <f aca="false">(C28-B28)*86400</f>
        <v>0.258000008</v>
      </c>
      <c r="G28" s="3" t="str">
        <f aca="false">IF(F28*1000&gt;Constants!$B$12,"Yes","No")</f>
        <v>No</v>
      </c>
      <c r="H28" s="3"/>
      <c r="I28" s="3"/>
      <c r="J28" s="3"/>
      <c r="K28" s="3"/>
      <c r="L28" s="3"/>
      <c r="M28" s="3"/>
      <c r="N28" s="3"/>
      <c r="O28" s="3"/>
    </row>
    <row r="29" customFormat="false" ht="15" hidden="false" customHeight="false" outlineLevel="0" collapsed="false">
      <c r="A29" s="27" t="n">
        <v>3</v>
      </c>
      <c r="B29" s="28" t="n">
        <v>46300.1140873958</v>
      </c>
      <c r="C29" s="28" t="n">
        <v>46300.1140972917</v>
      </c>
      <c r="D29" s="32" t="n">
        <f aca="false">(B29-INDEX(Rounds!$C:$C,MATCH(A29,Rounds!$A:$A,0)))*86400</f>
        <v>10.842000762</v>
      </c>
      <c r="E29" s="3" t="str">
        <f aca="false">INDEX(Rounds!$F:$F,MATCH(A29,Rounds!$A:$A,0))</f>
        <v>Before fix</v>
      </c>
      <c r="F29" s="31" t="n">
        <f aca="false">(C29-B29)*86400</f>
        <v>0.854999385</v>
      </c>
      <c r="G29" s="3" t="str">
        <f aca="false">IF(F29*1000&gt;Constants!$B$12,"Yes","No")</f>
        <v>No</v>
      </c>
      <c r="H29" s="3"/>
      <c r="I29" s="3"/>
      <c r="J29" s="3"/>
      <c r="K29" s="3"/>
      <c r="L29" s="3"/>
      <c r="M29" s="3"/>
      <c r="N29" s="3"/>
      <c r="O29" s="3"/>
    </row>
    <row r="30" customFormat="false" ht="15" hidden="false" customHeight="false" outlineLevel="0" collapsed="false">
      <c r="A30" s="27" t="n">
        <v>3</v>
      </c>
      <c r="B30" s="28" t="n">
        <v>46300.114328831</v>
      </c>
      <c r="C30" s="28" t="n">
        <v>46300.1143293982</v>
      </c>
      <c r="D30" s="32" t="n">
        <f aca="false">(B30-INDEX(Rounds!$C:$C,MATCH(A30,Rounds!$A:$A,0)))*86400</f>
        <v>31.702000019</v>
      </c>
      <c r="E30" s="3" t="str">
        <f aca="false">INDEX(Rounds!$F:$F,MATCH(A30,Rounds!$A:$A,0))</f>
        <v>Before fix</v>
      </c>
      <c r="F30" s="31" t="n">
        <f aca="false">(C30-B30)*86400</f>
        <v>0.049000186</v>
      </c>
      <c r="G30" s="3" t="str">
        <f aca="false">IF(F30*1000&gt;Constants!$B$12,"Yes","No")</f>
        <v>No</v>
      </c>
      <c r="H30" s="3"/>
      <c r="I30" s="3"/>
      <c r="J30" s="3"/>
      <c r="K30" s="3"/>
      <c r="L30" s="3"/>
      <c r="M30" s="3"/>
      <c r="N30" s="3"/>
      <c r="O30" s="3"/>
    </row>
    <row r="31" customFormat="false" ht="15" hidden="false" customHeight="false" outlineLevel="0" collapsed="false">
      <c r="A31" s="27" t="n">
        <v>3</v>
      </c>
      <c r="B31" s="28" t="n">
        <v>46300.1143657639</v>
      </c>
      <c r="C31" s="28" t="n">
        <v>46300.1143754745</v>
      </c>
      <c r="D31" s="32" t="n">
        <f aca="false">(B31-INDEX(Rounds!$C:$C,MATCH(A31,Rounds!$A:$A,0)))*86400</f>
        <v>34.892999986</v>
      </c>
      <c r="E31" s="3" t="str">
        <f aca="false">INDEX(Rounds!$F:$F,MATCH(A31,Rounds!$A:$A,0))</f>
        <v>Before fix</v>
      </c>
      <c r="F31" s="31" t="n">
        <f aca="false">(C31-B31)*86400</f>
        <v>0.839000428</v>
      </c>
      <c r="G31" s="3" t="str">
        <f aca="false">IF(F31*1000&gt;Constants!$B$12,"Yes","No")</f>
        <v>No</v>
      </c>
      <c r="H31" s="3"/>
      <c r="I31" s="3"/>
      <c r="J31" s="3"/>
      <c r="K31" s="3"/>
      <c r="L31" s="3"/>
      <c r="M31" s="3"/>
      <c r="N31" s="3"/>
      <c r="O31" s="3"/>
    </row>
    <row r="32" customFormat="false" ht="15" hidden="false" customHeight="false" outlineLevel="0" collapsed="false">
      <c r="A32" s="27" t="n">
        <v>3</v>
      </c>
      <c r="B32" s="28" t="n">
        <v>46300.1143970602</v>
      </c>
      <c r="C32" s="28" t="n">
        <v>46300.1144060301</v>
      </c>
      <c r="D32" s="32" t="n">
        <f aca="false">(B32-INDEX(Rounds!$C:$C,MATCH(A32,Rounds!$A:$A,0)))*86400</f>
        <v>37.596999225</v>
      </c>
      <c r="E32" s="3" t="str">
        <f aca="false">INDEX(Rounds!$F:$F,MATCH(A32,Rounds!$A:$A,0))</f>
        <v>Before fix</v>
      </c>
      <c r="F32" s="31" t="n">
        <f aca="false">(C32-B32)*86400</f>
        <v>0.775000196</v>
      </c>
      <c r="G32" s="3" t="str">
        <f aca="false">IF(F32*1000&gt;Constants!$B$12,"Yes","No")</f>
        <v>No</v>
      </c>
      <c r="H32" s="3"/>
      <c r="I32" s="3"/>
      <c r="J32" s="3"/>
      <c r="K32" s="3"/>
      <c r="L32" s="3"/>
      <c r="M32" s="3"/>
      <c r="N32" s="3"/>
      <c r="O32" s="3"/>
    </row>
    <row r="33" customFormat="false" ht="15" hidden="false" customHeight="false" outlineLevel="0" collapsed="false">
      <c r="A33" s="27" t="n">
        <v>3</v>
      </c>
      <c r="B33" s="28" t="n">
        <v>46300.1144822454</v>
      </c>
      <c r="C33" s="28" t="n">
        <v>46300.1144850232</v>
      </c>
      <c r="D33" s="32" t="n">
        <f aca="false">(B33-INDEX(Rounds!$C:$C,MATCH(A33,Rounds!$A:$A,0)))*86400</f>
        <v>44.95700004</v>
      </c>
      <c r="E33" s="3" t="str">
        <f aca="false">INDEX(Rounds!$F:$F,MATCH(A33,Rounds!$A:$A,0))</f>
        <v>Before fix</v>
      </c>
      <c r="F33" s="31" t="n">
        <f aca="false">(C33-B33)*86400</f>
        <v>0.240000081</v>
      </c>
      <c r="G33" s="3" t="str">
        <f aca="false">IF(F33*1000&gt;Constants!$B$12,"Yes","No")</f>
        <v>No</v>
      </c>
      <c r="H33" s="3"/>
      <c r="I33" s="3"/>
      <c r="J33" s="3"/>
      <c r="K33" s="3"/>
      <c r="L33" s="3"/>
      <c r="M33" s="3"/>
      <c r="N33" s="3"/>
      <c r="O33" s="3"/>
    </row>
    <row r="34" customFormat="false" ht="15" hidden="false" customHeight="false" outlineLevel="0" collapsed="false">
      <c r="A34" s="27" t="n">
        <v>3</v>
      </c>
      <c r="B34" s="28" t="n">
        <v>46300.1144941204</v>
      </c>
      <c r="C34" s="28" t="n">
        <v>46300.1144952546</v>
      </c>
      <c r="D34" s="32" t="n">
        <f aca="false">(B34-INDEX(Rounds!$C:$C,MATCH(A34,Rounds!$A:$A,0)))*86400</f>
        <v>45.98299968</v>
      </c>
      <c r="E34" s="3" t="str">
        <f aca="false">INDEX(Rounds!$F:$F,MATCH(A34,Rounds!$A:$A,0))</f>
        <v>Before fix</v>
      </c>
      <c r="F34" s="31" t="n">
        <f aca="false">(C34-B34)*86400</f>
        <v>0.098000373</v>
      </c>
      <c r="G34" s="3" t="str">
        <f aca="false">IF(F34*1000&gt;Constants!$B$12,"Yes","No")</f>
        <v>No</v>
      </c>
      <c r="H34" s="3"/>
      <c r="I34" s="3"/>
      <c r="J34" s="3"/>
      <c r="K34" s="3"/>
      <c r="L34" s="3"/>
      <c r="M34" s="3"/>
      <c r="N34" s="3"/>
      <c r="O34" s="3"/>
    </row>
    <row r="35" customFormat="false" ht="15" hidden="false" customHeight="false" outlineLevel="0" collapsed="false">
      <c r="A35" s="27" t="n">
        <v>3</v>
      </c>
      <c r="B35" s="28" t="n">
        <v>46300.1145064005</v>
      </c>
      <c r="C35" s="28" t="n">
        <v>46300.1145071412</v>
      </c>
      <c r="D35" s="32" t="n">
        <f aca="false">(B35-INDEX(Rounds!$C:$C,MATCH(A35,Rounds!$A:$A,0)))*86400</f>
        <v>47.043999633</v>
      </c>
      <c r="E35" s="3" t="str">
        <f aca="false">INDEX(Rounds!$F:$F,MATCH(A35,Rounds!$A:$A,0))</f>
        <v>Before fix</v>
      </c>
      <c r="F35" s="31" t="n">
        <f aca="false">(C35-B35)*86400</f>
        <v>0.064000231</v>
      </c>
      <c r="G35" s="3" t="str">
        <f aca="false">IF(F35*1000&gt;Constants!$B$12,"Yes","No")</f>
        <v>No</v>
      </c>
      <c r="H35" s="3"/>
      <c r="I35" s="3"/>
      <c r="J35" s="3"/>
      <c r="K35" s="3"/>
      <c r="L35" s="3"/>
      <c r="M35" s="3"/>
      <c r="N35" s="3"/>
      <c r="O35" s="3"/>
    </row>
    <row r="36" customFormat="false" ht="15" hidden="false" customHeight="false" outlineLevel="0" collapsed="false">
      <c r="A36" s="27" t="n">
        <v>3</v>
      </c>
      <c r="B36" s="28" t="n">
        <v>46300.1145140278</v>
      </c>
      <c r="C36" s="28" t="n">
        <v>46300.1145207176</v>
      </c>
      <c r="D36" s="32" t="n">
        <f aca="false">(B36-INDEX(Rounds!$C:$C,MATCH(A36,Rounds!$A:$A,0)))*86400</f>
        <v>47.703000158</v>
      </c>
      <c r="E36" s="3" t="str">
        <f aca="false">INDEX(Rounds!$F:$F,MATCH(A36,Rounds!$A:$A,0))</f>
        <v>Before fix</v>
      </c>
      <c r="F36" s="31" t="n">
        <f aca="false">(C36-B36)*86400</f>
        <v>0.577999278</v>
      </c>
      <c r="G36" s="3" t="str">
        <f aca="false">IF(F36*1000&gt;Constants!$B$12,"Yes","No")</f>
        <v>No</v>
      </c>
      <c r="H36" s="3"/>
      <c r="I36" s="3"/>
      <c r="J36" s="3"/>
      <c r="K36" s="3"/>
      <c r="L36" s="3"/>
      <c r="M36" s="3"/>
      <c r="N36" s="3"/>
      <c r="O36" s="3"/>
    </row>
    <row r="37" customFormat="false" ht="15" hidden="false" customHeight="false" outlineLevel="0" collapsed="false">
      <c r="A37" s="27" t="n">
        <v>3</v>
      </c>
      <c r="B37" s="28" t="n">
        <v>46300.11456125</v>
      </c>
      <c r="C37" s="28" t="n">
        <v>46300.1145640857</v>
      </c>
      <c r="D37" s="32" t="n">
        <f aca="false">(B37-INDEX(Rounds!$C:$C,MATCH(A37,Rounds!$A:$A,0)))*86400</f>
        <v>51.782999653</v>
      </c>
      <c r="E37" s="3" t="str">
        <f aca="false">INDEX(Rounds!$F:$F,MATCH(A37,Rounds!$A:$A,0))</f>
        <v>Before fix</v>
      </c>
      <c r="F37" s="31" t="n">
        <f aca="false">(C37-B37)*86400</f>
        <v>0.245000305</v>
      </c>
      <c r="G37" s="3" t="str">
        <f aca="false">IF(F37*1000&gt;Constants!$B$12,"Yes","No")</f>
        <v>No</v>
      </c>
      <c r="H37" s="3"/>
      <c r="I37" s="3"/>
      <c r="J37" s="3"/>
      <c r="K37" s="3"/>
      <c r="L37" s="3"/>
      <c r="M37" s="3"/>
      <c r="N37" s="3"/>
      <c r="O37" s="3"/>
    </row>
    <row r="38" customFormat="false" ht="15" hidden="false" customHeight="false" outlineLevel="0" collapsed="false">
      <c r="A38" s="27" t="n">
        <v>3</v>
      </c>
      <c r="B38" s="28" t="n">
        <v>46300.1146180903</v>
      </c>
      <c r="C38" s="28" t="n">
        <v>46300.1146372107</v>
      </c>
      <c r="D38" s="32" t="n">
        <f aca="false">(B38-INDEX(Rounds!$C:$C,MATCH(A38,Rounds!$A:$A,0)))*86400</f>
        <v>56.694000097</v>
      </c>
      <c r="E38" s="3" t="str">
        <f aca="false">INDEX(Rounds!$F:$F,MATCH(A38,Rounds!$A:$A,0))</f>
        <v>Before fix</v>
      </c>
      <c r="F38" s="31" t="n">
        <f aca="false">(C38-B38)*86400</f>
        <v>1.652000192</v>
      </c>
      <c r="G38" s="3" t="str">
        <f aca="false">IF(F38*1000&gt;Constants!$B$12,"Yes","No")</f>
        <v>Yes</v>
      </c>
      <c r="H38" s="3"/>
      <c r="I38" s="3"/>
      <c r="J38" s="3"/>
      <c r="K38" s="3"/>
      <c r="L38" s="3"/>
      <c r="M38" s="3"/>
      <c r="N38" s="3"/>
      <c r="O38" s="3"/>
    </row>
    <row r="39" customFormat="false" ht="15" hidden="false" customHeight="false" outlineLevel="0" collapsed="false">
      <c r="A39" s="27" t="n">
        <v>3</v>
      </c>
      <c r="B39" s="28" t="n">
        <v>46300.1146637616</v>
      </c>
      <c r="C39" s="28" t="n">
        <v>46300.1146795718</v>
      </c>
      <c r="D39" s="32" t="n">
        <f aca="false">(B39-INDEX(Rounds!$C:$C,MATCH(A39,Rounds!$A:$A,0)))*86400</f>
        <v>60.639999364</v>
      </c>
      <c r="E39" s="3" t="str">
        <f aca="false">INDEX(Rounds!$F:$F,MATCH(A39,Rounds!$A:$A,0))</f>
        <v>Before fix</v>
      </c>
      <c r="F39" s="31" t="n">
        <f aca="false">(C39-B39)*86400</f>
        <v>1.366000436</v>
      </c>
      <c r="G39" s="3" t="str">
        <f aca="false">IF(F39*1000&gt;Constants!$B$12,"Yes","No")</f>
        <v>Yes</v>
      </c>
      <c r="H39" s="3"/>
      <c r="I39" s="3"/>
      <c r="J39" s="3"/>
      <c r="K39" s="3"/>
      <c r="L39" s="3"/>
      <c r="M39" s="3"/>
      <c r="N39" s="3"/>
      <c r="O39" s="3"/>
    </row>
    <row r="40" customFormat="false" ht="15" hidden="false" customHeight="false" outlineLevel="0" collapsed="false">
      <c r="A40" s="27" t="n">
        <v>4</v>
      </c>
      <c r="B40" s="28" t="n">
        <v>46300.115085544</v>
      </c>
      <c r="C40" s="28" t="n">
        <v>46300.1150907292</v>
      </c>
      <c r="D40" s="32" t="n">
        <f aca="false">(B40-INDEX(Rounds!$C:$C,MATCH(A40,Rounds!$A:$A,0)))*86400</f>
        <v>16.204999736</v>
      </c>
      <c r="E40" s="3" t="str">
        <f aca="false">INDEX(Rounds!$F:$F,MATCH(A40,Rounds!$A:$A,0))</f>
        <v>Before fix</v>
      </c>
      <c r="F40" s="31" t="n">
        <f aca="false">(C40-B40)*86400</f>
        <v>0.448000361</v>
      </c>
      <c r="G40" s="3" t="str">
        <f aca="false">IF(F40*1000&gt;Constants!$B$12,"Yes","No")</f>
        <v>No</v>
      </c>
      <c r="H40" s="3"/>
      <c r="I40" s="3"/>
      <c r="J40" s="3"/>
      <c r="K40" s="3"/>
      <c r="L40" s="3"/>
      <c r="M40" s="3"/>
      <c r="N40" s="3"/>
      <c r="O40" s="3"/>
    </row>
    <row r="41" customFormat="false" ht="15" hidden="false" customHeight="false" outlineLevel="0" collapsed="false">
      <c r="A41" s="27" t="n">
        <v>4</v>
      </c>
      <c r="B41" s="28" t="n">
        <v>46300.1151257639</v>
      </c>
      <c r="C41" s="28" t="n">
        <v>46300.1151321065</v>
      </c>
      <c r="D41" s="32" t="n">
        <f aca="false">(B41-INDEX(Rounds!$C:$C,MATCH(A41,Rounds!$A:$A,0)))*86400</f>
        <v>19.680000375</v>
      </c>
      <c r="E41" s="3" t="str">
        <f aca="false">INDEX(Rounds!$F:$F,MATCH(A41,Rounds!$A:$A,0))</f>
        <v>Before fix</v>
      </c>
      <c r="F41" s="31" t="n">
        <f aca="false">(C41-B41)*86400</f>
        <v>0.547999818</v>
      </c>
      <c r="G41" s="3" t="str">
        <f aca="false">IF(F41*1000&gt;Constants!$B$12,"Yes","No")</f>
        <v>No</v>
      </c>
      <c r="H41" s="3"/>
      <c r="I41" s="3"/>
      <c r="J41" s="3"/>
      <c r="K41" s="3"/>
      <c r="L41" s="3"/>
      <c r="M41" s="3"/>
      <c r="N41" s="3"/>
      <c r="O41" s="3"/>
    </row>
    <row r="42" customFormat="false" ht="15" hidden="false" customHeight="false" outlineLevel="0" collapsed="false">
      <c r="A42" s="27" t="n">
        <v>4</v>
      </c>
      <c r="B42" s="28" t="n">
        <v>46300.1151481134</v>
      </c>
      <c r="C42" s="28" t="n">
        <v>46300.1151559375</v>
      </c>
      <c r="D42" s="32" t="n">
        <f aca="false">(B42-INDEX(Rounds!$C:$C,MATCH(A42,Rounds!$A:$A,0)))*86400</f>
        <v>21.611000387</v>
      </c>
      <c r="E42" s="3" t="str">
        <f aca="false">INDEX(Rounds!$F:$F,MATCH(A42,Rounds!$A:$A,0))</f>
        <v>Before fix</v>
      </c>
      <c r="F42" s="31" t="n">
        <f aca="false">(C42-B42)*86400</f>
        <v>0.675999652</v>
      </c>
      <c r="G42" s="3" t="str">
        <f aca="false">IF(F42*1000&gt;Constants!$B$12,"Yes","No")</f>
        <v>No</v>
      </c>
      <c r="H42" s="3"/>
      <c r="I42" s="3"/>
      <c r="J42" s="3"/>
      <c r="K42" s="3"/>
      <c r="L42" s="3"/>
      <c r="M42" s="3"/>
      <c r="N42" s="3"/>
      <c r="O42" s="3"/>
    </row>
    <row r="43" customFormat="false" ht="15" hidden="false" customHeight="false" outlineLevel="0" collapsed="false">
      <c r="A43" s="27" t="n">
        <v>4</v>
      </c>
      <c r="B43" s="28" t="n">
        <v>46300.1151888079</v>
      </c>
      <c r="C43" s="28" t="n">
        <v>46300.1151930787</v>
      </c>
      <c r="D43" s="32" t="n">
        <f aca="false">(B43-INDEX(Rounds!$C:$C,MATCH(A43,Rounds!$A:$A,0)))*86400</f>
        <v>25.126999849</v>
      </c>
      <c r="E43" s="3" t="str">
        <f aca="false">INDEX(Rounds!$F:$F,MATCH(A43,Rounds!$A:$A,0))</f>
        <v>Before fix</v>
      </c>
      <c r="F43" s="31" t="n">
        <f aca="false">(C43-B43)*86400</f>
        <v>0.369000085</v>
      </c>
      <c r="G43" s="3" t="str">
        <f aca="false">IF(F43*1000&gt;Constants!$B$12,"Yes","No")</f>
        <v>No</v>
      </c>
      <c r="H43" s="3"/>
      <c r="I43" s="3"/>
      <c r="J43" s="3"/>
      <c r="K43" s="3"/>
      <c r="L43" s="3"/>
      <c r="M43" s="3"/>
      <c r="N43" s="3"/>
      <c r="O43" s="3"/>
    </row>
    <row r="44" customFormat="false" ht="15" hidden="false" customHeight="false" outlineLevel="0" collapsed="false">
      <c r="A44" s="27" t="n">
        <v>4</v>
      </c>
      <c r="B44" s="28" t="n">
        <v>46300.1152101505</v>
      </c>
      <c r="C44" s="28" t="n">
        <v>46300.115233588</v>
      </c>
      <c r="D44" s="32" t="n">
        <f aca="false">(B44-INDEX(Rounds!$C:$C,MATCH(A44,Rounds!$A:$A,0)))*86400</f>
        <v>26.971000107</v>
      </c>
      <c r="E44" s="3" t="str">
        <f aca="false">INDEX(Rounds!$F:$F,MATCH(A44,Rounds!$A:$A,0))</f>
        <v>Before fix</v>
      </c>
      <c r="F44" s="31" t="n">
        <f aca="false">(C44-B44)*86400</f>
        <v>2.024999703</v>
      </c>
      <c r="G44" s="3" t="str">
        <f aca="false">IF(F44*1000&gt;Constants!$B$12,"Yes","No")</f>
        <v>Yes</v>
      </c>
      <c r="H44" s="3"/>
      <c r="I44" s="3"/>
      <c r="J44" s="3"/>
      <c r="K44" s="3"/>
      <c r="L44" s="3"/>
      <c r="M44" s="3"/>
      <c r="N44" s="3"/>
      <c r="O44" s="3"/>
    </row>
    <row r="45" customFormat="false" ht="15" hidden="false" customHeight="false" outlineLevel="0" collapsed="false">
      <c r="A45" s="27" t="n">
        <v>4</v>
      </c>
      <c r="B45" s="28" t="n">
        <v>46300.1152442477</v>
      </c>
      <c r="C45" s="28" t="n">
        <v>46300.1152492593</v>
      </c>
      <c r="D45" s="32" t="n">
        <f aca="false">(B45-INDEX(Rounds!$C:$C,MATCH(A45,Rounds!$A:$A,0)))*86400</f>
        <v>29.917000397</v>
      </c>
      <c r="E45" s="3" t="str">
        <f aca="false">INDEX(Rounds!$F:$F,MATCH(A45,Rounds!$A:$A,0))</f>
        <v>Before fix</v>
      </c>
      <c r="F45" s="31" t="n">
        <f aca="false">(C45-B45)*86400</f>
        <v>0.432999688</v>
      </c>
      <c r="G45" s="3" t="str">
        <f aca="false">IF(F45*1000&gt;Constants!$B$12,"Yes","No")</f>
        <v>No</v>
      </c>
      <c r="H45" s="3"/>
      <c r="I45" s="3"/>
      <c r="J45" s="3"/>
      <c r="K45" s="3"/>
      <c r="L45" s="3"/>
      <c r="M45" s="3"/>
      <c r="N45" s="3"/>
      <c r="O45" s="3"/>
    </row>
    <row r="46" customFormat="false" ht="15" hidden="false" customHeight="false" outlineLevel="0" collapsed="false">
      <c r="A46" s="27" t="n">
        <v>4</v>
      </c>
      <c r="B46" s="28" t="n">
        <v>46300.1152645139</v>
      </c>
      <c r="C46" s="28" t="n">
        <v>46300.1152672917</v>
      </c>
      <c r="D46" s="32" t="n">
        <f aca="false">(B46-INDEX(Rounds!$C:$C,MATCH(A46,Rounds!$A:$A,0)))*86400</f>
        <v>31.668000505</v>
      </c>
      <c r="E46" s="3" t="str">
        <f aca="false">INDEX(Rounds!$F:$F,MATCH(A46,Rounds!$A:$A,0))</f>
        <v>Before fix</v>
      </c>
      <c r="F46" s="31" t="n">
        <f aca="false">(C46-B46)*86400</f>
        <v>0.240000081</v>
      </c>
      <c r="G46" s="3" t="str">
        <f aca="false">IF(F46*1000&gt;Constants!$B$12,"Yes","No")</f>
        <v>No</v>
      </c>
      <c r="H46" s="3"/>
      <c r="I46" s="3"/>
      <c r="J46" s="3"/>
      <c r="K46" s="3"/>
      <c r="L46" s="3"/>
      <c r="M46" s="3"/>
      <c r="N46" s="3"/>
      <c r="O46" s="3"/>
    </row>
    <row r="47" customFormat="false" ht="15" hidden="false" customHeight="false" outlineLevel="0" collapsed="false">
      <c r="A47" s="27" t="n">
        <v>4</v>
      </c>
      <c r="B47" s="28" t="n">
        <v>46300.1153812037</v>
      </c>
      <c r="C47" s="28" t="n">
        <v>46300.1153828704</v>
      </c>
      <c r="D47" s="32" t="n">
        <f aca="false">(B47-INDEX(Rounds!$C:$C,MATCH(A47,Rounds!$A:$A,0)))*86400</f>
        <v>41.749999858</v>
      </c>
      <c r="E47" s="3" t="str">
        <f aca="false">INDEX(Rounds!$F:$F,MATCH(A47,Rounds!$A:$A,0))</f>
        <v>Before fix</v>
      </c>
      <c r="F47" s="31" t="n">
        <f aca="false">(C47-B47)*86400</f>
        <v>0.144000048</v>
      </c>
      <c r="G47" s="3" t="str">
        <f aca="false">IF(F47*1000&gt;Constants!$B$12,"Yes","No")</f>
        <v>No</v>
      </c>
      <c r="H47" s="3"/>
      <c r="I47" s="3"/>
      <c r="J47" s="3"/>
      <c r="K47" s="3"/>
      <c r="L47" s="3"/>
      <c r="M47" s="3"/>
      <c r="N47" s="3"/>
      <c r="O47" s="3"/>
    </row>
    <row r="48" customFormat="false" ht="15" hidden="false" customHeight="false" outlineLevel="0" collapsed="false">
      <c r="A48" s="27" t="n">
        <v>4</v>
      </c>
      <c r="B48" s="28" t="n">
        <v>46300.1154723958</v>
      </c>
      <c r="C48" s="28" t="n">
        <v>46300.1154815278</v>
      </c>
      <c r="D48" s="32" t="n">
        <f aca="false">(B48-INDEX(Rounds!$C:$C,MATCH(A48,Rounds!$A:$A,0)))*86400</f>
        <v>49.628999945</v>
      </c>
      <c r="E48" s="3" t="str">
        <f aca="false">INDEX(Rounds!$F:$F,MATCH(A48,Rounds!$A:$A,0))</f>
        <v>Before fix</v>
      </c>
      <c r="F48" s="31" t="n">
        <f aca="false">(C48-B48)*86400</f>
        <v>0.78900007</v>
      </c>
      <c r="G48" s="3" t="str">
        <f aca="false">IF(F48*1000&gt;Constants!$B$12,"Yes","No")</f>
        <v>No</v>
      </c>
      <c r="H48" s="3"/>
      <c r="I48" s="3"/>
      <c r="J48" s="3"/>
      <c r="K48" s="3"/>
      <c r="L48" s="3"/>
      <c r="M48" s="3"/>
      <c r="N48" s="3"/>
      <c r="O48" s="3"/>
    </row>
    <row r="49" customFormat="false" ht="15" hidden="false" customHeight="false" outlineLevel="0" collapsed="false">
      <c r="A49" s="27" t="n">
        <v>4</v>
      </c>
      <c r="B49" s="28" t="n">
        <v>46300.1154883796</v>
      </c>
      <c r="C49" s="28" t="n">
        <v>46300.1155014352</v>
      </c>
      <c r="D49" s="32" t="n">
        <f aca="false">(B49-INDEX(Rounds!$C:$C,MATCH(A49,Rounds!$A:$A,0)))*86400</f>
        <v>51.010000426</v>
      </c>
      <c r="E49" s="3" t="str">
        <f aca="false">INDEX(Rounds!$F:$F,MATCH(A49,Rounds!$A:$A,0))</f>
        <v>Before fix</v>
      </c>
      <c r="F49" s="31" t="n">
        <f aca="false">(C49-B49)*86400</f>
        <v>1.127999438</v>
      </c>
      <c r="G49" s="3" t="str">
        <f aca="false">IF(F49*1000&gt;Constants!$B$12,"Yes","No")</f>
        <v>Yes</v>
      </c>
      <c r="H49" s="3"/>
      <c r="I49" s="3"/>
      <c r="J49" s="3"/>
      <c r="K49" s="3"/>
      <c r="L49" s="3"/>
      <c r="M49" s="3"/>
      <c r="N49" s="3"/>
      <c r="O49" s="3"/>
    </row>
    <row r="50" customFormat="false" ht="15" hidden="false" customHeight="false" outlineLevel="0" collapsed="false">
      <c r="A50" s="27" t="n">
        <v>4</v>
      </c>
      <c r="B50" s="28" t="n">
        <v>46300.1155330556</v>
      </c>
      <c r="C50" s="28" t="n">
        <v>46300.1155338079</v>
      </c>
      <c r="D50" s="32" t="n">
        <f aca="false">(B50-INDEX(Rounds!$C:$C,MATCH(A50,Rounds!$A:$A,0)))*86400</f>
        <v>54.870000737</v>
      </c>
      <c r="E50" s="3" t="str">
        <f aca="false">INDEX(Rounds!$F:$F,MATCH(A50,Rounds!$A:$A,0))</f>
        <v>Before fix</v>
      </c>
      <c r="F50" s="31" t="n">
        <f aca="false">(C50-B50)*86400</f>
        <v>0.064999144</v>
      </c>
      <c r="G50" s="3" t="str">
        <f aca="false">IF(F50*1000&gt;Constants!$B$12,"Yes","No")</f>
        <v>No</v>
      </c>
      <c r="H50" s="3"/>
      <c r="I50" s="3"/>
      <c r="J50" s="3"/>
      <c r="K50" s="3"/>
      <c r="L50" s="3"/>
      <c r="M50" s="3"/>
      <c r="N50" s="3"/>
      <c r="O50" s="3"/>
    </row>
    <row r="51" customFormat="false" ht="15" hidden="false" customHeight="false" outlineLevel="0" collapsed="false">
      <c r="A51" s="27" t="n">
        <v>4</v>
      </c>
      <c r="B51" s="28" t="n">
        <v>46300.1155416204</v>
      </c>
      <c r="C51" s="28" t="n">
        <v>46300.1155451736</v>
      </c>
      <c r="D51" s="32" t="n">
        <f aca="false">(B51-INDEX(Rounds!$C:$C,MATCH(A51,Rounds!$A:$A,0)))*86400</f>
        <v>55.609999992</v>
      </c>
      <c r="E51" s="3" t="str">
        <f aca="false">INDEX(Rounds!$F:$F,MATCH(A51,Rounds!$A:$A,0))</f>
        <v>Before fix</v>
      </c>
      <c r="F51" s="31" t="n">
        <f aca="false">(C51-B51)*86400</f>
        <v>0.307000195</v>
      </c>
      <c r="G51" s="3" t="str">
        <f aca="false">IF(F51*1000&gt;Constants!$B$12,"Yes","No")</f>
        <v>No</v>
      </c>
      <c r="H51" s="3"/>
      <c r="I51" s="3"/>
      <c r="J51" s="3"/>
      <c r="K51" s="3"/>
      <c r="L51" s="3"/>
      <c r="M51" s="3"/>
      <c r="N51" s="3"/>
      <c r="O51" s="3"/>
    </row>
    <row r="52" customFormat="false" ht="15" hidden="false" customHeight="false" outlineLevel="0" collapsed="false">
      <c r="A52" s="27" t="n">
        <v>4</v>
      </c>
      <c r="B52" s="28" t="n">
        <v>46300.1155868634</v>
      </c>
      <c r="C52" s="28" t="n">
        <v>46300.115589294</v>
      </c>
      <c r="D52" s="32" t="n">
        <f aca="false">(B52-INDEX(Rounds!$C:$C,MATCH(A52,Rounds!$A:$A,0)))*86400</f>
        <v>59.518999862</v>
      </c>
      <c r="E52" s="3" t="str">
        <f aca="false">INDEX(Rounds!$F:$F,MATCH(A52,Rounds!$A:$A,0))</f>
        <v>Before fix</v>
      </c>
      <c r="F52" s="31" t="n">
        <f aca="false">(C52-B52)*86400</f>
        <v>0.209999992</v>
      </c>
      <c r="G52" s="3" t="str">
        <f aca="false">IF(F52*1000&gt;Constants!$B$12,"Yes","No")</f>
        <v>No</v>
      </c>
      <c r="H52" s="3"/>
      <c r="I52" s="3"/>
      <c r="J52" s="3"/>
      <c r="K52" s="3"/>
      <c r="L52" s="3"/>
      <c r="M52" s="3"/>
      <c r="N52" s="3"/>
      <c r="O52" s="3"/>
    </row>
    <row r="53" customFormat="false" ht="15" hidden="false" customHeight="false" outlineLevel="0" collapsed="false">
      <c r="A53" s="27" t="n">
        <v>4</v>
      </c>
      <c r="B53" s="28" t="n">
        <v>46300.1156531366</v>
      </c>
      <c r="C53" s="28" t="n">
        <v>46300.1156548148</v>
      </c>
      <c r="D53" s="32" t="n">
        <f aca="false">(B53-INDEX(Rounds!$C:$C,MATCH(A53,Rounds!$A:$A,0)))*86400</f>
        <v>65.244999784</v>
      </c>
      <c r="E53" s="3" t="str">
        <f aca="false">INDEX(Rounds!$F:$F,MATCH(A53,Rounds!$A:$A,0))</f>
        <v>Before fix</v>
      </c>
      <c r="F53" s="31" t="n">
        <f aca="false">(C53-B53)*86400</f>
        <v>0.14499959</v>
      </c>
      <c r="G53" s="3" t="str">
        <f aca="false">IF(F53*1000&gt;Constants!$B$12,"Yes","No")</f>
        <v>No</v>
      </c>
      <c r="H53" s="3"/>
      <c r="I53" s="3"/>
      <c r="J53" s="3"/>
      <c r="K53" s="3"/>
      <c r="L53" s="3"/>
      <c r="M53" s="3"/>
      <c r="N53" s="3"/>
      <c r="O53" s="3"/>
    </row>
    <row r="54" customFormat="false" ht="15" hidden="false" customHeight="false" outlineLevel="0" collapsed="false">
      <c r="A54" s="27" t="n">
        <v>4</v>
      </c>
      <c r="B54" s="28" t="n">
        <v>46300.115674757</v>
      </c>
      <c r="C54" s="28" t="n">
        <v>46300.1156773495</v>
      </c>
      <c r="D54" s="32" t="n">
        <f aca="false">(B54-INDEX(Rounds!$C:$C,MATCH(A54,Rounds!$A:$A,0)))*86400</f>
        <v>67.113000364</v>
      </c>
      <c r="E54" s="3" t="str">
        <f aca="false">INDEX(Rounds!$F:$F,MATCH(A54,Rounds!$A:$A,0))</f>
        <v>Before fix</v>
      </c>
      <c r="F54" s="31" t="n">
        <f aca="false">(C54-B54)*86400</f>
        <v>0.223999866</v>
      </c>
      <c r="G54" s="3" t="str">
        <f aca="false">IF(F54*1000&gt;Constants!$B$12,"Yes","No")</f>
        <v>No</v>
      </c>
      <c r="H54" s="3"/>
      <c r="I54" s="3"/>
      <c r="J54" s="3"/>
      <c r="K54" s="3"/>
      <c r="L54" s="3"/>
      <c r="M54" s="3"/>
      <c r="N54" s="3"/>
      <c r="O54" s="3"/>
    </row>
    <row r="55" customFormat="false" ht="15" hidden="false" customHeight="false" outlineLevel="0" collapsed="false">
      <c r="A55" s="27" t="n">
        <v>4</v>
      </c>
      <c r="B55" s="28" t="n">
        <v>46300.1156920139</v>
      </c>
      <c r="C55" s="28" t="n">
        <v>46300.1156985185</v>
      </c>
      <c r="D55" s="32" t="n">
        <f aca="false">(B55-INDEX(Rounds!$C:$C,MATCH(A55,Rounds!$A:$A,0)))*86400</f>
        <v>68.604000122</v>
      </c>
      <c r="E55" s="3" t="str">
        <f aca="false">INDEX(Rounds!$F:$F,MATCH(A55,Rounds!$A:$A,0))</f>
        <v>Before fix</v>
      </c>
      <c r="F55" s="31" t="n">
        <f aca="false">(C55-B55)*86400</f>
        <v>0.562000321</v>
      </c>
      <c r="G55" s="3" t="str">
        <f aca="false">IF(F55*1000&gt;Constants!$B$12,"Yes","No")</f>
        <v>No</v>
      </c>
      <c r="H55" s="3"/>
      <c r="I55" s="3"/>
      <c r="J55" s="3"/>
      <c r="K55" s="3"/>
      <c r="L55" s="3"/>
      <c r="M55" s="3"/>
      <c r="N55" s="3"/>
      <c r="O55" s="3"/>
    </row>
    <row r="56" customFormat="false" ht="15" hidden="false" customHeight="false" outlineLevel="0" collapsed="false">
      <c r="A56" s="27" t="n">
        <v>4</v>
      </c>
      <c r="B56" s="28" t="n">
        <v>46300.1157065278</v>
      </c>
      <c r="C56" s="28" t="n">
        <v>46300.1157069097</v>
      </c>
      <c r="D56" s="32" t="n">
        <f aca="false">(B56-INDEX(Rounds!$C:$C,MATCH(A56,Rounds!$A:$A,0)))*86400</f>
        <v>69.858000311</v>
      </c>
      <c r="E56" s="3" t="str">
        <f aca="false">INDEX(Rounds!$F:$F,MATCH(A56,Rounds!$A:$A,0))</f>
        <v>Before fix</v>
      </c>
      <c r="F56" s="31" t="n">
        <f aca="false">(C56-B56)*86400</f>
        <v>0.032999343</v>
      </c>
      <c r="G56" s="3" t="str">
        <f aca="false">IF(F56*1000&gt;Constants!$B$12,"Yes","No")</f>
        <v>No</v>
      </c>
      <c r="H56" s="3"/>
      <c r="I56" s="3"/>
      <c r="J56" s="3"/>
      <c r="K56" s="3"/>
      <c r="L56" s="3"/>
      <c r="M56" s="3"/>
      <c r="N56" s="3"/>
      <c r="O56" s="3"/>
    </row>
    <row r="57" customFormat="false" ht="15" hidden="false" customHeight="false" outlineLevel="0" collapsed="false">
      <c r="A57" s="27" t="n">
        <v>5</v>
      </c>
      <c r="B57" s="28" t="n">
        <v>46300.1273040625</v>
      </c>
      <c r="C57" s="28" t="n">
        <v>46300.1273098264</v>
      </c>
      <c r="D57" s="32" t="n">
        <f aca="false">(B57-INDEX(Rounds!$C:$C,MATCH(A57,Rounds!$A:$A,0)))*86400</f>
        <v>3.119000256</v>
      </c>
      <c r="E57" s="3" t="str">
        <f aca="false">INDEX(Rounds!$F:$F,MATCH(A57,Rounds!$A:$A,0))</f>
        <v>Before fix</v>
      </c>
      <c r="F57" s="31" t="n">
        <f aca="false">(C57-B57)*86400</f>
        <v>0.49800009</v>
      </c>
      <c r="G57" s="3" t="str">
        <f aca="false">IF(F57*1000&gt;Constants!$B$12,"Yes","No")</f>
        <v>No</v>
      </c>
      <c r="H57" s="3"/>
      <c r="I57" s="3"/>
      <c r="J57" s="3"/>
      <c r="K57" s="3"/>
      <c r="L57" s="3"/>
      <c r="M57" s="3"/>
      <c r="N57" s="3"/>
      <c r="O57" s="3"/>
    </row>
    <row r="58" customFormat="false" ht="15" hidden="false" customHeight="false" outlineLevel="0" collapsed="false">
      <c r="A58" s="27" t="n">
        <v>5</v>
      </c>
      <c r="B58" s="28" t="n">
        <v>46300.1273154167</v>
      </c>
      <c r="C58" s="28" t="n">
        <v>46300.127328831</v>
      </c>
      <c r="D58" s="32" t="n">
        <f aca="false">(B58-INDEX(Rounds!$C:$C,MATCH(A58,Rounds!$A:$A,0)))*86400</f>
        <v>4.100000392</v>
      </c>
      <c r="E58" s="3" t="str">
        <f aca="false">INDEX(Rounds!$F:$F,MATCH(A58,Rounds!$A:$A,0))</f>
        <v>Before fix</v>
      </c>
      <c r="F58" s="31" t="n">
        <f aca="false">(C58-B58)*86400</f>
        <v>1.158999698</v>
      </c>
      <c r="G58" s="3" t="str">
        <f aca="false">IF(F58*1000&gt;Constants!$B$12,"Yes","No")</f>
        <v>Yes</v>
      </c>
      <c r="H58" s="3"/>
      <c r="I58" s="3"/>
      <c r="J58" s="3"/>
      <c r="K58" s="3"/>
      <c r="L58" s="3"/>
      <c r="M58" s="3"/>
      <c r="N58" s="3"/>
      <c r="O58" s="3"/>
    </row>
    <row r="59" customFormat="false" ht="15" hidden="false" customHeight="false" outlineLevel="0" collapsed="false">
      <c r="A59" s="27" t="n">
        <v>5</v>
      </c>
      <c r="B59" s="28" t="n">
        <v>46300.1274055093</v>
      </c>
      <c r="C59" s="28" t="n">
        <v>46300.1274081134</v>
      </c>
      <c r="D59" s="32" t="n">
        <f aca="false">(B59-INDEX(Rounds!$C:$C,MATCH(A59,Rounds!$A:$A,0)))*86400</f>
        <v>11.883999989</v>
      </c>
      <c r="E59" s="3" t="str">
        <f aca="false">INDEX(Rounds!$F:$F,MATCH(A59,Rounds!$A:$A,0))</f>
        <v>Before fix</v>
      </c>
      <c r="F59" s="31" t="n">
        <f aca="false">(C59-B59)*86400</f>
        <v>0.225000665</v>
      </c>
      <c r="G59" s="3" t="str">
        <f aca="false">IF(F59*1000&gt;Constants!$B$12,"Yes","No")</f>
        <v>No</v>
      </c>
      <c r="H59" s="3"/>
      <c r="I59" s="3"/>
      <c r="J59" s="3"/>
      <c r="K59" s="3"/>
      <c r="L59" s="3"/>
      <c r="M59" s="3"/>
      <c r="N59" s="3"/>
      <c r="O59" s="3"/>
    </row>
    <row r="60" customFormat="false" ht="15" hidden="false" customHeight="false" outlineLevel="0" collapsed="false">
      <c r="A60" s="27" t="n">
        <v>5</v>
      </c>
      <c r="B60" s="28" t="n">
        <v>46300.1275875579</v>
      </c>
      <c r="C60" s="28" t="n">
        <v>46300.1275890394</v>
      </c>
      <c r="D60" s="32" t="n">
        <f aca="false">(B60-INDEX(Rounds!$C:$C,MATCH(A60,Rounds!$A:$A,0)))*86400</f>
        <v>27.613000245</v>
      </c>
      <c r="E60" s="3" t="str">
        <f aca="false">INDEX(Rounds!$F:$F,MATCH(A60,Rounds!$A:$A,0))</f>
        <v>Before fix</v>
      </c>
      <c r="F60" s="31" t="n">
        <f aca="false">(C60-B60)*86400</f>
        <v>0.127999833</v>
      </c>
      <c r="G60" s="3" t="str">
        <f aca="false">IF(F60*1000&gt;Constants!$B$12,"Yes","No")</f>
        <v>No</v>
      </c>
      <c r="H60" s="3"/>
      <c r="I60" s="3"/>
      <c r="J60" s="3"/>
      <c r="K60" s="3"/>
      <c r="L60" s="3"/>
      <c r="M60" s="3"/>
      <c r="N60" s="3"/>
      <c r="O60" s="3"/>
    </row>
    <row r="61" customFormat="false" ht="15" hidden="false" customHeight="false" outlineLevel="0" collapsed="false">
      <c r="A61" s="27" t="n">
        <v>5</v>
      </c>
      <c r="B61" s="28" t="n">
        <v>46300.1276370486</v>
      </c>
      <c r="C61" s="28" t="n">
        <v>46300.1276390972</v>
      </c>
      <c r="D61" s="32" t="n">
        <f aca="false">(B61-INDEX(Rounds!$C:$C,MATCH(A61,Rounds!$A:$A,0)))*86400</f>
        <v>31.888999859</v>
      </c>
      <c r="E61" s="3" t="str">
        <f aca="false">INDEX(Rounds!$F:$F,MATCH(A61,Rounds!$A:$A,0))</f>
        <v>Before fix</v>
      </c>
      <c r="F61" s="31" t="n">
        <f aca="false">(C61-B61)*86400</f>
        <v>0.17700002</v>
      </c>
      <c r="G61" s="3" t="str">
        <f aca="false">IF(F61*1000&gt;Constants!$B$12,"Yes","No")</f>
        <v>No</v>
      </c>
      <c r="H61" s="3"/>
      <c r="I61" s="3"/>
      <c r="J61" s="3"/>
      <c r="K61" s="3"/>
      <c r="L61" s="3"/>
      <c r="M61" s="3"/>
      <c r="N61" s="3"/>
      <c r="O61" s="3"/>
    </row>
    <row r="62" customFormat="false" ht="15" hidden="false" customHeight="false" outlineLevel="0" collapsed="false">
      <c r="A62" s="27" t="n">
        <v>5</v>
      </c>
      <c r="B62" s="28" t="n">
        <v>46300.1276515394</v>
      </c>
      <c r="C62" s="28" t="n">
        <v>46300.1276517245</v>
      </c>
      <c r="D62" s="32" t="n">
        <f aca="false">(B62-INDEX(Rounds!$C:$C,MATCH(A62,Rounds!$A:$A,0)))*86400</f>
        <v>33.140999707</v>
      </c>
      <c r="E62" s="3" t="str">
        <f aca="false">INDEX(Rounds!$F:$F,MATCH(A62,Rounds!$A:$A,0))</f>
        <v>Before fix</v>
      </c>
      <c r="F62" s="31" t="n">
        <f aca="false">(C62-B62)*86400</f>
        <v>0.016000843</v>
      </c>
      <c r="G62" s="3" t="str">
        <f aca="false">IF(F62*1000&gt;Constants!$B$12,"Yes","No")</f>
        <v>No</v>
      </c>
      <c r="H62" s="3"/>
      <c r="I62" s="3"/>
      <c r="J62" s="3"/>
      <c r="K62" s="3"/>
      <c r="L62" s="3"/>
      <c r="M62" s="3"/>
      <c r="N62" s="3"/>
      <c r="O62" s="3"/>
    </row>
    <row r="63" customFormat="false" ht="15" hidden="false" customHeight="false" outlineLevel="0" collapsed="false">
      <c r="A63" s="27" t="n">
        <v>5</v>
      </c>
      <c r="B63" s="28" t="n">
        <v>46300.1276630208</v>
      </c>
      <c r="C63" s="28" t="n">
        <v>46300.1276645023</v>
      </c>
      <c r="D63" s="32" t="n">
        <f aca="false">(B63-INDEX(Rounds!$C:$C,MATCH(A63,Rounds!$A:$A,0)))*86400</f>
        <v>34.132999833</v>
      </c>
      <c r="E63" s="3" t="str">
        <f aca="false">INDEX(Rounds!$F:$F,MATCH(A63,Rounds!$A:$A,0))</f>
        <v>Before fix</v>
      </c>
      <c r="F63" s="31" t="n">
        <f aca="false">(C63-B63)*86400</f>
        <v>0.128000462</v>
      </c>
      <c r="G63" s="3" t="str">
        <f aca="false">IF(F63*1000&gt;Constants!$B$12,"Yes","No")</f>
        <v>No</v>
      </c>
      <c r="H63" s="3"/>
      <c r="I63" s="3"/>
      <c r="J63" s="3"/>
      <c r="K63" s="3"/>
      <c r="L63" s="3"/>
      <c r="M63" s="3"/>
      <c r="N63" s="3"/>
      <c r="O63" s="3"/>
    </row>
    <row r="64" customFormat="false" ht="15" hidden="false" customHeight="false" outlineLevel="0" collapsed="false">
      <c r="A64" s="27" t="n">
        <v>5</v>
      </c>
      <c r="B64" s="28" t="n">
        <v>46300.1276998032</v>
      </c>
      <c r="C64" s="28" t="n">
        <v>46300.1277066667</v>
      </c>
      <c r="D64" s="32" t="n">
        <f aca="false">(B64-INDEX(Rounds!$C:$C,MATCH(A64,Rounds!$A:$A,0)))*86400</f>
        <v>37.311000097</v>
      </c>
      <c r="E64" s="3" t="str">
        <f aca="false">INDEX(Rounds!$F:$F,MATCH(A64,Rounds!$A:$A,0))</f>
        <v>Before fix</v>
      </c>
      <c r="F64" s="31" t="n">
        <f aca="false">(C64-B64)*86400</f>
        <v>0.59300058</v>
      </c>
      <c r="G64" s="3" t="str">
        <f aca="false">IF(F64*1000&gt;Constants!$B$12,"Yes","No")</f>
        <v>No</v>
      </c>
      <c r="H64" s="3"/>
      <c r="I64" s="3"/>
      <c r="J64" s="3"/>
      <c r="K64" s="3"/>
      <c r="L64" s="3"/>
      <c r="M64" s="3"/>
      <c r="N64" s="3"/>
      <c r="O64" s="3"/>
    </row>
    <row r="65" customFormat="false" ht="15" hidden="false" customHeight="false" outlineLevel="0" collapsed="false">
      <c r="A65" s="27" t="n">
        <v>5</v>
      </c>
      <c r="B65" s="28" t="n">
        <v>46300.1277180093</v>
      </c>
      <c r="C65" s="28" t="n">
        <v>46300.1277189583</v>
      </c>
      <c r="D65" s="32" t="n">
        <f aca="false">(B65-INDEX(Rounds!$C:$C,MATCH(A65,Rounds!$A:$A,0)))*86400</f>
        <v>38.884000014</v>
      </c>
      <c r="E65" s="3" t="str">
        <f aca="false">INDEX(Rounds!$F:$F,MATCH(A65,Rounds!$A:$A,0))</f>
        <v>Before fix</v>
      </c>
      <c r="F65" s="31" t="n">
        <f aca="false">(C65-B65)*86400</f>
        <v>0.08199953</v>
      </c>
      <c r="G65" s="3" t="str">
        <f aca="false">IF(F65*1000&gt;Constants!$B$12,"Yes","No")</f>
        <v>No</v>
      </c>
      <c r="H65" s="3"/>
      <c r="I65" s="3"/>
      <c r="J65" s="3"/>
      <c r="K65" s="3"/>
      <c r="L65" s="3"/>
      <c r="M65" s="3"/>
      <c r="N65" s="3"/>
      <c r="O65" s="3"/>
    </row>
    <row r="66" customFormat="false" ht="15" hidden="false" customHeight="false" outlineLevel="0" collapsed="false">
      <c r="A66" s="27" t="n">
        <v>5</v>
      </c>
      <c r="B66" s="28" t="n">
        <v>46300.127724757</v>
      </c>
      <c r="C66" s="28" t="n">
        <v>46300.1277269676</v>
      </c>
      <c r="D66" s="32" t="n">
        <f aca="false">(B66-INDEX(Rounds!$C:$C,MATCH(A66,Rounds!$A:$A,0)))*86400</f>
        <v>39.467000775</v>
      </c>
      <c r="E66" s="3" t="str">
        <f aca="false">INDEX(Rounds!$F:$F,MATCH(A66,Rounds!$A:$A,0))</f>
        <v>Before fix</v>
      </c>
      <c r="F66" s="31" t="n">
        <f aca="false">(C66-B66)*86400</f>
        <v>0.190999265</v>
      </c>
      <c r="G66" s="3" t="str">
        <f aca="false">IF(F66*1000&gt;Constants!$B$12,"Yes","No")</f>
        <v>No</v>
      </c>
      <c r="H66" s="3"/>
      <c r="I66" s="3"/>
      <c r="J66" s="3"/>
      <c r="K66" s="3"/>
      <c r="L66" s="3"/>
      <c r="M66" s="3"/>
      <c r="N66" s="3"/>
      <c r="O66" s="3"/>
    </row>
    <row r="67" customFormat="false" ht="15" hidden="false" customHeight="false" outlineLevel="0" collapsed="false">
      <c r="A67" s="27" t="n">
        <v>5</v>
      </c>
      <c r="B67" s="28" t="n">
        <v>46300.1277714005</v>
      </c>
      <c r="C67" s="28" t="n">
        <v>46300.1277715857</v>
      </c>
      <c r="D67" s="32" t="n">
        <f aca="false">(B67-INDEX(Rounds!$C:$C,MATCH(A67,Rounds!$A:$A,0)))*86400</f>
        <v>43.496999912</v>
      </c>
      <c r="E67" s="3" t="str">
        <f aca="false">INDEX(Rounds!$F:$F,MATCH(A67,Rounds!$A:$A,0))</f>
        <v>Before fix</v>
      </c>
      <c r="F67" s="31" t="n">
        <f aca="false">(C67-B67)*86400</f>
        <v>0.016000214</v>
      </c>
      <c r="G67" s="3" t="str">
        <f aca="false">IF(F67*1000&gt;Constants!$B$12,"Yes","No")</f>
        <v>No</v>
      </c>
      <c r="H67" s="3"/>
      <c r="I67" s="3"/>
      <c r="J67" s="3"/>
      <c r="K67" s="3"/>
      <c r="L67" s="3"/>
      <c r="M67" s="3"/>
      <c r="N67" s="3"/>
      <c r="O67" s="3"/>
    </row>
    <row r="68" customFormat="false" ht="15" hidden="false" customHeight="false" outlineLevel="0" collapsed="false">
      <c r="A68" s="27" t="n">
        <v>5</v>
      </c>
      <c r="B68" s="28" t="n">
        <v>46300.1277797801</v>
      </c>
      <c r="C68" s="28" t="n">
        <v>46300.127780162</v>
      </c>
      <c r="D68" s="32" t="n">
        <f aca="false">(B68-INDEX(Rounds!$C:$C,MATCH(A68,Rounds!$A:$A,0)))*86400</f>
        <v>44.220999581</v>
      </c>
      <c r="E68" s="3" t="str">
        <f aca="false">INDEX(Rounds!$F:$F,MATCH(A68,Rounds!$A:$A,0))</f>
        <v>Before fix</v>
      </c>
      <c r="F68" s="31" t="n">
        <f aca="false">(C68-B68)*86400</f>
        <v>0.0330006</v>
      </c>
      <c r="G68" s="3" t="str">
        <f aca="false">IF(F68*1000&gt;Constants!$B$12,"Yes","No")</f>
        <v>No</v>
      </c>
      <c r="H68" s="3"/>
      <c r="I68" s="3"/>
      <c r="J68" s="3"/>
      <c r="K68" s="3"/>
      <c r="L68" s="3"/>
      <c r="M68" s="3"/>
      <c r="N68" s="3"/>
      <c r="O68" s="3"/>
    </row>
    <row r="69" customFormat="false" ht="15" hidden="false" customHeight="false" outlineLevel="0" collapsed="false">
      <c r="A69" s="27" t="n">
        <v>5</v>
      </c>
      <c r="B69" s="28" t="n">
        <v>46300.1277857407</v>
      </c>
      <c r="C69" s="28" t="n">
        <v>46300.1277952315</v>
      </c>
      <c r="D69" s="32" t="n">
        <f aca="false">(B69-INDEX(Rounds!$C:$C,MATCH(A69,Rounds!$A:$A,0)))*86400</f>
        <v>44.736000057</v>
      </c>
      <c r="E69" s="3" t="str">
        <f aca="false">INDEX(Rounds!$F:$F,MATCH(A69,Rounds!$A:$A,0))</f>
        <v>Before fix</v>
      </c>
      <c r="F69" s="31" t="n">
        <f aca="false">(C69-B69)*86400</f>
        <v>0.819999701</v>
      </c>
      <c r="G69" s="3" t="str">
        <f aca="false">IF(F69*1000&gt;Constants!$B$12,"Yes","No")</f>
        <v>No</v>
      </c>
      <c r="H69" s="3"/>
      <c r="I69" s="3"/>
      <c r="J69" s="3"/>
      <c r="K69" s="3"/>
      <c r="L69" s="3"/>
      <c r="M69" s="3"/>
      <c r="N69" s="3"/>
      <c r="O69" s="3"/>
    </row>
    <row r="70" customFormat="false" ht="15" hidden="false" customHeight="false" outlineLevel="0" collapsed="false">
      <c r="A70" s="27" t="n">
        <v>5</v>
      </c>
      <c r="B70" s="28" t="n">
        <v>46300.1279882755</v>
      </c>
      <c r="C70" s="28" t="n">
        <v>46300.1279893866</v>
      </c>
      <c r="D70" s="32" t="n">
        <f aca="false">(B70-INDEX(Rounds!$C:$C,MATCH(A70,Rounds!$A:$A,0)))*86400</f>
        <v>62.234999891</v>
      </c>
      <c r="E70" s="3" t="str">
        <f aca="false">INDEX(Rounds!$F:$F,MATCH(A70,Rounds!$A:$A,0))</f>
        <v>Before fix</v>
      </c>
      <c r="F70" s="31" t="n">
        <f aca="false">(C70-B70)*86400</f>
        <v>0.096000032</v>
      </c>
      <c r="G70" s="3" t="str">
        <f aca="false">IF(F70*1000&gt;Constants!$B$12,"Yes","No")</f>
        <v>No</v>
      </c>
      <c r="H70" s="3"/>
      <c r="I70" s="3"/>
      <c r="J70" s="3"/>
      <c r="K70" s="3"/>
      <c r="L70" s="3"/>
      <c r="M70" s="3"/>
      <c r="N70" s="3"/>
      <c r="O70" s="3"/>
    </row>
    <row r="71" customFormat="false" ht="15" hidden="false" customHeight="false" outlineLevel="0" collapsed="false">
      <c r="A71" s="27" t="n">
        <v>6</v>
      </c>
      <c r="B71" s="28" t="n">
        <v>46300.1527532986</v>
      </c>
      <c r="C71" s="28" t="n">
        <v>46300.1527559028</v>
      </c>
      <c r="D71" s="32" t="n">
        <f aca="false">(B71-INDEX(Rounds!$C:$C,MATCH(A71,Rounds!$A:$A,0)))*86400</f>
        <v>1.72099939</v>
      </c>
      <c r="E71" s="3" t="str">
        <f aca="false">INDEX(Rounds!$F:$F,MATCH(A71,Rounds!$A:$A,0))</f>
        <v>After fix</v>
      </c>
      <c r="F71" s="31" t="n">
        <f aca="false">(C71-B71)*86400</f>
        <v>0.224999408</v>
      </c>
      <c r="G71" s="3" t="str">
        <f aca="false">IF(F71*1000&gt;Constants!$B$12,"Yes","No")</f>
        <v>No</v>
      </c>
      <c r="H71" s="3"/>
      <c r="I71" s="3"/>
      <c r="J71" s="3"/>
      <c r="K71" s="3"/>
      <c r="L71" s="3"/>
      <c r="M71" s="3"/>
      <c r="N71" s="3"/>
      <c r="O71" s="3"/>
    </row>
    <row r="72" customFormat="false" ht="15" hidden="false" customHeight="false" outlineLevel="0" collapsed="false">
      <c r="A72" s="27" t="n">
        <v>6</v>
      </c>
      <c r="B72" s="28" t="n">
        <v>46300.152827338</v>
      </c>
      <c r="C72" s="28" t="n">
        <v>46300.152840162</v>
      </c>
      <c r="D72" s="32" t="n">
        <f aca="false">(B72-INDEX(Rounds!$C:$C,MATCH(A72,Rounds!$A:$A,0)))*86400</f>
        <v>8.118000626</v>
      </c>
      <c r="E72" s="3" t="str">
        <f aca="false">INDEX(Rounds!$F:$F,MATCH(A72,Rounds!$A:$A,0))</f>
        <v>After fix</v>
      </c>
      <c r="F72" s="31" t="n">
        <f aca="false">(C72-B72)*86400</f>
        <v>1.10799917</v>
      </c>
      <c r="G72" s="3" t="str">
        <f aca="false">IF(F72*1000&gt;Constants!$B$12,"Yes","No")</f>
        <v>Yes</v>
      </c>
      <c r="H72" s="3"/>
      <c r="I72" s="3"/>
      <c r="J72" s="3"/>
      <c r="K72" s="3"/>
      <c r="L72" s="3"/>
      <c r="M72" s="3"/>
      <c r="N72" s="3"/>
      <c r="O72" s="3"/>
    </row>
    <row r="73" customFormat="false" ht="15" hidden="false" customHeight="false" outlineLevel="0" collapsed="false">
      <c r="A73" s="27" t="n">
        <v>6</v>
      </c>
      <c r="B73" s="28" t="n">
        <v>46300.1528535764</v>
      </c>
      <c r="C73" s="28" t="n">
        <v>46300.1528662153</v>
      </c>
      <c r="D73" s="32" t="n">
        <f aca="false">(B73-INDEX(Rounds!$C:$C,MATCH(A73,Rounds!$A:$A,0)))*86400</f>
        <v>10.384999494</v>
      </c>
      <c r="E73" s="3" t="str">
        <f aca="false">INDEX(Rounds!$F:$F,MATCH(A73,Rounds!$A:$A,0))</f>
        <v>After fix</v>
      </c>
      <c r="F73" s="31" t="n">
        <f aca="false">(C73-B73)*86400</f>
        <v>1.092000212</v>
      </c>
      <c r="G73" s="3" t="str">
        <f aca="false">IF(F73*1000&gt;Constants!$B$12,"Yes","No")</f>
        <v>Yes</v>
      </c>
      <c r="H73" s="3"/>
      <c r="I73" s="3"/>
      <c r="J73" s="3"/>
      <c r="K73" s="3"/>
      <c r="L73" s="3"/>
      <c r="M73" s="3"/>
      <c r="N73" s="3"/>
      <c r="O73" s="3"/>
    </row>
    <row r="74" customFormat="false" ht="15" hidden="false" customHeight="false" outlineLevel="0" collapsed="false">
      <c r="A74" s="27" t="n">
        <v>6</v>
      </c>
      <c r="B74" s="28" t="n">
        <v>46300.1528870486</v>
      </c>
      <c r="C74" s="28" t="n">
        <v>46300.1528887269</v>
      </c>
      <c r="D74" s="32" t="n">
        <f aca="false">(B74-INDEX(Rounds!$C:$C,MATCH(A74,Rounds!$A:$A,0)))*86400</f>
        <v>13.276999373</v>
      </c>
      <c r="E74" s="3" t="str">
        <f aca="false">INDEX(Rounds!$F:$F,MATCH(A74,Rounds!$A:$A,0))</f>
        <v>After fix</v>
      </c>
      <c r="F74" s="31" t="n">
        <f aca="false">(C74-B74)*86400</f>
        <v>0.145000219</v>
      </c>
      <c r="G74" s="3" t="str">
        <f aca="false">IF(F74*1000&gt;Constants!$B$12,"Yes","No")</f>
        <v>No</v>
      </c>
      <c r="H74" s="3"/>
      <c r="I74" s="3"/>
      <c r="J74" s="3"/>
      <c r="K74" s="3"/>
      <c r="L74" s="3"/>
      <c r="M74" s="3"/>
      <c r="N74" s="3"/>
      <c r="O74" s="3"/>
    </row>
    <row r="75" customFormat="false" ht="15" hidden="false" customHeight="false" outlineLevel="0" collapsed="false">
      <c r="A75" s="27" t="n">
        <v>6</v>
      </c>
      <c r="B75" s="28" t="n">
        <v>46300.1529511343</v>
      </c>
      <c r="C75" s="28" t="n">
        <v>46300.152951875</v>
      </c>
      <c r="D75" s="32" t="n">
        <f aca="false">(B75-INDEX(Rounds!$C:$C,MATCH(A75,Rounds!$A:$A,0)))*86400</f>
        <v>18.813999742</v>
      </c>
      <c r="E75" s="3" t="str">
        <f aca="false">INDEX(Rounds!$F:$F,MATCH(A75,Rounds!$A:$A,0))</f>
        <v>After fix</v>
      </c>
      <c r="F75" s="31" t="n">
        <f aca="false">(C75-B75)*86400</f>
        <v>0.064000231</v>
      </c>
      <c r="G75" s="3" t="str">
        <f aca="false">IF(F75*1000&gt;Constants!$B$12,"Yes","No")</f>
        <v>No</v>
      </c>
      <c r="H75" s="3"/>
      <c r="I75" s="3"/>
      <c r="J75" s="3"/>
      <c r="K75" s="3"/>
      <c r="L75" s="3"/>
      <c r="M75" s="3"/>
      <c r="N75" s="3"/>
      <c r="O75" s="3"/>
    </row>
    <row r="76" customFormat="false" ht="15" hidden="false" customHeight="false" outlineLevel="0" collapsed="false">
      <c r="A76" s="27" t="n">
        <v>6</v>
      </c>
      <c r="B76" s="28" t="n">
        <v>46300.1530099421</v>
      </c>
      <c r="C76" s="28" t="n">
        <v>46300.1530103241</v>
      </c>
      <c r="D76" s="32" t="n">
        <f aca="false">(B76-INDEX(Rounds!$C:$C,MATCH(A76,Rounds!$A:$A,0)))*86400</f>
        <v>23.894999641</v>
      </c>
      <c r="E76" s="3" t="str">
        <f aca="false">INDEX(Rounds!$F:$F,MATCH(A76,Rounds!$A:$A,0))</f>
        <v>After fix</v>
      </c>
      <c r="F76" s="31" t="n">
        <f aca="false">(C76-B76)*86400</f>
        <v>0.032999971</v>
      </c>
      <c r="G76" s="3" t="str">
        <f aca="false">IF(F76*1000&gt;Constants!$B$12,"Yes","No")</f>
        <v>No</v>
      </c>
      <c r="H76" s="3"/>
      <c r="I76" s="3"/>
      <c r="J76" s="3"/>
      <c r="K76" s="3"/>
      <c r="L76" s="3"/>
      <c r="M76" s="3"/>
      <c r="N76" s="3"/>
      <c r="O76" s="3"/>
    </row>
    <row r="77" customFormat="false" ht="15" hidden="false" customHeight="false" outlineLevel="0" collapsed="false">
      <c r="A77" s="27" t="n">
        <v>6</v>
      </c>
      <c r="B77" s="28" t="n">
        <v>46300.1531640509</v>
      </c>
      <c r="C77" s="28" t="n">
        <v>46300.1531718634</v>
      </c>
      <c r="D77" s="32" t="n">
        <f aca="false">(B77-INDEX(Rounds!$C:$C,MATCH(A77,Rounds!$A:$A,0)))*86400</f>
        <v>37.20999984</v>
      </c>
      <c r="E77" s="3" t="str">
        <f aca="false">INDEX(Rounds!$F:$F,MATCH(A77,Rounds!$A:$A,0))</f>
        <v>After fix</v>
      </c>
      <c r="F77" s="31" t="n">
        <f aca="false">(C77-B77)*86400</f>
        <v>0.67500011</v>
      </c>
      <c r="G77" s="3" t="str">
        <f aca="false">IF(F77*1000&gt;Constants!$B$12,"Yes","No")</f>
        <v>No</v>
      </c>
      <c r="H77" s="3"/>
      <c r="I77" s="3"/>
      <c r="J77" s="3"/>
      <c r="K77" s="3"/>
      <c r="L77" s="3"/>
      <c r="M77" s="3"/>
      <c r="N77" s="3"/>
      <c r="O77" s="3"/>
    </row>
    <row r="78" customFormat="false" ht="15" hidden="false" customHeight="false" outlineLevel="0" collapsed="false">
      <c r="A78" s="27" t="n">
        <v>6</v>
      </c>
      <c r="B78" s="28" t="n">
        <v>46300.1531836343</v>
      </c>
      <c r="C78" s="28" t="n">
        <v>46300.1531892014</v>
      </c>
      <c r="D78" s="32" t="n">
        <f aca="false">(B78-INDEX(Rounds!$C:$C,MATCH(A78,Rounds!$A:$A,0)))*86400</f>
        <v>38.901999942</v>
      </c>
      <c r="E78" s="3" t="str">
        <f aca="false">INDEX(Rounds!$F:$F,MATCH(A78,Rounds!$A:$A,0))</f>
        <v>After fix</v>
      </c>
      <c r="F78" s="31" t="n">
        <f aca="false">(C78-B78)*86400</f>
        <v>0.480999704</v>
      </c>
      <c r="G78" s="3" t="str">
        <f aca="false">IF(F78*1000&gt;Constants!$B$12,"Yes","No")</f>
        <v>No</v>
      </c>
      <c r="H78" s="3"/>
      <c r="I78" s="3"/>
      <c r="J78" s="3"/>
      <c r="K78" s="3"/>
      <c r="L78" s="3"/>
      <c r="M78" s="3"/>
      <c r="N78" s="3"/>
      <c r="O78" s="3"/>
    </row>
    <row r="79" customFormat="false" ht="15" hidden="false" customHeight="false" outlineLevel="0" collapsed="false">
      <c r="A79" s="27" t="n">
        <v>6</v>
      </c>
      <c r="B79" s="28" t="n">
        <v>46300.1532073958</v>
      </c>
      <c r="C79" s="28" t="n">
        <v>46300.1532137037</v>
      </c>
      <c r="D79" s="32" t="n">
        <f aca="false">(B79-INDEX(Rounds!$C:$C,MATCH(A79,Rounds!$A:$A,0)))*86400</f>
        <v>40.955000021</v>
      </c>
      <c r="E79" s="3" t="str">
        <f aca="false">INDEX(Rounds!$F:$F,MATCH(A79,Rounds!$A:$A,0))</f>
        <v>After fix</v>
      </c>
      <c r="F79" s="31" t="n">
        <f aca="false">(C79-B79)*86400</f>
        <v>0.544999935</v>
      </c>
      <c r="G79" s="3" t="str">
        <f aca="false">IF(F79*1000&gt;Constants!$B$12,"Yes","No")</f>
        <v>No</v>
      </c>
      <c r="H79" s="3"/>
      <c r="I79" s="3"/>
      <c r="J79" s="3"/>
      <c r="K79" s="3"/>
      <c r="L79" s="3"/>
      <c r="M79" s="3"/>
      <c r="N79" s="3"/>
      <c r="O79" s="3"/>
    </row>
    <row r="80" customFormat="false" ht="15" hidden="false" customHeight="false" outlineLevel="0" collapsed="false">
      <c r="A80" s="27" t="n">
        <v>6</v>
      </c>
      <c r="B80" s="28" t="n">
        <v>46300.153260787</v>
      </c>
      <c r="C80" s="28" t="n">
        <v>46300.1532622685</v>
      </c>
      <c r="D80" s="32" t="n">
        <f aca="false">(B80-INDEX(Rounds!$C:$C,MATCH(A80,Rounds!$A:$A,0)))*86400</f>
        <v>45.567999919</v>
      </c>
      <c r="E80" s="3" t="str">
        <f aca="false">INDEX(Rounds!$F:$F,MATCH(A80,Rounds!$A:$A,0))</f>
        <v>After fix</v>
      </c>
      <c r="F80" s="31" t="n">
        <f aca="false">(C80-B80)*86400</f>
        <v>0.127999833</v>
      </c>
      <c r="G80" s="3" t="str">
        <f aca="false">IF(F80*1000&gt;Constants!$B$12,"Yes","No")</f>
        <v>No</v>
      </c>
      <c r="H80" s="3"/>
      <c r="I80" s="3"/>
      <c r="J80" s="3"/>
      <c r="K80" s="3"/>
      <c r="L80" s="3"/>
      <c r="M80" s="3"/>
      <c r="N80" s="3"/>
      <c r="O80" s="3"/>
    </row>
    <row r="81" customFormat="false" ht="15" hidden="false" customHeight="false" outlineLevel="0" collapsed="false">
      <c r="A81" s="27" t="n">
        <v>6</v>
      </c>
      <c r="B81" s="28" t="n">
        <v>46300.1533412269</v>
      </c>
      <c r="C81" s="28" t="n">
        <v>46300.1533522107</v>
      </c>
      <c r="D81" s="32" t="n">
        <f aca="false">(B81-INDEX(Rounds!$C:$C,MATCH(A81,Rounds!$A:$A,0)))*86400</f>
        <v>52.517999312</v>
      </c>
      <c r="E81" s="3" t="str">
        <f aca="false">INDEX(Rounds!$F:$F,MATCH(A81,Rounds!$A:$A,0))</f>
        <v>After fix</v>
      </c>
      <c r="F81" s="31" t="n">
        <f aca="false">(C81-B81)*86400</f>
        <v>0.949000334</v>
      </c>
      <c r="G81" s="3" t="str">
        <f aca="false">IF(F81*1000&gt;Constants!$B$12,"Yes","No")</f>
        <v>No</v>
      </c>
      <c r="H81" s="3"/>
      <c r="I81" s="3"/>
      <c r="J81" s="3"/>
      <c r="K81" s="3"/>
      <c r="L81" s="3"/>
      <c r="M81" s="3"/>
      <c r="N81" s="3"/>
      <c r="O81" s="3"/>
    </row>
    <row r="82" customFormat="false" ht="15" hidden="false" customHeight="false" outlineLevel="0" collapsed="false">
      <c r="A82" s="27" t="n">
        <v>6</v>
      </c>
      <c r="B82" s="28" t="n">
        <v>46300.1533795718</v>
      </c>
      <c r="C82" s="28" t="n">
        <v>46300.1533857292</v>
      </c>
      <c r="D82" s="32" t="n">
        <f aca="false">(B82-INDEX(Rounds!$C:$C,MATCH(A82,Rounds!$A:$A,0)))*86400</f>
        <v>55.830999976</v>
      </c>
      <c r="E82" s="3" t="str">
        <f aca="false">INDEX(Rounds!$F:$F,MATCH(A82,Rounds!$A:$A,0))</f>
        <v>After fix</v>
      </c>
      <c r="F82" s="31" t="n">
        <f aca="false">(C82-B82)*86400</f>
        <v>0.532000232</v>
      </c>
      <c r="G82" s="3" t="str">
        <f aca="false">IF(F82*1000&gt;Constants!$B$12,"Yes","No")</f>
        <v>No</v>
      </c>
      <c r="H82" s="3"/>
      <c r="I82" s="3"/>
      <c r="J82" s="3"/>
      <c r="K82" s="3"/>
      <c r="L82" s="3"/>
      <c r="M82" s="3"/>
      <c r="N82" s="3"/>
      <c r="O82" s="3"/>
    </row>
    <row r="83" customFormat="false" ht="15" hidden="false" customHeight="false" outlineLevel="0" collapsed="false">
      <c r="A83" s="27" t="n">
        <v>7</v>
      </c>
      <c r="B83" s="28" t="n">
        <v>46300.153759919</v>
      </c>
      <c r="C83" s="28" t="n">
        <v>46300.1537638079</v>
      </c>
      <c r="D83" s="32" t="n">
        <f aca="false">(B83-INDEX(Rounds!$C:$C,MATCH(A83,Rounds!$A:$A,0)))*86400</f>
        <v>1.17200003</v>
      </c>
      <c r="E83" s="3" t="str">
        <f aca="false">INDEX(Rounds!$F:$F,MATCH(A83,Rounds!$A:$A,0))</f>
        <v>After fix</v>
      </c>
      <c r="F83" s="31" t="n">
        <f aca="false">(C83-B83)*86400</f>
        <v>0.336000113</v>
      </c>
      <c r="G83" s="3" t="str">
        <f aca="false">IF(F83*1000&gt;Constants!$B$12,"Yes","No")</f>
        <v>No</v>
      </c>
      <c r="H83" s="3"/>
      <c r="I83" s="3"/>
      <c r="J83" s="3"/>
      <c r="K83" s="3"/>
      <c r="L83" s="3"/>
      <c r="M83" s="3"/>
      <c r="N83" s="3"/>
      <c r="O83" s="3"/>
    </row>
    <row r="84" customFormat="false" ht="15" hidden="false" customHeight="false" outlineLevel="0" collapsed="false">
      <c r="A84" s="27" t="n">
        <v>7</v>
      </c>
      <c r="B84" s="28" t="n">
        <v>46300.1538675695</v>
      </c>
      <c r="C84" s="28" t="n">
        <v>46300.1538738889</v>
      </c>
      <c r="D84" s="32" t="n">
        <f aca="false">(B84-INDEX(Rounds!$C:$C,MATCH(A84,Rounds!$A:$A,0)))*86400</f>
        <v>10.473000048</v>
      </c>
      <c r="E84" s="3" t="str">
        <f aca="false">INDEX(Rounds!$F:$F,MATCH(A84,Rounds!$A:$A,0))</f>
        <v>After fix</v>
      </c>
      <c r="F84" s="31" t="n">
        <f aca="false">(C84-B84)*86400</f>
        <v>0.546000106</v>
      </c>
      <c r="G84" s="3" t="str">
        <f aca="false">IF(F84*1000&gt;Constants!$B$12,"Yes","No")</f>
        <v>No</v>
      </c>
      <c r="H84" s="3"/>
      <c r="I84" s="3"/>
      <c r="J84" s="3"/>
      <c r="K84" s="3"/>
      <c r="L84" s="3"/>
      <c r="M84" s="3"/>
      <c r="N84" s="3"/>
      <c r="O84" s="3"/>
    </row>
    <row r="85" customFormat="false" ht="15" hidden="false" customHeight="false" outlineLevel="0" collapsed="false">
      <c r="A85" s="27" t="n">
        <v>7</v>
      </c>
      <c r="B85" s="28" t="n">
        <v>46300.1539104398</v>
      </c>
      <c r="C85" s="28" t="n">
        <v>46300.1539178819</v>
      </c>
      <c r="D85" s="32" t="n">
        <f aca="false">(B85-INDEX(Rounds!$C:$C,MATCH(A85,Rounds!$A:$A,0)))*86400</f>
        <v>14.17700015</v>
      </c>
      <c r="E85" s="3" t="str">
        <f aca="false">INDEX(Rounds!$F:$F,MATCH(A85,Rounds!$A:$A,0))</f>
        <v>After fix</v>
      </c>
      <c r="F85" s="31" t="n">
        <f aca="false">(C85-B85)*86400</f>
        <v>0.642999052</v>
      </c>
      <c r="G85" s="3" t="str">
        <f aca="false">IF(F85*1000&gt;Constants!$B$12,"Yes","No")</f>
        <v>No</v>
      </c>
      <c r="H85" s="3"/>
      <c r="I85" s="3"/>
      <c r="J85" s="3"/>
      <c r="K85" s="3"/>
      <c r="L85" s="3"/>
      <c r="M85" s="3"/>
      <c r="N85" s="3"/>
      <c r="O85" s="3"/>
    </row>
    <row r="86" customFormat="false" ht="15" hidden="false" customHeight="false" outlineLevel="0" collapsed="false">
      <c r="A86" s="27" t="n">
        <v>7</v>
      </c>
      <c r="B86" s="28" t="n">
        <v>46300.1539934144</v>
      </c>
      <c r="C86" s="28" t="n">
        <v>46300.1539993519</v>
      </c>
      <c r="D86" s="32" t="n">
        <f aca="false">(B86-INDEX(Rounds!$C:$C,MATCH(A86,Rounds!$A:$A,0)))*86400</f>
        <v>21.345999813</v>
      </c>
      <c r="E86" s="3" t="str">
        <f aca="false">INDEX(Rounds!$F:$F,MATCH(A86,Rounds!$A:$A,0))</f>
        <v>After fix</v>
      </c>
      <c r="F86" s="31" t="n">
        <f aca="false">(C86-B86)*86400</f>
        <v>0.513000134</v>
      </c>
      <c r="G86" s="3" t="str">
        <f aca="false">IF(F86*1000&gt;Constants!$B$12,"Yes","No")</f>
        <v>No</v>
      </c>
      <c r="H86" s="3"/>
      <c r="I86" s="3"/>
      <c r="J86" s="3"/>
      <c r="K86" s="3"/>
      <c r="L86" s="3"/>
      <c r="M86" s="3"/>
      <c r="N86" s="3"/>
      <c r="O86" s="3"/>
    </row>
    <row r="87" customFormat="false" ht="15" hidden="false" customHeight="false" outlineLevel="0" collapsed="false">
      <c r="A87" s="27" t="n">
        <v>7</v>
      </c>
      <c r="B87" s="28" t="n">
        <v>46300.1540324884</v>
      </c>
      <c r="C87" s="28" t="n">
        <v>46300.1540408449</v>
      </c>
      <c r="D87" s="32" t="n">
        <f aca="false">(B87-INDEX(Rounds!$C:$C,MATCH(A87,Rounds!$A:$A,0)))*86400</f>
        <v>24.722000537</v>
      </c>
      <c r="E87" s="3" t="str">
        <f aca="false">INDEX(Rounds!$F:$F,MATCH(A87,Rounds!$A:$A,0))</f>
        <v>After fix</v>
      </c>
      <c r="F87" s="31" t="n">
        <f aca="false">(C87-B87)*86400</f>
        <v>0.721999327</v>
      </c>
      <c r="G87" s="3" t="str">
        <f aca="false">IF(F87*1000&gt;Constants!$B$12,"Yes","No")</f>
        <v>No</v>
      </c>
      <c r="H87" s="3"/>
      <c r="I87" s="3"/>
      <c r="J87" s="3"/>
      <c r="K87" s="3"/>
      <c r="L87" s="3"/>
      <c r="M87" s="3"/>
      <c r="N87" s="3"/>
      <c r="O87" s="3"/>
    </row>
    <row r="88" customFormat="false" ht="15" hidden="false" customHeight="false" outlineLevel="0" collapsed="false">
      <c r="A88" s="27" t="n">
        <v>7</v>
      </c>
      <c r="B88" s="28" t="n">
        <v>46300.1569798032</v>
      </c>
      <c r="C88" s="28" t="n">
        <v>46300.1569823958</v>
      </c>
      <c r="D88" s="32" t="n">
        <f aca="false">(B88-INDEX(Rounds!$C:$C,MATCH(A88,Rounds!$A:$A,0)))*86400</f>
        <v>279.370000096</v>
      </c>
      <c r="E88" s="3" t="str">
        <f aca="false">INDEX(Rounds!$F:$F,MATCH(A88,Rounds!$A:$A,0))</f>
        <v>After fix</v>
      </c>
      <c r="F88" s="31" t="n">
        <f aca="false">(C88-B88)*86400</f>
        <v>0.223999237</v>
      </c>
      <c r="G88" s="3" t="str">
        <f aca="false">IF(F88*1000&gt;Constants!$B$12,"Yes","No")</f>
        <v>No</v>
      </c>
      <c r="H88" s="3"/>
      <c r="I88" s="3"/>
      <c r="J88" s="3"/>
      <c r="K88" s="3"/>
      <c r="L88" s="3"/>
      <c r="M88" s="3"/>
      <c r="N88" s="3"/>
      <c r="O88" s="3"/>
    </row>
    <row r="89" customFormat="false" ht="15" hidden="false" customHeight="false" outlineLevel="0" collapsed="false">
      <c r="A89" s="27" t="n">
        <v>7</v>
      </c>
      <c r="B89" s="28" t="n">
        <v>46300.1570588889</v>
      </c>
      <c r="C89" s="28" t="n">
        <v>46300.1570639236</v>
      </c>
      <c r="D89" s="32" t="n">
        <f aca="false">(B89-INDEX(Rounds!$C:$C,MATCH(A89,Rounds!$A:$A,0)))*86400</f>
        <v>286.203000275</v>
      </c>
      <c r="E89" s="3" t="str">
        <f aca="false">INDEX(Rounds!$F:$F,MATCH(A89,Rounds!$A:$A,0))</f>
        <v>After fix</v>
      </c>
      <c r="F89" s="31" t="n">
        <f aca="false">(C89-B89)*86400</f>
        <v>0.4349994</v>
      </c>
      <c r="G89" s="3" t="str">
        <f aca="false">IF(F89*1000&gt;Constants!$B$12,"Yes","No")</f>
        <v>No</v>
      </c>
      <c r="H89" s="3"/>
      <c r="I89" s="3"/>
      <c r="J89" s="3"/>
      <c r="K89" s="3"/>
      <c r="L89" s="3"/>
      <c r="M89" s="3"/>
      <c r="N89" s="3"/>
      <c r="O89" s="3"/>
    </row>
    <row r="90" customFormat="false" ht="15" hidden="false" customHeight="false" outlineLevel="0" collapsed="false">
      <c r="A90" s="27" t="n">
        <v>7</v>
      </c>
      <c r="B90" s="28" t="n">
        <v>46300.1570761921</v>
      </c>
      <c r="C90" s="28" t="n">
        <v>46300.1570786111</v>
      </c>
      <c r="D90" s="32" t="n">
        <f aca="false">(B90-INDEX(Rounds!$C:$C,MATCH(A90,Rounds!$A:$A,0)))*86400</f>
        <v>287.698000087</v>
      </c>
      <c r="E90" s="3" t="str">
        <f aca="false">INDEX(Rounds!$F:$F,MATCH(A90,Rounds!$A:$A,0))</f>
        <v>After fix</v>
      </c>
      <c r="F90" s="31" t="n">
        <f aca="false">(C90-B90)*86400</f>
        <v>0.208999821</v>
      </c>
      <c r="G90" s="3" t="str">
        <f aca="false">IF(F90*1000&gt;Constants!$B$12,"Yes","No")</f>
        <v>No</v>
      </c>
      <c r="H90" s="3"/>
      <c r="I90" s="3"/>
      <c r="J90" s="3"/>
      <c r="K90" s="3"/>
      <c r="L90" s="3"/>
      <c r="M90" s="3"/>
      <c r="N90" s="3"/>
      <c r="O90" s="3"/>
    </row>
    <row r="91" customFormat="false" ht="15" hidden="false" customHeight="false" outlineLevel="0" collapsed="false">
      <c r="A91" s="27" t="n">
        <v>7</v>
      </c>
      <c r="B91" s="28" t="n">
        <v>46300.15711875</v>
      </c>
      <c r="C91" s="28" t="n">
        <v>46300.1571286111</v>
      </c>
      <c r="D91" s="32" t="n">
        <f aca="false">(B91-INDEX(Rounds!$C:$C,MATCH(A91,Rounds!$A:$A,0)))*86400</f>
        <v>291.374999983</v>
      </c>
      <c r="E91" s="3" t="str">
        <f aca="false">INDEX(Rounds!$F:$F,MATCH(A91,Rounds!$A:$A,0))</f>
        <v>After fix</v>
      </c>
      <c r="F91" s="31" t="n">
        <f aca="false">(C91-B91)*86400</f>
        <v>0.851999502</v>
      </c>
      <c r="G91" s="3" t="str">
        <f aca="false">IF(F91*1000&gt;Constants!$B$12,"Yes","No")</f>
        <v>No</v>
      </c>
      <c r="H91" s="3"/>
      <c r="I91" s="3"/>
      <c r="J91" s="3"/>
      <c r="K91" s="3"/>
      <c r="L91" s="3"/>
      <c r="M91" s="3"/>
      <c r="N91" s="3"/>
      <c r="O91" s="3"/>
    </row>
    <row r="92" customFormat="false" ht="15" hidden="false" customHeight="false" outlineLevel="0" collapsed="false">
      <c r="A92" s="27" t="n">
        <v>8</v>
      </c>
      <c r="B92" s="28" t="n">
        <v>46300.1571959375</v>
      </c>
      <c r="C92" s="28" t="n">
        <v>46300.1571976042</v>
      </c>
      <c r="D92" s="32" t="n">
        <f aca="false">(B92-INDEX(Rounds!$C:$C,MATCH(A92,Rounds!$A:$A,0)))*86400</f>
        <v>1.095000095</v>
      </c>
      <c r="E92" s="3" t="str">
        <f aca="false">INDEX(Rounds!$F:$F,MATCH(A92,Rounds!$A:$A,0))</f>
        <v>After fix</v>
      </c>
      <c r="F92" s="31" t="n">
        <f aca="false">(C92-B92)*86400</f>
        <v>0.144000048</v>
      </c>
      <c r="G92" s="3" t="str">
        <f aca="false">IF(F92*1000&gt;Constants!$B$12,"Yes","No")</f>
        <v>No</v>
      </c>
      <c r="H92" s="3"/>
      <c r="I92" s="3"/>
      <c r="J92" s="3"/>
      <c r="K92" s="3"/>
      <c r="L92" s="3"/>
      <c r="M92" s="3"/>
      <c r="N92" s="3"/>
      <c r="O92" s="3"/>
    </row>
    <row r="93" customFormat="false" ht="15" hidden="false" customHeight="false" outlineLevel="0" collapsed="false">
      <c r="A93" s="27" t="n">
        <v>8</v>
      </c>
      <c r="B93" s="28" t="n">
        <v>46300.1572031829</v>
      </c>
      <c r="C93" s="28" t="n">
        <v>46300.1572054051</v>
      </c>
      <c r="D93" s="32" t="n">
        <f aca="false">(B93-INDEX(Rounds!$C:$C,MATCH(A93,Rounds!$A:$A,0)))*86400</f>
        <v>1.721000019</v>
      </c>
      <c r="E93" s="3" t="str">
        <f aca="false">INDEX(Rounds!$F:$F,MATCH(A93,Rounds!$A:$A,0))</f>
        <v>After fix</v>
      </c>
      <c r="F93" s="31" t="n">
        <f aca="false">(C93-B93)*86400</f>
        <v>0.192000064</v>
      </c>
      <c r="G93" s="3" t="str">
        <f aca="false">IF(F93*1000&gt;Constants!$B$12,"Yes","No")</f>
        <v>No</v>
      </c>
      <c r="H93" s="3"/>
      <c r="I93" s="3"/>
      <c r="J93" s="3"/>
      <c r="K93" s="3"/>
      <c r="L93" s="3"/>
      <c r="M93" s="3"/>
      <c r="N93" s="3"/>
      <c r="O93" s="3"/>
    </row>
    <row r="94" customFormat="false" ht="15" hidden="false" customHeight="false" outlineLevel="0" collapsed="false">
      <c r="A94" s="27" t="n">
        <v>8</v>
      </c>
      <c r="B94" s="28" t="n">
        <v>46300.1572453472</v>
      </c>
      <c r="C94" s="28" t="n">
        <v>46300.1572516667</v>
      </c>
      <c r="D94" s="32" t="n">
        <f aca="false">(B94-INDEX(Rounds!$C:$C,MATCH(A94,Rounds!$A:$A,0)))*86400</f>
        <v>5.36400103</v>
      </c>
      <c r="E94" s="3" t="str">
        <f aca="false">INDEX(Rounds!$F:$F,MATCH(A94,Rounds!$A:$A,0))</f>
        <v>After fix</v>
      </c>
      <c r="F94" s="31" t="n">
        <f aca="false">(C94-B94)*86400</f>
        <v>0.54599822</v>
      </c>
      <c r="G94" s="3" t="str">
        <f aca="false">IF(F94*1000&gt;Constants!$B$12,"Yes","No")</f>
        <v>No</v>
      </c>
      <c r="H94" s="3"/>
      <c r="I94" s="3"/>
      <c r="J94" s="3"/>
      <c r="K94" s="3"/>
      <c r="L94" s="3"/>
      <c r="M94" s="3"/>
      <c r="N94" s="3"/>
      <c r="O94" s="3"/>
    </row>
    <row r="95" customFormat="false" ht="15" hidden="false" customHeight="false" outlineLevel="0" collapsed="false">
      <c r="A95" s="27" t="n">
        <v>8</v>
      </c>
      <c r="B95" s="28" t="n">
        <v>46300.1573011921</v>
      </c>
      <c r="C95" s="28" t="n">
        <v>46300.1573097569</v>
      </c>
      <c r="D95" s="32" t="n">
        <f aca="false">(B95-INDEX(Rounds!$C:$C,MATCH(A95,Rounds!$A:$A,0)))*86400</f>
        <v>10.189000004</v>
      </c>
      <c r="E95" s="3" t="str">
        <f aca="false">INDEX(Rounds!$F:$F,MATCH(A95,Rounds!$A:$A,0))</f>
        <v>After fix</v>
      </c>
      <c r="F95" s="31" t="n">
        <f aca="false">(C95-B95)*86400</f>
        <v>0.739999883</v>
      </c>
      <c r="G95" s="3" t="str">
        <f aca="false">IF(F95*1000&gt;Constants!$B$12,"Yes","No")</f>
        <v>No</v>
      </c>
      <c r="H95" s="3"/>
      <c r="I95" s="3"/>
      <c r="J95" s="3"/>
      <c r="K95" s="3"/>
      <c r="L95" s="3"/>
      <c r="M95" s="3"/>
      <c r="N95" s="3"/>
      <c r="O95" s="3"/>
    </row>
    <row r="96" customFormat="false" ht="15" hidden="false" customHeight="false" outlineLevel="0" collapsed="false">
      <c r="A96" s="27" t="n">
        <v>8</v>
      </c>
      <c r="B96" s="28" t="n">
        <v>46300.1573365625</v>
      </c>
      <c r="C96" s="28" t="n">
        <v>46300.1573384144</v>
      </c>
      <c r="D96" s="32" t="n">
        <f aca="false">(B96-INDEX(Rounds!$C:$C,MATCH(A96,Rounds!$A:$A,0)))*86400</f>
        <v>13.245000201</v>
      </c>
      <c r="E96" s="3" t="str">
        <f aca="false">INDEX(Rounds!$F:$F,MATCH(A96,Rounds!$A:$A,0))</f>
        <v>After fix</v>
      </c>
      <c r="F96" s="31" t="n">
        <f aca="false">(C96-B96)*86400</f>
        <v>0.159999635</v>
      </c>
      <c r="G96" s="3" t="str">
        <f aca="false">IF(F96*1000&gt;Constants!$B$12,"Yes","No")</f>
        <v>No</v>
      </c>
      <c r="H96" s="3"/>
      <c r="I96" s="3"/>
      <c r="J96" s="3"/>
      <c r="K96" s="3"/>
      <c r="L96" s="3"/>
      <c r="M96" s="3"/>
      <c r="N96" s="3"/>
      <c r="O96" s="3"/>
    </row>
    <row r="97" customFormat="false" ht="15" hidden="false" customHeight="false" outlineLevel="0" collapsed="false">
      <c r="A97" s="27" t="n">
        <v>8</v>
      </c>
      <c r="B97" s="28" t="n">
        <v>46300.1574069213</v>
      </c>
      <c r="C97" s="28" t="n">
        <v>46300.1574225694</v>
      </c>
      <c r="D97" s="32" t="n">
        <f aca="false">(B97-INDEX(Rounds!$C:$C,MATCH(A97,Rounds!$A:$A,0)))*86400</f>
        <v>19.323999364</v>
      </c>
      <c r="E97" s="3" t="str">
        <f aca="false">INDEX(Rounds!$F:$F,MATCH(A97,Rounds!$A:$A,0))</f>
        <v>After fix</v>
      </c>
      <c r="F97" s="31" t="n">
        <f aca="false">(C97-B97)*86400</f>
        <v>1.352000562</v>
      </c>
      <c r="G97" s="3" t="str">
        <f aca="false">IF(F97*1000&gt;Constants!$B$12,"Yes","No")</f>
        <v>Yes</v>
      </c>
      <c r="H97" s="3"/>
      <c r="I97" s="3"/>
      <c r="J97" s="3"/>
      <c r="K97" s="3"/>
      <c r="L97" s="3"/>
      <c r="M97" s="3"/>
      <c r="N97" s="3"/>
      <c r="O97" s="3"/>
    </row>
    <row r="98" customFormat="false" ht="15" hidden="false" customHeight="false" outlineLevel="0" collapsed="false">
      <c r="A98" s="27" t="n">
        <v>8</v>
      </c>
      <c r="B98" s="28" t="n">
        <v>46300.1574773843</v>
      </c>
      <c r="C98" s="28" t="n">
        <v>46300.1574818403</v>
      </c>
      <c r="D98" s="32" t="n">
        <f aca="false">(B98-INDEX(Rounds!$C:$C,MATCH(A98,Rounds!$A:$A,0)))*86400</f>
        <v>25.412000063</v>
      </c>
      <c r="E98" s="3" t="str">
        <f aca="false">INDEX(Rounds!$F:$F,MATCH(A98,Rounds!$A:$A,0))</f>
        <v>After fix</v>
      </c>
      <c r="F98" s="31" t="n">
        <f aca="false">(C98-B98)*86400</f>
        <v>0.3850003</v>
      </c>
      <c r="G98" s="3" t="str">
        <f aca="false">IF(F98*1000&gt;Constants!$B$12,"Yes","No")</f>
        <v>No</v>
      </c>
      <c r="H98" s="3"/>
      <c r="I98" s="3"/>
      <c r="J98" s="3"/>
      <c r="K98" s="3"/>
      <c r="L98" s="3"/>
      <c r="M98" s="3"/>
      <c r="N98" s="3"/>
      <c r="O98" s="3"/>
    </row>
    <row r="99" customFormat="false" ht="15" hidden="false" customHeight="false" outlineLevel="0" collapsed="false">
      <c r="A99" s="27" t="n">
        <v>8</v>
      </c>
      <c r="B99" s="28" t="n">
        <v>46300.1575261458</v>
      </c>
      <c r="C99" s="28" t="n">
        <v>46300.1575319097</v>
      </c>
      <c r="D99" s="32" t="n">
        <f aca="false">(B99-INDEX(Rounds!$C:$C,MATCH(A99,Rounds!$A:$A,0)))*86400</f>
        <v>29.624999617</v>
      </c>
      <c r="E99" s="3" t="str">
        <f aca="false">INDEX(Rounds!$F:$F,MATCH(A99,Rounds!$A:$A,0))</f>
        <v>After fix</v>
      </c>
      <c r="F99" s="31" t="n">
        <f aca="false">(C99-B99)*86400</f>
        <v>0.49800009</v>
      </c>
      <c r="G99" s="3" t="str">
        <f aca="false">IF(F99*1000&gt;Constants!$B$12,"Yes","No")</f>
        <v>No</v>
      </c>
      <c r="H99" s="3"/>
      <c r="I99" s="3"/>
      <c r="J99" s="3"/>
      <c r="K99" s="3"/>
      <c r="L99" s="3"/>
      <c r="M99" s="3"/>
      <c r="N99" s="3"/>
      <c r="O99" s="3"/>
    </row>
    <row r="100" customFormat="false" ht="15" hidden="false" customHeight="false" outlineLevel="0" collapsed="false">
      <c r="A100" s="27" t="n">
        <v>8</v>
      </c>
      <c r="B100" s="28" t="n">
        <v>46300.1575374884</v>
      </c>
      <c r="C100" s="28" t="n">
        <v>46300.1575387847</v>
      </c>
      <c r="D100" s="32" t="n">
        <f aca="false">(B100-INDEX(Rounds!$C:$C,MATCH(A100,Rounds!$A:$A,0)))*86400</f>
        <v>30.60500021</v>
      </c>
      <c r="E100" s="3" t="str">
        <f aca="false">INDEX(Rounds!$F:$F,MATCH(A100,Rounds!$A:$A,0))</f>
        <v>After fix</v>
      </c>
      <c r="F100" s="31" t="n">
        <f aca="false">(C100-B100)*86400</f>
        <v>0.111999618</v>
      </c>
      <c r="G100" s="3" t="str">
        <f aca="false">IF(F100*1000&gt;Constants!$B$12,"Yes","No")</f>
        <v>No</v>
      </c>
      <c r="H100" s="3"/>
      <c r="I100" s="3"/>
      <c r="J100" s="3"/>
      <c r="K100" s="3"/>
      <c r="L100" s="3"/>
      <c r="M100" s="3"/>
      <c r="N100" s="3"/>
      <c r="O100" s="3"/>
    </row>
    <row r="101" customFormat="false" ht="15" hidden="false" customHeight="false" outlineLevel="0" collapsed="false">
      <c r="A101" s="27" t="n">
        <v>8</v>
      </c>
      <c r="B101" s="28" t="n">
        <v>46300.1576111458</v>
      </c>
      <c r="C101" s="28" t="n">
        <v>46300.1576122685</v>
      </c>
      <c r="D101" s="32" t="n">
        <f aca="false">(B101-INDEX(Rounds!$C:$C,MATCH(A101,Rounds!$A:$A,0)))*86400</f>
        <v>36.968999588</v>
      </c>
      <c r="E101" s="3" t="str">
        <f aca="false">INDEX(Rounds!$F:$F,MATCH(A101,Rounds!$A:$A,0))</f>
        <v>After fix</v>
      </c>
      <c r="F101" s="31" t="n">
        <f aca="false">(C101-B101)*86400</f>
        <v>0.097000831</v>
      </c>
      <c r="G101" s="3" t="str">
        <f aca="false">IF(F101*1000&gt;Constants!$B$12,"Yes","No")</f>
        <v>No</v>
      </c>
      <c r="H101" s="3"/>
      <c r="I101" s="3"/>
      <c r="J101" s="3"/>
      <c r="K101" s="3"/>
      <c r="L101" s="3"/>
      <c r="M101" s="3"/>
      <c r="N101" s="3"/>
      <c r="O101" s="3"/>
    </row>
    <row r="102" customFormat="false" ht="15" hidden="false" customHeight="false" outlineLevel="0" collapsed="false">
      <c r="A102" s="27" t="n">
        <v>8</v>
      </c>
      <c r="B102" s="28" t="n">
        <v>46300.1576327315</v>
      </c>
      <c r="C102" s="28" t="n">
        <v>46300.1576364583</v>
      </c>
      <c r="D102" s="32" t="n">
        <f aca="false">(B102-INDEX(Rounds!$C:$C,MATCH(A102,Rounds!$A:$A,0)))*86400</f>
        <v>38.834000285</v>
      </c>
      <c r="E102" s="3" t="str">
        <f aca="false">INDEX(Rounds!$F:$F,MATCH(A102,Rounds!$A:$A,0))</f>
        <v>After fix</v>
      </c>
      <c r="F102" s="31" t="n">
        <f aca="false">(C102-B102)*86400</f>
        <v>0.321999611</v>
      </c>
      <c r="G102" s="3" t="str">
        <f aca="false">IF(F102*1000&gt;Constants!$B$12,"Yes","No")</f>
        <v>No</v>
      </c>
      <c r="H102" s="3"/>
      <c r="I102" s="3"/>
      <c r="J102" s="3"/>
      <c r="K102" s="3"/>
      <c r="L102" s="3"/>
      <c r="M102" s="3"/>
      <c r="N102" s="3"/>
      <c r="O102" s="3"/>
    </row>
    <row r="103" customFormat="false" ht="15" hidden="false" customHeight="false" outlineLevel="0" collapsed="false">
      <c r="A103" s="27" t="n">
        <v>8</v>
      </c>
      <c r="B103" s="28" t="n">
        <v>46300.157741956</v>
      </c>
      <c r="C103" s="28" t="n">
        <v>46300.1577501273</v>
      </c>
      <c r="D103" s="32" t="n">
        <f aca="false">(B103-INDEX(Rounds!$C:$C,MATCH(A103,Rounds!$A:$A,0)))*86400</f>
        <v>48.271000245</v>
      </c>
      <c r="E103" s="3" t="str">
        <f aca="false">INDEX(Rounds!$F:$F,MATCH(A103,Rounds!$A:$A,0))</f>
        <v>After fix</v>
      </c>
      <c r="F103" s="31" t="n">
        <f aca="false">(C103-B103)*86400</f>
        <v>0.705999741</v>
      </c>
      <c r="G103" s="3" t="str">
        <f aca="false">IF(F103*1000&gt;Constants!$B$12,"Yes","No")</f>
        <v>No</v>
      </c>
      <c r="H103" s="3"/>
      <c r="I103" s="3"/>
      <c r="J103" s="3"/>
      <c r="K103" s="3"/>
      <c r="L103" s="3"/>
      <c r="M103" s="3"/>
      <c r="N103" s="3"/>
      <c r="O103" s="3"/>
    </row>
    <row r="104" customFormat="false" ht="15" hidden="false" customHeight="false" outlineLevel="0" collapsed="false">
      <c r="A104" s="27" t="n">
        <v>8</v>
      </c>
      <c r="B104" s="28" t="n">
        <v>46300.1577841782</v>
      </c>
      <c r="C104" s="28" t="n">
        <v>46300.1577929051</v>
      </c>
      <c r="D104" s="32" t="n">
        <f aca="false">(B104-INDEX(Rounds!$C:$C,MATCH(A104,Rounds!$A:$A,0)))*86400</f>
        <v>51.919000223</v>
      </c>
      <c r="E104" s="3" t="str">
        <f aca="false">INDEX(Rounds!$F:$F,MATCH(A104,Rounds!$A:$A,0))</f>
        <v>After fix</v>
      </c>
      <c r="F104" s="31" t="n">
        <f aca="false">(C104-B104)*86400</f>
        <v>0.753999757</v>
      </c>
      <c r="G104" s="3" t="str">
        <f aca="false">IF(F104*1000&gt;Constants!$B$12,"Yes","No")</f>
        <v>No</v>
      </c>
      <c r="H104" s="3"/>
      <c r="I104" s="3"/>
      <c r="J104" s="3"/>
      <c r="K104" s="3"/>
      <c r="L104" s="3"/>
      <c r="M104" s="3"/>
      <c r="N104" s="3"/>
      <c r="O104" s="3"/>
    </row>
    <row r="105" customFormat="false" ht="15" hidden="false" customHeight="false" outlineLevel="0" collapsed="false">
      <c r="A105" s="27" t="n">
        <v>8</v>
      </c>
      <c r="B105" s="28" t="n">
        <v>46300.1578103357</v>
      </c>
      <c r="C105" s="28" t="n">
        <v>46300.1578125694</v>
      </c>
      <c r="D105" s="32" t="n">
        <f aca="false">(B105-INDEX(Rounds!$C:$C,MATCH(A105,Rounds!$A:$A,0)))*86400</f>
        <v>54.179000412</v>
      </c>
      <c r="E105" s="3" t="str">
        <f aca="false">INDEX(Rounds!$F:$F,MATCH(A105,Rounds!$A:$A,0))</f>
        <v>After fix</v>
      </c>
      <c r="F105" s="31" t="n">
        <f aca="false">(C105-B105)*86400</f>
        <v>0.192999606</v>
      </c>
      <c r="G105" s="3" t="str">
        <f aca="false">IF(F105*1000&gt;Constants!$B$12,"Yes","No")</f>
        <v>No</v>
      </c>
      <c r="H105" s="3"/>
      <c r="I105" s="3"/>
      <c r="J105" s="3"/>
      <c r="K105" s="3"/>
      <c r="L105" s="3"/>
      <c r="M105" s="3"/>
      <c r="N105" s="3"/>
      <c r="O105" s="3"/>
    </row>
    <row r="106" customFormat="false" ht="15" hidden="false" customHeight="false" outlineLevel="0" collapsed="false">
      <c r="A106" s="27" t="n">
        <v>8</v>
      </c>
      <c r="B106" s="28" t="n">
        <v>46300.1578268403</v>
      </c>
      <c r="C106" s="28" t="n">
        <v>46300.157831875</v>
      </c>
      <c r="D106" s="32" t="n">
        <f aca="false">(B106-INDEX(Rounds!$C:$C,MATCH(A106,Rounds!$A:$A,0)))*86400</f>
        <v>55.605000397</v>
      </c>
      <c r="E106" s="3" t="str">
        <f aca="false">INDEX(Rounds!$F:$F,MATCH(A106,Rounds!$A:$A,0))</f>
        <v>After fix</v>
      </c>
      <c r="F106" s="31" t="n">
        <f aca="false">(C106-B106)*86400</f>
        <v>0.435000029</v>
      </c>
      <c r="G106" s="3" t="str">
        <f aca="false">IF(F106*1000&gt;Constants!$B$12,"Yes","No")</f>
        <v>No</v>
      </c>
      <c r="H106" s="3"/>
      <c r="I106" s="3"/>
      <c r="J106" s="3"/>
      <c r="K106" s="3"/>
      <c r="L106" s="3"/>
      <c r="M106" s="3"/>
      <c r="N106" s="3"/>
      <c r="O106" s="3"/>
    </row>
    <row r="107" customFormat="false" ht="15" hidden="false" customHeight="false" outlineLevel="0" collapsed="false">
      <c r="A107" s="27" t="n">
        <v>8</v>
      </c>
      <c r="B107" s="28" t="n">
        <v>46300.1578374421</v>
      </c>
      <c r="C107" s="28" t="n">
        <v>46300.1578406134</v>
      </c>
      <c r="D107" s="32" t="n">
        <f aca="false">(B107-INDEX(Rounds!$C:$C,MATCH(A107,Rounds!$A:$A,0)))*86400</f>
        <v>56.521000131</v>
      </c>
      <c r="E107" s="3" t="str">
        <f aca="false">INDEX(Rounds!$F:$F,MATCH(A107,Rounds!$A:$A,0))</f>
        <v>After fix</v>
      </c>
      <c r="F107" s="31" t="n">
        <f aca="false">(C107-B107)*86400</f>
        <v>0.274000223</v>
      </c>
      <c r="G107" s="3" t="str">
        <f aca="false">IF(F107*1000&gt;Constants!$B$12,"Yes","No")</f>
        <v>No</v>
      </c>
      <c r="H107" s="3"/>
      <c r="I107" s="3"/>
      <c r="J107" s="3"/>
      <c r="K107" s="3"/>
      <c r="L107" s="3"/>
      <c r="M107" s="3"/>
      <c r="N107" s="3"/>
      <c r="O107" s="3"/>
    </row>
    <row r="108" customFormat="false" ht="15" hidden="false" customHeight="false" outlineLevel="0" collapsed="false">
      <c r="A108" s="27" t="n">
        <v>8</v>
      </c>
      <c r="B108" s="28" t="n">
        <v>46300.1578871296</v>
      </c>
      <c r="C108" s="28" t="n">
        <v>46300.1578897454</v>
      </c>
      <c r="D108" s="32" t="n">
        <f aca="false">(B108-INDEX(Rounds!$C:$C,MATCH(A108,Rounds!$A:$A,0)))*86400</f>
        <v>60.81400013</v>
      </c>
      <c r="E108" s="3" t="str">
        <f aca="false">INDEX(Rounds!$F:$F,MATCH(A108,Rounds!$A:$A,0))</f>
        <v>After fix</v>
      </c>
      <c r="F108" s="31" t="n">
        <f aca="false">(C108-B108)*86400</f>
        <v>0.226000207</v>
      </c>
      <c r="G108" s="3" t="str">
        <f aca="false">IF(F108*1000&gt;Constants!$B$12,"Yes","No")</f>
        <v>No</v>
      </c>
      <c r="H108" s="3"/>
      <c r="I108" s="3"/>
      <c r="J108" s="3"/>
      <c r="K108" s="3"/>
      <c r="L108" s="3"/>
      <c r="M108" s="3"/>
      <c r="N108" s="3"/>
      <c r="O108" s="3"/>
    </row>
    <row r="109" customFormat="false" ht="15" hidden="false" customHeight="false" outlineLevel="0" collapsed="false">
      <c r="A109" s="27" t="n">
        <v>9</v>
      </c>
      <c r="B109" s="28" t="n">
        <v>46301.4819505093</v>
      </c>
      <c r="C109" s="28" t="n">
        <v>46301.4819516204</v>
      </c>
      <c r="D109" s="32" t="n">
        <f aca="false">(B109-INDEX(Rounds!$C:$C,MATCH(A109,Rounds!$A:$A,0)))*86400</f>
        <v>7.328999927</v>
      </c>
      <c r="E109" s="3" t="str">
        <f aca="false">INDEX(Rounds!$F:$F,MATCH(A109,Rounds!$A:$A,0))</f>
        <v>After fix</v>
      </c>
      <c r="F109" s="31" t="n">
        <f aca="false">(C109-B109)*86400</f>
        <v>0.096000032</v>
      </c>
      <c r="G109" s="3" t="str">
        <f aca="false">IF(F109*1000&gt;Constants!$B$12,"Yes","No")</f>
        <v>No</v>
      </c>
      <c r="H109" s="3"/>
      <c r="I109" s="3"/>
      <c r="J109" s="3"/>
      <c r="K109" s="3"/>
      <c r="L109" s="3"/>
      <c r="M109" s="3"/>
      <c r="N109" s="3"/>
      <c r="O109" s="3"/>
    </row>
    <row r="110" customFormat="false" ht="15" hidden="false" customHeight="false" outlineLevel="0" collapsed="false">
      <c r="A110" s="27" t="n">
        <v>9</v>
      </c>
      <c r="B110" s="28" t="n">
        <v>46301.4819766435</v>
      </c>
      <c r="C110" s="28" t="n">
        <v>46301.4819904861</v>
      </c>
      <c r="D110" s="32" t="n">
        <f aca="false">(B110-INDEX(Rounds!$C:$C,MATCH(A110,Rounds!$A:$A,0)))*86400</f>
        <v>9.586999774</v>
      </c>
      <c r="E110" s="3" t="str">
        <f aca="false">INDEX(Rounds!$F:$F,MATCH(A110,Rounds!$A:$A,0))</f>
        <v>After fix</v>
      </c>
      <c r="F110" s="31" t="n">
        <f aca="false">(C110-B110)*86400</f>
        <v>1.195999723</v>
      </c>
      <c r="G110" s="3" t="str">
        <f aca="false">IF(F110*1000&gt;Constants!$B$12,"Yes","No")</f>
        <v>Yes</v>
      </c>
      <c r="H110" s="3"/>
      <c r="I110" s="3"/>
      <c r="J110" s="3"/>
      <c r="K110" s="3"/>
      <c r="L110" s="3"/>
      <c r="M110" s="3"/>
      <c r="N110" s="3"/>
      <c r="O110" s="3"/>
    </row>
    <row r="111" customFormat="false" ht="15" hidden="false" customHeight="false" outlineLevel="0" collapsed="false">
      <c r="A111" s="27" t="n">
        <v>9</v>
      </c>
      <c r="B111" s="28" t="n">
        <v>46301.4820163542</v>
      </c>
      <c r="C111" s="28" t="n">
        <v>46301.4820251157</v>
      </c>
      <c r="D111" s="32" t="n">
        <f aca="false">(B111-INDEX(Rounds!$C:$C,MATCH(A111,Rounds!$A:$A,0)))*86400</f>
        <v>13.018000451</v>
      </c>
      <c r="E111" s="3" t="str">
        <f aca="false">INDEX(Rounds!$F:$F,MATCH(A111,Rounds!$A:$A,0))</f>
        <v>After fix</v>
      </c>
      <c r="F111" s="31" t="n">
        <f aca="false">(C111-B111)*86400</f>
        <v>0.75699964</v>
      </c>
      <c r="G111" s="3" t="str">
        <f aca="false">IF(F111*1000&gt;Constants!$B$12,"Yes","No")</f>
        <v>No</v>
      </c>
      <c r="H111" s="3"/>
      <c r="I111" s="3"/>
      <c r="J111" s="3"/>
      <c r="K111" s="3"/>
      <c r="L111" s="3"/>
      <c r="M111" s="3"/>
      <c r="N111" s="3"/>
      <c r="O111" s="3"/>
    </row>
    <row r="112" customFormat="false" ht="15" hidden="false" customHeight="false" outlineLevel="0" collapsed="false">
      <c r="A112" s="27" t="n">
        <v>9</v>
      </c>
      <c r="B112" s="28" t="n">
        <v>46301.4820348032</v>
      </c>
      <c r="C112" s="28" t="n">
        <v>46301.4820478704</v>
      </c>
      <c r="D112" s="32" t="n">
        <f aca="false">(B112-INDEX(Rounds!$C:$C,MATCH(A112,Rounds!$A:$A,0)))*86400</f>
        <v>14.61199955</v>
      </c>
      <c r="E112" s="3" t="str">
        <f aca="false">INDEX(Rounds!$F:$F,MATCH(A112,Rounds!$A:$A,0))</f>
        <v>After fix</v>
      </c>
      <c r="F112" s="31" t="n">
        <f aca="false">(C112-B112)*86400</f>
        <v>1.129000238</v>
      </c>
      <c r="G112" s="3" t="str">
        <f aca="false">IF(F112*1000&gt;Constants!$B$12,"Yes","No")</f>
        <v>Yes</v>
      </c>
      <c r="H112" s="3"/>
      <c r="I112" s="3"/>
      <c r="J112" s="3"/>
      <c r="K112" s="3"/>
      <c r="L112" s="3"/>
      <c r="M112" s="3"/>
      <c r="N112" s="3"/>
      <c r="O112" s="3"/>
    </row>
    <row r="113" customFormat="false" ht="15" hidden="false" customHeight="false" outlineLevel="0" collapsed="false">
      <c r="A113" s="27" t="n">
        <v>9</v>
      </c>
      <c r="B113" s="28" t="n">
        <v>46301.482074375</v>
      </c>
      <c r="C113" s="28" t="n">
        <v>46301.4820896065</v>
      </c>
      <c r="D113" s="32" t="n">
        <f aca="false">(B113-INDEX(Rounds!$C:$C,MATCH(A113,Rounds!$A:$A,0)))*86400</f>
        <v>18.031000066</v>
      </c>
      <c r="E113" s="3" t="str">
        <f aca="false">INDEX(Rounds!$F:$F,MATCH(A113,Rounds!$A:$A,0))</f>
        <v>After fix</v>
      </c>
      <c r="F113" s="31" t="n">
        <f aca="false">(C113-B113)*86400</f>
        <v>1.31599945</v>
      </c>
      <c r="G113" s="3" t="str">
        <f aca="false">IF(F113*1000&gt;Constants!$B$12,"Yes","No")</f>
        <v>Yes</v>
      </c>
      <c r="H113" s="3"/>
      <c r="I113" s="3"/>
      <c r="J113" s="3"/>
      <c r="K113" s="3"/>
      <c r="L113" s="3"/>
      <c r="M113" s="3"/>
      <c r="N113" s="3"/>
      <c r="O113" s="3"/>
    </row>
    <row r="114" customFormat="false" ht="15" hidden="false" customHeight="false" outlineLevel="0" collapsed="false">
      <c r="A114" s="27" t="n">
        <v>9</v>
      </c>
      <c r="B114" s="28" t="n">
        <v>46301.4821035648</v>
      </c>
      <c r="C114" s="28" t="n">
        <v>46301.4821098611</v>
      </c>
      <c r="D114" s="32" t="n">
        <f aca="false">(B114-INDEX(Rounds!$C:$C,MATCH(A114,Rounds!$A:$A,0)))*86400</f>
        <v>20.552999689</v>
      </c>
      <c r="E114" s="3" t="str">
        <f aca="false">INDEX(Rounds!$F:$F,MATCH(A114,Rounds!$A:$A,0))</f>
        <v>After fix</v>
      </c>
      <c r="F114" s="31" t="n">
        <f aca="false">(C114-B114)*86400</f>
        <v>0.543999765</v>
      </c>
      <c r="G114" s="3" t="str">
        <f aca="false">IF(F114*1000&gt;Constants!$B$12,"Yes","No")</f>
        <v>No</v>
      </c>
      <c r="H114" s="3"/>
      <c r="I114" s="3"/>
      <c r="J114" s="3"/>
      <c r="K114" s="3"/>
      <c r="L114" s="3"/>
      <c r="M114" s="3"/>
      <c r="N114" s="3"/>
      <c r="O114" s="3"/>
    </row>
    <row r="115" customFormat="false" ht="15" hidden="false" customHeight="false" outlineLevel="0" collapsed="false">
      <c r="A115" s="27" t="n">
        <v>9</v>
      </c>
      <c r="B115" s="28" t="n">
        <v>46301.4821187963</v>
      </c>
      <c r="C115" s="28" t="n">
        <v>46301.4821376042</v>
      </c>
      <c r="D115" s="32" t="n">
        <f aca="false">(B115-INDEX(Rounds!$C:$C,MATCH(A115,Rounds!$A:$A,0)))*86400</f>
        <v>21.869000396</v>
      </c>
      <c r="E115" s="3" t="str">
        <f aca="false">INDEX(Rounds!$F:$F,MATCH(A115,Rounds!$A:$A,0))</f>
        <v>After fix</v>
      </c>
      <c r="F115" s="31" t="n">
        <f aca="false">(C115-B115)*86400</f>
        <v>1.624999986</v>
      </c>
      <c r="G115" s="3" t="str">
        <f aca="false">IF(F115*1000&gt;Constants!$B$12,"Yes","No")</f>
        <v>Yes</v>
      </c>
      <c r="H115" s="3"/>
      <c r="I115" s="3"/>
      <c r="J115" s="3"/>
      <c r="K115" s="3"/>
      <c r="L115" s="3"/>
      <c r="M115" s="3"/>
      <c r="N115" s="3"/>
      <c r="O115" s="3"/>
    </row>
    <row r="116" customFormat="false" ht="15" hidden="false" customHeight="false" outlineLevel="0" collapsed="false">
      <c r="A116" s="27" t="n">
        <v>9</v>
      </c>
      <c r="B116" s="28" t="n">
        <v>46301.4821528935</v>
      </c>
      <c r="C116" s="28" t="n">
        <v>46301.482172963</v>
      </c>
      <c r="D116" s="32" t="n">
        <f aca="false">(B116-INDEX(Rounds!$C:$C,MATCH(A116,Rounds!$A:$A,0)))*86400</f>
        <v>24.815000058</v>
      </c>
      <c r="E116" s="3" t="str">
        <f aca="false">INDEX(Rounds!$F:$F,MATCH(A116,Rounds!$A:$A,0))</f>
        <v>After fix</v>
      </c>
      <c r="F116" s="31" t="n">
        <f aca="false">(C116-B116)*86400</f>
        <v>1.733999722</v>
      </c>
      <c r="G116" s="3" t="str">
        <f aca="false">IF(F116*1000&gt;Constants!$B$12,"Yes","No")</f>
        <v>Yes</v>
      </c>
      <c r="H116" s="3"/>
      <c r="I116" s="3"/>
      <c r="J116" s="3"/>
      <c r="K116" s="3"/>
      <c r="L116" s="3"/>
      <c r="M116" s="3"/>
      <c r="N116" s="3"/>
      <c r="O116" s="3"/>
    </row>
    <row r="117" customFormat="false" ht="15" hidden="false" customHeight="false" outlineLevel="0" collapsed="false">
      <c r="A117" s="27" t="n">
        <v>9</v>
      </c>
      <c r="B117" s="28" t="n">
        <v>46301.4821835764</v>
      </c>
      <c r="C117" s="28" t="n">
        <v>46301.4821889583</v>
      </c>
      <c r="D117" s="32" t="n">
        <f aca="false">(B117-INDEX(Rounds!$C:$C,MATCH(A117,Rounds!$A:$A,0)))*86400</f>
        <v>27.465999685</v>
      </c>
      <c r="E117" s="3" t="str">
        <f aca="false">INDEX(Rounds!$F:$F,MATCH(A117,Rounds!$A:$A,0))</f>
        <v>After fix</v>
      </c>
      <c r="F117" s="31" t="n">
        <f aca="false">(C117-B117)*86400</f>
        <v>0.465000118</v>
      </c>
      <c r="G117" s="3" t="str">
        <f aca="false">IF(F117*1000&gt;Constants!$B$12,"Yes","No")</f>
        <v>No</v>
      </c>
      <c r="H117" s="3"/>
      <c r="I117" s="3"/>
      <c r="J117" s="3"/>
      <c r="K117" s="3"/>
      <c r="L117" s="3"/>
      <c r="M117" s="3"/>
      <c r="N117" s="3"/>
      <c r="O117" s="3"/>
    </row>
    <row r="118" customFormat="false" ht="15" hidden="false" customHeight="false" outlineLevel="0" collapsed="false">
      <c r="A118" s="27" t="n">
        <v>9</v>
      </c>
      <c r="B118" s="28" t="n">
        <v>46301.4821975579</v>
      </c>
      <c r="C118" s="28" t="n">
        <v>46301.4822070949</v>
      </c>
      <c r="D118" s="32" t="n">
        <f aca="false">(B118-INDEX(Rounds!$C:$C,MATCH(A118,Rounds!$A:$A,0)))*86400</f>
        <v>28.67399957</v>
      </c>
      <c r="E118" s="3" t="str">
        <f aca="false">INDEX(Rounds!$F:$F,MATCH(A118,Rounds!$A:$A,0))</f>
        <v>After fix</v>
      </c>
      <c r="F118" s="31" t="n">
        <f aca="false">(C118-B118)*86400</f>
        <v>0.824000383</v>
      </c>
      <c r="G118" s="3" t="str">
        <f aca="false">IF(F118*1000&gt;Constants!$B$12,"Yes","No")</f>
        <v>No</v>
      </c>
      <c r="H118" s="3"/>
      <c r="I118" s="3"/>
      <c r="J118" s="3"/>
      <c r="K118" s="3"/>
      <c r="L118" s="3"/>
      <c r="M118" s="3"/>
      <c r="N118" s="3"/>
      <c r="O118" s="3"/>
    </row>
    <row r="119" customFormat="false" ht="15" hidden="false" customHeight="false" outlineLevel="0" collapsed="false">
      <c r="A119" s="27" t="n">
        <v>9</v>
      </c>
      <c r="B119" s="28" t="n">
        <v>46301.4822273264</v>
      </c>
      <c r="C119" s="28" t="n">
        <v>46301.4822778472</v>
      </c>
      <c r="D119" s="32" t="n">
        <f aca="false">(B119-INDEX(Rounds!$C:$C,MATCH(A119,Rounds!$A:$A,0)))*86400</f>
        <v>31.246000179</v>
      </c>
      <c r="E119" s="3" t="str">
        <f aca="false">INDEX(Rounds!$F:$F,MATCH(A119,Rounds!$A:$A,0))</f>
        <v>After fix</v>
      </c>
      <c r="F119" s="31" t="n">
        <f aca="false">(C119-B119)*86400</f>
        <v>4.364999709</v>
      </c>
      <c r="G119" s="3" t="str">
        <f aca="false">IF(F119*1000&gt;Constants!$B$12,"Yes","No")</f>
        <v>Yes</v>
      </c>
      <c r="H119" s="3"/>
      <c r="I119" s="3"/>
      <c r="J119" s="3"/>
      <c r="K119" s="3"/>
      <c r="L119" s="3"/>
      <c r="M119" s="3"/>
      <c r="N119" s="3"/>
      <c r="O119" s="3"/>
    </row>
    <row r="120" customFormat="false" ht="15" hidden="false" customHeight="false" outlineLevel="0" collapsed="false">
      <c r="A120" s="27" t="n">
        <v>9</v>
      </c>
      <c r="B120" s="28" t="n">
        <v>46301.482304132</v>
      </c>
      <c r="C120" s="28" t="n">
        <v>46301.4823115509</v>
      </c>
      <c r="D120" s="32" t="n">
        <f aca="false">(B120-INDEX(Rounds!$C:$C,MATCH(A120,Rounds!$A:$A,0)))*86400</f>
        <v>37.882000068</v>
      </c>
      <c r="E120" s="3" t="str">
        <f aca="false">INDEX(Rounds!$F:$F,MATCH(A120,Rounds!$A:$A,0))</f>
        <v>After fix</v>
      </c>
      <c r="F120" s="31" t="n">
        <f aca="false">(C120-B120)*86400</f>
        <v>0.640999968</v>
      </c>
      <c r="G120" s="3" t="str">
        <f aca="false">IF(F120*1000&gt;Constants!$B$12,"Yes","No")</f>
        <v>No</v>
      </c>
      <c r="H120" s="3"/>
      <c r="I120" s="3"/>
      <c r="J120" s="3"/>
      <c r="K120" s="3"/>
      <c r="L120" s="3"/>
      <c r="M120" s="3"/>
      <c r="N120" s="3"/>
      <c r="O120" s="3"/>
    </row>
    <row r="121" customFormat="false" ht="15" hidden="false" customHeight="false" outlineLevel="0" collapsed="false">
      <c r="A121" s="27" t="n">
        <v>9</v>
      </c>
      <c r="B121" s="28" t="n">
        <v>46301.4823169792</v>
      </c>
      <c r="C121" s="28" t="n">
        <v>46301.4823188426</v>
      </c>
      <c r="D121" s="32" t="n">
        <f aca="false">(B121-INDEX(Rounds!$C:$C,MATCH(A121,Rounds!$A:$A,0)))*86400</f>
        <v>38.991999579</v>
      </c>
      <c r="E121" s="3" t="str">
        <f aca="false">INDEX(Rounds!$F:$F,MATCH(A121,Rounds!$A:$A,0))</f>
        <v>After fix</v>
      </c>
      <c r="F121" s="31" t="n">
        <f aca="false">(C121-B121)*86400</f>
        <v>0.160999805</v>
      </c>
      <c r="G121" s="3" t="str">
        <f aca="false">IF(F121*1000&gt;Constants!$B$12,"Yes","No")</f>
        <v>No</v>
      </c>
      <c r="H121" s="3"/>
      <c r="I121" s="3"/>
      <c r="J121" s="3"/>
      <c r="K121" s="3"/>
      <c r="L121" s="3"/>
      <c r="M121" s="3"/>
      <c r="N121" s="3"/>
      <c r="O121" s="3"/>
    </row>
    <row r="122" customFormat="false" ht="15" hidden="false" customHeight="false" outlineLevel="0" collapsed="false">
      <c r="A122" s="27" t="n">
        <v>9</v>
      </c>
      <c r="B122" s="28" t="n">
        <v>46301.4823506829</v>
      </c>
      <c r="C122" s="28" t="n">
        <v>46301.4823581134</v>
      </c>
      <c r="D122" s="32" t="n">
        <f aca="false">(B122-INDEX(Rounds!$C:$C,MATCH(A122,Rounds!$A:$A,0)))*86400</f>
        <v>41.903999727</v>
      </c>
      <c r="E122" s="3" t="str">
        <f aca="false">INDEX(Rounds!$F:$F,MATCH(A122,Rounds!$A:$A,0))</f>
        <v>After fix</v>
      </c>
      <c r="F122" s="31" t="n">
        <f aca="false">(C122-B122)*86400</f>
        <v>0.642000767</v>
      </c>
      <c r="G122" s="3" t="str">
        <f aca="false">IF(F122*1000&gt;Constants!$B$12,"Yes","No")</f>
        <v>No</v>
      </c>
      <c r="H122" s="3"/>
      <c r="I122" s="3"/>
      <c r="J122" s="3"/>
      <c r="K122" s="3"/>
      <c r="L122" s="3"/>
      <c r="M122" s="3"/>
      <c r="N122" s="3"/>
      <c r="O122" s="3"/>
    </row>
    <row r="123" customFormat="false" ht="15" hidden="false" customHeight="false" outlineLevel="0" collapsed="false">
      <c r="A123" s="27" t="n">
        <v>9</v>
      </c>
      <c r="B123" s="28" t="n">
        <v>46301.4823915857</v>
      </c>
      <c r="C123" s="28" t="n">
        <v>46301.4824005208</v>
      </c>
      <c r="D123" s="32" t="n">
        <f aca="false">(B123-INDEX(Rounds!$C:$C,MATCH(A123,Rounds!$A:$A,0)))*86400</f>
        <v>45.437999744</v>
      </c>
      <c r="E123" s="3" t="str">
        <f aca="false">INDEX(Rounds!$F:$F,MATCH(A123,Rounds!$A:$A,0))</f>
        <v>After fix</v>
      </c>
      <c r="F123" s="31" t="n">
        <f aca="false">(C123-B123)*86400</f>
        <v>0.772000942</v>
      </c>
      <c r="G123" s="3" t="str">
        <f aca="false">IF(F123*1000&gt;Constants!$B$12,"Yes","No")</f>
        <v>No</v>
      </c>
      <c r="H123" s="3"/>
      <c r="I123" s="3"/>
      <c r="J123" s="3"/>
      <c r="K123" s="3"/>
      <c r="L123" s="3"/>
      <c r="M123" s="3"/>
      <c r="N123" s="3"/>
      <c r="O123" s="3"/>
    </row>
    <row r="124" customFormat="false" ht="15" hidden="false" customHeight="false" outlineLevel="0" collapsed="false">
      <c r="A124" s="27" t="n">
        <v>9</v>
      </c>
      <c r="B124" s="28" t="n">
        <v>46301.4824060995</v>
      </c>
      <c r="C124" s="28" t="n">
        <v>46301.4824077662</v>
      </c>
      <c r="D124" s="32" t="n">
        <f aca="false">(B124-INDEX(Rounds!$C:$C,MATCH(A124,Rounds!$A:$A,0)))*86400</f>
        <v>46.691999933</v>
      </c>
      <c r="E124" s="3" t="str">
        <f aca="false">INDEX(Rounds!$F:$F,MATCH(A124,Rounds!$A:$A,0))</f>
        <v>After fix</v>
      </c>
      <c r="F124" s="31" t="n">
        <f aca="false">(C124-B124)*86400</f>
        <v>0.144000677</v>
      </c>
      <c r="G124" s="3" t="str">
        <f aca="false">IF(F124*1000&gt;Constants!$B$12,"Yes","No")</f>
        <v>No</v>
      </c>
      <c r="H124" s="3"/>
      <c r="I124" s="3"/>
      <c r="J124" s="3"/>
      <c r="K124" s="3"/>
      <c r="L124" s="3"/>
      <c r="M124" s="3"/>
      <c r="N124" s="3"/>
      <c r="O124" s="3"/>
    </row>
    <row r="125" customFormat="false" ht="15" hidden="false" customHeight="false" outlineLevel="0" collapsed="false">
      <c r="A125" s="27" t="n">
        <v>9</v>
      </c>
      <c r="B125" s="28" t="n">
        <v>46301.4824133681</v>
      </c>
      <c r="C125" s="28" t="n">
        <v>46301.4824135532</v>
      </c>
      <c r="D125" s="32" t="n">
        <f aca="false">(B125-INDEX(Rounds!$C:$C,MATCH(A125,Rounds!$A:$A,0)))*86400</f>
        <v>47.31999957</v>
      </c>
      <c r="E125" s="3" t="str">
        <f aca="false">INDEX(Rounds!$F:$F,MATCH(A125,Rounds!$A:$A,0))</f>
        <v>After fix</v>
      </c>
      <c r="F125" s="31" t="n">
        <f aca="false">(C125-B125)*86400</f>
        <v>0.016000214</v>
      </c>
      <c r="G125" s="3" t="str">
        <f aca="false">IF(F125*1000&gt;Constants!$B$12,"Yes","No")</f>
        <v>No</v>
      </c>
      <c r="H125" s="3"/>
      <c r="I125" s="3"/>
      <c r="J125" s="3"/>
      <c r="K125" s="3"/>
      <c r="L125" s="3"/>
      <c r="M125" s="3"/>
      <c r="N125" s="3"/>
      <c r="O125" s="3"/>
    </row>
    <row r="126" customFormat="false" ht="15" hidden="false" customHeight="false" outlineLevel="0" collapsed="false">
      <c r="A126" s="27" t="n">
        <v>9</v>
      </c>
      <c r="B126" s="28" t="n">
        <v>46301.4824273495</v>
      </c>
      <c r="C126" s="28" t="n">
        <v>46301.4824753819</v>
      </c>
      <c r="D126" s="32" t="n">
        <f aca="false">(B126-INDEX(Rounds!$C:$C,MATCH(A126,Rounds!$A:$A,0)))*86400</f>
        <v>48.528000083</v>
      </c>
      <c r="E126" s="3" t="str">
        <f aca="false">INDEX(Rounds!$F:$F,MATCH(A126,Rounds!$A:$A,0))</f>
        <v>After fix</v>
      </c>
      <c r="F126" s="31" t="n">
        <f aca="false">(C126-B126)*86400</f>
        <v>4.149999492</v>
      </c>
      <c r="G126" s="3" t="str">
        <f aca="false">IF(F126*1000&gt;Constants!$B$12,"Yes","No")</f>
        <v>Yes</v>
      </c>
      <c r="H126" s="3"/>
      <c r="I126" s="3"/>
      <c r="J126" s="3"/>
      <c r="K126" s="3"/>
      <c r="L126" s="3"/>
      <c r="M126" s="3"/>
      <c r="N126" s="3"/>
      <c r="O126" s="3"/>
    </row>
    <row r="127" customFormat="false" ht="15" hidden="false" customHeight="false" outlineLevel="0" collapsed="false">
      <c r="A127" s="27" t="n">
        <v>9</v>
      </c>
      <c r="B127" s="28" t="n">
        <v>46301.4824910764</v>
      </c>
      <c r="C127" s="28" t="n">
        <v>46301.4824945949</v>
      </c>
      <c r="D127" s="32" t="n">
        <f aca="false">(B127-INDEX(Rounds!$C:$C,MATCH(A127,Rounds!$A:$A,0)))*86400</f>
        <v>54.034000192</v>
      </c>
      <c r="E127" s="3" t="str">
        <f aca="false">INDEX(Rounds!$F:$F,MATCH(A127,Rounds!$A:$A,0))</f>
        <v>After fix</v>
      </c>
      <c r="F127" s="31" t="n">
        <f aca="false">(C127-B127)*86400</f>
        <v>0.303999683</v>
      </c>
      <c r="G127" s="3" t="str">
        <f aca="false">IF(F127*1000&gt;Constants!$B$12,"Yes","No")</f>
        <v>No</v>
      </c>
      <c r="H127" s="3"/>
      <c r="I127" s="3"/>
      <c r="J127" s="3"/>
      <c r="K127" s="3"/>
      <c r="L127" s="3"/>
      <c r="M127" s="3"/>
      <c r="N127" s="3"/>
      <c r="O127" s="3"/>
    </row>
    <row r="128" customFormat="false" ht="15" hidden="false" customHeight="false" outlineLevel="0" collapsed="false">
      <c r="A128" s="27" t="n">
        <v>9</v>
      </c>
      <c r="B128" s="28" t="n">
        <v>46301.4825049306</v>
      </c>
      <c r="C128" s="28" t="n">
        <v>46301.4825168634</v>
      </c>
      <c r="D128" s="32" t="n">
        <f aca="false">(B128-INDEX(Rounds!$C:$C,MATCH(A128,Rounds!$A:$A,0)))*86400</f>
        <v>55.231000087</v>
      </c>
      <c r="E128" s="3" t="str">
        <f aca="false">INDEX(Rounds!$F:$F,MATCH(A128,Rounds!$A:$A,0))</f>
        <v>After fix</v>
      </c>
      <c r="F128" s="31" t="n">
        <f aca="false">(C128-B128)*86400</f>
        <v>1.030999864</v>
      </c>
      <c r="G128" s="3" t="str">
        <f aca="false">IF(F128*1000&gt;Constants!$B$12,"Yes","No")</f>
        <v>Yes</v>
      </c>
      <c r="H128" s="3"/>
      <c r="I128" s="3"/>
      <c r="J128" s="3"/>
      <c r="K128" s="3"/>
      <c r="L128" s="3"/>
      <c r="M128" s="3"/>
      <c r="N128" s="3"/>
      <c r="O128" s="3"/>
    </row>
    <row r="129" customFormat="false" ht="15" hidden="false" customHeight="false" outlineLevel="0" collapsed="false">
      <c r="A129" s="27" t="n">
        <v>9</v>
      </c>
      <c r="B129" s="28" t="n">
        <v>46301.4825585301</v>
      </c>
      <c r="C129" s="28" t="n">
        <v>46301.4825671065</v>
      </c>
      <c r="D129" s="32" t="n">
        <f aca="false">(B129-INDEX(Rounds!$C:$C,MATCH(A129,Rounds!$A:$A,0)))*86400</f>
        <v>59.861999913</v>
      </c>
      <c r="E129" s="3" t="str">
        <f aca="false">INDEX(Rounds!$F:$F,MATCH(A129,Rounds!$A:$A,0))</f>
        <v>After fix</v>
      </c>
      <c r="F129" s="31" t="n">
        <f aca="false">(C129-B129)*86400</f>
        <v>0.741000054</v>
      </c>
      <c r="G129" s="3" t="str">
        <f aca="false">IF(F129*1000&gt;Constants!$B$12,"Yes","No")</f>
        <v>No</v>
      </c>
      <c r="H129" s="3"/>
      <c r="I129" s="3"/>
      <c r="J129" s="3"/>
      <c r="K129" s="3"/>
      <c r="L129" s="3"/>
      <c r="M129" s="3"/>
      <c r="N129" s="3"/>
      <c r="O129" s="3"/>
    </row>
    <row r="130" customFormat="false" ht="15" hidden="false" customHeight="false" outlineLevel="0" collapsed="false">
      <c r="A130" s="27" t="n">
        <v>9</v>
      </c>
      <c r="B130" s="28" t="n">
        <v>46301.4825728819</v>
      </c>
      <c r="C130" s="28" t="n">
        <v>46301.4825767824</v>
      </c>
      <c r="D130" s="32" t="n">
        <f aca="false">(B130-INDEX(Rounds!$C:$C,MATCH(A130,Rounds!$A:$A,0)))*86400</f>
        <v>61.101999599</v>
      </c>
      <c r="E130" s="3" t="str">
        <f aca="false">INDEX(Rounds!$F:$F,MATCH(A130,Rounds!$A:$A,0))</f>
        <v>After fix</v>
      </c>
      <c r="F130" s="31" t="n">
        <f aca="false">(C130-B130)*86400</f>
        <v>0.337000284</v>
      </c>
      <c r="G130" s="3" t="str">
        <f aca="false">IF(F130*1000&gt;Constants!$B$12,"Yes","No")</f>
        <v>No</v>
      </c>
      <c r="H130" s="3"/>
      <c r="I130" s="3"/>
      <c r="J130" s="3"/>
      <c r="K130" s="3"/>
      <c r="L130" s="3"/>
      <c r="M130" s="3"/>
      <c r="N130" s="3"/>
      <c r="O130" s="3"/>
    </row>
    <row r="131" customFormat="false" ht="15" hidden="false" customHeight="false" outlineLevel="0" collapsed="false">
      <c r="A131" s="27" t="n">
        <v>9</v>
      </c>
      <c r="B131" s="28" t="n">
        <v>46301.4825877662</v>
      </c>
      <c r="C131" s="28" t="n">
        <v>46301.4825892477</v>
      </c>
      <c r="D131" s="32" t="n">
        <f aca="false">(B131-INDEX(Rounds!$C:$C,MATCH(A131,Rounds!$A:$A,0)))*86400</f>
        <v>62.387999589</v>
      </c>
      <c r="E131" s="3" t="str">
        <f aca="false">INDEX(Rounds!$F:$F,MATCH(A131,Rounds!$A:$A,0))</f>
        <v>After fix</v>
      </c>
      <c r="F131" s="31" t="n">
        <f aca="false">(C131-B131)*86400</f>
        <v>0.128000462</v>
      </c>
      <c r="G131" s="3" t="str">
        <f aca="false">IF(F131*1000&gt;Constants!$B$12,"Yes","No")</f>
        <v>No</v>
      </c>
      <c r="H131" s="3"/>
      <c r="I131" s="3"/>
      <c r="J131" s="3"/>
      <c r="K131" s="3"/>
      <c r="L131" s="3"/>
      <c r="M131" s="3"/>
      <c r="N131" s="3"/>
      <c r="O131" s="3"/>
    </row>
    <row r="132" customFormat="false" ht="15" hidden="false" customHeight="false" outlineLevel="0" collapsed="false">
      <c r="A132" s="27" t="n">
        <v>10</v>
      </c>
      <c r="B132" s="28" t="n">
        <v>46301.483119132</v>
      </c>
      <c r="C132" s="28" t="n">
        <v>46301.4831235995</v>
      </c>
      <c r="D132" s="32" t="n">
        <f aca="false">(B132-INDEX(Rounds!$C:$C,MATCH(A132,Rounds!$A:$A,0)))*86400</f>
        <v>1.654000533</v>
      </c>
      <c r="E132" s="3" t="str">
        <f aca="false">INDEX(Rounds!$F:$F,MATCH(A132,Rounds!$A:$A,0))</f>
        <v>After fix</v>
      </c>
      <c r="F132" s="31" t="n">
        <f aca="false">(C132-B132)*86400</f>
        <v>0.385999213</v>
      </c>
      <c r="G132" s="3" t="str">
        <f aca="false">IF(F132*1000&gt;Constants!$B$12,"Yes","No")</f>
        <v>No</v>
      </c>
      <c r="H132" s="3"/>
      <c r="I132" s="3"/>
      <c r="J132" s="3"/>
      <c r="K132" s="3"/>
      <c r="L132" s="3"/>
      <c r="M132" s="3"/>
      <c r="N132" s="3"/>
      <c r="O132" s="3"/>
    </row>
    <row r="133" customFormat="false" ht="15" hidden="false" customHeight="false" outlineLevel="0" collapsed="false">
      <c r="A133" s="27" t="n">
        <v>10</v>
      </c>
      <c r="B133" s="28" t="n">
        <v>46301.4831318056</v>
      </c>
      <c r="C133" s="28" t="n">
        <v>46301.4831325463</v>
      </c>
      <c r="D133" s="32" t="n">
        <f aca="false">(B133-INDEX(Rounds!$C:$C,MATCH(A133,Rounds!$A:$A,0)))*86400</f>
        <v>2.749</v>
      </c>
      <c r="E133" s="3" t="str">
        <f aca="false">INDEX(Rounds!$F:$F,MATCH(A133,Rounds!$A:$A,0))</f>
        <v>After fix</v>
      </c>
      <c r="F133" s="31" t="n">
        <f aca="false">(C133-B133)*86400</f>
        <v>0.063998973</v>
      </c>
      <c r="G133" s="3" t="str">
        <f aca="false">IF(F133*1000&gt;Constants!$B$12,"Yes","No")</f>
        <v>No</v>
      </c>
      <c r="H133" s="3"/>
      <c r="I133" s="3"/>
      <c r="J133" s="3"/>
      <c r="K133" s="3"/>
      <c r="L133" s="3"/>
      <c r="M133" s="3"/>
      <c r="N133" s="3"/>
      <c r="O133" s="3"/>
    </row>
    <row r="134" customFormat="false" ht="15" hidden="false" customHeight="false" outlineLevel="0" collapsed="false">
      <c r="A134" s="27" t="n">
        <v>10</v>
      </c>
      <c r="B134" s="28" t="n">
        <v>46301.4831532523</v>
      </c>
      <c r="C134" s="28" t="n">
        <v>46301.4831666667</v>
      </c>
      <c r="D134" s="32" t="n">
        <f aca="false">(B134-INDEX(Rounds!$C:$C,MATCH(A134,Rounds!$A:$A,0)))*86400</f>
        <v>4.601999907</v>
      </c>
      <c r="E134" s="3" t="str">
        <f aca="false">INDEX(Rounds!$F:$F,MATCH(A134,Rounds!$A:$A,0))</f>
        <v>After fix</v>
      </c>
      <c r="F134" s="31" t="n">
        <f aca="false">(C134-B134)*86400</f>
        <v>1.159000326</v>
      </c>
      <c r="G134" s="3" t="str">
        <f aca="false">IF(F134*1000&gt;Constants!$B$12,"Yes","No")</f>
        <v>Yes</v>
      </c>
      <c r="H134" s="3"/>
      <c r="I134" s="3"/>
      <c r="J134" s="3"/>
      <c r="K134" s="3"/>
      <c r="L134" s="3"/>
      <c r="M134" s="3"/>
      <c r="N134" s="3"/>
      <c r="O134" s="3"/>
    </row>
    <row r="135" customFormat="false" ht="15" hidden="false" customHeight="false" outlineLevel="0" collapsed="false">
      <c r="A135" s="27" t="n">
        <v>10</v>
      </c>
      <c r="B135" s="28" t="n">
        <v>46301.4831885648</v>
      </c>
      <c r="C135" s="28" t="n">
        <v>46301.4832016204</v>
      </c>
      <c r="D135" s="32" t="n">
        <f aca="false">(B135-INDEX(Rounds!$C:$C,MATCH(A135,Rounds!$A:$A,0)))*86400</f>
        <v>7.652999879</v>
      </c>
      <c r="E135" s="3" t="str">
        <f aca="false">INDEX(Rounds!$F:$F,MATCH(A135,Rounds!$A:$A,0))</f>
        <v>After fix</v>
      </c>
      <c r="F135" s="31" t="n">
        <f aca="false">(C135-B135)*86400</f>
        <v>1.128000067</v>
      </c>
      <c r="G135" s="3" t="str">
        <f aca="false">IF(F135*1000&gt;Constants!$B$12,"Yes","No")</f>
        <v>Yes</v>
      </c>
      <c r="H135" s="3"/>
      <c r="I135" s="3"/>
      <c r="J135" s="3"/>
      <c r="K135" s="3"/>
      <c r="L135" s="3"/>
      <c r="M135" s="3"/>
      <c r="N135" s="3"/>
      <c r="O135" s="3"/>
    </row>
    <row r="136" customFormat="false" ht="15" hidden="false" customHeight="false" outlineLevel="0" collapsed="false">
      <c r="A136" s="27" t="n">
        <v>10</v>
      </c>
      <c r="B136" s="28" t="n">
        <v>46301.4832115278</v>
      </c>
      <c r="C136" s="28" t="n">
        <v>46301.4832238426</v>
      </c>
      <c r="D136" s="32" t="n">
        <f aca="false">(B136-INDEX(Rounds!$C:$C,MATCH(A136,Rounds!$A:$A,0)))*86400</f>
        <v>9.636998875</v>
      </c>
      <c r="E136" s="3" t="str">
        <f aca="false">INDEX(Rounds!$F:$F,MATCH(A136,Rounds!$A:$A,0))</f>
        <v>After fix</v>
      </c>
      <c r="F136" s="31" t="n">
        <f aca="false">(C136-B136)*86400</f>
        <v>1.064001722</v>
      </c>
      <c r="G136" s="3" t="str">
        <f aca="false">IF(F136*1000&gt;Constants!$B$12,"Yes","No")</f>
        <v>Yes</v>
      </c>
      <c r="H136" s="3"/>
      <c r="I136" s="3"/>
      <c r="J136" s="3"/>
      <c r="K136" s="3"/>
      <c r="L136" s="3"/>
      <c r="M136" s="3"/>
      <c r="N136" s="3"/>
      <c r="O136" s="3"/>
    </row>
    <row r="137" customFormat="false" ht="15" hidden="false" customHeight="false" outlineLevel="0" collapsed="false">
      <c r="A137" s="27" t="n">
        <v>10</v>
      </c>
      <c r="B137" s="28" t="n">
        <v>46301.4832974421</v>
      </c>
      <c r="C137" s="28" t="n">
        <v>46301.4832985532</v>
      </c>
      <c r="D137" s="32" t="n">
        <f aca="false">(B137-INDEX(Rounds!$C:$C,MATCH(A137,Rounds!$A:$A,0)))*86400</f>
        <v>17.05999975</v>
      </c>
      <c r="E137" s="3" t="str">
        <f aca="false">INDEX(Rounds!$F:$F,MATCH(A137,Rounds!$A:$A,0))</f>
        <v>After fix</v>
      </c>
      <c r="F137" s="31" t="n">
        <f aca="false">(C137-B137)*86400</f>
        <v>0.096000032</v>
      </c>
      <c r="G137" s="3" t="str">
        <f aca="false">IF(F137*1000&gt;Constants!$B$12,"Yes","No")</f>
        <v>No</v>
      </c>
      <c r="H137" s="3"/>
      <c r="I137" s="3"/>
      <c r="J137" s="3"/>
      <c r="K137" s="3"/>
      <c r="L137" s="3"/>
      <c r="M137" s="3"/>
      <c r="N137" s="3"/>
      <c r="O137" s="3"/>
    </row>
    <row r="138" customFormat="false" ht="15" hidden="false" customHeight="false" outlineLevel="0" collapsed="false">
      <c r="A138" s="27" t="n">
        <v>10</v>
      </c>
      <c r="B138" s="28" t="n">
        <v>46301.4833164699</v>
      </c>
      <c r="C138" s="28" t="n">
        <v>46301.4833252778</v>
      </c>
      <c r="D138" s="32" t="n">
        <f aca="false">(B138-INDEX(Rounds!$C:$C,MATCH(A138,Rounds!$A:$A,0)))*86400</f>
        <v>18.703999835</v>
      </c>
      <c r="E138" s="3" t="str">
        <f aca="false">INDEX(Rounds!$F:$F,MATCH(A138,Rounds!$A:$A,0))</f>
        <v>After fix</v>
      </c>
      <c r="F138" s="31" t="n">
        <f aca="false">(C138-B138)*86400</f>
        <v>0.761000323</v>
      </c>
      <c r="G138" s="3" t="str">
        <f aca="false">IF(F138*1000&gt;Constants!$B$12,"Yes","No")</f>
        <v>No</v>
      </c>
      <c r="H138" s="3"/>
      <c r="I138" s="3"/>
      <c r="J138" s="3"/>
      <c r="K138" s="3"/>
      <c r="L138" s="3"/>
      <c r="M138" s="3"/>
      <c r="N138" s="3"/>
      <c r="O138" s="3"/>
    </row>
    <row r="139" customFormat="false" ht="15" hidden="false" customHeight="false" outlineLevel="0" collapsed="false">
      <c r="A139" s="27" t="n">
        <v>10</v>
      </c>
      <c r="B139" s="28" t="n">
        <v>46301.4833560995</v>
      </c>
      <c r="C139" s="28" t="n">
        <v>46301.4833627894</v>
      </c>
      <c r="D139" s="32" t="n">
        <f aca="false">(B139-INDEX(Rounds!$C:$C,MATCH(A139,Rounds!$A:$A,0)))*86400</f>
        <v>22.127999947</v>
      </c>
      <c r="E139" s="3" t="str">
        <f aca="false">INDEX(Rounds!$F:$F,MATCH(A139,Rounds!$A:$A,0))</f>
        <v>After fix</v>
      </c>
      <c r="F139" s="31" t="n">
        <f aca="false">(C139-B139)*86400</f>
        <v>0.577999907</v>
      </c>
      <c r="G139" s="3" t="str">
        <f aca="false">IF(F139*1000&gt;Constants!$B$12,"Yes","No")</f>
        <v>No</v>
      </c>
      <c r="H139" s="3"/>
      <c r="I139" s="3"/>
      <c r="J139" s="3"/>
      <c r="K139" s="3"/>
      <c r="L139" s="3"/>
      <c r="M139" s="3"/>
      <c r="N139" s="3"/>
      <c r="O139" s="3"/>
    </row>
    <row r="140" customFormat="false" ht="15" hidden="false" customHeight="false" outlineLevel="0" collapsed="false">
      <c r="A140" s="27" t="n">
        <v>10</v>
      </c>
      <c r="B140" s="28" t="n">
        <v>46301.4833680671</v>
      </c>
      <c r="C140" s="28" t="n">
        <v>46301.4833886458</v>
      </c>
      <c r="D140" s="32" t="n">
        <f aca="false">(B140-INDEX(Rounds!$C:$C,MATCH(A140,Rounds!$A:$A,0)))*86400</f>
        <v>23.161999695</v>
      </c>
      <c r="E140" s="3" t="str">
        <f aca="false">INDEX(Rounds!$F:$F,MATCH(A140,Rounds!$A:$A,0))</f>
        <v>After fix</v>
      </c>
      <c r="F140" s="31" t="n">
        <f aca="false">(C140-B140)*86400</f>
        <v>1.778000313</v>
      </c>
      <c r="G140" s="3" t="str">
        <f aca="false">IF(F140*1000&gt;Constants!$B$12,"Yes","No")</f>
        <v>Yes</v>
      </c>
      <c r="H140" s="3"/>
      <c r="I140" s="3"/>
      <c r="J140" s="3"/>
      <c r="K140" s="3"/>
      <c r="L140" s="3"/>
      <c r="M140" s="3"/>
      <c r="N140" s="3"/>
      <c r="O140" s="3"/>
    </row>
    <row r="141" customFormat="false" ht="15" hidden="false" customHeight="false" outlineLevel="0" collapsed="false">
      <c r="A141" s="27" t="n">
        <v>10</v>
      </c>
      <c r="B141" s="28" t="n">
        <v>46301.4834177662</v>
      </c>
      <c r="C141" s="28" t="n">
        <v>46301.4834323727</v>
      </c>
      <c r="D141" s="32" t="n">
        <f aca="false">(B141-INDEX(Rounds!$C:$C,MATCH(A141,Rounds!$A:$A,0)))*86400</f>
        <v>27.456000493</v>
      </c>
      <c r="E141" s="3" t="str">
        <f aca="false">INDEX(Rounds!$F:$F,MATCH(A141,Rounds!$A:$A,0))</f>
        <v>After fix</v>
      </c>
      <c r="F141" s="31" t="n">
        <f aca="false">(C141-B141)*86400</f>
        <v>1.261999038</v>
      </c>
      <c r="G141" s="3" t="str">
        <f aca="false">IF(F141*1000&gt;Constants!$B$12,"Yes","No")</f>
        <v>Yes</v>
      </c>
      <c r="H141" s="3"/>
      <c r="I141" s="3"/>
      <c r="J141" s="3"/>
      <c r="K141" s="3"/>
      <c r="L141" s="3"/>
      <c r="M141" s="3"/>
      <c r="N141" s="3"/>
      <c r="O141" s="3"/>
    </row>
    <row r="142" customFormat="false" ht="15" hidden="false" customHeight="false" outlineLevel="0" collapsed="false">
      <c r="A142" s="27" t="n">
        <v>10</v>
      </c>
      <c r="B142" s="28" t="n">
        <v>46301.4834881713</v>
      </c>
      <c r="C142" s="28" t="n">
        <v>46301.4835001273</v>
      </c>
      <c r="D142" s="32" t="n">
        <f aca="false">(B142-INDEX(Rounds!$C:$C,MATCH(A142,Rounds!$A:$A,0)))*86400</f>
        <v>33.539000339</v>
      </c>
      <c r="E142" s="3" t="str">
        <f aca="false">INDEX(Rounds!$F:$F,MATCH(A142,Rounds!$A:$A,0))</f>
        <v>After fix</v>
      </c>
      <c r="F142" s="31" t="n">
        <f aca="false">(C142-B142)*86400</f>
        <v>1.032999577</v>
      </c>
      <c r="G142" s="3" t="str">
        <f aca="false">IF(F142*1000&gt;Constants!$B$12,"Yes","No")</f>
        <v>Yes</v>
      </c>
      <c r="H142" s="3"/>
      <c r="I142" s="3"/>
      <c r="J142" s="3"/>
      <c r="K142" s="3"/>
      <c r="L142" s="3"/>
      <c r="M142" s="3"/>
      <c r="N142" s="3"/>
      <c r="O142" s="3"/>
    </row>
    <row r="143" customFormat="false" ht="15" hidden="false" customHeight="false" outlineLevel="0" collapsed="false">
      <c r="A143" s="27" t="n">
        <v>10</v>
      </c>
      <c r="B143" s="28" t="n">
        <v>46301.4835383796</v>
      </c>
      <c r="C143" s="28" t="n">
        <v>46301.4835453241</v>
      </c>
      <c r="D143" s="32" t="n">
        <f aca="false">(B143-INDEX(Rounds!$C:$C,MATCH(A143,Rounds!$A:$A,0)))*86400</f>
        <v>37.876999843</v>
      </c>
      <c r="E143" s="3" t="str">
        <f aca="false">INDEX(Rounds!$F:$F,MATCH(A143,Rounds!$A:$A,0))</f>
        <v>After fix</v>
      </c>
      <c r="F143" s="31" t="n">
        <f aca="false">(C143-B143)*86400</f>
        <v>0.59999926</v>
      </c>
      <c r="G143" s="3" t="str">
        <f aca="false">IF(F143*1000&gt;Constants!$B$12,"Yes","No")</f>
        <v>No</v>
      </c>
      <c r="H143" s="3"/>
      <c r="I143" s="3"/>
      <c r="J143" s="3"/>
      <c r="K143" s="3"/>
      <c r="L143" s="3"/>
      <c r="M143" s="3"/>
      <c r="N143" s="3"/>
      <c r="O143" s="3"/>
    </row>
    <row r="144" customFormat="false" ht="15" hidden="false" customHeight="false" outlineLevel="0" collapsed="false">
      <c r="A144" s="27" t="n">
        <v>10</v>
      </c>
      <c r="B144" s="28" t="n">
        <v>46301.4836273032</v>
      </c>
      <c r="C144" s="28" t="n">
        <v>46301.4836479745</v>
      </c>
      <c r="D144" s="32" t="n">
        <f aca="false">(B144-INDEX(Rounds!$C:$C,MATCH(A144,Rounds!$A:$A,0)))*86400</f>
        <v>45.559999812</v>
      </c>
      <c r="E144" s="3" t="str">
        <f aca="false">INDEX(Rounds!$F:$F,MATCH(A144,Rounds!$A:$A,0))</f>
        <v>After fix</v>
      </c>
      <c r="F144" s="31" t="n">
        <f aca="false">(C144-B144)*86400</f>
        <v>1.786000421</v>
      </c>
      <c r="G144" s="3" t="str">
        <f aca="false">IF(F144*1000&gt;Constants!$B$12,"Yes","No")</f>
        <v>Yes</v>
      </c>
      <c r="H144" s="3"/>
      <c r="I144" s="3"/>
      <c r="J144" s="3"/>
      <c r="K144" s="3"/>
      <c r="L144" s="3"/>
      <c r="M144" s="3"/>
      <c r="N144" s="3"/>
      <c r="O144" s="3"/>
    </row>
    <row r="145" customFormat="false" ht="15" hidden="false" customHeight="false" outlineLevel="0" collapsed="false">
      <c r="A145" s="27" t="n">
        <v>10</v>
      </c>
      <c r="B145" s="28" t="n">
        <v>46301.4836684607</v>
      </c>
      <c r="C145" s="28" t="n">
        <v>46301.4836818866</v>
      </c>
      <c r="D145" s="32" t="n">
        <f aca="false">(B145-INDEX(Rounds!$C:$C,MATCH(A145,Rounds!$A:$A,0)))*86400</f>
        <v>49.115999811</v>
      </c>
      <c r="E145" s="3" t="str">
        <f aca="false">INDEX(Rounds!$F:$F,MATCH(A145,Rounds!$A:$A,0))</f>
        <v>After fix</v>
      </c>
      <c r="F145" s="31" t="n">
        <f aca="false">(C145-B145)*86400</f>
        <v>1.159999868</v>
      </c>
      <c r="G145" s="3" t="str">
        <f aca="false">IF(F145*1000&gt;Constants!$B$12,"Yes","No")</f>
        <v>Yes</v>
      </c>
      <c r="H145" s="3"/>
      <c r="I145" s="3"/>
      <c r="J145" s="3"/>
      <c r="K145" s="3"/>
      <c r="L145" s="3"/>
      <c r="M145" s="3"/>
      <c r="N145" s="3"/>
      <c r="O145" s="3"/>
    </row>
    <row r="146" customFormat="false" ht="15" hidden="false" customHeight="false" outlineLevel="0" collapsed="false">
      <c r="A146" s="27" t="n">
        <v>10</v>
      </c>
      <c r="B146" s="28" t="n">
        <v>46301.4836874884</v>
      </c>
      <c r="C146" s="28" t="n">
        <v>46301.4836945833</v>
      </c>
      <c r="D146" s="32" t="n">
        <f aca="false">(B146-INDEX(Rounds!$C:$C,MATCH(A146,Rounds!$A:$A,0)))*86400</f>
        <v>50.759999896</v>
      </c>
      <c r="E146" s="3" t="str">
        <f aca="false">INDEX(Rounds!$F:$F,MATCH(A146,Rounds!$A:$A,0))</f>
        <v>After fix</v>
      </c>
      <c r="F146" s="31" t="n">
        <f aca="false">(C146-B146)*86400</f>
        <v>0.612999591</v>
      </c>
      <c r="G146" s="3" t="str">
        <f aca="false">IF(F146*1000&gt;Constants!$B$12,"Yes","No")</f>
        <v>No</v>
      </c>
      <c r="H146" s="3"/>
      <c r="I146" s="3"/>
      <c r="J146" s="3"/>
      <c r="K146" s="3"/>
      <c r="L146" s="3"/>
      <c r="M146" s="3"/>
      <c r="N146" s="3"/>
      <c r="O146" s="3"/>
    </row>
    <row r="147" customFormat="false" ht="15" hidden="false" customHeight="false" outlineLevel="0" collapsed="false">
      <c r="A147" s="27" t="n">
        <v>10</v>
      </c>
      <c r="B147" s="28" t="n">
        <v>46301.4837013194</v>
      </c>
      <c r="C147" s="28" t="n">
        <v>46301.4837022454</v>
      </c>
      <c r="D147" s="32" t="n">
        <f aca="false">(B147-INDEX(Rounds!$C:$C,MATCH(A147,Rounds!$A:$A,0)))*86400</f>
        <v>51.954999449</v>
      </c>
      <c r="E147" s="3" t="str">
        <f aca="false">INDEX(Rounds!$F:$F,MATCH(A147,Rounds!$A:$A,0))</f>
        <v>After fix</v>
      </c>
      <c r="F147" s="31" t="n">
        <f aca="false">(C147-B147)*86400</f>
        <v>0.080000446</v>
      </c>
      <c r="G147" s="3" t="str">
        <f aca="false">IF(F147*1000&gt;Constants!$B$12,"Yes","No")</f>
        <v>No</v>
      </c>
      <c r="H147" s="3"/>
      <c r="I147" s="3"/>
      <c r="J147" s="3"/>
      <c r="K147" s="3"/>
      <c r="L147" s="3"/>
      <c r="M147" s="3"/>
      <c r="N147" s="3"/>
      <c r="O147" s="3"/>
    </row>
    <row r="148" customFormat="false" ht="15" hidden="false" customHeight="false" outlineLevel="0" collapsed="false">
      <c r="A148" s="27" t="n">
        <v>10</v>
      </c>
      <c r="B148" s="28" t="n">
        <v>46301.4837260995</v>
      </c>
      <c r="C148" s="28" t="n">
        <v>46301.4837369792</v>
      </c>
      <c r="D148" s="32" t="n">
        <f aca="false">(B148-INDEX(Rounds!$C:$C,MATCH(A148,Rounds!$A:$A,0)))*86400</f>
        <v>54.095998825</v>
      </c>
      <c r="E148" s="3" t="str">
        <f aca="false">INDEX(Rounds!$F:$F,MATCH(A148,Rounds!$A:$A,0))</f>
        <v>After fix</v>
      </c>
      <c r="F148" s="31" t="n">
        <f aca="false">(C148-B148)*86400</f>
        <v>0.940000056</v>
      </c>
      <c r="G148" s="3" t="str">
        <f aca="false">IF(F148*1000&gt;Constants!$B$12,"Yes","No")</f>
        <v>No</v>
      </c>
      <c r="H148" s="3"/>
      <c r="I148" s="3"/>
      <c r="J148" s="3"/>
      <c r="K148" s="3"/>
      <c r="L148" s="3"/>
      <c r="M148" s="3"/>
      <c r="N148" s="3"/>
      <c r="O148" s="3"/>
    </row>
    <row r="149" customFormat="false" ht="15" hidden="false" customHeight="false" outlineLevel="0" collapsed="false">
      <c r="A149" s="27" t="n">
        <v>10</v>
      </c>
      <c r="B149" s="28" t="n">
        <v>46301.4837829167</v>
      </c>
      <c r="C149" s="28" t="n">
        <v>46301.4838110417</v>
      </c>
      <c r="D149" s="32" t="n">
        <f aca="false">(B149-INDEX(Rounds!$C:$C,MATCH(A149,Rounds!$A:$A,0)))*86400</f>
        <v>59.004998928</v>
      </c>
      <c r="E149" s="3" t="str">
        <f aca="false">INDEX(Rounds!$F:$F,MATCH(A149,Rounds!$A:$A,0))</f>
        <v>After fix</v>
      </c>
      <c r="F149" s="31" t="n">
        <f aca="false">(C149-B149)*86400</f>
        <v>2.430000901</v>
      </c>
      <c r="G149" s="3" t="str">
        <f aca="false">IF(F149*1000&gt;Constants!$B$12,"Yes","No")</f>
        <v>Yes</v>
      </c>
      <c r="H149" s="3"/>
      <c r="I149" s="3"/>
      <c r="J149" s="3"/>
      <c r="K149" s="3"/>
      <c r="L149" s="3"/>
      <c r="M149" s="3"/>
      <c r="N149" s="3"/>
      <c r="O149" s="3"/>
    </row>
    <row r="150" customFormat="false" ht="15" hidden="false" customHeight="false" outlineLevel="0" collapsed="false">
      <c r="A150" s="27" t="n">
        <v>10</v>
      </c>
      <c r="B150" s="28" t="n">
        <v>46301.4838394445</v>
      </c>
      <c r="C150" s="28" t="n">
        <v>46301.4838407639</v>
      </c>
      <c r="D150" s="32" t="n">
        <f aca="false">(B150-INDEX(Rounds!$C:$C,MATCH(A150,Rounds!$A:$A,0)))*86400</f>
        <v>63.889000425</v>
      </c>
      <c r="E150" s="3" t="str">
        <f aca="false">INDEX(Rounds!$F:$F,MATCH(A150,Rounds!$A:$A,0))</f>
        <v>After fix</v>
      </c>
      <c r="F150" s="31" t="n">
        <f aca="false">(C150-B150)*86400</f>
        <v>0.113999331</v>
      </c>
      <c r="G150" s="3" t="str">
        <f aca="false">IF(F150*1000&gt;Constants!$B$12,"Yes","No")</f>
        <v>No</v>
      </c>
      <c r="H150" s="3"/>
      <c r="I150" s="3"/>
      <c r="J150" s="3"/>
      <c r="K150" s="3"/>
      <c r="L150" s="3"/>
      <c r="M150" s="3"/>
      <c r="N150" s="3"/>
      <c r="O150" s="3"/>
    </row>
    <row r="151" customFormat="false" ht="15" hidden="false" customHeight="false" outlineLevel="0" collapsed="false">
      <c r="A151" s="27" t="n">
        <v>10</v>
      </c>
      <c r="B151" s="28" t="n">
        <v>46301.4838463657</v>
      </c>
      <c r="C151" s="28" t="n">
        <v>46301.4838486111</v>
      </c>
      <c r="D151" s="32" t="n">
        <f aca="false">(B151-INDEX(Rounds!$C:$C,MATCH(A151,Rounds!$A:$A,0)))*86400</f>
        <v>64.486999972</v>
      </c>
      <c r="E151" s="3" t="str">
        <f aca="false">INDEX(Rounds!$F:$F,MATCH(A151,Rounds!$A:$A,0))</f>
        <v>After fix</v>
      </c>
      <c r="F151" s="31" t="n">
        <f aca="false">(C151-B151)*86400</f>
        <v>0.193999777</v>
      </c>
      <c r="G151" s="3" t="str">
        <f aca="false">IF(F151*1000&gt;Constants!$B$12,"Yes","No")</f>
        <v>No</v>
      </c>
      <c r="H151" s="3"/>
      <c r="I151" s="3"/>
      <c r="J151" s="3"/>
      <c r="K151" s="3"/>
      <c r="L151" s="3"/>
      <c r="M151" s="3"/>
      <c r="N151" s="3"/>
      <c r="O151" s="3"/>
    </row>
    <row r="152" customFormat="false" ht="15" hidden="false" customHeight="false" outlineLevel="0" collapsed="false">
      <c r="A152" s="27" t="n">
        <v>10</v>
      </c>
      <c r="B152" s="28" t="n">
        <v>46301.4838635185</v>
      </c>
      <c r="C152" s="28" t="n">
        <v>46301.4838637037</v>
      </c>
      <c r="D152" s="32" t="n">
        <f aca="false">(B152-INDEX(Rounds!$C:$C,MATCH(A152,Rounds!$A:$A,0)))*86400</f>
        <v>65.969000081</v>
      </c>
      <c r="E152" s="3" t="str">
        <f aca="false">INDEX(Rounds!$F:$F,MATCH(A152,Rounds!$A:$A,0))</f>
        <v>After fix</v>
      </c>
      <c r="F152" s="31" t="n">
        <f aca="false">(C152-B152)*86400</f>
        <v>0.015999586</v>
      </c>
      <c r="G152" s="3" t="str">
        <f aca="false">IF(F152*1000&gt;Constants!$B$12,"Yes","No")</f>
        <v>No</v>
      </c>
      <c r="H152" s="3"/>
      <c r="I152" s="3"/>
      <c r="J152" s="3"/>
      <c r="K152" s="3"/>
      <c r="L152" s="3"/>
      <c r="M152" s="3"/>
      <c r="N152" s="3"/>
      <c r="O152" s="3"/>
    </row>
    <row r="153" customFormat="false" ht="15" hidden="false" customHeight="false" outlineLevel="0" collapsed="false">
      <c r="A153" s="27" t="n">
        <v>11</v>
      </c>
      <c r="B153" s="28" t="n">
        <v>46301.4851519444</v>
      </c>
      <c r="C153" s="28" t="n">
        <v>46301.4851526968</v>
      </c>
      <c r="D153" s="32" t="n">
        <f aca="false">(B153-INDEX(Rounds!$C:$C,MATCH(A153,Rounds!$A:$A,0)))*86400</f>
        <v>2.290999819</v>
      </c>
      <c r="E153" s="3" t="str">
        <f aca="false">INDEX(Rounds!$F:$F,MATCH(A153,Rounds!$A:$A,0))</f>
        <v>After fix</v>
      </c>
      <c r="F153" s="31" t="n">
        <f aca="false">(C153-B153)*86400</f>
        <v>0.065000401</v>
      </c>
      <c r="G153" s="3" t="str">
        <f aca="false">IF(F153*1000&gt;Constants!$B$12,"Yes","No")</f>
        <v>No</v>
      </c>
      <c r="H153" s="3"/>
      <c r="I153" s="3"/>
      <c r="J153" s="3"/>
      <c r="K153" s="3"/>
      <c r="L153" s="3"/>
      <c r="M153" s="3"/>
      <c r="N153" s="3"/>
      <c r="O153" s="3"/>
    </row>
    <row r="154" customFormat="false" ht="15" hidden="false" customHeight="false" outlineLevel="0" collapsed="false">
      <c r="A154" s="27" t="n">
        <v>11</v>
      </c>
      <c r="B154" s="28" t="n">
        <v>46301.4851583218</v>
      </c>
      <c r="C154" s="28" t="n">
        <v>46301.4851586921</v>
      </c>
      <c r="D154" s="32" t="n">
        <f aca="false">(B154-INDEX(Rounds!$C:$C,MATCH(A154,Rounds!$A:$A,0)))*86400</f>
        <v>2.84200015</v>
      </c>
      <c r="E154" s="3" t="str">
        <f aca="false">INDEX(Rounds!$F:$F,MATCH(A154,Rounds!$A:$A,0))</f>
        <v>After fix</v>
      </c>
      <c r="F154" s="31" t="n">
        <f aca="false">(C154-B154)*86400</f>
        <v>0.031999801</v>
      </c>
      <c r="G154" s="3" t="str">
        <f aca="false">IF(F154*1000&gt;Constants!$B$12,"Yes","No")</f>
        <v>No</v>
      </c>
      <c r="H154" s="3"/>
      <c r="I154" s="3"/>
      <c r="J154" s="3"/>
      <c r="K154" s="3"/>
      <c r="L154" s="3"/>
      <c r="M154" s="3"/>
      <c r="N154" s="3"/>
      <c r="O154" s="3"/>
    </row>
    <row r="155" customFormat="false" ht="15" hidden="false" customHeight="false" outlineLevel="0" collapsed="false">
      <c r="A155" s="27" t="n">
        <v>11</v>
      </c>
      <c r="B155" s="28" t="n">
        <v>46301.4851691435</v>
      </c>
      <c r="C155" s="28" t="n">
        <v>46301.4851696991</v>
      </c>
      <c r="D155" s="32" t="n">
        <f aca="false">(B155-INDEX(Rounds!$C:$C,MATCH(A155,Rounds!$A:$A,0)))*86400</f>
        <v>3.776999982</v>
      </c>
      <c r="E155" s="3" t="str">
        <f aca="false">INDEX(Rounds!$F:$F,MATCH(A155,Rounds!$A:$A,0))</f>
        <v>After fix</v>
      </c>
      <c r="F155" s="31" t="n">
        <f aca="false">(C155-B155)*86400</f>
        <v>0.048000016</v>
      </c>
      <c r="G155" s="3" t="str">
        <f aca="false">IF(F155*1000&gt;Constants!$B$12,"Yes","No")</f>
        <v>No</v>
      </c>
      <c r="H155" s="3"/>
      <c r="I155" s="3"/>
      <c r="J155" s="3"/>
      <c r="K155" s="3"/>
      <c r="L155" s="3"/>
      <c r="M155" s="3"/>
      <c r="N155" s="3"/>
      <c r="O155" s="3"/>
    </row>
    <row r="156" customFormat="false" ht="15" hidden="false" customHeight="false" outlineLevel="0" collapsed="false">
      <c r="A156" s="27" t="n">
        <v>11</v>
      </c>
      <c r="B156" s="28" t="n">
        <v>46301.4851885532</v>
      </c>
      <c r="C156" s="28" t="n">
        <v>46301.4851932407</v>
      </c>
      <c r="D156" s="32" t="n">
        <f aca="false">(B156-INDEX(Rounds!$C:$C,MATCH(A156,Rounds!$A:$A,0)))*86400</f>
        <v>5.454000039</v>
      </c>
      <c r="E156" s="3" t="str">
        <f aca="false">INDEX(Rounds!$F:$F,MATCH(A156,Rounds!$A:$A,0))</f>
        <v>After fix</v>
      </c>
      <c r="F156" s="31" t="n">
        <f aca="false">(C156-B156)*86400</f>
        <v>0.40499994</v>
      </c>
      <c r="G156" s="3" t="str">
        <f aca="false">IF(F156*1000&gt;Constants!$B$12,"Yes","No")</f>
        <v>No</v>
      </c>
      <c r="H156" s="3"/>
      <c r="I156" s="3"/>
      <c r="J156" s="3"/>
      <c r="K156" s="3"/>
      <c r="L156" s="3"/>
      <c r="M156" s="3"/>
      <c r="N156" s="3"/>
      <c r="O156" s="3"/>
    </row>
    <row r="157" customFormat="false" ht="15" hidden="false" customHeight="false" outlineLevel="0" collapsed="false">
      <c r="A157" s="27" t="n">
        <v>11</v>
      </c>
      <c r="B157" s="28" t="n">
        <v>46301.4852223264</v>
      </c>
      <c r="C157" s="28" t="n">
        <v>46301.4852229167</v>
      </c>
      <c r="D157" s="32" t="n">
        <f aca="false">(B157-INDEX(Rounds!$C:$C,MATCH(A157,Rounds!$A:$A,0)))*86400</f>
        <v>8.371999952</v>
      </c>
      <c r="E157" s="3" t="str">
        <f aca="false">INDEX(Rounds!$F:$F,MATCH(A157,Rounds!$A:$A,0))</f>
        <v>After fix</v>
      </c>
      <c r="F157" s="31" t="n">
        <f aca="false">(C157-B157)*86400</f>
        <v>0.05099927</v>
      </c>
      <c r="G157" s="3" t="str">
        <f aca="false">IF(F157*1000&gt;Constants!$B$12,"Yes","No")</f>
        <v>No</v>
      </c>
      <c r="H157" s="3"/>
      <c r="I157" s="3"/>
      <c r="J157" s="3"/>
      <c r="K157" s="3"/>
      <c r="L157" s="3"/>
      <c r="M157" s="3"/>
      <c r="N157" s="3"/>
      <c r="O157" s="3"/>
    </row>
    <row r="158" customFormat="false" ht="15" hidden="false" customHeight="false" outlineLevel="0" collapsed="false">
      <c r="A158" s="27" t="n">
        <v>11</v>
      </c>
      <c r="B158" s="28" t="n">
        <v>46301.4852322338</v>
      </c>
      <c r="C158" s="28" t="n">
        <v>46301.4852333449</v>
      </c>
      <c r="D158" s="32" t="n">
        <f aca="false">(B158-INDEX(Rounds!$C:$C,MATCH(A158,Rounds!$A:$A,0)))*86400</f>
        <v>9.228000137</v>
      </c>
      <c r="E158" s="3" t="str">
        <f aca="false">INDEX(Rounds!$F:$F,MATCH(A158,Rounds!$A:$A,0))</f>
        <v>After fix</v>
      </c>
      <c r="F158" s="31" t="n">
        <f aca="false">(C158-B158)*86400</f>
        <v>0.096000032</v>
      </c>
      <c r="G158" s="3" t="str">
        <f aca="false">IF(F158*1000&gt;Constants!$B$12,"Yes","No")</f>
        <v>No</v>
      </c>
      <c r="H158" s="3"/>
      <c r="I158" s="3"/>
      <c r="J158" s="3"/>
      <c r="K158" s="3"/>
      <c r="L158" s="3"/>
      <c r="M158" s="3"/>
      <c r="N158" s="3"/>
      <c r="O158" s="3"/>
    </row>
    <row r="159" customFormat="false" ht="15" hidden="false" customHeight="false" outlineLevel="0" collapsed="false">
      <c r="A159" s="27" t="n">
        <v>11</v>
      </c>
      <c r="B159" s="28" t="n">
        <v>46301.4852434375</v>
      </c>
      <c r="C159" s="28" t="n">
        <v>46301.4852451389</v>
      </c>
      <c r="D159" s="32" t="n">
        <f aca="false">(B159-INDEX(Rounds!$C:$C,MATCH(A159,Rounds!$A:$A,0)))*86400</f>
        <v>10.195999941</v>
      </c>
      <c r="E159" s="3" t="str">
        <f aca="false">INDEX(Rounds!$F:$F,MATCH(A159,Rounds!$A:$A,0))</f>
        <v>After fix</v>
      </c>
      <c r="F159" s="31" t="n">
        <f aca="false">(C159-B159)*86400</f>
        <v>0.146999931</v>
      </c>
      <c r="G159" s="3" t="str">
        <f aca="false">IF(F159*1000&gt;Constants!$B$12,"Yes","No")</f>
        <v>No</v>
      </c>
      <c r="H159" s="3"/>
      <c r="I159" s="3"/>
      <c r="J159" s="3"/>
      <c r="K159" s="3"/>
      <c r="L159" s="3"/>
      <c r="M159" s="3"/>
      <c r="N159" s="3"/>
      <c r="O159" s="3"/>
    </row>
    <row r="160" customFormat="false" ht="15" hidden="false" customHeight="false" outlineLevel="0" collapsed="false">
      <c r="A160" s="27" t="n">
        <v>11</v>
      </c>
      <c r="B160" s="28" t="n">
        <v>46301.4852629051</v>
      </c>
      <c r="C160" s="28" t="n">
        <v>46301.4852649537</v>
      </c>
      <c r="D160" s="32" t="n">
        <f aca="false">(B160-INDEX(Rounds!$C:$C,MATCH(A160,Rounds!$A:$A,0)))*86400</f>
        <v>11.877999594</v>
      </c>
      <c r="E160" s="3" t="str">
        <f aca="false">INDEX(Rounds!$F:$F,MATCH(A160,Rounds!$A:$A,0))</f>
        <v>After fix</v>
      </c>
      <c r="F160" s="31" t="n">
        <f aca="false">(C160-B160)*86400</f>
        <v>0.177001277</v>
      </c>
      <c r="G160" s="3" t="str">
        <f aca="false">IF(F160*1000&gt;Constants!$B$12,"Yes","No")</f>
        <v>No</v>
      </c>
      <c r="H160" s="3"/>
      <c r="I160" s="3"/>
      <c r="J160" s="3"/>
      <c r="K160" s="3"/>
      <c r="L160" s="3"/>
      <c r="M160" s="3"/>
      <c r="N160" s="3"/>
      <c r="O160" s="3"/>
    </row>
    <row r="161" customFormat="false" ht="15" hidden="false" customHeight="false" outlineLevel="0" collapsed="false">
      <c r="A161" s="27" t="n">
        <v>11</v>
      </c>
      <c r="B161" s="28" t="n">
        <v>46301.4852733333</v>
      </c>
      <c r="C161" s="28" t="n">
        <v>46301.4852891782</v>
      </c>
      <c r="D161" s="32" t="n">
        <f aca="false">(B161-INDEX(Rounds!$C:$C,MATCH(A161,Rounds!$A:$A,0)))*86400</f>
        <v>12.778999912</v>
      </c>
      <c r="E161" s="3" t="str">
        <f aca="false">INDEX(Rounds!$F:$F,MATCH(A161,Rounds!$A:$A,0))</f>
        <v>After fix</v>
      </c>
      <c r="F161" s="31" t="n">
        <f aca="false">(C161-B161)*86400</f>
        <v>1.369000319</v>
      </c>
      <c r="G161" s="3" t="str">
        <f aca="false">IF(F161*1000&gt;Constants!$B$12,"Yes","No")</f>
        <v>Yes</v>
      </c>
      <c r="H161" s="3"/>
      <c r="I161" s="3"/>
      <c r="J161" s="3"/>
      <c r="K161" s="3"/>
      <c r="L161" s="3"/>
      <c r="M161" s="3"/>
      <c r="N161" s="3"/>
      <c r="O161" s="3"/>
    </row>
    <row r="162" customFormat="false" ht="15" hidden="false" customHeight="false" outlineLevel="0" collapsed="false">
      <c r="A162" s="27" t="n">
        <v>11</v>
      </c>
      <c r="B162" s="28" t="n">
        <v>46301.4853016898</v>
      </c>
      <c r="C162" s="28" t="n">
        <v>46301.4853130208</v>
      </c>
      <c r="D162" s="32" t="n">
        <f aca="false">(B162-INDEX(Rounds!$C:$C,MATCH(A162,Rounds!$A:$A,0)))*86400</f>
        <v>15.228999825</v>
      </c>
      <c r="E162" s="3" t="str">
        <f aca="false">INDEX(Rounds!$F:$F,MATCH(A162,Rounds!$A:$A,0))</f>
        <v>After fix</v>
      </c>
      <c r="F162" s="31" t="n">
        <f aca="false">(C162-B162)*86400</f>
        <v>0.979001051</v>
      </c>
      <c r="G162" s="3" t="str">
        <f aca="false">IF(F162*1000&gt;Constants!$B$12,"Yes","No")</f>
        <v>No</v>
      </c>
      <c r="H162" s="3"/>
      <c r="I162" s="3"/>
      <c r="J162" s="3"/>
      <c r="K162" s="3"/>
      <c r="L162" s="3"/>
      <c r="M162" s="3"/>
      <c r="N162" s="3"/>
      <c r="O162" s="3"/>
    </row>
    <row r="163" customFormat="false" ht="15" hidden="false" customHeight="false" outlineLevel="0" collapsed="false">
      <c r="A163" s="27" t="n">
        <v>11</v>
      </c>
      <c r="B163" s="28" t="n">
        <v>46301.4853186343</v>
      </c>
      <c r="C163" s="28" t="n">
        <v>46301.4853203009</v>
      </c>
      <c r="D163" s="32" t="n">
        <f aca="false">(B163-INDEX(Rounds!$C:$C,MATCH(A163,Rounds!$A:$A,0)))*86400</f>
        <v>16.693000006</v>
      </c>
      <c r="E163" s="3" t="str">
        <f aca="false">INDEX(Rounds!$F:$F,MATCH(A163,Rounds!$A:$A,0))</f>
        <v>After fix</v>
      </c>
      <c r="F163" s="31" t="n">
        <f aca="false">(C163-B163)*86400</f>
        <v>0.144000677</v>
      </c>
      <c r="G163" s="3" t="str">
        <f aca="false">IF(F163*1000&gt;Constants!$B$12,"Yes","No")</f>
        <v>No</v>
      </c>
      <c r="H163" s="3"/>
      <c r="I163" s="3"/>
      <c r="J163" s="3"/>
      <c r="K163" s="3"/>
      <c r="L163" s="3"/>
      <c r="M163" s="3"/>
      <c r="N163" s="3"/>
      <c r="O163" s="3"/>
    </row>
    <row r="164" customFormat="false" ht="15" hidden="false" customHeight="false" outlineLevel="0" collapsed="false">
      <c r="A164" s="27" t="n">
        <v>11</v>
      </c>
      <c r="B164" s="28" t="n">
        <v>46301.485327581</v>
      </c>
      <c r="C164" s="28" t="n">
        <v>46301.4853318982</v>
      </c>
      <c r="D164" s="32" t="n">
        <f aca="false">(B164-INDEX(Rounds!$C:$C,MATCH(A164,Rounds!$A:$A,0)))*86400</f>
        <v>17.465999862</v>
      </c>
      <c r="E164" s="3" t="str">
        <f aca="false">INDEX(Rounds!$F:$F,MATCH(A164,Rounds!$A:$A,0))</f>
        <v>After fix</v>
      </c>
      <c r="F164" s="31" t="n">
        <f aca="false">(C164-B164)*86400</f>
        <v>0.373000139</v>
      </c>
      <c r="G164" s="3" t="str">
        <f aca="false">IF(F164*1000&gt;Constants!$B$12,"Yes","No")</f>
        <v>No</v>
      </c>
      <c r="H164" s="3"/>
      <c r="I164" s="3"/>
      <c r="J164" s="3"/>
      <c r="K164" s="3"/>
      <c r="L164" s="3"/>
      <c r="M164" s="3"/>
      <c r="N164" s="3"/>
      <c r="O164" s="3"/>
    </row>
    <row r="165" customFormat="false" ht="15" hidden="false" customHeight="false" outlineLevel="0" collapsed="false">
      <c r="A165" s="27" t="n">
        <v>11</v>
      </c>
      <c r="B165" s="28" t="n">
        <v>46301.4853466551</v>
      </c>
      <c r="C165" s="28" t="n">
        <v>46301.4853548843</v>
      </c>
      <c r="D165" s="32" t="n">
        <f aca="false">(B165-INDEX(Rounds!$C:$C,MATCH(A165,Rounds!$A:$A,0)))*86400</f>
        <v>19.114</v>
      </c>
      <c r="E165" s="3" t="str">
        <f aca="false">INDEX(Rounds!$F:$F,MATCH(A165,Rounds!$A:$A,0))</f>
        <v>After fix</v>
      </c>
      <c r="F165" s="31" t="n">
        <f aca="false">(C165-B165)*86400</f>
        <v>0.710999965</v>
      </c>
      <c r="G165" s="3" t="str">
        <f aca="false">IF(F165*1000&gt;Constants!$B$12,"Yes","No")</f>
        <v>No</v>
      </c>
      <c r="H165" s="3"/>
      <c r="I165" s="3"/>
      <c r="J165" s="3"/>
      <c r="K165" s="3"/>
      <c r="L165" s="3"/>
      <c r="M165" s="3"/>
      <c r="N165" s="3"/>
      <c r="O165" s="3"/>
    </row>
    <row r="166" customFormat="false" ht="15" hidden="false" customHeight="false" outlineLevel="0" collapsed="false">
      <c r="A166" s="27" t="n">
        <v>11</v>
      </c>
      <c r="B166" s="28" t="n">
        <v>46301.4853681713</v>
      </c>
      <c r="C166" s="28" t="n">
        <v>46301.485371713</v>
      </c>
      <c r="D166" s="32" t="n">
        <f aca="false">(B166-INDEX(Rounds!$C:$C,MATCH(A166,Rounds!$A:$A,0)))*86400</f>
        <v>20.973000302</v>
      </c>
      <c r="E166" s="3" t="str">
        <f aca="false">INDEX(Rounds!$F:$F,MATCH(A166,Rounds!$A:$A,0))</f>
        <v>After fix</v>
      </c>
      <c r="F166" s="31" t="n">
        <f aca="false">(C166-B166)*86400</f>
        <v>0.306000653</v>
      </c>
      <c r="G166" s="3" t="str">
        <f aca="false">IF(F166*1000&gt;Constants!$B$12,"Yes","No")</f>
        <v>No</v>
      </c>
      <c r="H166" s="3"/>
      <c r="I166" s="3"/>
      <c r="J166" s="3"/>
      <c r="K166" s="3"/>
      <c r="L166" s="3"/>
      <c r="M166" s="3"/>
      <c r="N166" s="3"/>
      <c r="O166" s="3"/>
    </row>
    <row r="167" customFormat="false" ht="15" hidden="false" customHeight="false" outlineLevel="0" collapsed="false">
      <c r="A167" s="27" t="n">
        <v>11</v>
      </c>
      <c r="B167" s="28" t="n">
        <v>46301.4853816435</v>
      </c>
      <c r="C167" s="28" t="n">
        <v>46301.4853859259</v>
      </c>
      <c r="D167" s="32" t="n">
        <f aca="false">(B167-INDEX(Rounds!$C:$C,MATCH(A167,Rounds!$A:$A,0)))*86400</f>
        <v>22.137000225</v>
      </c>
      <c r="E167" s="3" t="str">
        <f aca="false">INDEX(Rounds!$F:$F,MATCH(A167,Rounds!$A:$A,0))</f>
        <v>After fix</v>
      </c>
      <c r="F167" s="31" t="n">
        <f aca="false">(C167-B167)*86400</f>
        <v>0.369998998</v>
      </c>
      <c r="G167" s="3" t="str">
        <f aca="false">IF(F167*1000&gt;Constants!$B$12,"Yes","No")</f>
        <v>No</v>
      </c>
      <c r="H167" s="3"/>
      <c r="I167" s="3"/>
      <c r="J167" s="3"/>
      <c r="K167" s="3"/>
      <c r="L167" s="3"/>
      <c r="M167" s="3"/>
      <c r="N167" s="3"/>
      <c r="O167" s="3"/>
    </row>
    <row r="168" customFormat="false" ht="15" hidden="false" customHeight="false" outlineLevel="0" collapsed="false">
      <c r="A168" s="27" t="n">
        <v>11</v>
      </c>
      <c r="B168" s="28" t="n">
        <v>46301.4854004745</v>
      </c>
      <c r="C168" s="28" t="n">
        <v>46301.4854032755</v>
      </c>
      <c r="D168" s="32" t="n">
        <f aca="false">(B168-INDEX(Rounds!$C:$C,MATCH(A168,Rounds!$A:$A,0)))*86400</f>
        <v>23.764000553</v>
      </c>
      <c r="E168" s="3" t="str">
        <f aca="false">INDEX(Rounds!$F:$F,MATCH(A168,Rounds!$A:$A,0))</f>
        <v>After fix</v>
      </c>
      <c r="F168" s="31" t="n">
        <f aca="false">(C168-B168)*86400</f>
        <v>0.241999793</v>
      </c>
      <c r="G168" s="3" t="str">
        <f aca="false">IF(F168*1000&gt;Constants!$B$12,"Yes","No")</f>
        <v>No</v>
      </c>
      <c r="H168" s="3"/>
      <c r="I168" s="3"/>
      <c r="J168" s="3"/>
      <c r="K168" s="3"/>
      <c r="L168" s="3"/>
      <c r="M168" s="3"/>
      <c r="N168" s="3"/>
      <c r="O168" s="3"/>
    </row>
    <row r="169" customFormat="false" ht="15" hidden="false" customHeight="false" outlineLevel="0" collapsed="false">
      <c r="A169" s="27" t="n">
        <v>11</v>
      </c>
      <c r="B169" s="28" t="n">
        <v>46301.4854087037</v>
      </c>
      <c r="C169" s="28" t="n">
        <v>46301.4854724537</v>
      </c>
      <c r="D169" s="32" t="n">
        <f aca="false">(B169-INDEX(Rounds!$C:$C,MATCH(A169,Rounds!$A:$A,0)))*86400</f>
        <v>24.47499989</v>
      </c>
      <c r="E169" s="3" t="str">
        <f aca="false">INDEX(Rounds!$F:$F,MATCH(A169,Rounds!$A:$A,0))</f>
        <v>After fix</v>
      </c>
      <c r="F169" s="31" t="n">
        <f aca="false">(C169-B169)*86400</f>
        <v>5.50800045</v>
      </c>
      <c r="G169" s="3" t="str">
        <f aca="false">IF(F169*1000&gt;Constants!$B$12,"Yes","No")</f>
        <v>Yes</v>
      </c>
      <c r="H169" s="3"/>
      <c r="I169" s="3"/>
      <c r="J169" s="3"/>
      <c r="K169" s="3"/>
      <c r="L169" s="3"/>
      <c r="M169" s="3"/>
      <c r="N169" s="3"/>
      <c r="O169" s="3"/>
    </row>
    <row r="170" customFormat="false" ht="15" hidden="false" customHeight="false" outlineLevel="0" collapsed="false">
      <c r="A170" s="27" t="n">
        <v>11</v>
      </c>
      <c r="B170" s="28" t="n">
        <v>46301.4854812616</v>
      </c>
      <c r="C170" s="28" t="n">
        <v>46301.4854937732</v>
      </c>
      <c r="D170" s="32" t="n">
        <f aca="false">(B170-INDEX(Rounds!$C:$C,MATCH(A170,Rounds!$A:$A,0)))*86400</f>
        <v>30.743999406</v>
      </c>
      <c r="E170" s="3" t="str">
        <f aca="false">INDEX(Rounds!$F:$F,MATCH(A170,Rounds!$A:$A,0))</f>
        <v>After fix</v>
      </c>
      <c r="F170" s="31" t="n">
        <f aca="false">(C170-B170)*86400</f>
        <v>1.08100085</v>
      </c>
      <c r="G170" s="3" t="str">
        <f aca="false">IF(F170*1000&gt;Constants!$B$12,"Yes","No")</f>
        <v>Yes</v>
      </c>
      <c r="H170" s="3"/>
      <c r="I170" s="3"/>
      <c r="J170" s="3"/>
      <c r="K170" s="3"/>
      <c r="L170" s="3"/>
      <c r="M170" s="3"/>
      <c r="N170" s="3"/>
      <c r="O170" s="3"/>
    </row>
    <row r="171" customFormat="false" ht="15" hidden="false" customHeight="false" outlineLevel="0" collapsed="false">
      <c r="A171" s="27" t="n">
        <v>11</v>
      </c>
      <c r="B171" s="28" t="n">
        <v>46301.4854991667</v>
      </c>
      <c r="C171" s="28" t="n">
        <v>46301.4855130208</v>
      </c>
      <c r="D171" s="32" t="n">
        <f aca="false">(B171-INDEX(Rounds!$C:$C,MATCH(A171,Rounds!$A:$A,0)))*86400</f>
        <v>32.291000545</v>
      </c>
      <c r="E171" s="3" t="str">
        <f aca="false">INDEX(Rounds!$F:$F,MATCH(A171,Rounds!$A:$A,0))</f>
        <v>After fix</v>
      </c>
      <c r="F171" s="31" t="n">
        <f aca="false">(C171-B171)*86400</f>
        <v>1.196999265</v>
      </c>
      <c r="G171" s="3" t="str">
        <f aca="false">IF(F171*1000&gt;Constants!$B$12,"Yes","No")</f>
        <v>Yes</v>
      </c>
      <c r="H171" s="3"/>
      <c r="I171" s="3"/>
      <c r="J171" s="3"/>
      <c r="K171" s="3"/>
      <c r="L171" s="3"/>
      <c r="M171" s="3"/>
      <c r="N171" s="3"/>
      <c r="O171" s="3"/>
    </row>
    <row r="172" customFormat="false" ht="15" hidden="false" customHeight="false" outlineLevel="0" collapsed="false">
      <c r="A172" s="27" t="n">
        <v>11</v>
      </c>
      <c r="B172" s="28" t="n">
        <v>46301.4855324306</v>
      </c>
      <c r="C172" s="28" t="n">
        <v>46301.4855394676</v>
      </c>
      <c r="D172" s="32" t="n">
        <f aca="false">(B172-INDEX(Rounds!$C:$C,MATCH(A172,Rounds!$A:$A,0)))*86400</f>
        <v>35.164999868</v>
      </c>
      <c r="E172" s="3" t="str">
        <f aca="false">INDEX(Rounds!$F:$F,MATCH(A172,Rounds!$A:$A,0))</f>
        <v>After fix</v>
      </c>
      <c r="F172" s="31" t="n">
        <f aca="false">(C172-B172)*86400</f>
        <v>0.607999996</v>
      </c>
      <c r="G172" s="3" t="str">
        <f aca="false">IF(F172*1000&gt;Constants!$B$12,"Yes","No")</f>
        <v>No</v>
      </c>
      <c r="H172" s="3"/>
      <c r="I172" s="3"/>
      <c r="J172" s="3"/>
      <c r="K172" s="3"/>
      <c r="L172" s="3"/>
      <c r="M172" s="3"/>
      <c r="N172" s="3"/>
      <c r="O172" s="3"/>
    </row>
    <row r="173" customFormat="false" ht="15" hidden="false" customHeight="false" outlineLevel="0" collapsed="false">
      <c r="A173" s="27" t="n">
        <v>11</v>
      </c>
      <c r="B173" s="28" t="n">
        <v>46301.4855446644</v>
      </c>
      <c r="C173" s="28" t="n">
        <v>46301.4855465278</v>
      </c>
      <c r="D173" s="32" t="n">
        <f aca="false">(B173-INDEX(Rounds!$C:$C,MATCH(A173,Rounds!$A:$A,0)))*86400</f>
        <v>36.221999768</v>
      </c>
      <c r="E173" s="3" t="str">
        <f aca="false">INDEX(Rounds!$F:$F,MATCH(A173,Rounds!$A:$A,0))</f>
        <v>After fix</v>
      </c>
      <c r="F173" s="31" t="n">
        <f aca="false">(C173-B173)*86400</f>
        <v>0.161000434</v>
      </c>
      <c r="G173" s="3" t="str">
        <f aca="false">IF(F173*1000&gt;Constants!$B$12,"Yes","No")</f>
        <v>No</v>
      </c>
      <c r="H173" s="3"/>
      <c r="I173" s="3"/>
      <c r="J173" s="3"/>
      <c r="K173" s="3"/>
      <c r="L173" s="3"/>
      <c r="M173" s="3"/>
      <c r="N173" s="3"/>
      <c r="O173" s="3"/>
    </row>
    <row r="174" customFormat="false" ht="15" hidden="false" customHeight="false" outlineLevel="0" collapsed="false">
      <c r="A174" s="27" t="n">
        <v>11</v>
      </c>
      <c r="B174" s="28" t="n">
        <v>46301.4855521296</v>
      </c>
      <c r="C174" s="28" t="n">
        <v>46301.4855537963</v>
      </c>
      <c r="D174" s="32" t="n">
        <f aca="false">(B174-INDEX(Rounds!$C:$C,MATCH(A174,Rounds!$A:$A,0)))*86400</f>
        <v>36.86699979</v>
      </c>
      <c r="E174" s="3" t="str">
        <f aca="false">INDEX(Rounds!$F:$F,MATCH(A174,Rounds!$A:$A,0))</f>
        <v>After fix</v>
      </c>
      <c r="F174" s="31" t="n">
        <f aca="false">(C174-B174)*86400</f>
        <v>0.14399942</v>
      </c>
      <c r="G174" s="3" t="str">
        <f aca="false">IF(F174*1000&gt;Constants!$B$12,"Yes","No")</f>
        <v>No</v>
      </c>
      <c r="H174" s="3"/>
      <c r="I174" s="3"/>
      <c r="J174" s="3"/>
      <c r="K174" s="3"/>
      <c r="L174" s="3"/>
      <c r="M174" s="3"/>
      <c r="N174" s="3"/>
      <c r="O174" s="3"/>
    </row>
    <row r="175" customFormat="false" ht="15" hidden="false" customHeight="false" outlineLevel="0" collapsed="false">
      <c r="A175" s="27" t="n">
        <v>11</v>
      </c>
      <c r="B175" s="28" t="n">
        <v>46301.4856178472</v>
      </c>
      <c r="C175" s="28" t="n">
        <v>46301.4856264236</v>
      </c>
      <c r="D175" s="32" t="n">
        <f aca="false">(B175-INDEX(Rounds!$C:$C,MATCH(A175,Rounds!$A:$A,0)))*86400</f>
        <v>42.545000952</v>
      </c>
      <c r="E175" s="3" t="str">
        <f aca="false">INDEX(Rounds!$F:$F,MATCH(A175,Rounds!$A:$A,0))</f>
        <v>After fix</v>
      </c>
      <c r="F175" s="31" t="n">
        <f aca="false">(C175-B175)*86400</f>
        <v>0.740998797</v>
      </c>
      <c r="G175" s="3" t="str">
        <f aca="false">IF(F175*1000&gt;Constants!$B$12,"Yes","No")</f>
        <v>No</v>
      </c>
      <c r="H175" s="3"/>
      <c r="I175" s="3"/>
      <c r="J175" s="3"/>
      <c r="K175" s="3"/>
      <c r="L175" s="3"/>
      <c r="M175" s="3"/>
      <c r="N175" s="3"/>
      <c r="O175" s="3"/>
    </row>
    <row r="176" customFormat="false" ht="15" hidden="false" customHeight="false" outlineLevel="0" collapsed="false">
      <c r="A176" s="27" t="n">
        <v>11</v>
      </c>
      <c r="B176" s="28" t="n">
        <v>46301.4856417361</v>
      </c>
      <c r="C176" s="28" t="n">
        <v>46301.4856458218</v>
      </c>
      <c r="D176" s="32" t="n">
        <f aca="false">(B176-INDEX(Rounds!$C:$C,MATCH(A176,Rounds!$A:$A,0)))*86400</f>
        <v>44.608999765</v>
      </c>
      <c r="E176" s="3" t="str">
        <f aca="false">INDEX(Rounds!$F:$F,MATCH(A176,Rounds!$A:$A,0))</f>
        <v>After fix</v>
      </c>
      <c r="F176" s="31" t="n">
        <f aca="false">(C176-B176)*86400</f>
        <v>0.353000499</v>
      </c>
      <c r="G176" s="3" t="str">
        <f aca="false">IF(F176*1000&gt;Constants!$B$12,"Yes","No")</f>
        <v>No</v>
      </c>
      <c r="H176" s="3"/>
      <c r="I176" s="3"/>
      <c r="J176" s="3"/>
      <c r="K176" s="3"/>
      <c r="L176" s="3"/>
      <c r="M176" s="3"/>
      <c r="N176" s="3"/>
      <c r="O176" s="3"/>
    </row>
    <row r="177" customFormat="false" ht="15" hidden="false" customHeight="false" outlineLevel="0" collapsed="false">
      <c r="A177" s="27" t="n">
        <v>11</v>
      </c>
      <c r="B177" s="28" t="n">
        <v>46301.485654213</v>
      </c>
      <c r="C177" s="28" t="n">
        <v>46301.4856551389</v>
      </c>
      <c r="D177" s="32" t="n">
        <f aca="false">(B177-INDEX(Rounds!$C:$C,MATCH(A177,Rounds!$A:$A,0)))*86400</f>
        <v>45.686999475</v>
      </c>
      <c r="E177" s="3" t="str">
        <f aca="false">INDEX(Rounds!$F:$F,MATCH(A177,Rounds!$A:$A,0))</f>
        <v>After fix</v>
      </c>
      <c r="F177" s="31" t="n">
        <f aca="false">(C177-B177)*86400</f>
        <v>0.080000446</v>
      </c>
      <c r="G177" s="3" t="str">
        <f aca="false">IF(F177*1000&gt;Constants!$B$12,"Yes","No")</f>
        <v>No</v>
      </c>
      <c r="H177" s="3"/>
      <c r="I177" s="3"/>
      <c r="J177" s="3"/>
      <c r="K177" s="3"/>
      <c r="L177" s="3"/>
      <c r="M177" s="3"/>
      <c r="N177" s="3"/>
      <c r="O177" s="3"/>
    </row>
    <row r="178" customFormat="false" ht="15" hidden="false" customHeight="false" outlineLevel="0" collapsed="false">
      <c r="A178" s="27" t="n">
        <v>11</v>
      </c>
      <c r="B178" s="28" t="n">
        <v>46301.4856648148</v>
      </c>
      <c r="C178" s="28" t="n">
        <v>46301.4856757986</v>
      </c>
      <c r="D178" s="32" t="n">
        <f aca="false">(B178-INDEX(Rounds!$C:$C,MATCH(A178,Rounds!$A:$A,0)))*86400</f>
        <v>46.602999838</v>
      </c>
      <c r="E178" s="3" t="str">
        <f aca="false">INDEX(Rounds!$F:$F,MATCH(A178,Rounds!$A:$A,0))</f>
        <v>After fix</v>
      </c>
      <c r="F178" s="31" t="n">
        <f aca="false">(C178-B178)*86400</f>
        <v>0.949000334</v>
      </c>
      <c r="G178" s="3" t="str">
        <f aca="false">IF(F178*1000&gt;Constants!$B$12,"Yes","No")</f>
        <v>No</v>
      </c>
      <c r="H178" s="3"/>
      <c r="I178" s="3"/>
      <c r="J178" s="3"/>
      <c r="K178" s="3"/>
      <c r="L178" s="3"/>
      <c r="M178" s="3"/>
      <c r="N178" s="3"/>
      <c r="O178" s="3"/>
    </row>
    <row r="179" customFormat="false" ht="15" hidden="false" customHeight="false" outlineLevel="0" collapsed="false">
      <c r="A179" s="27" t="n">
        <v>11</v>
      </c>
      <c r="B179" s="28" t="n">
        <v>46301.4856920255</v>
      </c>
      <c r="C179" s="28" t="n">
        <v>46301.485697037</v>
      </c>
      <c r="D179" s="32" t="n">
        <f aca="false">(B179-INDEX(Rounds!$C:$C,MATCH(A179,Rounds!$A:$A,0)))*86400</f>
        <v>48.953999835</v>
      </c>
      <c r="E179" s="3" t="str">
        <f aca="false">INDEX(Rounds!$F:$F,MATCH(A179,Rounds!$A:$A,0))</f>
        <v>After fix</v>
      </c>
      <c r="F179" s="31" t="n">
        <f aca="false">(C179-B179)*86400</f>
        <v>0.433000316</v>
      </c>
      <c r="G179" s="3" t="str">
        <f aca="false">IF(F179*1000&gt;Constants!$B$12,"Yes","No")</f>
        <v>No</v>
      </c>
      <c r="H179" s="3"/>
      <c r="I179" s="3"/>
      <c r="J179" s="3"/>
      <c r="K179" s="3"/>
      <c r="L179" s="3"/>
      <c r="M179" s="3"/>
      <c r="N179" s="3"/>
      <c r="O179" s="3"/>
    </row>
    <row r="180" customFormat="false" ht="15" hidden="false" customHeight="false" outlineLevel="0" collapsed="false">
      <c r="A180" s="27" t="n">
        <v>11</v>
      </c>
      <c r="B180" s="28" t="n">
        <v>46301.4857259259</v>
      </c>
      <c r="C180" s="28" t="n">
        <v>46301.4857510417</v>
      </c>
      <c r="D180" s="32" t="n">
        <f aca="false">(B180-INDEX(Rounds!$C:$C,MATCH(A180,Rounds!$A:$A,0)))*86400</f>
        <v>51.882999739</v>
      </c>
      <c r="E180" s="3" t="str">
        <f aca="false">INDEX(Rounds!$F:$F,MATCH(A180,Rounds!$A:$A,0))</f>
        <v>After fix</v>
      </c>
      <c r="F180" s="31" t="n">
        <f aca="false">(C180-B180)*86400</f>
        <v>2.170000551</v>
      </c>
      <c r="G180" s="3" t="str">
        <f aca="false">IF(F180*1000&gt;Constants!$B$12,"Yes","No")</f>
        <v>Yes</v>
      </c>
      <c r="H180" s="3"/>
      <c r="I180" s="3"/>
      <c r="J180" s="3"/>
      <c r="K180" s="3"/>
      <c r="L180" s="3"/>
      <c r="M180" s="3"/>
      <c r="N180" s="3"/>
      <c r="O180" s="3"/>
    </row>
    <row r="181" customFormat="false" ht="15" hidden="false" customHeight="false" outlineLevel="0" collapsed="false">
      <c r="A181" s="27" t="n">
        <v>11</v>
      </c>
      <c r="B181" s="28" t="n">
        <v>46301.4857566204</v>
      </c>
      <c r="C181" s="28" t="n">
        <v>46301.4857744329</v>
      </c>
      <c r="D181" s="32" t="n">
        <f aca="false">(B181-INDEX(Rounds!$C:$C,MATCH(A181,Rounds!$A:$A,0)))*86400</f>
        <v>54.535000165</v>
      </c>
      <c r="E181" s="3" t="str">
        <f aca="false">INDEX(Rounds!$F:$F,MATCH(A181,Rounds!$A:$A,0))</f>
        <v>After fix</v>
      </c>
      <c r="F181" s="31" t="n">
        <f aca="false">(C181-B181)*86400</f>
        <v>1.538999774</v>
      </c>
      <c r="G181" s="3" t="str">
        <f aca="false">IF(F181*1000&gt;Constants!$B$12,"Yes","No")</f>
        <v>Yes</v>
      </c>
      <c r="H181" s="3"/>
      <c r="I181" s="3"/>
      <c r="J181" s="3"/>
      <c r="K181" s="3"/>
      <c r="L181" s="3"/>
      <c r="M181" s="3"/>
      <c r="N181" s="3"/>
      <c r="O181" s="3"/>
    </row>
    <row r="182" customFormat="false" ht="15" hidden="false" customHeight="false" outlineLevel="0" collapsed="false">
      <c r="A182" s="27" t="n">
        <v>11</v>
      </c>
      <c r="B182" s="28" t="n">
        <v>46301.4857800232</v>
      </c>
      <c r="C182" s="28" t="n">
        <v>46301.4858202199</v>
      </c>
      <c r="D182" s="32" t="n">
        <f aca="false">(B182-INDEX(Rounds!$C:$C,MATCH(A182,Rounds!$A:$A,0)))*86400</f>
        <v>56.556999986</v>
      </c>
      <c r="E182" s="3" t="str">
        <f aca="false">INDEX(Rounds!$F:$F,MATCH(A182,Rounds!$A:$A,0))</f>
        <v>After fix</v>
      </c>
      <c r="F182" s="31" t="n">
        <f aca="false">(C182-B182)*86400</f>
        <v>3.473000298</v>
      </c>
      <c r="G182" s="3" t="str">
        <f aca="false">IF(F182*1000&gt;Constants!$B$12,"Yes","No")</f>
        <v>Yes</v>
      </c>
      <c r="H182" s="3"/>
      <c r="I182" s="3"/>
      <c r="J182" s="3"/>
      <c r="K182" s="3"/>
      <c r="L182" s="3"/>
      <c r="M182" s="3"/>
      <c r="N182" s="3"/>
      <c r="O182" s="3"/>
    </row>
    <row r="183" customFormat="false" ht="15" hidden="false" customHeight="false" outlineLevel="0" collapsed="false">
      <c r="A183" s="27" t="n">
        <v>11</v>
      </c>
      <c r="B183" s="28" t="n">
        <v>46301.4858284607</v>
      </c>
      <c r="C183" s="28" t="n">
        <v>46301.4858340394</v>
      </c>
      <c r="D183" s="32" t="n">
        <f aca="false">(B183-INDEX(Rounds!$C:$C,MATCH(A183,Rounds!$A:$A,0)))*86400</f>
        <v>60.74200042</v>
      </c>
      <c r="E183" s="3" t="str">
        <f aca="false">INDEX(Rounds!$F:$F,MATCH(A183,Rounds!$A:$A,0))</f>
        <v>After fix</v>
      </c>
      <c r="F183" s="31" t="n">
        <f aca="false">(C183-B183)*86400</f>
        <v>0.481999246</v>
      </c>
      <c r="G183" s="3" t="str">
        <f aca="false">IF(F183*1000&gt;Constants!$B$12,"Yes","No")</f>
        <v>No</v>
      </c>
      <c r="H183" s="3"/>
      <c r="I183" s="3"/>
      <c r="J183" s="3"/>
      <c r="K183" s="3"/>
      <c r="L183" s="3"/>
      <c r="M183" s="3"/>
      <c r="N183" s="3"/>
      <c r="O183" s="3"/>
    </row>
    <row r="184" customFormat="false" ht="15" hidden="false" customHeight="false" outlineLevel="0" collapsed="false">
      <c r="A184" s="27" t="n">
        <v>11</v>
      </c>
      <c r="B184" s="28" t="n">
        <v>46301.4858397917</v>
      </c>
      <c r="C184" s="28" t="n">
        <v>46301.4858539931</v>
      </c>
      <c r="D184" s="32" t="n">
        <f aca="false">(B184-INDEX(Rounds!$C:$C,MATCH(A184,Rounds!$A:$A,0)))*86400</f>
        <v>61.721000215</v>
      </c>
      <c r="E184" s="3" t="str">
        <f aca="false">INDEX(Rounds!$F:$F,MATCH(A184,Rounds!$A:$A,0))</f>
        <v>After fix</v>
      </c>
      <c r="F184" s="31" t="n">
        <f aca="false">(C184-B184)*86400</f>
        <v>1.226999983</v>
      </c>
      <c r="G184" s="3" t="str">
        <f aca="false">IF(F184*1000&gt;Constants!$B$12,"Yes","No")</f>
        <v>Yes</v>
      </c>
      <c r="H184" s="3"/>
      <c r="I184" s="3"/>
      <c r="J184" s="3"/>
      <c r="K184" s="3"/>
      <c r="L184" s="3"/>
      <c r="M184" s="3"/>
      <c r="N184" s="3"/>
      <c r="O184" s="3"/>
    </row>
    <row r="185" customFormat="false" ht="15" hidden="false" customHeight="false" outlineLevel="0" collapsed="false">
      <c r="A185" s="27" t="n">
        <v>11</v>
      </c>
      <c r="B185" s="28" t="n">
        <v>46301.4858595833</v>
      </c>
      <c r="C185" s="28" t="n">
        <v>46301.4858610764</v>
      </c>
      <c r="D185" s="32" t="n">
        <f aca="false">(B185-INDEX(Rounds!$C:$C,MATCH(A185,Rounds!$A:$A,0)))*86400</f>
        <v>63.431000872</v>
      </c>
      <c r="E185" s="3" t="str">
        <f aca="false">INDEX(Rounds!$F:$F,MATCH(A185,Rounds!$A:$A,0))</f>
        <v>After fix</v>
      </c>
      <c r="F185" s="31" t="n">
        <f aca="false">(C185-B185)*86400</f>
        <v>0.128999375</v>
      </c>
      <c r="G185" s="3" t="str">
        <f aca="false">IF(F185*1000&gt;Constants!$B$12,"Yes","No")</f>
        <v>No</v>
      </c>
      <c r="H185" s="3"/>
      <c r="I185" s="3"/>
      <c r="J185" s="3"/>
      <c r="K185" s="3"/>
      <c r="L185" s="3"/>
      <c r="M185" s="3"/>
      <c r="N185" s="3"/>
      <c r="O185" s="3"/>
    </row>
    <row r="186" customFormat="false" ht="15" hidden="false" customHeight="false" outlineLevel="0" collapsed="false">
      <c r="A186" s="27" t="n">
        <v>11</v>
      </c>
      <c r="B186" s="28" t="n">
        <v>46301.4858666898</v>
      </c>
      <c r="C186" s="28" t="n">
        <v>46301.4858734375</v>
      </c>
      <c r="D186" s="32" t="n">
        <f aca="false">(B186-INDEX(Rounds!$C:$C,MATCH(A186,Rounds!$A:$A,0)))*86400</f>
        <v>64.044999377</v>
      </c>
      <c r="E186" s="3" t="str">
        <f aca="false">INDEX(Rounds!$F:$F,MATCH(A186,Rounds!$A:$A,0))</f>
        <v>After fix</v>
      </c>
      <c r="F186" s="31" t="n">
        <f aca="false">(C186-B186)*86400</f>
        <v>0.58300076</v>
      </c>
      <c r="G186" s="3" t="str">
        <f aca="false">IF(F186*1000&gt;Constants!$B$12,"Yes","No")</f>
        <v>No</v>
      </c>
      <c r="H186" s="3"/>
      <c r="I186" s="3"/>
      <c r="J186" s="3"/>
      <c r="K186" s="3"/>
      <c r="L186" s="3"/>
      <c r="M186" s="3"/>
      <c r="N186" s="3"/>
      <c r="O186" s="3"/>
    </row>
    <row r="187" customFormat="false" ht="15" hidden="false" customHeight="false" outlineLevel="0" collapsed="false">
      <c r="A187" s="27" t="n">
        <v>12</v>
      </c>
      <c r="B187" s="28" t="n">
        <v>46301.4859476736</v>
      </c>
      <c r="C187" s="28" t="n">
        <v>46301.4859549769</v>
      </c>
      <c r="D187" s="32" t="n">
        <f aca="false">(B187-INDEX(Rounds!$C:$C,MATCH(A187,Rounds!$A:$A,0)))*86400</f>
        <v>1.630999753</v>
      </c>
      <c r="E187" s="3" t="str">
        <f aca="false">INDEX(Rounds!$F:$F,MATCH(A187,Rounds!$A:$A,0))</f>
        <v>After fix</v>
      </c>
      <c r="F187" s="31" t="n">
        <f aca="false">(C187-B187)*86400</f>
        <v>0.631000148</v>
      </c>
      <c r="G187" s="3" t="str">
        <f aca="false">IF(F187*1000&gt;Constants!$B$12,"Yes","No")</f>
        <v>No</v>
      </c>
      <c r="H187" s="3"/>
      <c r="I187" s="3"/>
      <c r="J187" s="3"/>
      <c r="K187" s="3"/>
      <c r="L187" s="3"/>
      <c r="M187" s="3"/>
      <c r="N187" s="3"/>
      <c r="O187" s="3"/>
    </row>
    <row r="188" customFormat="false" ht="15" hidden="false" customHeight="false" outlineLevel="0" collapsed="false">
      <c r="A188" s="27" t="n">
        <v>12</v>
      </c>
      <c r="B188" s="28" t="n">
        <v>46301.486018669</v>
      </c>
      <c r="C188" s="28" t="n">
        <v>46301.4860356597</v>
      </c>
      <c r="D188" s="32" t="n">
        <f aca="false">(B188-INDEX(Rounds!$C:$C,MATCH(A188,Rounds!$A:$A,0)))*86400</f>
        <v>7.764999498</v>
      </c>
      <c r="E188" s="3" t="str">
        <f aca="false">INDEX(Rounds!$F:$F,MATCH(A188,Rounds!$A:$A,0))</f>
        <v>After fix</v>
      </c>
      <c r="F188" s="31" t="n">
        <f aca="false">(C188-B188)*86400</f>
        <v>1.468000235</v>
      </c>
      <c r="G188" s="3" t="str">
        <f aca="false">IF(F188*1000&gt;Constants!$B$12,"Yes","No")</f>
        <v>Yes</v>
      </c>
      <c r="H188" s="3"/>
      <c r="I188" s="3"/>
      <c r="J188" s="3"/>
      <c r="K188" s="3"/>
      <c r="L188" s="3"/>
      <c r="M188" s="3"/>
      <c r="N188" s="3"/>
      <c r="O188" s="3"/>
    </row>
    <row r="189" customFormat="false" ht="15" hidden="false" customHeight="false" outlineLevel="0" collapsed="false">
      <c r="A189" s="27" t="n">
        <v>12</v>
      </c>
      <c r="B189" s="28" t="n">
        <v>46301.4860412847</v>
      </c>
      <c r="C189" s="28" t="n">
        <v>46301.4860545486</v>
      </c>
      <c r="D189" s="32" t="n">
        <f aca="false">(B189-INDEX(Rounds!$C:$C,MATCH(A189,Rounds!$A:$A,0)))*86400</f>
        <v>9.718999662</v>
      </c>
      <c r="E189" s="3" t="str">
        <f aca="false">INDEX(Rounds!$F:$F,MATCH(A189,Rounds!$A:$A,0))</f>
        <v>After fix</v>
      </c>
      <c r="F189" s="31" t="n">
        <f aca="false">(C189-B189)*86400</f>
        <v>1.145999995</v>
      </c>
      <c r="G189" s="3" t="str">
        <f aca="false">IF(F189*1000&gt;Constants!$B$12,"Yes","No")</f>
        <v>Yes</v>
      </c>
      <c r="H189" s="3"/>
      <c r="I189" s="3"/>
      <c r="J189" s="3"/>
      <c r="K189" s="3"/>
      <c r="L189" s="3"/>
      <c r="M189" s="3"/>
      <c r="N189" s="3"/>
      <c r="O189" s="3"/>
    </row>
    <row r="190" customFormat="false" ht="15" hidden="false" customHeight="false" outlineLevel="0" collapsed="false">
      <c r="A190" s="27" t="n">
        <v>12</v>
      </c>
      <c r="B190" s="28" t="n">
        <v>46301.4860730208</v>
      </c>
      <c r="C190" s="28" t="n">
        <v>46301.4860798958</v>
      </c>
      <c r="D190" s="32" t="n">
        <f aca="false">(B190-INDEX(Rounds!$C:$C,MATCH(A190,Rounds!$A:$A,0)))*86400</f>
        <v>12.460999726</v>
      </c>
      <c r="E190" s="3" t="str">
        <f aca="false">INDEX(Rounds!$F:$F,MATCH(A190,Rounds!$A:$A,0))</f>
        <v>After fix</v>
      </c>
      <c r="F190" s="31" t="n">
        <f aca="false">(C190-B190)*86400</f>
        <v>0.594000122</v>
      </c>
      <c r="G190" s="3" t="str">
        <f aca="false">IF(F190*1000&gt;Constants!$B$12,"Yes","No")</f>
        <v>No</v>
      </c>
      <c r="H190" s="3"/>
      <c r="I190" s="3"/>
      <c r="J190" s="3"/>
      <c r="K190" s="3"/>
      <c r="L190" s="3"/>
      <c r="M190" s="3"/>
      <c r="N190" s="3"/>
      <c r="O190" s="3"/>
    </row>
    <row r="191" customFormat="false" ht="15" hidden="false" customHeight="false" outlineLevel="0" collapsed="false">
      <c r="A191" s="27" t="n">
        <v>12</v>
      </c>
      <c r="B191" s="28" t="n">
        <v>46301.486088287</v>
      </c>
      <c r="C191" s="28" t="n">
        <v>46301.4860901852</v>
      </c>
      <c r="D191" s="32" t="n">
        <f aca="false">(B191-INDEX(Rounds!$C:$C,MATCH(A191,Rounds!$A:$A,0)))*86400</f>
        <v>13.779999059</v>
      </c>
      <c r="E191" s="3" t="str">
        <f aca="false">INDEX(Rounds!$F:$F,MATCH(A191,Rounds!$A:$A,0))</f>
        <v>After fix</v>
      </c>
      <c r="F191" s="31" t="n">
        <f aca="false">(C191-B191)*86400</f>
        <v>0.164001574</v>
      </c>
      <c r="G191" s="3" t="str">
        <f aca="false">IF(F191*1000&gt;Constants!$B$12,"Yes","No")</f>
        <v>No</v>
      </c>
      <c r="H191" s="3"/>
      <c r="I191" s="3"/>
      <c r="J191" s="3"/>
      <c r="K191" s="3"/>
      <c r="L191" s="3"/>
      <c r="M191" s="3"/>
      <c r="N191" s="3"/>
      <c r="O191" s="3"/>
    </row>
    <row r="192" customFormat="false" ht="15" hidden="false" customHeight="false" outlineLevel="0" collapsed="false">
      <c r="A192" s="27" t="n">
        <v>12</v>
      </c>
      <c r="B192" s="28" t="n">
        <v>46301.4861178009</v>
      </c>
      <c r="C192" s="28" t="n">
        <v>46301.4861424769</v>
      </c>
      <c r="D192" s="32" t="n">
        <f aca="false">(B192-INDEX(Rounds!$C:$C,MATCH(A192,Rounds!$A:$A,0)))*86400</f>
        <v>16.329999687</v>
      </c>
      <c r="E192" s="3" t="str">
        <f aca="false">INDEX(Rounds!$F:$F,MATCH(A192,Rounds!$A:$A,0))</f>
        <v>After fix</v>
      </c>
      <c r="F192" s="31" t="n">
        <f aca="false">(C192-B192)*86400</f>
        <v>2.132000355</v>
      </c>
      <c r="G192" s="3" t="str">
        <f aca="false">IF(F192*1000&gt;Constants!$B$12,"Yes","No")</f>
        <v>Yes</v>
      </c>
      <c r="H192" s="3"/>
      <c r="I192" s="3"/>
      <c r="J192" s="3"/>
      <c r="K192" s="3"/>
      <c r="L192" s="3"/>
      <c r="M192" s="3"/>
      <c r="N192" s="3"/>
      <c r="O192" s="3"/>
    </row>
    <row r="193" customFormat="false" ht="15" hidden="false" customHeight="false" outlineLevel="0" collapsed="false">
      <c r="A193" s="27" t="n">
        <v>12</v>
      </c>
      <c r="B193" s="28" t="n">
        <v>46301.4861521644</v>
      </c>
      <c r="C193" s="28" t="n">
        <v>46301.4861549421</v>
      </c>
      <c r="D193" s="32" t="n">
        <f aca="false">(B193-INDEX(Rounds!$C:$C,MATCH(A193,Rounds!$A:$A,0)))*86400</f>
        <v>19.2989995</v>
      </c>
      <c r="E193" s="3" t="str">
        <f aca="false">INDEX(Rounds!$F:$F,MATCH(A193,Rounds!$A:$A,0))</f>
        <v>After fix</v>
      </c>
      <c r="F193" s="31" t="n">
        <f aca="false">(C193-B193)*86400</f>
        <v>0.240000709</v>
      </c>
      <c r="G193" s="3" t="str">
        <f aca="false">IF(F193*1000&gt;Constants!$B$12,"Yes","No")</f>
        <v>No</v>
      </c>
      <c r="H193" s="3"/>
      <c r="I193" s="3"/>
      <c r="J193" s="3"/>
      <c r="K193" s="3"/>
      <c r="L193" s="3"/>
      <c r="M193" s="3"/>
      <c r="N193" s="3"/>
      <c r="O193" s="3"/>
    </row>
    <row r="194" customFormat="false" ht="15" hidden="false" customHeight="false" outlineLevel="0" collapsed="false">
      <c r="A194" s="27" t="n">
        <v>12</v>
      </c>
      <c r="B194" s="28" t="n">
        <v>46301.4861603241</v>
      </c>
      <c r="C194" s="28" t="n">
        <v>46301.486180463</v>
      </c>
      <c r="D194" s="32" t="n">
        <f aca="false">(B194-INDEX(Rounds!$C:$C,MATCH(A194,Rounds!$A:$A,0)))*86400</f>
        <v>20.003999699</v>
      </c>
      <c r="E194" s="3" t="str">
        <f aca="false">INDEX(Rounds!$F:$F,MATCH(A194,Rounds!$A:$A,0))</f>
        <v>After fix</v>
      </c>
      <c r="F194" s="31" t="n">
        <f aca="false">(C194-B194)*86400</f>
        <v>1.740000117</v>
      </c>
      <c r="G194" s="3" t="str">
        <f aca="false">IF(F194*1000&gt;Constants!$B$12,"Yes","No")</f>
        <v>Yes</v>
      </c>
      <c r="H194" s="3"/>
      <c r="I194" s="3"/>
      <c r="J194" s="3"/>
      <c r="K194" s="3"/>
      <c r="L194" s="3"/>
      <c r="M194" s="3"/>
      <c r="N194" s="3"/>
      <c r="O194" s="3"/>
    </row>
    <row r="195" customFormat="false" ht="15" hidden="false" customHeight="false" outlineLevel="0" collapsed="false">
      <c r="A195" s="27" t="n">
        <v>12</v>
      </c>
      <c r="B195" s="28" t="n">
        <v>46301.4861860417</v>
      </c>
      <c r="C195" s="28" t="n">
        <v>46301.486199294</v>
      </c>
      <c r="D195" s="32" t="n">
        <f aca="false">(B195-INDEX(Rounds!$C:$C,MATCH(A195,Rounds!$A:$A,0)))*86400</f>
        <v>22.225999063</v>
      </c>
      <c r="E195" s="3" t="str">
        <f aca="false">INDEX(Rounds!$F:$F,MATCH(A195,Rounds!$A:$A,0))</f>
        <v>After fix</v>
      </c>
      <c r="F195" s="31" t="n">
        <f aca="false">(C195-B195)*86400</f>
        <v>1.145000453</v>
      </c>
      <c r="G195" s="3" t="str">
        <f aca="false">IF(F195*1000&gt;Constants!$B$12,"Yes","No")</f>
        <v>Yes</v>
      </c>
      <c r="H195" s="3"/>
      <c r="I195" s="3"/>
      <c r="J195" s="3"/>
      <c r="K195" s="3"/>
      <c r="L195" s="3"/>
      <c r="M195" s="3"/>
      <c r="N195" s="3"/>
      <c r="O195" s="3"/>
    </row>
    <row r="196" customFormat="false" ht="15" hidden="false" customHeight="false" outlineLevel="0" collapsed="false">
      <c r="A196" s="27" t="n">
        <v>12</v>
      </c>
      <c r="B196" s="28" t="n">
        <v>46301.4862045486</v>
      </c>
      <c r="C196" s="28" t="n">
        <v>46301.486206956</v>
      </c>
      <c r="D196" s="32" t="n">
        <f aca="false">(B196-INDEX(Rounds!$C:$C,MATCH(A196,Rounds!$A:$A,0)))*86400</f>
        <v>23.824999644</v>
      </c>
      <c r="E196" s="3" t="str">
        <f aca="false">INDEX(Rounds!$F:$F,MATCH(A196,Rounds!$A:$A,0))</f>
        <v>After fix</v>
      </c>
      <c r="F196" s="31" t="n">
        <f aca="false">(C196-B196)*86400</f>
        <v>0.208000279</v>
      </c>
      <c r="G196" s="3" t="str">
        <f aca="false">IF(F196*1000&gt;Constants!$B$12,"Yes","No")</f>
        <v>No</v>
      </c>
      <c r="H196" s="3"/>
      <c r="I196" s="3"/>
      <c r="J196" s="3"/>
      <c r="K196" s="3"/>
      <c r="L196" s="3"/>
      <c r="M196" s="3"/>
      <c r="N196" s="3"/>
      <c r="O196" s="3"/>
    </row>
    <row r="197" customFormat="false" ht="15" hidden="false" customHeight="false" outlineLevel="0" collapsed="false">
      <c r="A197" s="27" t="n">
        <v>12</v>
      </c>
      <c r="B197" s="28" t="n">
        <v>46301.4862181597</v>
      </c>
      <c r="C197" s="28" t="n">
        <v>46301.4862456482</v>
      </c>
      <c r="D197" s="32" t="n">
        <f aca="false">(B197-INDEX(Rounds!$C:$C,MATCH(A197,Rounds!$A:$A,0)))*86400</f>
        <v>25.000999728</v>
      </c>
      <c r="E197" s="3" t="str">
        <f aca="false">INDEX(Rounds!$F:$F,MATCH(A197,Rounds!$A:$A,0))</f>
        <v>After fix</v>
      </c>
      <c r="F197" s="31" t="n">
        <f aca="false">(C197-B197)*86400</f>
        <v>2.375000319</v>
      </c>
      <c r="G197" s="3" t="str">
        <f aca="false">IF(F197*1000&gt;Constants!$B$12,"Yes","No")</f>
        <v>Yes</v>
      </c>
      <c r="H197" s="3"/>
      <c r="I197" s="3"/>
      <c r="J197" s="3"/>
      <c r="K197" s="3"/>
      <c r="L197" s="3"/>
      <c r="M197" s="3"/>
      <c r="N197" s="3"/>
      <c r="O197" s="3"/>
    </row>
    <row r="198" customFormat="false" ht="15" hidden="false" customHeight="false" outlineLevel="0" collapsed="false">
      <c r="A198" s="27" t="n">
        <v>12</v>
      </c>
      <c r="B198" s="28" t="n">
        <v>46301.4862562963</v>
      </c>
      <c r="C198" s="28" t="n">
        <v>46301.4862611458</v>
      </c>
      <c r="D198" s="32" t="n">
        <f aca="false">(B198-INDEX(Rounds!$C:$C,MATCH(A198,Rounds!$A:$A,0)))*86400</f>
        <v>28.296000463</v>
      </c>
      <c r="E198" s="3" t="str">
        <f aca="false">INDEX(Rounds!$F:$F,MATCH(A198,Rounds!$A:$A,0))</f>
        <v>After fix</v>
      </c>
      <c r="F198" s="31" t="n">
        <f aca="false">(C198-B198)*86400</f>
        <v>0.418999185</v>
      </c>
      <c r="G198" s="3" t="str">
        <f aca="false">IF(F198*1000&gt;Constants!$B$12,"Yes","No")</f>
        <v>No</v>
      </c>
      <c r="H198" s="3"/>
      <c r="I198" s="3"/>
      <c r="J198" s="3"/>
      <c r="K198" s="3"/>
      <c r="L198" s="3"/>
      <c r="M198" s="3"/>
      <c r="N198" s="3"/>
      <c r="O198" s="3"/>
    </row>
    <row r="199" customFormat="false" ht="15" hidden="false" customHeight="false" outlineLevel="0" collapsed="false">
      <c r="A199" s="27" t="n">
        <v>12</v>
      </c>
      <c r="B199" s="28" t="n">
        <v>46301.4862668056</v>
      </c>
      <c r="C199" s="28" t="n">
        <v>46301.4862761111</v>
      </c>
      <c r="D199" s="32" t="n">
        <f aca="false">(B199-INDEX(Rounds!$C:$C,MATCH(A199,Rounds!$A:$A,0)))*86400</f>
        <v>29.20400009</v>
      </c>
      <c r="E199" s="3" t="str">
        <f aca="false">INDEX(Rounds!$F:$F,MATCH(A199,Rounds!$A:$A,0))</f>
        <v>After fix</v>
      </c>
      <c r="F199" s="31" t="n">
        <f aca="false">(C199-B199)*86400</f>
        <v>0.803999486</v>
      </c>
      <c r="G199" s="3" t="str">
        <f aca="false">IF(F199*1000&gt;Constants!$B$12,"Yes","No")</f>
        <v>No</v>
      </c>
      <c r="H199" s="3"/>
      <c r="I199" s="3"/>
      <c r="J199" s="3"/>
      <c r="K199" s="3"/>
      <c r="L199" s="3"/>
      <c r="M199" s="3"/>
      <c r="N199" s="3"/>
      <c r="O199" s="3"/>
    </row>
    <row r="200" customFormat="false" ht="15" hidden="false" customHeight="false" outlineLevel="0" collapsed="false">
      <c r="A200" s="27" t="n">
        <v>12</v>
      </c>
      <c r="B200" s="28" t="n">
        <v>46301.4862831944</v>
      </c>
      <c r="C200" s="28" t="n">
        <v>46301.4862833796</v>
      </c>
      <c r="D200" s="32" t="n">
        <f aca="false">(B200-INDEX(Rounds!$C:$C,MATCH(A200,Rounds!$A:$A,0)))*86400</f>
        <v>30.619999626</v>
      </c>
      <c r="E200" s="3" t="str">
        <f aca="false">INDEX(Rounds!$F:$F,MATCH(A200,Rounds!$A:$A,0))</f>
        <v>After fix</v>
      </c>
      <c r="F200" s="31" t="n">
        <f aca="false">(C200-B200)*86400</f>
        <v>0.016000214</v>
      </c>
      <c r="G200" s="3" t="str">
        <f aca="false">IF(F200*1000&gt;Constants!$B$12,"Yes","No")</f>
        <v>No</v>
      </c>
      <c r="H200" s="3"/>
      <c r="I200" s="3"/>
      <c r="J200" s="3"/>
      <c r="K200" s="3"/>
      <c r="L200" s="3"/>
      <c r="M200" s="3"/>
      <c r="N200" s="3"/>
      <c r="O200" s="3"/>
    </row>
    <row r="201" customFormat="false" ht="15" hidden="false" customHeight="false" outlineLevel="0" collapsed="false">
      <c r="A201" s="27" t="n">
        <v>12</v>
      </c>
      <c r="B201" s="28" t="n">
        <v>46301.486355081</v>
      </c>
      <c r="C201" s="28" t="n">
        <v>46301.4863560185</v>
      </c>
      <c r="D201" s="32" t="n">
        <f aca="false">(B201-INDEX(Rounds!$C:$C,MATCH(A201,Rounds!$A:$A,0)))*86400</f>
        <v>36.830999935</v>
      </c>
      <c r="E201" s="3" t="str">
        <f aca="false">INDEX(Rounds!$F:$F,MATCH(A201,Rounds!$A:$A,0))</f>
        <v>After fix</v>
      </c>
      <c r="F201" s="31" t="n">
        <f aca="false">(C201-B201)*86400</f>
        <v>0.080999988</v>
      </c>
      <c r="G201" s="3" t="str">
        <f aca="false">IF(F201*1000&gt;Constants!$B$12,"Yes","No")</f>
        <v>No</v>
      </c>
      <c r="H201" s="3"/>
      <c r="I201" s="3"/>
      <c r="J201" s="3"/>
      <c r="K201" s="3"/>
      <c r="L201" s="3"/>
      <c r="M201" s="3"/>
      <c r="N201" s="3"/>
      <c r="O201" s="3"/>
    </row>
    <row r="202" customFormat="false" ht="15" hidden="false" customHeight="false" outlineLevel="0" collapsed="false">
      <c r="A202" s="27" t="n">
        <v>12</v>
      </c>
      <c r="B202" s="28" t="n">
        <v>46301.4863722454</v>
      </c>
      <c r="C202" s="28" t="n">
        <v>46301.4863767361</v>
      </c>
      <c r="D202" s="32" t="n">
        <f aca="false">(B202-INDEX(Rounds!$C:$C,MATCH(A202,Rounds!$A:$A,0)))*86400</f>
        <v>38.313999585</v>
      </c>
      <c r="E202" s="3" t="str">
        <f aca="false">INDEX(Rounds!$F:$F,MATCH(A202,Rounds!$A:$A,0))</f>
        <v>After fix</v>
      </c>
      <c r="F202" s="31" t="n">
        <f aca="false">(C202-B202)*86400</f>
        <v>0.388000183</v>
      </c>
      <c r="G202" s="3" t="str">
        <f aca="false">IF(F202*1000&gt;Constants!$B$12,"Yes","No")</f>
        <v>No</v>
      </c>
      <c r="H202" s="3"/>
      <c r="I202" s="3"/>
      <c r="J202" s="3"/>
      <c r="K202" s="3"/>
      <c r="L202" s="3"/>
      <c r="M202" s="3"/>
      <c r="N202" s="3"/>
      <c r="O202" s="3"/>
    </row>
    <row r="203" customFormat="false" ht="15" hidden="false" customHeight="false" outlineLevel="0" collapsed="false">
      <c r="A203" s="27" t="n">
        <v>12</v>
      </c>
      <c r="B203" s="28" t="n">
        <v>46301.4863866088</v>
      </c>
      <c r="C203" s="28" t="n">
        <v>46301.4863888542</v>
      </c>
      <c r="D203" s="32" t="n">
        <f aca="false">(B203-INDEX(Rounds!$C:$C,MATCH(A203,Rounds!$A:$A,0)))*86400</f>
        <v>39.555000071</v>
      </c>
      <c r="E203" s="3" t="str">
        <f aca="false">INDEX(Rounds!$F:$F,MATCH(A203,Rounds!$A:$A,0))</f>
        <v>After fix</v>
      </c>
      <c r="F203" s="31" t="n">
        <f aca="false">(C203-B203)*86400</f>
        <v>0.194000406</v>
      </c>
      <c r="G203" s="3" t="str">
        <f aca="false">IF(F203*1000&gt;Constants!$B$12,"Yes","No")</f>
        <v>No</v>
      </c>
      <c r="H203" s="3"/>
      <c r="I203" s="3"/>
      <c r="J203" s="3"/>
      <c r="K203" s="3"/>
      <c r="L203" s="3"/>
      <c r="M203" s="3"/>
      <c r="N203" s="3"/>
      <c r="O203" s="3"/>
    </row>
    <row r="204" customFormat="false" ht="15" hidden="false" customHeight="false" outlineLevel="0" collapsed="false">
      <c r="A204" s="27" t="n">
        <v>12</v>
      </c>
      <c r="B204" s="28" t="n">
        <v>46301.4864005671</v>
      </c>
      <c r="C204" s="28" t="n">
        <v>46301.4864119213</v>
      </c>
      <c r="D204" s="32" t="n">
        <f aca="false">(B204-INDEX(Rounds!$C:$C,MATCH(A204,Rounds!$A:$A,0)))*86400</f>
        <v>40.761000243</v>
      </c>
      <c r="E204" s="3" t="str">
        <f aca="false">INDEX(Rounds!$F:$F,MATCH(A204,Rounds!$A:$A,0))</f>
        <v>After fix</v>
      </c>
      <c r="F204" s="31" t="n">
        <f aca="false">(C204-B204)*86400</f>
        <v>0.980998878</v>
      </c>
      <c r="G204" s="3" t="str">
        <f aca="false">IF(F204*1000&gt;Constants!$B$12,"Yes","No")</f>
        <v>No</v>
      </c>
      <c r="H204" s="3"/>
      <c r="I204" s="3"/>
      <c r="J204" s="3"/>
      <c r="K204" s="3"/>
      <c r="L204" s="3"/>
      <c r="M204" s="3"/>
      <c r="N204" s="3"/>
      <c r="O204" s="3"/>
    </row>
    <row r="205" customFormat="false" ht="15" hidden="false" customHeight="false" outlineLevel="0" collapsed="false">
      <c r="A205" s="27" t="n">
        <v>12</v>
      </c>
      <c r="B205" s="28" t="n">
        <v>46301.4864282986</v>
      </c>
      <c r="C205" s="28" t="n">
        <v>46301.4864438889</v>
      </c>
      <c r="D205" s="32" t="n">
        <f aca="false">(B205-INDEX(Rounds!$C:$C,MATCH(A205,Rounds!$A:$A,0)))*86400</f>
        <v>43.156999745</v>
      </c>
      <c r="E205" s="3" t="str">
        <f aca="false">INDEX(Rounds!$F:$F,MATCH(A205,Rounds!$A:$A,0))</f>
        <v>After fix</v>
      </c>
      <c r="F205" s="31" t="n">
        <f aca="false">(C205-B205)*86400</f>
        <v>1.347000338</v>
      </c>
      <c r="G205" s="3" t="str">
        <f aca="false">IF(F205*1000&gt;Constants!$B$12,"Yes","No")</f>
        <v>Yes</v>
      </c>
      <c r="H205" s="3"/>
      <c r="I205" s="3"/>
      <c r="J205" s="3"/>
      <c r="K205" s="3"/>
      <c r="L205" s="3"/>
      <c r="M205" s="3"/>
      <c r="N205" s="3"/>
      <c r="O205" s="3"/>
    </row>
    <row r="206" customFormat="false" ht="15" hidden="false" customHeight="false" outlineLevel="0" collapsed="false">
      <c r="A206" s="27" t="n">
        <v>12</v>
      </c>
      <c r="B206" s="28" t="n">
        <v>46301.4866392245</v>
      </c>
      <c r="C206" s="28" t="n">
        <v>46301.4866418866</v>
      </c>
      <c r="D206" s="32" t="n">
        <f aca="false">(B206-INDEX(Rounds!$C:$C,MATCH(A206,Rounds!$A:$A,0)))*86400</f>
        <v>61.381000047</v>
      </c>
      <c r="E206" s="3" t="str">
        <f aca="false">INDEX(Rounds!$F:$F,MATCH(A206,Rounds!$A:$A,0))</f>
        <v>After fix</v>
      </c>
      <c r="F206" s="31" t="n">
        <f aca="false">(C206-B206)*86400</f>
        <v>0.229999632</v>
      </c>
      <c r="G206" s="3" t="str">
        <f aca="false">IF(F206*1000&gt;Constants!$B$12,"Yes","No")</f>
        <v>No</v>
      </c>
      <c r="H206" s="3"/>
      <c r="I206" s="3"/>
      <c r="J206" s="3"/>
      <c r="K206" s="3"/>
      <c r="L206" s="3"/>
      <c r="M206" s="3"/>
      <c r="N206" s="3"/>
      <c r="O206" s="3"/>
    </row>
    <row r="207" customFormat="false" ht="15" hidden="false" customHeight="false" outlineLevel="0" collapsed="false">
      <c r="A207" s="27" t="n">
        <v>12</v>
      </c>
      <c r="B207" s="28" t="n">
        <v>46301.4866718866</v>
      </c>
      <c r="C207" s="28" t="n">
        <v>46301.4866761574</v>
      </c>
      <c r="D207" s="32" t="n">
        <f aca="false">(B207-INDEX(Rounds!$C:$C,MATCH(A207,Rounds!$A:$A,0)))*86400</f>
        <v>64.2029993</v>
      </c>
      <c r="E207" s="3" t="str">
        <f aca="false">INDEX(Rounds!$F:$F,MATCH(A207,Rounds!$A:$A,0))</f>
        <v>After fix</v>
      </c>
      <c r="F207" s="31" t="n">
        <f aca="false">(C207-B207)*86400</f>
        <v>0.369000714</v>
      </c>
      <c r="G207" s="3" t="str">
        <f aca="false">IF(F207*1000&gt;Constants!$B$12,"Yes","No")</f>
        <v>No</v>
      </c>
      <c r="H207" s="3"/>
      <c r="I207" s="3"/>
      <c r="J207" s="3"/>
      <c r="K207" s="3"/>
      <c r="L207" s="3"/>
      <c r="M207" s="3"/>
      <c r="N207" s="3"/>
      <c r="O207" s="3"/>
    </row>
    <row r="208" customFormat="false" ht="15" hidden="false" customHeight="false" outlineLevel="0" collapsed="false">
      <c r="A208" s="27" t="n">
        <v>12</v>
      </c>
      <c r="B208" s="28" t="n">
        <v>46301.4866912153</v>
      </c>
      <c r="C208" s="28" t="n">
        <v>46301.4866919676</v>
      </c>
      <c r="D208" s="32" t="n">
        <f aca="false">(B208-INDEX(Rounds!$C:$C,MATCH(A208,Rounds!$A:$A,0)))*86400</f>
        <v>65.873000049</v>
      </c>
      <c r="E208" s="3" t="str">
        <f aca="false">INDEX(Rounds!$F:$F,MATCH(A208,Rounds!$A:$A,0))</f>
        <v>After fix</v>
      </c>
      <c r="F208" s="31" t="n">
        <f aca="false">(C208-B208)*86400</f>
        <v>0.064999773</v>
      </c>
      <c r="G208" s="3" t="str">
        <f aca="false">IF(F208*1000&gt;Constants!$B$12,"Yes","No")</f>
        <v>No</v>
      </c>
      <c r="H208" s="3"/>
      <c r="I208" s="3"/>
      <c r="J208" s="3"/>
      <c r="K208" s="3"/>
      <c r="L208" s="3"/>
      <c r="M208" s="3"/>
      <c r="N208" s="3"/>
      <c r="O208" s="3"/>
    </row>
    <row r="209" customFormat="false" ht="15" hidden="false" customHeight="false" outlineLevel="0" collapsed="false">
      <c r="A209" s="27" t="n">
        <v>12</v>
      </c>
      <c r="B209" s="28" t="n">
        <v>46301.4867070949</v>
      </c>
      <c r="C209" s="28" t="n">
        <v>46301.4867087732</v>
      </c>
      <c r="D209" s="32" t="n">
        <f aca="false">(B209-INDEX(Rounds!$C:$C,MATCH(A209,Rounds!$A:$A,0)))*86400</f>
        <v>67.244998994</v>
      </c>
      <c r="E209" s="3" t="str">
        <f aca="false">INDEX(Rounds!$F:$F,MATCH(A209,Rounds!$A:$A,0))</f>
        <v>After fix</v>
      </c>
      <c r="F209" s="31" t="n">
        <f aca="false">(C209-B209)*86400</f>
        <v>0.145000847</v>
      </c>
      <c r="G209" s="3" t="str">
        <f aca="false">IF(F209*1000&gt;Constants!$B$12,"Yes","No")</f>
        <v>No</v>
      </c>
      <c r="H209" s="3"/>
      <c r="I209" s="3"/>
      <c r="J209" s="3"/>
      <c r="K209" s="3"/>
      <c r="L209" s="3"/>
      <c r="M209" s="3"/>
      <c r="N209" s="3"/>
      <c r="O209" s="3"/>
    </row>
    <row r="210" customFormat="false" ht="15" hidden="false" customHeight="false" outlineLevel="0" collapsed="false">
      <c r="A210" s="27" t="n">
        <v>12</v>
      </c>
      <c r="B210" s="28" t="n">
        <v>46301.4867240394</v>
      </c>
      <c r="C210" s="28" t="n">
        <v>46301.4867247917</v>
      </c>
      <c r="D210" s="32" t="n">
        <f aca="false">(B210-INDEX(Rounds!$C:$C,MATCH(A210,Rounds!$A:$A,0)))*86400</f>
        <v>68.708999804</v>
      </c>
      <c r="E210" s="3" t="str">
        <f aca="false">INDEX(Rounds!$F:$F,MATCH(A210,Rounds!$A:$A,0))</f>
        <v>After fix</v>
      </c>
      <c r="F210" s="31" t="n">
        <f aca="false">(C210-B210)*86400</f>
        <v>0.065000401</v>
      </c>
      <c r="G210" s="3" t="str">
        <f aca="false">IF(F210*1000&gt;Constants!$B$12,"Yes","No")</f>
        <v>No</v>
      </c>
      <c r="H210" s="3"/>
      <c r="I210" s="3"/>
      <c r="J210" s="3"/>
      <c r="K210" s="3"/>
      <c r="L210" s="3"/>
      <c r="M210" s="3"/>
      <c r="N210" s="3"/>
      <c r="O210" s="3"/>
    </row>
    <row r="211" customFormat="false" ht="15" hidden="false" customHeight="false" outlineLevel="0" collapsed="false">
      <c r="A211" s="27" t="n">
        <v>12</v>
      </c>
      <c r="B211" s="28" t="n">
        <v>46301.486731875</v>
      </c>
      <c r="C211" s="28" t="n">
        <v>46301.4867352315</v>
      </c>
      <c r="D211" s="32" t="n">
        <f aca="false">(B211-INDEX(Rounds!$C:$C,MATCH(A211,Rounds!$A:$A,0)))*86400</f>
        <v>69.385999627</v>
      </c>
      <c r="E211" s="3" t="str">
        <f aca="false">INDEX(Rounds!$F:$F,MATCH(A211,Rounds!$A:$A,0))</f>
        <v>After fix</v>
      </c>
      <c r="F211" s="31" t="n">
        <f aca="false">(C211-B211)*86400</f>
        <v>0.290000438</v>
      </c>
      <c r="G211" s="3" t="str">
        <f aca="false">IF(F211*1000&gt;Constants!$B$12,"Yes","No")</f>
        <v>No</v>
      </c>
      <c r="H211" s="3"/>
      <c r="I211" s="3"/>
      <c r="J211" s="3"/>
      <c r="K211" s="3"/>
      <c r="L211" s="3"/>
      <c r="M211" s="3"/>
      <c r="N211" s="3"/>
      <c r="O211" s="3"/>
    </row>
    <row r="212" customFormat="false" ht="15" hidden="false" customHeight="false" outlineLevel="0" collapsed="false">
      <c r="A212" s="27" t="n">
        <v>12</v>
      </c>
      <c r="B212" s="28" t="n">
        <v>46301.4867419213</v>
      </c>
      <c r="C212" s="28" t="n">
        <v>46301.4867560995</v>
      </c>
      <c r="D212" s="32" t="n">
        <f aca="false">(B212-INDEX(Rounds!$C:$C,MATCH(A212,Rounds!$A:$A,0)))*86400</f>
        <v>70.253999973</v>
      </c>
      <c r="E212" s="3" t="str">
        <f aca="false">INDEX(Rounds!$F:$F,MATCH(A212,Rounds!$A:$A,0))</f>
        <v>After fix</v>
      </c>
      <c r="F212" s="31" t="n">
        <f aca="false">(C212-B212)*86400</f>
        <v>1.224999641</v>
      </c>
      <c r="G212" s="3" t="str">
        <f aca="false">IF(F212*1000&gt;Constants!$B$12,"Yes","No")</f>
        <v>Yes</v>
      </c>
      <c r="H212" s="3"/>
      <c r="I212" s="3"/>
      <c r="J212" s="3"/>
      <c r="K212" s="3"/>
      <c r="L212" s="3"/>
      <c r="M212" s="3"/>
      <c r="N212" s="3"/>
      <c r="O212" s="3"/>
    </row>
    <row r="213" customFormat="false" ht="15" hidden="false" customHeight="false" outlineLevel="0" collapsed="false">
      <c r="A213" s="27" t="n">
        <v>12</v>
      </c>
      <c r="B213" s="28" t="n">
        <v>46301.4867616551</v>
      </c>
      <c r="C213" s="28" t="n">
        <v>46301.486767257</v>
      </c>
      <c r="D213" s="32" t="n">
        <f aca="false">(B213-INDEX(Rounds!$C:$C,MATCH(A213,Rounds!$A:$A,0)))*86400</f>
        <v>71.958999778</v>
      </c>
      <c r="E213" s="3" t="str">
        <f aca="false">INDEX(Rounds!$F:$F,MATCH(A213,Rounds!$A:$A,0))</f>
        <v>After fix</v>
      </c>
      <c r="F213" s="31" t="n">
        <f aca="false">(C213-B213)*86400</f>
        <v>0.484000844</v>
      </c>
      <c r="G213" s="3" t="str">
        <f aca="false">IF(F213*1000&gt;Constants!$B$12,"Yes","No")</f>
        <v>No</v>
      </c>
      <c r="H213" s="3"/>
      <c r="I213" s="3"/>
      <c r="J213" s="3"/>
      <c r="K213" s="3"/>
      <c r="L213" s="3"/>
      <c r="M213" s="3"/>
      <c r="N213" s="3"/>
      <c r="O213" s="3"/>
    </row>
    <row r="214" customFormat="false" ht="15" hidden="false" customHeight="false" outlineLevel="0" collapsed="false">
      <c r="A214" s="27" t="n">
        <v>12</v>
      </c>
      <c r="B214" s="28" t="n">
        <v>46301.4867918866</v>
      </c>
      <c r="C214" s="28" t="n">
        <v>46301.4867969445</v>
      </c>
      <c r="D214" s="32" t="n">
        <f aca="false">(B214-INDEX(Rounds!$C:$C,MATCH(A214,Rounds!$A:$A,0)))*86400</f>
        <v>74.570999667</v>
      </c>
      <c r="E214" s="3" t="str">
        <f aca="false">INDEX(Rounds!$F:$F,MATCH(A214,Rounds!$A:$A,0))</f>
        <v>After fix</v>
      </c>
      <c r="F214" s="31" t="n">
        <f aca="false">(C214-B214)*86400</f>
        <v>0.437000999</v>
      </c>
      <c r="G214" s="3" t="str">
        <f aca="false">IF(F214*1000&gt;Constants!$B$12,"Yes","No")</f>
        <v>No</v>
      </c>
      <c r="H214" s="3"/>
      <c r="I214" s="3"/>
      <c r="J214" s="3"/>
      <c r="K214" s="3"/>
      <c r="L214" s="3"/>
      <c r="M214" s="3"/>
      <c r="N214" s="3"/>
      <c r="O214" s="3"/>
    </row>
    <row r="215" customFormat="false" ht="15" hidden="false" customHeight="false" outlineLevel="0" collapsed="false">
      <c r="A215" s="27" t="n">
        <v>12</v>
      </c>
      <c r="B215" s="28" t="n">
        <v>46301.4868150116</v>
      </c>
      <c r="C215" s="28" t="n">
        <v>46301.4868157523</v>
      </c>
      <c r="D215" s="32" t="n">
        <f aca="false">(B215-INDEX(Rounds!$C:$C,MATCH(A215,Rounds!$A:$A,0)))*86400</f>
        <v>76.568999793</v>
      </c>
      <c r="E215" s="3" t="str">
        <f aca="false">INDEX(Rounds!$F:$F,MATCH(A215,Rounds!$A:$A,0))</f>
        <v>After fix</v>
      </c>
      <c r="F215" s="31" t="n">
        <f aca="false">(C215-B215)*86400</f>
        <v>0.064000859</v>
      </c>
      <c r="G215" s="3" t="str">
        <f aca="false">IF(F215*1000&gt;Constants!$B$12,"Yes","No")</f>
        <v>No</v>
      </c>
      <c r="H215" s="3"/>
      <c r="I215" s="3"/>
      <c r="J215" s="3"/>
      <c r="K215" s="3"/>
      <c r="L215" s="3"/>
      <c r="M215" s="3"/>
      <c r="N215" s="3"/>
      <c r="O215" s="3"/>
    </row>
    <row r="216" customFormat="false" ht="15" hidden="false" customHeight="false" outlineLevel="0" collapsed="false">
      <c r="A216" s="27" t="n">
        <v>13</v>
      </c>
      <c r="B216" s="28" t="n">
        <v>46301.5214790625</v>
      </c>
      <c r="C216" s="28" t="n">
        <v>46301.521484294</v>
      </c>
      <c r="D216" s="32" t="n">
        <f aca="false">(B216-INDEX(Rounds!$C:$C,MATCH(A216,Rounds!$A:$A,0)))*86400</f>
        <v>2.057000133</v>
      </c>
      <c r="E216" s="3" t="str">
        <f aca="false">INDEX(Rounds!$F:$F,MATCH(A216,Rounds!$A:$A,0))</f>
        <v>After fix</v>
      </c>
      <c r="F216" s="31" t="n">
        <f aca="false">(C216-B216)*86400</f>
        <v>0.451999786</v>
      </c>
      <c r="G216" s="3" t="str">
        <f aca="false">IF(F216*1000&gt;Constants!$B$12,"Yes","No")</f>
        <v>No</v>
      </c>
      <c r="H216" s="3"/>
      <c r="I216" s="3"/>
      <c r="J216" s="3"/>
      <c r="K216" s="3"/>
      <c r="L216" s="3"/>
      <c r="M216" s="3"/>
      <c r="N216" s="3"/>
      <c r="O216" s="3"/>
    </row>
    <row r="217" customFormat="false" ht="15" hidden="false" customHeight="false" outlineLevel="0" collapsed="false">
      <c r="A217" s="27" t="n">
        <v>13</v>
      </c>
      <c r="B217" s="28" t="n">
        <v>46301.5215302083</v>
      </c>
      <c r="C217" s="28" t="n">
        <v>46301.5215305787</v>
      </c>
      <c r="D217" s="32" t="n">
        <f aca="false">(B217-INDEX(Rounds!$C:$C,MATCH(A217,Rounds!$A:$A,0)))*86400</f>
        <v>6.475999625</v>
      </c>
      <c r="E217" s="3" t="str">
        <f aca="false">INDEX(Rounds!$F:$F,MATCH(A217,Rounds!$A:$A,0))</f>
        <v>After fix</v>
      </c>
      <c r="F217" s="31" t="n">
        <f aca="false">(C217-B217)*86400</f>
        <v>0.032001058</v>
      </c>
      <c r="G217" s="3" t="str">
        <f aca="false">IF(F217*1000&gt;Constants!$B$12,"Yes","No")</f>
        <v>No</v>
      </c>
      <c r="H217" s="3"/>
      <c r="I217" s="3"/>
      <c r="J217" s="3"/>
      <c r="K217" s="3"/>
      <c r="L217" s="3"/>
      <c r="M217" s="3"/>
      <c r="N217" s="3"/>
      <c r="O217" s="3"/>
    </row>
    <row r="218" customFormat="false" ht="15" hidden="false" customHeight="false" outlineLevel="0" collapsed="false">
      <c r="A218" s="27" t="n">
        <v>13</v>
      </c>
      <c r="B218" s="28" t="n">
        <v>46301.5217172222</v>
      </c>
      <c r="C218" s="28" t="n">
        <v>46301.5217200116</v>
      </c>
      <c r="D218" s="32" t="n">
        <f aca="false">(B218-INDEX(Rounds!$C:$C,MATCH(A218,Rounds!$A:$A,0)))*86400</f>
        <v>22.634000773</v>
      </c>
      <c r="E218" s="3" t="str">
        <f aca="false">INDEX(Rounds!$F:$F,MATCH(A218,Rounds!$A:$A,0))</f>
        <v>After fix</v>
      </c>
      <c r="F218" s="31" t="n">
        <f aca="false">(C218-B218)*86400</f>
        <v>0.240998994</v>
      </c>
      <c r="G218" s="3" t="str">
        <f aca="false">IF(F218*1000&gt;Constants!$B$12,"Yes","No")</f>
        <v>No</v>
      </c>
      <c r="H218" s="3"/>
      <c r="I218" s="3"/>
      <c r="J218" s="3"/>
      <c r="K218" s="3"/>
      <c r="L218" s="3"/>
      <c r="M218" s="3"/>
      <c r="N218" s="3"/>
      <c r="O218" s="3"/>
    </row>
    <row r="219" customFormat="false" ht="15" hidden="false" customHeight="false" outlineLevel="0" collapsed="false">
      <c r="A219" s="27" t="n">
        <v>13</v>
      </c>
      <c r="B219" s="28" t="n">
        <v>46301.5217502662</v>
      </c>
      <c r="C219" s="28" t="n">
        <v>46301.5217631019</v>
      </c>
      <c r="D219" s="32" t="n">
        <f aca="false">(B219-INDEX(Rounds!$C:$C,MATCH(A219,Rounds!$A:$A,0)))*86400</f>
        <v>25.489000626</v>
      </c>
      <c r="E219" s="3" t="str">
        <f aca="false">INDEX(Rounds!$F:$F,MATCH(A219,Rounds!$A:$A,0))</f>
        <v>After fix</v>
      </c>
      <c r="F219" s="31" t="n">
        <f aca="false">(C219-B219)*86400</f>
        <v>1.10899934</v>
      </c>
      <c r="G219" s="3" t="str">
        <f aca="false">IF(F219*1000&gt;Constants!$B$12,"Yes","No")</f>
        <v>Yes</v>
      </c>
      <c r="H219" s="3"/>
      <c r="I219" s="3"/>
      <c r="J219" s="3"/>
      <c r="K219" s="3"/>
      <c r="L219" s="3"/>
      <c r="M219" s="3"/>
      <c r="N219" s="3"/>
      <c r="O219" s="3"/>
    </row>
    <row r="220" customFormat="false" ht="15" hidden="false" customHeight="false" outlineLevel="0" collapsed="false">
      <c r="A220" s="27" t="n">
        <v>13</v>
      </c>
      <c r="B220" s="28" t="n">
        <v>46301.5218206366</v>
      </c>
      <c r="C220" s="28" t="n">
        <v>46301.5218211921</v>
      </c>
      <c r="D220" s="32" t="n">
        <f aca="false">(B220-INDEX(Rounds!$C:$C,MATCH(A220,Rounds!$A:$A,0)))*86400</f>
        <v>31.569000589</v>
      </c>
      <c r="E220" s="3" t="str">
        <f aca="false">INDEX(Rounds!$F:$F,MATCH(A220,Rounds!$A:$A,0))</f>
        <v>After fix</v>
      </c>
      <c r="F220" s="31" t="n">
        <f aca="false">(C220-B220)*86400</f>
        <v>0.047999387</v>
      </c>
      <c r="G220" s="3" t="str">
        <f aca="false">IF(F220*1000&gt;Constants!$B$12,"Yes","No")</f>
        <v>No</v>
      </c>
      <c r="H220" s="3"/>
      <c r="I220" s="3"/>
      <c r="J220" s="3"/>
      <c r="K220" s="3"/>
      <c r="L220" s="3"/>
      <c r="M220" s="3"/>
      <c r="N220" s="3"/>
      <c r="O220" s="3"/>
    </row>
    <row r="221" customFormat="false" ht="15" hidden="false" customHeight="false" outlineLevel="0" collapsed="false">
      <c r="A221" s="27" t="n">
        <v>13</v>
      </c>
      <c r="B221" s="28" t="n">
        <v>46301.5218660995</v>
      </c>
      <c r="C221" s="28" t="n">
        <v>46301.5218916898</v>
      </c>
      <c r="D221" s="32" t="n">
        <f aca="false">(B221-INDEX(Rounds!$C:$C,MATCH(A221,Rounds!$A:$A,0)))*86400</f>
        <v>35.496999928</v>
      </c>
      <c r="E221" s="3" t="str">
        <f aca="false">INDEX(Rounds!$F:$F,MATCH(A221,Rounds!$A:$A,0))</f>
        <v>After fix</v>
      </c>
      <c r="F221" s="31" t="n">
        <f aca="false">(C221-B221)*86400</f>
        <v>2.21100063</v>
      </c>
      <c r="G221" s="3" t="str">
        <f aca="false">IF(F221*1000&gt;Constants!$B$12,"Yes","No")</f>
        <v>Yes</v>
      </c>
      <c r="H221" s="3"/>
      <c r="I221" s="3"/>
      <c r="J221" s="3"/>
      <c r="K221" s="3"/>
      <c r="L221" s="3"/>
      <c r="M221" s="3"/>
      <c r="N221" s="3"/>
      <c r="O221" s="3"/>
    </row>
    <row r="222" customFormat="false" ht="15" hidden="false" customHeight="false" outlineLevel="0" collapsed="false">
      <c r="A222" s="27" t="n">
        <v>13</v>
      </c>
      <c r="B222" s="28" t="n">
        <v>46301.5218987384</v>
      </c>
      <c r="C222" s="28" t="n">
        <v>46301.5218989236</v>
      </c>
      <c r="D222" s="32" t="n">
        <f aca="false">(B222-INDEX(Rounds!$C:$C,MATCH(A222,Rounds!$A:$A,0)))*86400</f>
        <v>38.317000097</v>
      </c>
      <c r="E222" s="3" t="str">
        <f aca="false">INDEX(Rounds!$F:$F,MATCH(A222,Rounds!$A:$A,0))</f>
        <v>After fix</v>
      </c>
      <c r="F222" s="31" t="n">
        <f aca="false">(C222-B222)*86400</f>
        <v>0.015999586</v>
      </c>
      <c r="G222" s="3" t="str">
        <f aca="false">IF(F222*1000&gt;Constants!$B$12,"Yes","No")</f>
        <v>No</v>
      </c>
      <c r="H222" s="3"/>
      <c r="I222" s="3"/>
      <c r="J222" s="3"/>
      <c r="K222" s="3"/>
      <c r="L222" s="3"/>
      <c r="M222" s="3"/>
      <c r="N222" s="3"/>
      <c r="O222" s="3"/>
    </row>
    <row r="223" customFormat="false" ht="15" hidden="false" customHeight="false" outlineLevel="0" collapsed="false">
      <c r="A223" s="27" t="n">
        <v>13</v>
      </c>
      <c r="B223" s="28" t="n">
        <v>46301.5219045023</v>
      </c>
      <c r="C223" s="28" t="n">
        <v>46301.5219184607</v>
      </c>
      <c r="D223" s="32" t="n">
        <f aca="false">(B223-INDEX(Rounds!$C:$C,MATCH(A223,Rounds!$A:$A,0)))*86400</f>
        <v>38.814999558</v>
      </c>
      <c r="E223" s="3" t="str">
        <f aca="false">INDEX(Rounds!$F:$F,MATCH(A223,Rounds!$A:$A,0))</f>
        <v>After fix</v>
      </c>
      <c r="F223" s="31" t="n">
        <f aca="false">(C223-B223)*86400</f>
        <v>1.206000172</v>
      </c>
      <c r="G223" s="3" t="str">
        <f aca="false">IF(F223*1000&gt;Constants!$B$12,"Yes","No")</f>
        <v>Yes</v>
      </c>
      <c r="H223" s="3"/>
      <c r="I223" s="3"/>
      <c r="J223" s="3"/>
      <c r="K223" s="3"/>
      <c r="L223" s="3"/>
      <c r="M223" s="3"/>
      <c r="N223" s="3"/>
      <c r="O223" s="3"/>
    </row>
    <row r="224" customFormat="false" ht="15" hidden="false" customHeight="false" outlineLevel="0" collapsed="false">
      <c r="A224" s="27" t="n">
        <v>13</v>
      </c>
      <c r="B224" s="28" t="n">
        <v>46301.5219266782</v>
      </c>
      <c r="C224" s="28" t="n">
        <v>46301.5219621181</v>
      </c>
      <c r="D224" s="32" t="n">
        <f aca="false">(B224-INDEX(Rounds!$C:$C,MATCH(A224,Rounds!$A:$A,0)))*86400</f>
        <v>40.730999526</v>
      </c>
      <c r="E224" s="3" t="str">
        <f aca="false">INDEX(Rounds!$F:$F,MATCH(A224,Rounds!$A:$A,0))</f>
        <v>After fix</v>
      </c>
      <c r="F224" s="31" t="n">
        <f aca="false">(C224-B224)*86400</f>
        <v>3.062000591</v>
      </c>
      <c r="G224" s="3" t="str">
        <f aca="false">IF(F224*1000&gt;Constants!$B$12,"Yes","No")</f>
        <v>Yes</v>
      </c>
      <c r="H224" s="3"/>
      <c r="I224" s="3"/>
      <c r="J224" s="3"/>
      <c r="K224" s="3"/>
      <c r="L224" s="3"/>
      <c r="M224" s="3"/>
      <c r="N224" s="3"/>
      <c r="O224" s="3"/>
    </row>
    <row r="225" customFormat="false" ht="15" hidden="false" customHeight="false" outlineLevel="0" collapsed="false">
      <c r="A225" s="27" t="n">
        <v>13</v>
      </c>
      <c r="B225" s="28" t="n">
        <v>46301.5219897685</v>
      </c>
      <c r="C225" s="28" t="n">
        <v>46301.521998125</v>
      </c>
      <c r="D225" s="32" t="n">
        <f aca="false">(B225-INDEX(Rounds!$C:$C,MATCH(A225,Rounds!$A:$A,0)))*86400</f>
        <v>46.181999682</v>
      </c>
      <c r="E225" s="3" t="str">
        <f aca="false">INDEX(Rounds!$F:$F,MATCH(A225,Rounds!$A:$A,0))</f>
        <v>After fix</v>
      </c>
      <c r="F225" s="31" t="n">
        <f aca="false">(C225-B225)*86400</f>
        <v>0.721999956</v>
      </c>
      <c r="G225" s="3" t="str">
        <f aca="false">IF(F225*1000&gt;Constants!$B$12,"Yes","No")</f>
        <v>No</v>
      </c>
      <c r="H225" s="3"/>
      <c r="I225" s="3"/>
      <c r="J225" s="3"/>
      <c r="K225" s="3"/>
      <c r="L225" s="3"/>
      <c r="M225" s="3"/>
      <c r="N225" s="3"/>
      <c r="O225" s="3"/>
    </row>
    <row r="226" customFormat="false" ht="15" hidden="false" customHeight="false" outlineLevel="0" collapsed="false">
      <c r="A226" s="27" t="n">
        <v>13</v>
      </c>
      <c r="B226" s="28" t="n">
        <v>46301.5220272454</v>
      </c>
      <c r="C226" s="28" t="n">
        <v>46301.522028912</v>
      </c>
      <c r="D226" s="32" t="n">
        <f aca="false">(B226-INDEX(Rounds!$C:$C,MATCH(A226,Rounds!$A:$A,0)))*86400</f>
        <v>49.420000123</v>
      </c>
      <c r="E226" s="3" t="str">
        <f aca="false">INDEX(Rounds!$F:$F,MATCH(A226,Rounds!$A:$A,0))</f>
        <v>After fix</v>
      </c>
      <c r="F226" s="31" t="n">
        <f aca="false">(C226-B226)*86400</f>
        <v>0.14399942</v>
      </c>
      <c r="G226" s="3" t="str">
        <f aca="false">IF(F226*1000&gt;Constants!$B$12,"Yes","No")</f>
        <v>No</v>
      </c>
      <c r="H226" s="3"/>
      <c r="I226" s="3"/>
      <c r="J226" s="3"/>
      <c r="K226" s="3"/>
      <c r="L226" s="3"/>
      <c r="M226" s="3"/>
      <c r="N226" s="3"/>
      <c r="O226" s="3"/>
    </row>
    <row r="227" customFormat="false" ht="15" hidden="false" customHeight="false" outlineLevel="0" collapsed="false">
      <c r="A227" s="27" t="n">
        <v>13</v>
      </c>
      <c r="B227" s="28" t="n">
        <v>46301.5220689815</v>
      </c>
      <c r="C227" s="28" t="n">
        <v>46301.5220760532</v>
      </c>
      <c r="D227" s="32" t="n">
        <f aca="false">(B227-INDEX(Rounds!$C:$C,MATCH(A227,Rounds!$A:$A,0)))*86400</f>
        <v>53.025999851</v>
      </c>
      <c r="E227" s="3" t="str">
        <f aca="false">INDEX(Rounds!$F:$F,MATCH(A227,Rounds!$A:$A,0))</f>
        <v>After fix</v>
      </c>
      <c r="F227" s="31" t="n">
        <f aca="false">(C227-B227)*86400</f>
        <v>0.610999879</v>
      </c>
      <c r="G227" s="3" t="str">
        <f aca="false">IF(F227*1000&gt;Constants!$B$12,"Yes","No")</f>
        <v>No</v>
      </c>
      <c r="H227" s="3"/>
      <c r="I227" s="3"/>
      <c r="J227" s="3"/>
      <c r="K227" s="3"/>
      <c r="L227" s="3"/>
      <c r="M227" s="3"/>
      <c r="N227" s="3"/>
      <c r="O227" s="3"/>
    </row>
    <row r="228" customFormat="false" ht="15" hidden="false" customHeight="false" outlineLevel="0" collapsed="false">
      <c r="A228" s="27" t="n">
        <v>13</v>
      </c>
      <c r="B228" s="28" t="n">
        <v>46301.5220909607</v>
      </c>
      <c r="C228" s="28" t="n">
        <v>46301.5220937616</v>
      </c>
      <c r="D228" s="32" t="n">
        <f aca="false">(B228-INDEX(Rounds!$C:$C,MATCH(A228,Rounds!$A:$A,0)))*86400</f>
        <v>54.925000062</v>
      </c>
      <c r="E228" s="3" t="str">
        <f aca="false">INDEX(Rounds!$F:$F,MATCH(A228,Rounds!$A:$A,0))</f>
        <v>After fix</v>
      </c>
      <c r="F228" s="31" t="n">
        <f aca="false">(C228-B228)*86400</f>
        <v>0.241999165</v>
      </c>
      <c r="G228" s="3" t="str">
        <f aca="false">IF(F228*1000&gt;Constants!$B$12,"Yes","No")</f>
        <v>No</v>
      </c>
      <c r="H228" s="3"/>
      <c r="I228" s="3"/>
      <c r="J228" s="3"/>
      <c r="K228" s="3"/>
      <c r="L228" s="3"/>
      <c r="M228" s="3"/>
      <c r="N228" s="3"/>
      <c r="O228" s="3"/>
    </row>
    <row r="229" customFormat="false" ht="15" hidden="false" customHeight="false" outlineLevel="0" collapsed="false">
      <c r="A229" s="27" t="n">
        <v>13</v>
      </c>
      <c r="B229" s="28" t="n">
        <v>46301.522129132</v>
      </c>
      <c r="C229" s="28" t="n">
        <v>46301.5221298727</v>
      </c>
      <c r="D229" s="32" t="n">
        <f aca="false">(B229-INDEX(Rounds!$C:$C,MATCH(A229,Rounds!$A:$A,0)))*86400</f>
        <v>58.223000052</v>
      </c>
      <c r="E229" s="3" t="str">
        <f aca="false">INDEX(Rounds!$F:$F,MATCH(A229,Rounds!$A:$A,0))</f>
        <v>After fix</v>
      </c>
      <c r="F229" s="31" t="n">
        <f aca="false">(C229-B229)*86400</f>
        <v>0.063999602</v>
      </c>
      <c r="G229" s="3" t="str">
        <f aca="false">IF(F229*1000&gt;Constants!$B$12,"Yes","No")</f>
        <v>No</v>
      </c>
      <c r="H229" s="3"/>
      <c r="I229" s="3"/>
      <c r="J229" s="3"/>
      <c r="K229" s="3"/>
      <c r="L229" s="3"/>
      <c r="M229" s="3"/>
      <c r="N229" s="3"/>
      <c r="O229" s="3"/>
    </row>
    <row r="230" customFormat="false" ht="15" hidden="false" customHeight="false" outlineLevel="0" collapsed="false">
      <c r="A230" s="27" t="n">
        <v>13</v>
      </c>
      <c r="B230" s="28" t="n">
        <v>46301.5221352431</v>
      </c>
      <c r="C230" s="28" t="n">
        <v>46301.522138044</v>
      </c>
      <c r="D230" s="32" t="n">
        <f aca="false">(B230-INDEX(Rounds!$C:$C,MATCH(A230,Rounds!$A:$A,0)))*86400</f>
        <v>58.750999602</v>
      </c>
      <c r="E230" s="3" t="str">
        <f aca="false">INDEX(Rounds!$F:$F,MATCH(A230,Rounds!$A:$A,0))</f>
        <v>After fix</v>
      </c>
      <c r="F230" s="31" t="n">
        <f aca="false">(C230-B230)*86400</f>
        <v>0.242000422</v>
      </c>
      <c r="G230" s="3" t="str">
        <f aca="false">IF(F230*1000&gt;Constants!$B$12,"Yes","No")</f>
        <v>No</v>
      </c>
      <c r="H230" s="3"/>
      <c r="I230" s="3"/>
      <c r="J230" s="3"/>
      <c r="K230" s="3"/>
      <c r="L230" s="3"/>
      <c r="M230" s="3"/>
      <c r="N230" s="3"/>
      <c r="O230" s="3"/>
    </row>
    <row r="231" customFormat="false" ht="15" hidden="false" customHeight="false" outlineLevel="0" collapsed="false">
      <c r="A231" s="27" t="n">
        <v>13</v>
      </c>
      <c r="B231" s="28" t="n">
        <v>46301.5221699306</v>
      </c>
      <c r="C231" s="28" t="n">
        <v>46301.5221710532</v>
      </c>
      <c r="D231" s="32" t="n">
        <f aca="false">(B231-INDEX(Rounds!$C:$C,MATCH(A231,Rounds!$A:$A,0)))*86400</f>
        <v>61.747999163</v>
      </c>
      <c r="E231" s="3" t="str">
        <f aca="false">INDEX(Rounds!$F:$F,MATCH(A231,Rounds!$A:$A,0))</f>
        <v>After fix</v>
      </c>
      <c r="F231" s="31" t="n">
        <f aca="false">(C231-B231)*86400</f>
        <v>0.097000831</v>
      </c>
      <c r="G231" s="3" t="str">
        <f aca="false">IF(F231*1000&gt;Constants!$B$12,"Yes","No")</f>
        <v>No</v>
      </c>
      <c r="H231" s="3"/>
      <c r="I231" s="3"/>
      <c r="J231" s="3"/>
      <c r="K231" s="3"/>
      <c r="L231" s="3"/>
      <c r="M231" s="3"/>
      <c r="N231" s="3"/>
      <c r="O231" s="3"/>
    </row>
    <row r="232" customFormat="false" ht="15" hidden="false" customHeight="false" outlineLevel="0" collapsed="false">
      <c r="A232" s="27" t="n">
        <v>13</v>
      </c>
      <c r="B232" s="28" t="n">
        <v>46301.5221820486</v>
      </c>
      <c r="C232" s="28" t="n">
        <v>46301.5221828009</v>
      </c>
      <c r="D232" s="32" t="n">
        <f aca="false">(B232-INDEX(Rounds!$C:$C,MATCH(A232,Rounds!$A:$A,0)))*86400</f>
        <v>62.794999871</v>
      </c>
      <c r="E232" s="3" t="str">
        <f aca="false">INDEX(Rounds!$F:$F,MATCH(A232,Rounds!$A:$A,0))</f>
        <v>After fix</v>
      </c>
      <c r="F232" s="31" t="n">
        <f aca="false">(C232-B232)*86400</f>
        <v>0.064999773</v>
      </c>
      <c r="G232" s="3" t="str">
        <f aca="false">IF(F232*1000&gt;Constants!$B$12,"Yes","No")</f>
        <v>No</v>
      </c>
      <c r="H232" s="3"/>
      <c r="I232" s="3"/>
      <c r="J232" s="3"/>
      <c r="K232" s="3"/>
      <c r="L232" s="3"/>
      <c r="M232" s="3"/>
      <c r="N232" s="3"/>
      <c r="O232" s="3"/>
    </row>
    <row r="233" customFormat="false" ht="15" hidden="false" customHeight="false" outlineLevel="0" collapsed="false">
      <c r="A233" s="27" t="n">
        <v>13</v>
      </c>
      <c r="B233" s="28" t="n">
        <v>46301.5221884144</v>
      </c>
      <c r="C233" s="28" t="n">
        <v>46301.5221906482</v>
      </c>
      <c r="D233" s="32" t="n">
        <f aca="false">(B233-INDEX(Rounds!$C:$C,MATCH(A233,Rounds!$A:$A,0)))*86400</f>
        <v>63.344999402</v>
      </c>
      <c r="E233" s="3" t="str">
        <f aca="false">INDEX(Rounds!$F:$F,MATCH(A233,Rounds!$A:$A,0))</f>
        <v>After fix</v>
      </c>
      <c r="F233" s="31" t="n">
        <f aca="false">(C233-B233)*86400</f>
        <v>0.193000864</v>
      </c>
      <c r="G233" s="3" t="str">
        <f aca="false">IF(F233*1000&gt;Constants!$B$12,"Yes","No")</f>
        <v>No</v>
      </c>
      <c r="H233" s="3"/>
      <c r="I233" s="3"/>
      <c r="J233" s="3"/>
      <c r="K233" s="3"/>
      <c r="L233" s="3"/>
      <c r="M233" s="3"/>
      <c r="N233" s="3"/>
      <c r="O233" s="3"/>
    </row>
    <row r="234" customFormat="false" ht="15" hidden="false" customHeight="false" outlineLevel="0" collapsed="false">
      <c r="A234" s="27" t="n">
        <v>13</v>
      </c>
      <c r="B234" s="28" t="n">
        <v>46301.5222339236</v>
      </c>
      <c r="C234" s="28" t="n">
        <v>46301.5222341204</v>
      </c>
      <c r="D234" s="32" t="n">
        <f aca="false">(B234-INDEX(Rounds!$C:$C,MATCH(A234,Rounds!$A:$A,0)))*86400</f>
        <v>67.277000052</v>
      </c>
      <c r="E234" s="3" t="str">
        <f aca="false">INDEX(Rounds!$F:$F,MATCH(A234,Rounds!$A:$A,0))</f>
        <v>After fix</v>
      </c>
      <c r="F234" s="31" t="n">
        <f aca="false">(C234-B234)*86400</f>
        <v>0.016999756</v>
      </c>
      <c r="G234" s="3" t="str">
        <f aca="false">IF(F234*1000&gt;Constants!$B$12,"Yes","No")</f>
        <v>No</v>
      </c>
      <c r="H234" s="3"/>
      <c r="I234" s="3"/>
      <c r="J234" s="3"/>
      <c r="K234" s="3"/>
      <c r="L234" s="3"/>
      <c r="M234" s="3"/>
      <c r="N234" s="3"/>
      <c r="O234" s="3"/>
    </row>
    <row r="235" customFormat="false" ht="15" hidden="false" customHeight="false" outlineLevel="0" collapsed="false">
      <c r="A235" s="27" t="n">
        <v>13</v>
      </c>
      <c r="B235" s="28" t="n">
        <v>46301.5222432639</v>
      </c>
      <c r="C235" s="28" t="n">
        <v>46301.5222471759</v>
      </c>
      <c r="D235" s="32" t="n">
        <f aca="false">(B235-INDEX(Rounds!$C:$C,MATCH(A235,Rounds!$A:$A,0)))*86400</f>
        <v>68.084000051</v>
      </c>
      <c r="E235" s="3" t="str">
        <f aca="false">INDEX(Rounds!$F:$F,MATCH(A235,Rounds!$A:$A,0))</f>
        <v>After fix</v>
      </c>
      <c r="F235" s="31" t="n">
        <f aca="false">(C235-B235)*86400</f>
        <v>0.338000454</v>
      </c>
      <c r="G235" s="3" t="str">
        <f aca="false">IF(F235*1000&gt;Constants!$B$12,"Yes","No")</f>
        <v>No</v>
      </c>
      <c r="H235" s="3"/>
      <c r="I235" s="3"/>
      <c r="J235" s="3"/>
      <c r="K235" s="3"/>
      <c r="L235" s="3"/>
      <c r="M235" s="3"/>
      <c r="N235" s="3"/>
      <c r="O235" s="3"/>
    </row>
    <row r="236" customFormat="false" ht="15" hidden="false" customHeight="false" outlineLevel="0" collapsed="false">
      <c r="A236" s="27" t="n">
        <v>13</v>
      </c>
      <c r="B236" s="28" t="n">
        <v>46301.5222585185</v>
      </c>
      <c r="C236" s="28" t="n">
        <v>46301.522262419</v>
      </c>
      <c r="D236" s="32" t="n">
        <f aca="false">(B236-INDEX(Rounds!$C:$C,MATCH(A236,Rounds!$A:$A,0)))*86400</f>
        <v>69.401999842</v>
      </c>
      <c r="E236" s="3" t="str">
        <f aca="false">INDEX(Rounds!$F:$F,MATCH(A236,Rounds!$A:$A,0))</f>
        <v>After fix</v>
      </c>
      <c r="F236" s="31" t="n">
        <f aca="false">(C236-B236)*86400</f>
        <v>0.336999655</v>
      </c>
      <c r="G236" s="3" t="str">
        <f aca="false">IF(F236*1000&gt;Constants!$B$12,"Yes","No")</f>
        <v>No</v>
      </c>
      <c r="H236" s="3"/>
      <c r="I236" s="3"/>
      <c r="J236" s="3"/>
      <c r="K236" s="3"/>
      <c r="L236" s="3"/>
      <c r="M236" s="3"/>
      <c r="N236" s="3"/>
      <c r="O236" s="3"/>
    </row>
    <row r="237" customFormat="false" ht="15" hidden="false" customHeight="false" outlineLevel="0" collapsed="false">
      <c r="A237" s="27" t="n">
        <v>13</v>
      </c>
      <c r="B237" s="28" t="n">
        <v>46301.5222693866</v>
      </c>
      <c r="C237" s="28" t="n">
        <v>46301.5222837153</v>
      </c>
      <c r="D237" s="32" t="n">
        <f aca="false">(B237-INDEX(Rounds!$C:$C,MATCH(A237,Rounds!$A:$A,0)))*86400</f>
        <v>70.340999728</v>
      </c>
      <c r="E237" s="3" t="str">
        <f aca="false">INDEX(Rounds!$F:$F,MATCH(A237,Rounds!$A:$A,0))</f>
        <v>After fix</v>
      </c>
      <c r="F237" s="31" t="n">
        <f aca="false">(C237-B237)*86400</f>
        <v>1.238000602</v>
      </c>
      <c r="G237" s="3" t="str">
        <f aca="false">IF(F237*1000&gt;Constants!$B$12,"Yes","No")</f>
        <v>Yes</v>
      </c>
      <c r="H237" s="3"/>
      <c r="I237" s="3"/>
      <c r="J237" s="3"/>
      <c r="K237" s="3"/>
      <c r="L237" s="3"/>
      <c r="M237" s="3"/>
      <c r="N237" s="3"/>
      <c r="O237" s="3"/>
    </row>
    <row r="238" customFormat="false" ht="15" hidden="false" customHeight="false" outlineLevel="0" collapsed="false">
      <c r="A238" s="27" t="n">
        <v>13</v>
      </c>
      <c r="B238" s="28" t="n">
        <v>46301.5223064005</v>
      </c>
      <c r="C238" s="28" t="n">
        <v>46301.5223202083</v>
      </c>
      <c r="D238" s="32" t="n">
        <f aca="false">(B238-INDEX(Rounds!$C:$C,MATCH(A238,Rounds!$A:$A,0)))*86400</f>
        <v>73.538999632</v>
      </c>
      <c r="E238" s="3" t="str">
        <f aca="false">INDEX(Rounds!$F:$F,MATCH(A238,Rounds!$A:$A,0))</f>
        <v>After fix</v>
      </c>
      <c r="F238" s="31" t="n">
        <f aca="false">(C238-B238)*86400</f>
        <v>1.193001097</v>
      </c>
      <c r="G238" s="3" t="str">
        <f aca="false">IF(F238*1000&gt;Constants!$B$12,"Yes","No")</f>
        <v>Yes</v>
      </c>
      <c r="H238" s="3"/>
      <c r="I238" s="3"/>
      <c r="J238" s="3"/>
      <c r="K238" s="3"/>
      <c r="L238" s="3"/>
      <c r="M238" s="3"/>
      <c r="N238" s="3"/>
      <c r="O238" s="3"/>
    </row>
    <row r="239" customFormat="false" ht="15" hidden="false" customHeight="false" outlineLevel="0" collapsed="false">
      <c r="A239" s="27" t="n">
        <v>14</v>
      </c>
      <c r="B239" s="28" t="n">
        <v>46301.5228961806</v>
      </c>
      <c r="C239" s="28" t="n">
        <v>46301.522906007</v>
      </c>
      <c r="D239" s="32" t="n">
        <f aca="false">(B239-INDEX(Rounds!$C:$C,MATCH(A239,Rounds!$A:$A,0)))*86400</f>
        <v>5.969000514</v>
      </c>
      <c r="E239" s="3" t="str">
        <f aca="false">INDEX(Rounds!$F:$F,MATCH(A239,Rounds!$A:$A,0))</f>
        <v>After fix</v>
      </c>
      <c r="F239" s="31" t="n">
        <f aca="false">(C239-B239)*86400</f>
        <v>0.848999619</v>
      </c>
      <c r="G239" s="3" t="str">
        <f aca="false">IF(F239*1000&gt;Constants!$B$12,"Yes","No")</f>
        <v>No</v>
      </c>
      <c r="H239" s="3"/>
      <c r="I239" s="3"/>
      <c r="J239" s="3"/>
      <c r="K239" s="3"/>
      <c r="L239" s="3"/>
      <c r="M239" s="3"/>
      <c r="N239" s="3"/>
      <c r="O239" s="3"/>
    </row>
    <row r="240" customFormat="false" ht="15" hidden="false" customHeight="false" outlineLevel="0" collapsed="false">
      <c r="A240" s="27" t="n">
        <v>14</v>
      </c>
      <c r="B240" s="28" t="n">
        <v>46301.5230548727</v>
      </c>
      <c r="C240" s="28" t="n">
        <v>46301.5230552431</v>
      </c>
      <c r="D240" s="32" t="n">
        <f aca="false">(B240-INDEX(Rounds!$C:$C,MATCH(A240,Rounds!$A:$A,0)))*86400</f>
        <v>19.679999747</v>
      </c>
      <c r="E240" s="3" t="str">
        <f aca="false">INDEX(Rounds!$F:$F,MATCH(A240,Rounds!$A:$A,0))</f>
        <v>After fix</v>
      </c>
      <c r="F240" s="31" t="n">
        <f aca="false">(C240-B240)*86400</f>
        <v>0.032000429</v>
      </c>
      <c r="G240" s="3" t="str">
        <f aca="false">IF(F240*1000&gt;Constants!$B$12,"Yes","No")</f>
        <v>No</v>
      </c>
      <c r="H240" s="3"/>
      <c r="I240" s="3"/>
      <c r="J240" s="3"/>
      <c r="K240" s="3"/>
      <c r="L240" s="3"/>
      <c r="M240" s="3"/>
      <c r="N240" s="3"/>
      <c r="O240" s="3"/>
    </row>
    <row r="241" customFormat="false" ht="15" hidden="false" customHeight="false" outlineLevel="0" collapsed="false">
      <c r="A241" s="27" t="n">
        <v>14</v>
      </c>
      <c r="B241" s="28" t="n">
        <v>46301.5230779398</v>
      </c>
      <c r="C241" s="28" t="n">
        <v>46301.523163206</v>
      </c>
      <c r="D241" s="32" t="n">
        <f aca="false">(B241-INDEX(Rounds!$C:$C,MATCH(A241,Rounds!$A:$A,0)))*86400</f>
        <v>21.672999649</v>
      </c>
      <c r="E241" s="3" t="str">
        <f aca="false">INDEX(Rounds!$F:$F,MATCH(A241,Rounds!$A:$A,0))</f>
        <v>After fix</v>
      </c>
      <c r="F241" s="31" t="n">
        <f aca="false">(C241-B241)*86400</f>
        <v>7.367000123</v>
      </c>
      <c r="G241" s="3" t="str">
        <f aca="false">IF(F241*1000&gt;Constants!$B$12,"Yes","No")</f>
        <v>Yes</v>
      </c>
      <c r="H241" s="3"/>
      <c r="I241" s="3"/>
      <c r="J241" s="3"/>
      <c r="K241" s="3"/>
      <c r="L241" s="3"/>
      <c r="M241" s="3"/>
      <c r="N241" s="3"/>
      <c r="O241" s="3"/>
    </row>
    <row r="242" customFormat="false" ht="15" hidden="false" customHeight="false" outlineLevel="0" collapsed="false">
      <c r="A242" s="27" t="n">
        <v>14</v>
      </c>
      <c r="B242" s="28" t="n">
        <v>46301.5231868866</v>
      </c>
      <c r="C242" s="28" t="n">
        <v>46301.5232056713</v>
      </c>
      <c r="D242" s="32" t="n">
        <f aca="false">(B242-INDEX(Rounds!$C:$C,MATCH(A242,Rounds!$A:$A,0)))*86400</f>
        <v>31.085999286</v>
      </c>
      <c r="E242" s="3" t="str">
        <f aca="false">INDEX(Rounds!$F:$F,MATCH(A242,Rounds!$A:$A,0))</f>
        <v>After fix</v>
      </c>
      <c r="F242" s="31" t="n">
        <f aca="false">(C242-B242)*86400</f>
        <v>1.623000903</v>
      </c>
      <c r="G242" s="3" t="str">
        <f aca="false">IF(F242*1000&gt;Constants!$B$12,"Yes","No")</f>
        <v>Yes</v>
      </c>
      <c r="H242" s="3"/>
      <c r="I242" s="3"/>
      <c r="J242" s="3"/>
      <c r="K242" s="3"/>
      <c r="L242" s="3"/>
      <c r="M242" s="3"/>
      <c r="N242" s="3"/>
      <c r="O242" s="3"/>
    </row>
    <row r="243" customFormat="false" ht="15" hidden="false" customHeight="false" outlineLevel="0" collapsed="false">
      <c r="A243" s="27" t="n">
        <v>14</v>
      </c>
      <c r="B243" s="28" t="n">
        <v>46301.5233032176</v>
      </c>
      <c r="C243" s="28" t="n">
        <v>46301.5233279514</v>
      </c>
      <c r="D243" s="32" t="n">
        <f aca="false">(B243-INDEX(Rounds!$C:$C,MATCH(A243,Rounds!$A:$A,0)))*86400</f>
        <v>41.136999637</v>
      </c>
      <c r="E243" s="3" t="str">
        <f aca="false">INDEX(Rounds!$F:$F,MATCH(A243,Rounds!$A:$A,0))</f>
        <v>After fix</v>
      </c>
      <c r="F243" s="31" t="n">
        <f aca="false">(C243-B243)*86400</f>
        <v>2.137000579</v>
      </c>
      <c r="G243" s="3" t="str">
        <f aca="false">IF(F243*1000&gt;Constants!$B$12,"Yes","No")</f>
        <v>Yes</v>
      </c>
      <c r="H243" s="3"/>
      <c r="I243" s="3"/>
      <c r="J243" s="3"/>
      <c r="K243" s="3"/>
      <c r="L243" s="3"/>
      <c r="M243" s="3"/>
      <c r="N243" s="3"/>
      <c r="O243" s="3"/>
    </row>
    <row r="244" customFormat="false" ht="15" hidden="false" customHeight="false" outlineLevel="0" collapsed="false">
      <c r="A244" s="27" t="n">
        <v>14</v>
      </c>
      <c r="B244" s="28" t="n">
        <v>46301.5233441435</v>
      </c>
      <c r="C244" s="28" t="n">
        <v>46301.523346956</v>
      </c>
      <c r="D244" s="32" t="n">
        <f aca="false">(B244-INDEX(Rounds!$C:$C,MATCH(A244,Rounds!$A:$A,0)))*86400</f>
        <v>44.672999996</v>
      </c>
      <c r="E244" s="3" t="str">
        <f aca="false">INDEX(Rounds!$F:$F,MATCH(A244,Rounds!$A:$A,0))</f>
        <v>After fix</v>
      </c>
      <c r="F244" s="31" t="n">
        <f aca="false">(C244-B244)*86400</f>
        <v>0.242999964</v>
      </c>
      <c r="G244" s="3" t="str">
        <f aca="false">IF(F244*1000&gt;Constants!$B$12,"Yes","No")</f>
        <v>No</v>
      </c>
      <c r="H244" s="3"/>
      <c r="I244" s="3"/>
      <c r="J244" s="3"/>
      <c r="K244" s="3"/>
      <c r="L244" s="3"/>
      <c r="M244" s="3"/>
      <c r="N244" s="3"/>
      <c r="O244" s="3"/>
    </row>
    <row r="245" customFormat="false" ht="15" hidden="false" customHeight="false" outlineLevel="0" collapsed="false">
      <c r="A245" s="27" t="n">
        <v>14</v>
      </c>
      <c r="B245" s="28" t="n">
        <v>46301.5233839699</v>
      </c>
      <c r="C245" s="28" t="n">
        <v>46301.5235199884</v>
      </c>
      <c r="D245" s="32" t="n">
        <f aca="false">(B245-INDEX(Rounds!$C:$C,MATCH(A245,Rounds!$A:$A,0)))*86400</f>
        <v>48.113999865</v>
      </c>
      <c r="E245" s="3" t="str">
        <f aca="false">INDEX(Rounds!$F:$F,MATCH(A245,Rounds!$A:$A,0))</f>
        <v>After fix</v>
      </c>
      <c r="F245" s="31" t="n">
        <f aca="false">(C245-B245)*86400</f>
        <v>11.752000101</v>
      </c>
      <c r="G245" s="3" t="str">
        <f aca="false">IF(F245*1000&gt;Constants!$B$12,"Yes","No")</f>
        <v>Yes</v>
      </c>
      <c r="H245" s="3"/>
      <c r="I245" s="3"/>
      <c r="J245" s="3"/>
      <c r="K245" s="3"/>
      <c r="L245" s="3"/>
      <c r="M245" s="3"/>
      <c r="N245" s="3"/>
      <c r="O245" s="3"/>
    </row>
    <row r="246" customFormat="false" ht="15" hidden="false" customHeight="false" outlineLevel="0" collapsed="false">
      <c r="A246" s="27" t="n">
        <v>14</v>
      </c>
      <c r="B246" s="28" t="n">
        <v>46301.5235257407</v>
      </c>
      <c r="C246" s="28" t="n">
        <v>46301.5235290857</v>
      </c>
      <c r="D246" s="32" t="n">
        <f aca="false">(B246-INDEX(Rounds!$C:$C,MATCH(A246,Rounds!$A:$A,0)))*86400</f>
        <v>60.362999886</v>
      </c>
      <c r="E246" s="3" t="str">
        <f aca="false">INDEX(Rounds!$F:$F,MATCH(A246,Rounds!$A:$A,0))</f>
        <v>After fix</v>
      </c>
      <c r="F246" s="31" t="n">
        <f aca="false">(C246-B246)*86400</f>
        <v>0.289000268</v>
      </c>
      <c r="G246" s="3" t="str">
        <f aca="false">IF(F246*1000&gt;Constants!$B$12,"Yes","No")</f>
        <v>No</v>
      </c>
      <c r="H246" s="3"/>
      <c r="I246" s="3"/>
      <c r="J246" s="3"/>
      <c r="K246" s="3"/>
      <c r="L246" s="3"/>
      <c r="M246" s="3"/>
      <c r="N246" s="3"/>
      <c r="O246" s="3"/>
    </row>
    <row r="247" customFormat="false" ht="15" hidden="false" customHeight="false" outlineLevel="0" collapsed="false">
      <c r="A247" s="27" t="n">
        <v>15</v>
      </c>
      <c r="B247" s="28" t="n">
        <v>46301.5236638542</v>
      </c>
      <c r="C247" s="28" t="n">
        <v>46301.5236664699</v>
      </c>
      <c r="D247" s="32" t="n">
        <f aca="false">(B247-INDEX(Rounds!$C:$C,MATCH(A247,Rounds!$A:$A,0)))*86400</f>
        <v>1.563000096</v>
      </c>
      <c r="E247" s="3" t="str">
        <f aca="false">INDEX(Rounds!$F:$F,MATCH(A247,Rounds!$A:$A,0))</f>
        <v>After fix</v>
      </c>
      <c r="F247" s="31" t="n">
        <f aca="false">(C247-B247)*86400</f>
        <v>0.22599895</v>
      </c>
      <c r="G247" s="3" t="str">
        <f aca="false">IF(F247*1000&gt;Constants!$B$12,"Yes","No")</f>
        <v>No</v>
      </c>
      <c r="H247" s="3"/>
      <c r="I247" s="3"/>
      <c r="J247" s="3"/>
      <c r="K247" s="3"/>
      <c r="L247" s="3"/>
      <c r="M247" s="3"/>
      <c r="N247" s="3"/>
      <c r="O247" s="3"/>
    </row>
    <row r="248" customFormat="false" ht="15" hidden="false" customHeight="false" outlineLevel="0" collapsed="false">
      <c r="A248" s="27" t="n">
        <v>15</v>
      </c>
      <c r="B248" s="28" t="n">
        <v>46301.5237118287</v>
      </c>
      <c r="C248" s="28" t="n">
        <v>46301.5237187269</v>
      </c>
      <c r="D248" s="32" t="n">
        <f aca="false">(B248-INDEX(Rounds!$C:$C,MATCH(A248,Rounds!$A:$A,0)))*86400</f>
        <v>5.707999365</v>
      </c>
      <c r="E248" s="3" t="str">
        <f aca="false">INDEX(Rounds!$F:$F,MATCH(A248,Rounds!$A:$A,0))</f>
        <v>After fix</v>
      </c>
      <c r="F248" s="31" t="n">
        <f aca="false">(C248-B248)*86400</f>
        <v>0.596000463</v>
      </c>
      <c r="G248" s="3" t="str">
        <f aca="false">IF(F248*1000&gt;Constants!$B$12,"Yes","No")</f>
        <v>No</v>
      </c>
      <c r="H248" s="3"/>
      <c r="I248" s="3"/>
      <c r="J248" s="3"/>
      <c r="K248" s="3"/>
      <c r="L248" s="3"/>
      <c r="M248" s="3"/>
      <c r="N248" s="3"/>
      <c r="O248" s="3"/>
    </row>
    <row r="249" customFormat="false" ht="15" hidden="false" customHeight="false" outlineLevel="0" collapsed="false">
      <c r="A249" s="27" t="n">
        <v>15</v>
      </c>
      <c r="B249" s="28" t="n">
        <v>46301.5237481944</v>
      </c>
      <c r="C249" s="28" t="n">
        <v>46301.523835081</v>
      </c>
      <c r="D249" s="32" t="n">
        <f aca="false">(B249-INDEX(Rounds!$C:$C,MATCH(A249,Rounds!$A:$A,0)))*86400</f>
        <v>8.849999774</v>
      </c>
      <c r="E249" s="3" t="str">
        <f aca="false">INDEX(Rounds!$F:$F,MATCH(A249,Rounds!$A:$A,0))</f>
        <v>After fix</v>
      </c>
      <c r="F249" s="31" t="n">
        <f aca="false">(C249-B249)*86400</f>
        <v>7.507000118</v>
      </c>
      <c r="G249" s="3" t="str">
        <f aca="false">IF(F249*1000&gt;Constants!$B$12,"Yes","No")</f>
        <v>Yes</v>
      </c>
      <c r="H249" s="3"/>
      <c r="I249" s="3"/>
      <c r="J249" s="3"/>
      <c r="K249" s="3"/>
      <c r="L249" s="3"/>
      <c r="M249" s="3"/>
      <c r="N249" s="3"/>
      <c r="O249" s="3"/>
    </row>
    <row r="250" customFormat="false" ht="15" hidden="false" customHeight="false" outlineLevel="0" collapsed="false">
      <c r="A250" s="27" t="n">
        <v>15</v>
      </c>
      <c r="B250" s="28" t="n">
        <v>46301.5238747917</v>
      </c>
      <c r="C250" s="28" t="n">
        <v>46301.5238770255</v>
      </c>
      <c r="D250" s="32" t="n">
        <f aca="false">(B250-INDEX(Rounds!$C:$C,MATCH(A250,Rounds!$A:$A,0)))*86400</f>
        <v>19.787999941</v>
      </c>
      <c r="E250" s="3" t="str">
        <f aca="false">INDEX(Rounds!$F:$F,MATCH(A250,Rounds!$A:$A,0))</f>
        <v>After fix</v>
      </c>
      <c r="F250" s="31" t="n">
        <f aca="false">(C250-B250)*86400</f>
        <v>0.193000864</v>
      </c>
      <c r="G250" s="3" t="str">
        <f aca="false">IF(F250*1000&gt;Constants!$B$12,"Yes","No")</f>
        <v>No</v>
      </c>
      <c r="H250" s="3"/>
      <c r="I250" s="3"/>
      <c r="J250" s="3"/>
      <c r="K250" s="3"/>
      <c r="L250" s="3"/>
      <c r="M250" s="3"/>
      <c r="N250" s="3"/>
      <c r="O250" s="3"/>
    </row>
    <row r="251" customFormat="false" ht="15" hidden="false" customHeight="false" outlineLevel="0" collapsed="false">
      <c r="A251" s="27" t="n">
        <v>15</v>
      </c>
      <c r="B251" s="28" t="n">
        <v>46301.5238840741</v>
      </c>
      <c r="C251" s="28" t="n">
        <v>46301.5238859259</v>
      </c>
      <c r="D251" s="32" t="n">
        <f aca="false">(B251-INDEX(Rounds!$C:$C,MATCH(A251,Rounds!$A:$A,0)))*86400</f>
        <v>20.589999714</v>
      </c>
      <c r="E251" s="3" t="str">
        <f aca="false">INDEX(Rounds!$F:$F,MATCH(A251,Rounds!$A:$A,0))</f>
        <v>After fix</v>
      </c>
      <c r="F251" s="31" t="n">
        <f aca="false">(C251-B251)*86400</f>
        <v>0.160000892</v>
      </c>
      <c r="G251" s="3" t="str">
        <f aca="false">IF(F251*1000&gt;Constants!$B$12,"Yes","No")</f>
        <v>No</v>
      </c>
      <c r="H251" s="3"/>
      <c r="I251" s="3"/>
      <c r="J251" s="3"/>
      <c r="K251" s="3"/>
      <c r="L251" s="3"/>
      <c r="M251" s="3"/>
      <c r="N251" s="3"/>
      <c r="O251" s="3"/>
    </row>
    <row r="252" customFormat="false" ht="15" hidden="false" customHeight="false" outlineLevel="0" collapsed="false">
      <c r="A252" s="27" t="n">
        <v>15</v>
      </c>
      <c r="B252" s="28" t="n">
        <v>46301.5239799769</v>
      </c>
      <c r="C252" s="28" t="n">
        <v>46301.523980544</v>
      </c>
      <c r="D252" s="32" t="n">
        <f aca="false">(B252-INDEX(Rounds!$C:$C,MATCH(A252,Rounds!$A:$A,0)))*86400</f>
        <v>28.876000083</v>
      </c>
      <c r="E252" s="3" t="str">
        <f aca="false">INDEX(Rounds!$F:$F,MATCH(A252,Rounds!$A:$A,0))</f>
        <v>After fix</v>
      </c>
      <c r="F252" s="31" t="n">
        <f aca="false">(C252-B252)*86400</f>
        <v>0.049000815</v>
      </c>
      <c r="G252" s="3" t="str">
        <f aca="false">IF(F252*1000&gt;Constants!$B$12,"Yes","No")</f>
        <v>No</v>
      </c>
      <c r="H252" s="3"/>
      <c r="I252" s="3"/>
      <c r="J252" s="3"/>
      <c r="K252" s="3"/>
      <c r="L252" s="3"/>
      <c r="M252" s="3"/>
      <c r="N252" s="3"/>
      <c r="O252" s="3"/>
    </row>
    <row r="253" customFormat="false" ht="15" hidden="false" customHeight="false" outlineLevel="0" collapsed="false">
      <c r="A253" s="27" t="n">
        <v>15</v>
      </c>
      <c r="B253" s="28" t="n">
        <v>46301.5239863194</v>
      </c>
      <c r="C253" s="28" t="n">
        <v>46301.5239881829</v>
      </c>
      <c r="D253" s="32" t="n">
        <f aca="false">(B253-INDEX(Rounds!$C:$C,MATCH(A253,Rounds!$A:$A,0)))*86400</f>
        <v>29.423999274</v>
      </c>
      <c r="E253" s="3" t="str">
        <f aca="false">INDEX(Rounds!$F:$F,MATCH(A253,Rounds!$A:$A,0))</f>
        <v>After fix</v>
      </c>
      <c r="F253" s="31" t="n">
        <f aca="false">(C253-B253)*86400</f>
        <v>0.161000434</v>
      </c>
      <c r="G253" s="3" t="str">
        <f aca="false">IF(F253*1000&gt;Constants!$B$12,"Yes","No")</f>
        <v>No</v>
      </c>
      <c r="H253" s="3"/>
      <c r="I253" s="3"/>
      <c r="J253" s="3"/>
      <c r="K253" s="3"/>
      <c r="L253" s="3"/>
      <c r="M253" s="3"/>
      <c r="N253" s="3"/>
      <c r="O253" s="3"/>
    </row>
    <row r="254" customFormat="false" ht="15" hidden="false" customHeight="false" outlineLevel="0" collapsed="false">
      <c r="A254" s="27" t="n">
        <v>15</v>
      </c>
      <c r="B254" s="28" t="n">
        <v>46301.524007581</v>
      </c>
      <c r="C254" s="28" t="n">
        <v>46301.5240094445</v>
      </c>
      <c r="D254" s="32" t="n">
        <f aca="false">(B254-INDEX(Rounds!$C:$C,MATCH(A254,Rounds!$A:$A,0)))*86400</f>
        <v>31.261000223</v>
      </c>
      <c r="E254" s="3" t="str">
        <f aca="false">INDEX(Rounds!$F:$F,MATCH(A254,Rounds!$A:$A,0))</f>
        <v>After fix</v>
      </c>
      <c r="F254" s="31" t="n">
        <f aca="false">(C254-B254)*86400</f>
        <v>0.161000434</v>
      </c>
      <c r="G254" s="3" t="str">
        <f aca="false">IF(F254*1000&gt;Constants!$B$12,"Yes","No")</f>
        <v>No</v>
      </c>
      <c r="H254" s="3"/>
      <c r="I254" s="3"/>
      <c r="J254" s="3"/>
      <c r="K254" s="3"/>
      <c r="L254" s="3"/>
      <c r="M254" s="3"/>
      <c r="N254" s="3"/>
      <c r="O254" s="3"/>
    </row>
    <row r="255" customFormat="false" ht="15" hidden="false" customHeight="false" outlineLevel="0" collapsed="false">
      <c r="A255" s="27" t="n">
        <v>15</v>
      </c>
      <c r="B255" s="28" t="n">
        <v>46301.5240500231</v>
      </c>
      <c r="C255" s="28" t="n">
        <v>46301.5240552315</v>
      </c>
      <c r="D255" s="32" t="n">
        <f aca="false">(B255-INDEX(Rounds!$C:$C,MATCH(A255,Rounds!$A:$A,0)))*86400</f>
        <v>34.927999041</v>
      </c>
      <c r="E255" s="3" t="str">
        <f aca="false">INDEX(Rounds!$F:$F,MATCH(A255,Rounds!$A:$A,0))</f>
        <v>After fix</v>
      </c>
      <c r="F255" s="31" t="n">
        <f aca="false">(C255-B255)*86400</f>
        <v>0.450000702</v>
      </c>
      <c r="G255" s="3" t="str">
        <f aca="false">IF(F255*1000&gt;Constants!$B$12,"Yes","No")</f>
        <v>No</v>
      </c>
      <c r="H255" s="3"/>
      <c r="I255" s="3"/>
      <c r="J255" s="3"/>
      <c r="K255" s="3"/>
      <c r="L255" s="3"/>
      <c r="M255" s="3"/>
      <c r="N255" s="3"/>
      <c r="O255" s="3"/>
    </row>
    <row r="256" customFormat="false" ht="15" hidden="false" customHeight="false" outlineLevel="0" collapsed="false">
      <c r="A256" s="27" t="n">
        <v>15</v>
      </c>
      <c r="B256" s="28" t="n">
        <v>46301.5240606482</v>
      </c>
      <c r="C256" s="28" t="n">
        <v>46301.5240699884</v>
      </c>
      <c r="D256" s="32" t="n">
        <f aca="false">(B256-INDEX(Rounds!$C:$C,MATCH(A256,Rounds!$A:$A,0)))*86400</f>
        <v>35.846000374</v>
      </c>
      <c r="E256" s="3" t="str">
        <f aca="false">INDEX(Rounds!$F:$F,MATCH(A256,Rounds!$A:$A,0))</f>
        <v>After fix</v>
      </c>
      <c r="F256" s="31" t="n">
        <f aca="false">(C256-B256)*86400</f>
        <v>0.806999369</v>
      </c>
      <c r="G256" s="3" t="str">
        <f aca="false">IF(F256*1000&gt;Constants!$B$12,"Yes","No")</f>
        <v>No</v>
      </c>
      <c r="H256" s="3"/>
      <c r="I256" s="3"/>
      <c r="J256" s="3"/>
      <c r="K256" s="3"/>
      <c r="L256" s="3"/>
      <c r="M256" s="3"/>
      <c r="N256" s="3"/>
      <c r="O256" s="3"/>
    </row>
    <row r="257" customFormat="false" ht="15" hidden="false" customHeight="false" outlineLevel="0" collapsed="false">
      <c r="A257" s="27" t="n">
        <v>15</v>
      </c>
      <c r="B257" s="28" t="n">
        <v>46301.5240781597</v>
      </c>
      <c r="C257" s="28" t="n">
        <v>46301.5240837269</v>
      </c>
      <c r="D257" s="32" t="n">
        <f aca="false">(B257-INDEX(Rounds!$C:$C,MATCH(A257,Rounds!$A:$A,0)))*86400</f>
        <v>37.358999485</v>
      </c>
      <c r="E257" s="3" t="str">
        <f aca="false">INDEX(Rounds!$F:$F,MATCH(A257,Rounds!$A:$A,0))</f>
        <v>After fix</v>
      </c>
      <c r="F257" s="31" t="n">
        <f aca="false">(C257-B257)*86400</f>
        <v>0.481000333</v>
      </c>
      <c r="G257" s="3" t="str">
        <f aca="false">IF(F257*1000&gt;Constants!$B$12,"Yes","No")</f>
        <v>No</v>
      </c>
      <c r="H257" s="3"/>
      <c r="I257" s="3"/>
      <c r="J257" s="3"/>
      <c r="K257" s="3"/>
      <c r="L257" s="3"/>
      <c r="M257" s="3"/>
      <c r="N257" s="3"/>
      <c r="O257" s="3"/>
    </row>
    <row r="258" customFormat="false" ht="15" hidden="false" customHeight="false" outlineLevel="0" collapsed="false">
      <c r="A258" s="27" t="n">
        <v>15</v>
      </c>
      <c r="B258" s="28" t="n">
        <v>46301.5240995255</v>
      </c>
      <c r="C258" s="28" t="n">
        <v>46301.5241002778</v>
      </c>
      <c r="D258" s="32" t="n">
        <f aca="false">(B258-INDEX(Rounds!$C:$C,MATCH(A258,Rounds!$A:$A,0)))*86400</f>
        <v>39.204999455</v>
      </c>
      <c r="E258" s="3" t="str">
        <f aca="false">INDEX(Rounds!$F:$F,MATCH(A258,Rounds!$A:$A,0))</f>
        <v>After fix</v>
      </c>
      <c r="F258" s="31" t="n">
        <f aca="false">(C258-B258)*86400</f>
        <v>0.065000401</v>
      </c>
      <c r="G258" s="3" t="str">
        <f aca="false">IF(F258*1000&gt;Constants!$B$12,"Yes","No")</f>
        <v>No</v>
      </c>
      <c r="H258" s="3"/>
      <c r="I258" s="3"/>
      <c r="J258" s="3"/>
      <c r="K258" s="3"/>
      <c r="L258" s="3"/>
      <c r="M258" s="3"/>
      <c r="N258" s="3"/>
      <c r="O258" s="3"/>
    </row>
    <row r="259" customFormat="false" ht="15" hidden="false" customHeight="false" outlineLevel="0" collapsed="false">
      <c r="A259" s="27" t="n">
        <v>15</v>
      </c>
      <c r="B259" s="28" t="n">
        <v>46301.5241056944</v>
      </c>
      <c r="C259" s="28" t="n">
        <v>46301.5241081134</v>
      </c>
      <c r="D259" s="32" t="n">
        <f aca="false">(B259-INDEX(Rounds!$C:$C,MATCH(A259,Rounds!$A:$A,0)))*86400</f>
        <v>39.737999858</v>
      </c>
      <c r="E259" s="3" t="str">
        <f aca="false">INDEX(Rounds!$F:$F,MATCH(A259,Rounds!$A:$A,0))</f>
        <v>After fix</v>
      </c>
      <c r="F259" s="31" t="n">
        <f aca="false">(C259-B259)*86400</f>
        <v>0.208999821</v>
      </c>
      <c r="G259" s="3" t="str">
        <f aca="false">IF(F259*1000&gt;Constants!$B$12,"Yes","No")</f>
        <v>No</v>
      </c>
      <c r="H259" s="3"/>
      <c r="I259" s="3"/>
      <c r="J259" s="3"/>
      <c r="K259" s="3"/>
      <c r="L259" s="3"/>
      <c r="M259" s="3"/>
      <c r="N259" s="3"/>
      <c r="O259" s="3"/>
    </row>
    <row r="260" customFormat="false" ht="15" hidden="false" customHeight="false" outlineLevel="0" collapsed="false">
      <c r="A260" s="27" t="n">
        <v>15</v>
      </c>
      <c r="B260" s="28" t="n">
        <v>46301.5241165162</v>
      </c>
      <c r="C260" s="28" t="n">
        <v>46301.5241168866</v>
      </c>
      <c r="D260" s="32" t="n">
        <f aca="false">(B260-INDEX(Rounds!$C:$C,MATCH(A260,Rounds!$A:$A,0)))*86400</f>
        <v>40.67299969</v>
      </c>
      <c r="E260" s="3" t="str">
        <f aca="false">INDEX(Rounds!$F:$F,MATCH(A260,Rounds!$A:$A,0))</f>
        <v>After fix</v>
      </c>
      <c r="F260" s="31" t="n">
        <f aca="false">(C260-B260)*86400</f>
        <v>0.032001058</v>
      </c>
      <c r="G260" s="3" t="str">
        <f aca="false">IF(F260*1000&gt;Constants!$B$12,"Yes","No")</f>
        <v>No</v>
      </c>
      <c r="H260" s="3"/>
      <c r="I260" s="3"/>
      <c r="J260" s="3"/>
      <c r="K260" s="3"/>
      <c r="L260" s="3"/>
      <c r="M260" s="3"/>
      <c r="N260" s="3"/>
      <c r="O260" s="3"/>
    </row>
    <row r="261" customFormat="false" ht="15" hidden="false" customHeight="false" outlineLevel="0" collapsed="false">
      <c r="A261" s="27" t="n">
        <v>15</v>
      </c>
      <c r="B261" s="28" t="n">
        <v>46301.5241367245</v>
      </c>
      <c r="C261" s="28" t="n">
        <v>46301.524138588</v>
      </c>
      <c r="D261" s="32" t="n">
        <f aca="false">(B261-INDEX(Rounds!$C:$C,MATCH(A261,Rounds!$A:$A,0)))*86400</f>
        <v>42.419000202</v>
      </c>
      <c r="E261" s="3" t="str">
        <f aca="false">INDEX(Rounds!$F:$F,MATCH(A261,Rounds!$A:$A,0))</f>
        <v>After fix</v>
      </c>
      <c r="F261" s="31" t="n">
        <f aca="false">(C261-B261)*86400</f>
        <v>0.160999805</v>
      </c>
      <c r="G261" s="3" t="str">
        <f aca="false">IF(F261*1000&gt;Constants!$B$12,"Yes","No")</f>
        <v>No</v>
      </c>
      <c r="H261" s="3"/>
      <c r="I261" s="3"/>
      <c r="J261" s="3"/>
      <c r="K261" s="3"/>
      <c r="L261" s="3"/>
      <c r="M261" s="3"/>
      <c r="N261" s="3"/>
      <c r="O261" s="3"/>
    </row>
    <row r="262" customFormat="false" ht="15" hidden="false" customHeight="false" outlineLevel="0" collapsed="false">
      <c r="A262" s="27" t="n">
        <v>15</v>
      </c>
      <c r="B262" s="28" t="n">
        <v>46301.5241699537</v>
      </c>
      <c r="C262" s="28" t="n">
        <v>46301.524181088</v>
      </c>
      <c r="D262" s="32" t="n">
        <f aca="false">(B262-INDEX(Rounds!$C:$C,MATCH(A262,Rounds!$A:$A,0)))*86400</f>
        <v>45.290000271</v>
      </c>
      <c r="E262" s="3" t="str">
        <f aca="false">INDEX(Rounds!$F:$F,MATCH(A262,Rounds!$A:$A,0))</f>
        <v>After fix</v>
      </c>
      <c r="F262" s="31" t="n">
        <f aca="false">(C262-B262)*86400</f>
        <v>0.961999408</v>
      </c>
      <c r="G262" s="3" t="str">
        <f aca="false">IF(F262*1000&gt;Constants!$B$12,"Yes","No")</f>
        <v>No</v>
      </c>
      <c r="H262" s="3"/>
      <c r="I262" s="3"/>
      <c r="J262" s="3"/>
      <c r="K262" s="3"/>
      <c r="L262" s="3"/>
      <c r="M262" s="3"/>
      <c r="N262" s="3"/>
      <c r="O262" s="3"/>
    </row>
    <row r="263" customFormat="false" ht="15" hidden="false" customHeight="false" outlineLevel="0" collapsed="false">
      <c r="A263" s="27" t="n">
        <v>15</v>
      </c>
      <c r="B263" s="28" t="n">
        <v>46301.5241862963</v>
      </c>
      <c r="C263" s="28" t="n">
        <v>46301.5241881597</v>
      </c>
      <c r="D263" s="32" t="n">
        <f aca="false">(B263-INDEX(Rounds!$C:$C,MATCH(A263,Rounds!$A:$A,0)))*86400</f>
        <v>46.701999125</v>
      </c>
      <c r="E263" s="3" t="str">
        <f aca="false">INDEX(Rounds!$F:$F,MATCH(A263,Rounds!$A:$A,0))</f>
        <v>After fix</v>
      </c>
      <c r="F263" s="31" t="n">
        <f aca="false">(C263-B263)*86400</f>
        <v>0.161000434</v>
      </c>
      <c r="G263" s="3" t="str">
        <f aca="false">IF(F263*1000&gt;Constants!$B$12,"Yes","No")</f>
        <v>No</v>
      </c>
      <c r="H263" s="3"/>
      <c r="I263" s="3"/>
      <c r="J263" s="3"/>
      <c r="K263" s="3"/>
      <c r="L263" s="3"/>
      <c r="M263" s="3"/>
      <c r="N263" s="3"/>
      <c r="O263" s="3"/>
    </row>
    <row r="264" customFormat="false" ht="15" hidden="false" customHeight="false" outlineLevel="0" collapsed="false">
      <c r="A264" s="27" t="n">
        <v>15</v>
      </c>
      <c r="B264" s="28" t="n">
        <v>46301.5241933333</v>
      </c>
      <c r="C264" s="28" t="n">
        <v>46301.5241946412</v>
      </c>
      <c r="D264" s="32" t="n">
        <f aca="false">(B264-INDEX(Rounds!$C:$C,MATCH(A264,Rounds!$A:$A,0)))*86400</f>
        <v>47.309999749</v>
      </c>
      <c r="E264" s="3" t="str">
        <f aca="false">INDEX(Rounds!$F:$F,MATCH(A264,Rounds!$A:$A,0))</f>
        <v>After fix</v>
      </c>
      <c r="F264" s="31" t="n">
        <f aca="false">(C264-B264)*86400</f>
        <v>0.113001046</v>
      </c>
      <c r="G264" s="3" t="str">
        <f aca="false">IF(F264*1000&gt;Constants!$B$12,"Yes","No")</f>
        <v>No</v>
      </c>
      <c r="H264" s="3"/>
      <c r="I264" s="3"/>
      <c r="J264" s="3"/>
      <c r="K264" s="3"/>
      <c r="L264" s="3"/>
      <c r="M264" s="3"/>
      <c r="N264" s="3"/>
      <c r="O264" s="3"/>
    </row>
    <row r="265" customFormat="false" ht="15" hidden="false" customHeight="false" outlineLevel="0" collapsed="false">
      <c r="A265" s="27" t="n">
        <v>15</v>
      </c>
      <c r="B265" s="28" t="n">
        <v>46301.5242212847</v>
      </c>
      <c r="C265" s="28" t="n">
        <v>46301.5242330324</v>
      </c>
      <c r="D265" s="32" t="n">
        <f aca="false">(B265-INDEX(Rounds!$C:$C,MATCH(A265,Rounds!$A:$A,0)))*86400</f>
        <v>49.724999978</v>
      </c>
      <c r="E265" s="3" t="str">
        <f aca="false">INDEX(Rounds!$F:$F,MATCH(A265,Rounds!$A:$A,0))</f>
        <v>After fix</v>
      </c>
      <c r="F265" s="31" t="n">
        <f aca="false">(C265-B265)*86400</f>
        <v>1.015000278</v>
      </c>
      <c r="G265" s="3" t="str">
        <f aca="false">IF(F265*1000&gt;Constants!$B$12,"Yes","No")</f>
        <v>Yes</v>
      </c>
      <c r="H265" s="3"/>
      <c r="I265" s="3"/>
      <c r="J265" s="3"/>
      <c r="K265" s="3"/>
      <c r="L265" s="3"/>
      <c r="M265" s="3"/>
      <c r="N265" s="3"/>
      <c r="O265" s="3"/>
    </row>
    <row r="266" customFormat="false" ht="15" hidden="false" customHeight="false" outlineLevel="0" collapsed="false">
      <c r="A266" s="27" t="n">
        <v>15</v>
      </c>
      <c r="B266" s="28" t="n">
        <v>46301.5242654282</v>
      </c>
      <c r="C266" s="28" t="n">
        <v>46301.5242706482</v>
      </c>
      <c r="D266" s="32" t="n">
        <f aca="false">(B266-INDEX(Rounds!$C:$C,MATCH(A266,Rounds!$A:$A,0)))*86400</f>
        <v>53.538999985</v>
      </c>
      <c r="E266" s="3" t="str">
        <f aca="false">INDEX(Rounds!$F:$F,MATCH(A266,Rounds!$A:$A,0))</f>
        <v>After fix</v>
      </c>
      <c r="F266" s="31" t="n">
        <f aca="false">(C266-B266)*86400</f>
        <v>0.451000244</v>
      </c>
      <c r="G266" s="3" t="str">
        <f aca="false">IF(F266*1000&gt;Constants!$B$12,"Yes","No")</f>
        <v>No</v>
      </c>
      <c r="H266" s="3"/>
      <c r="I266" s="3"/>
      <c r="J266" s="3"/>
      <c r="K266" s="3"/>
      <c r="L266" s="3"/>
      <c r="M266" s="3"/>
      <c r="N266" s="3"/>
      <c r="O266" s="3"/>
    </row>
    <row r="267" customFormat="false" ht="15" hidden="false" customHeight="false" outlineLevel="0" collapsed="false">
      <c r="A267" s="27" t="n">
        <v>15</v>
      </c>
      <c r="B267" s="28" t="n">
        <v>46301.5243071644</v>
      </c>
      <c r="C267" s="28" t="n">
        <v>46301.5243152199</v>
      </c>
      <c r="D267" s="32" t="n">
        <f aca="false">(B267-INDEX(Rounds!$C:$C,MATCH(A267,Rounds!$A:$A,0)))*86400</f>
        <v>57.144999713</v>
      </c>
      <c r="E267" s="3" t="str">
        <f aca="false">INDEX(Rounds!$F:$F,MATCH(A267,Rounds!$A:$A,0))</f>
        <v>After fix</v>
      </c>
      <c r="F267" s="31" t="n">
        <f aca="false">(C267-B267)*86400</f>
        <v>0.696000549</v>
      </c>
      <c r="G267" s="3" t="str">
        <f aca="false">IF(F267*1000&gt;Constants!$B$12,"Yes","No")</f>
        <v>No</v>
      </c>
      <c r="H267" s="3"/>
      <c r="I267" s="3"/>
      <c r="J267" s="3"/>
      <c r="K267" s="3"/>
      <c r="L267" s="3"/>
      <c r="M267" s="3"/>
      <c r="N267" s="3"/>
      <c r="O267" s="3"/>
    </row>
    <row r="268" customFormat="false" ht="15" hidden="false" customHeight="false" outlineLevel="0" collapsed="false">
      <c r="A268" s="27" t="n">
        <v>15</v>
      </c>
      <c r="B268" s="28" t="n">
        <v>46301.5243422338</v>
      </c>
      <c r="C268" s="28" t="n">
        <v>46301.5243459838</v>
      </c>
      <c r="D268" s="32" t="n">
        <f aca="false">(B268-INDEX(Rounds!$C:$C,MATCH(A268,Rounds!$A:$A,0)))*86400</f>
        <v>60.175000503</v>
      </c>
      <c r="E268" s="3" t="str">
        <f aca="false">INDEX(Rounds!$F:$F,MATCH(A268,Rounds!$A:$A,0))</f>
        <v>After fix</v>
      </c>
      <c r="F268" s="31" t="n">
        <f aca="false">(C268-B268)*86400</f>
        <v>0.323998695</v>
      </c>
      <c r="G268" s="3" t="str">
        <f aca="false">IF(F268*1000&gt;Constants!$B$12,"Yes","No")</f>
        <v>No</v>
      </c>
      <c r="H268" s="3"/>
      <c r="I268" s="3"/>
      <c r="J268" s="3"/>
      <c r="K268" s="3"/>
      <c r="L268" s="3"/>
      <c r="M268" s="3"/>
      <c r="N268" s="3"/>
      <c r="O268" s="3"/>
    </row>
    <row r="269" customFormat="false" ht="15" hidden="false" customHeight="false" outlineLevel="0" collapsed="false">
      <c r="A269" s="27" t="n">
        <v>15</v>
      </c>
      <c r="B269" s="28" t="n">
        <v>46301.5243738889</v>
      </c>
      <c r="C269" s="28" t="n">
        <v>46301.524374456</v>
      </c>
      <c r="D269" s="32" t="n">
        <f aca="false">(B269-INDEX(Rounds!$C:$C,MATCH(A269,Rounds!$A:$A,0)))*86400</f>
        <v>62.910000002</v>
      </c>
      <c r="E269" s="3" t="str">
        <f aca="false">INDEX(Rounds!$F:$F,MATCH(A269,Rounds!$A:$A,0))</f>
        <v>After fix</v>
      </c>
      <c r="F269" s="31" t="n">
        <f aca="false">(C269-B269)*86400</f>
        <v>0.049000186</v>
      </c>
      <c r="G269" s="3" t="str">
        <f aca="false">IF(F269*1000&gt;Constants!$B$12,"Yes","No")</f>
        <v>No</v>
      </c>
      <c r="H269" s="3"/>
      <c r="I269" s="3"/>
      <c r="J269" s="3"/>
      <c r="K269" s="3"/>
      <c r="L269" s="3"/>
      <c r="M269" s="3"/>
      <c r="N269" s="3"/>
      <c r="O269" s="3"/>
    </row>
    <row r="270" customFormat="false" ht="15" hidden="false" customHeight="false" outlineLevel="0" collapsed="false">
      <c r="A270" s="27" t="n">
        <v>15</v>
      </c>
      <c r="B270" s="28" t="n">
        <v>46301.5244036921</v>
      </c>
      <c r="C270" s="28" t="n">
        <v>46301.5244098495</v>
      </c>
      <c r="D270" s="32" t="n">
        <f aca="false">(B270-INDEX(Rounds!$C:$C,MATCH(A270,Rounds!$A:$A,0)))*86400</f>
        <v>65.484999865</v>
      </c>
      <c r="E270" s="3" t="str">
        <f aca="false">INDEX(Rounds!$F:$F,MATCH(A270,Rounds!$A:$A,0))</f>
        <v>After fix</v>
      </c>
      <c r="F270" s="31" t="n">
        <f aca="false">(C270-B270)*86400</f>
        <v>0.532000232</v>
      </c>
      <c r="G270" s="3" t="str">
        <f aca="false">IF(F270*1000&gt;Constants!$B$12,"Yes","No")</f>
        <v>No</v>
      </c>
      <c r="H270" s="3"/>
      <c r="I270" s="3"/>
      <c r="J270" s="3"/>
      <c r="K270" s="3"/>
      <c r="L270" s="3"/>
      <c r="M270" s="3"/>
      <c r="N270" s="3"/>
      <c r="O270" s="3"/>
    </row>
    <row r="271" customFormat="false" ht="15" hidden="false" customHeight="false" outlineLevel="0" collapsed="false">
      <c r="A271" s="27" t="n">
        <v>15</v>
      </c>
      <c r="B271" s="28" t="n">
        <v>46301.5244167361</v>
      </c>
      <c r="C271" s="28" t="n">
        <v>46301.5244239931</v>
      </c>
      <c r="D271" s="32" t="n">
        <f aca="false">(B271-INDEX(Rounds!$C:$C,MATCH(A271,Rounds!$A:$A,0)))*86400</f>
        <v>66.611999762</v>
      </c>
      <c r="E271" s="3" t="str">
        <f aca="false">INDEX(Rounds!$F:$F,MATCH(A271,Rounds!$A:$A,0))</f>
        <v>After fix</v>
      </c>
      <c r="F271" s="31" t="n">
        <f aca="false">(C271-B271)*86400</f>
        <v>0.626999465</v>
      </c>
      <c r="G271" s="3" t="str">
        <f aca="false">IF(F271*1000&gt;Constants!$B$12,"Yes","No")</f>
        <v>No</v>
      </c>
      <c r="H271" s="3"/>
      <c r="I271" s="3"/>
      <c r="J271" s="3"/>
      <c r="K271" s="3"/>
      <c r="L271" s="3"/>
      <c r="M271" s="3"/>
      <c r="N271" s="3"/>
      <c r="O271" s="3"/>
    </row>
    <row r="272" customFormat="false" ht="15" hidden="false" customHeight="false" outlineLevel="0" collapsed="false">
      <c r="A272" s="27" t="n">
        <v>15</v>
      </c>
      <c r="B272" s="28" t="n">
        <v>46301.5244333333</v>
      </c>
      <c r="C272" s="28" t="n">
        <v>46301.5244426505</v>
      </c>
      <c r="D272" s="32" t="n">
        <f aca="false">(B272-INDEX(Rounds!$C:$C,MATCH(A272,Rounds!$A:$A,0)))*86400</f>
        <v>68.045999854</v>
      </c>
      <c r="E272" s="3" t="str">
        <f aca="false">INDEX(Rounds!$F:$F,MATCH(A272,Rounds!$A:$A,0))</f>
        <v>After fix</v>
      </c>
      <c r="F272" s="31" t="n">
        <f aca="false">(C272-B272)*86400</f>
        <v>0.805000914</v>
      </c>
      <c r="G272" s="3" t="str">
        <f aca="false">IF(F272*1000&gt;Constants!$B$12,"Yes","No")</f>
        <v>No</v>
      </c>
      <c r="H272" s="3"/>
      <c r="I272" s="3"/>
      <c r="J272" s="3"/>
      <c r="K272" s="3"/>
      <c r="L272" s="3"/>
      <c r="M272" s="3"/>
      <c r="N272" s="3"/>
      <c r="O272" s="3"/>
    </row>
    <row r="273" customFormat="false" ht="15" hidden="false" customHeight="false" outlineLevel="0" collapsed="false">
      <c r="A273" s="27" t="n">
        <v>15</v>
      </c>
      <c r="B273" s="28" t="n">
        <v>46301.5244512269</v>
      </c>
      <c r="C273" s="28" t="n">
        <v>46301.5244672338</v>
      </c>
      <c r="D273" s="32" t="n">
        <f aca="false">(B273-INDEX(Rounds!$C:$C,MATCH(A273,Rounds!$A:$A,0)))*86400</f>
        <v>69.591999566</v>
      </c>
      <c r="E273" s="3" t="str">
        <f aca="false">INDEX(Rounds!$F:$F,MATCH(A273,Rounds!$A:$A,0))</f>
        <v>After fix</v>
      </c>
      <c r="F273" s="31" t="n">
        <f aca="false">(C273-B273)*86400</f>
        <v>1.382999564</v>
      </c>
      <c r="G273" s="3" t="str">
        <f aca="false">IF(F273*1000&gt;Constants!$B$12,"Yes","No")</f>
        <v>Yes</v>
      </c>
      <c r="H273" s="3"/>
      <c r="I273" s="3"/>
      <c r="J273" s="3"/>
      <c r="K273" s="3"/>
      <c r="L273" s="3"/>
      <c r="M273" s="3"/>
      <c r="N273" s="3"/>
      <c r="O273" s="3"/>
    </row>
    <row r="274" customFormat="false" ht="15" hidden="false" customHeight="false" outlineLevel="0" collapsed="false">
      <c r="A274" s="27" t="n">
        <v>16</v>
      </c>
      <c r="B274" s="28" t="n">
        <v>46301.5246603357</v>
      </c>
      <c r="C274" s="28" t="n">
        <v>46301.5246707755</v>
      </c>
      <c r="D274" s="32" t="n">
        <f aca="false">(B274-INDEX(Rounds!$C:$C,MATCH(A274,Rounds!$A:$A,0)))*86400</f>
        <v>9.635999961</v>
      </c>
      <c r="E274" s="3" t="str">
        <f aca="false">INDEX(Rounds!$F:$F,MATCH(A274,Rounds!$A:$A,0))</f>
        <v>After fix</v>
      </c>
      <c r="F274" s="31" t="n">
        <f aca="false">(C274-B274)*86400</f>
        <v>0.90199986</v>
      </c>
      <c r="G274" s="3" t="str">
        <f aca="false">IF(F274*1000&gt;Constants!$B$12,"Yes","No")</f>
        <v>No</v>
      </c>
      <c r="H274" s="3"/>
      <c r="I274" s="3"/>
      <c r="J274" s="3"/>
      <c r="K274" s="3"/>
      <c r="L274" s="3"/>
      <c r="M274" s="3"/>
      <c r="N274" s="3"/>
      <c r="O274" s="3"/>
    </row>
    <row r="275" customFormat="false" ht="15" hidden="false" customHeight="false" outlineLevel="0" collapsed="false">
      <c r="A275" s="27" t="n">
        <v>16</v>
      </c>
      <c r="B275" s="28" t="n">
        <v>46301.5247207523</v>
      </c>
      <c r="C275" s="28" t="n">
        <v>46301.524724456</v>
      </c>
      <c r="D275" s="32" t="n">
        <f aca="false">(B275-INDEX(Rounds!$C:$C,MATCH(A275,Rounds!$A:$A,0)))*86400</f>
        <v>14.855999685</v>
      </c>
      <c r="E275" s="3" t="str">
        <f aca="false">INDEX(Rounds!$F:$F,MATCH(A275,Rounds!$A:$A,0))</f>
        <v>After fix</v>
      </c>
      <c r="F275" s="31" t="n">
        <f aca="false">(C275-B275)*86400</f>
        <v>0.320000527</v>
      </c>
      <c r="G275" s="3" t="str">
        <f aca="false">IF(F275*1000&gt;Constants!$B$12,"Yes","No")</f>
        <v>No</v>
      </c>
      <c r="H275" s="3"/>
      <c r="I275" s="3"/>
      <c r="J275" s="3"/>
      <c r="K275" s="3"/>
      <c r="L275" s="3"/>
      <c r="M275" s="3"/>
      <c r="N275" s="3"/>
      <c r="O275" s="3"/>
    </row>
    <row r="276" customFormat="false" ht="15" hidden="false" customHeight="false" outlineLevel="0" collapsed="false">
      <c r="A276" s="27" t="n">
        <v>16</v>
      </c>
      <c r="B276" s="28" t="n">
        <v>46301.5247311921</v>
      </c>
      <c r="C276" s="28" t="n">
        <v>46301.5247321296</v>
      </c>
      <c r="D276" s="32" t="n">
        <f aca="false">(B276-INDEX(Rounds!$C:$C,MATCH(A276,Rounds!$A:$A,0)))*86400</f>
        <v>15.757999545</v>
      </c>
      <c r="E276" s="3" t="str">
        <f aca="false">INDEX(Rounds!$F:$F,MATCH(A276,Rounds!$A:$A,0))</f>
        <v>After fix</v>
      </c>
      <c r="F276" s="31" t="n">
        <f aca="false">(C276-B276)*86400</f>
        <v>0.080999988</v>
      </c>
      <c r="G276" s="3" t="str">
        <f aca="false">IF(F276*1000&gt;Constants!$B$12,"Yes","No")</f>
        <v>No</v>
      </c>
      <c r="H276" s="3"/>
      <c r="I276" s="3"/>
      <c r="J276" s="3"/>
      <c r="K276" s="3"/>
      <c r="L276" s="3"/>
      <c r="M276" s="3"/>
      <c r="N276" s="3"/>
      <c r="O276" s="3"/>
    </row>
    <row r="277" customFormat="false" ht="15" hidden="false" customHeight="false" outlineLevel="0" collapsed="false">
      <c r="A277" s="27" t="n">
        <v>16</v>
      </c>
      <c r="B277" s="28" t="n">
        <v>46301.5247596528</v>
      </c>
      <c r="C277" s="28" t="n">
        <v>46301.5247609491</v>
      </c>
      <c r="D277" s="32" t="n">
        <f aca="false">(B277-INDEX(Rounds!$C:$C,MATCH(A277,Rounds!$A:$A,0)))*86400</f>
        <v>18.216999736</v>
      </c>
      <c r="E277" s="3" t="str">
        <f aca="false">INDEX(Rounds!$F:$F,MATCH(A277,Rounds!$A:$A,0))</f>
        <v>After fix</v>
      </c>
      <c r="F277" s="31" t="n">
        <f aca="false">(C277-B277)*86400</f>
        <v>0.112000876</v>
      </c>
      <c r="G277" s="3" t="str">
        <f aca="false">IF(F277*1000&gt;Constants!$B$12,"Yes","No")</f>
        <v>No</v>
      </c>
      <c r="H277" s="3"/>
      <c r="I277" s="3"/>
      <c r="J277" s="3"/>
      <c r="K277" s="3"/>
      <c r="L277" s="3"/>
      <c r="M277" s="3"/>
      <c r="N277" s="3"/>
      <c r="O277" s="3"/>
    </row>
    <row r="278" customFormat="false" ht="15" hidden="false" customHeight="false" outlineLevel="0" collapsed="false">
      <c r="A278" s="27" t="n">
        <v>16</v>
      </c>
      <c r="B278" s="28" t="n">
        <v>46301.5247665278</v>
      </c>
      <c r="C278" s="28" t="n">
        <v>46301.5247728357</v>
      </c>
      <c r="D278" s="32" t="n">
        <f aca="false">(B278-INDEX(Rounds!$C:$C,MATCH(A278,Rounds!$A:$A,0)))*86400</f>
        <v>18.810999859</v>
      </c>
      <c r="E278" s="3" t="str">
        <f aca="false">INDEX(Rounds!$F:$F,MATCH(A278,Rounds!$A:$A,0))</f>
        <v>After fix</v>
      </c>
      <c r="F278" s="31" t="n">
        <f aca="false">(C278-B278)*86400</f>
        <v>0.544999935</v>
      </c>
      <c r="G278" s="3" t="str">
        <f aca="false">IF(F278*1000&gt;Constants!$B$12,"Yes","No")</f>
        <v>No</v>
      </c>
      <c r="H278" s="3"/>
      <c r="I278" s="3"/>
      <c r="J278" s="3"/>
      <c r="K278" s="3"/>
      <c r="L278" s="3"/>
      <c r="M278" s="3"/>
      <c r="N278" s="3"/>
      <c r="O278" s="3"/>
    </row>
    <row r="279" customFormat="false" ht="15" hidden="false" customHeight="false" outlineLevel="0" collapsed="false">
      <c r="A279" s="27" t="n">
        <v>16</v>
      </c>
      <c r="B279" s="28" t="n">
        <v>46301.5248009607</v>
      </c>
      <c r="C279" s="28" t="n">
        <v>46301.5248063657</v>
      </c>
      <c r="D279" s="32" t="n">
        <f aca="false">(B279-INDEX(Rounds!$C:$C,MATCH(A279,Rounds!$A:$A,0)))*86400</f>
        <v>21.786000067</v>
      </c>
      <c r="E279" s="3" t="str">
        <f aca="false">INDEX(Rounds!$F:$F,MATCH(A279,Rounds!$A:$A,0))</f>
        <v>After fix</v>
      </c>
      <c r="F279" s="31" t="n">
        <f aca="false">(C279-B279)*86400</f>
        <v>0.46699983</v>
      </c>
      <c r="G279" s="3" t="str">
        <f aca="false">IF(F279*1000&gt;Constants!$B$12,"Yes","No")</f>
        <v>No</v>
      </c>
      <c r="H279" s="3"/>
      <c r="I279" s="3"/>
      <c r="J279" s="3"/>
      <c r="K279" s="3"/>
      <c r="L279" s="3"/>
      <c r="M279" s="3"/>
      <c r="N279" s="3"/>
      <c r="O279" s="3"/>
    </row>
    <row r="280" customFormat="false" ht="15" hidden="false" customHeight="false" outlineLevel="0" collapsed="false">
      <c r="A280" s="27" t="n">
        <v>16</v>
      </c>
      <c r="B280" s="28" t="n">
        <v>46301.5248456713</v>
      </c>
      <c r="C280" s="28" t="n">
        <v>46301.5248516204</v>
      </c>
      <c r="D280" s="32" t="n">
        <f aca="false">(B280-INDEX(Rounds!$C:$C,MATCH(A280,Rounds!$A:$A,0)))*86400</f>
        <v>25.648999004</v>
      </c>
      <c r="E280" s="3" t="str">
        <f aca="false">INDEX(Rounds!$F:$F,MATCH(A280,Rounds!$A:$A,0))</f>
        <v>After fix</v>
      </c>
      <c r="F280" s="31" t="n">
        <f aca="false">(C280-B280)*86400</f>
        <v>0.514000933</v>
      </c>
      <c r="G280" s="3" t="str">
        <f aca="false">IF(F280*1000&gt;Constants!$B$12,"Yes","No")</f>
        <v>No</v>
      </c>
      <c r="H280" s="3"/>
      <c r="I280" s="3"/>
      <c r="J280" s="3"/>
      <c r="K280" s="3"/>
      <c r="L280" s="3"/>
      <c r="M280" s="3"/>
      <c r="N280" s="3"/>
      <c r="O280" s="3"/>
    </row>
    <row r="281" customFormat="false" ht="15" hidden="false" customHeight="false" outlineLevel="0" collapsed="false">
      <c r="A281" s="27" t="n">
        <v>16</v>
      </c>
      <c r="B281" s="28" t="n">
        <v>46301.5248572454</v>
      </c>
      <c r="C281" s="28" t="n">
        <v>46301.5248577894</v>
      </c>
      <c r="D281" s="32" t="n">
        <f aca="false">(B281-INDEX(Rounds!$C:$C,MATCH(A281,Rounds!$A:$A,0)))*86400</f>
        <v>26.648999867</v>
      </c>
      <c r="E281" s="3" t="str">
        <f aca="false">INDEX(Rounds!$F:$F,MATCH(A281,Rounds!$A:$A,0))</f>
        <v>After fix</v>
      </c>
      <c r="F281" s="31" t="n">
        <f aca="false">(C281-B281)*86400</f>
        <v>0.046999845</v>
      </c>
      <c r="G281" s="3" t="str">
        <f aca="false">IF(F281*1000&gt;Constants!$B$12,"Yes","No")</f>
        <v>No</v>
      </c>
      <c r="H281" s="3"/>
      <c r="I281" s="3"/>
      <c r="J281" s="3"/>
      <c r="K281" s="3"/>
      <c r="L281" s="3"/>
      <c r="M281" s="3"/>
      <c r="N281" s="3"/>
      <c r="O281" s="3"/>
    </row>
    <row r="282" customFormat="false" ht="15" hidden="false" customHeight="false" outlineLevel="0" collapsed="false">
      <c r="A282" s="27" t="n">
        <v>16</v>
      </c>
      <c r="B282" s="28" t="n">
        <v>46301.5248963542</v>
      </c>
      <c r="C282" s="28" t="n">
        <v>46301.5248984028</v>
      </c>
      <c r="D282" s="32" t="n">
        <f aca="false">(B282-INDEX(Rounds!$C:$C,MATCH(A282,Rounds!$A:$A,0)))*86400</f>
        <v>30.027999845</v>
      </c>
      <c r="E282" s="3" t="str">
        <f aca="false">INDEX(Rounds!$F:$F,MATCH(A282,Rounds!$A:$A,0))</f>
        <v>After fix</v>
      </c>
      <c r="F282" s="31" t="n">
        <f aca="false">(C282-B282)*86400</f>
        <v>0.17700002</v>
      </c>
      <c r="G282" s="3" t="str">
        <f aca="false">IF(F282*1000&gt;Constants!$B$12,"Yes","No")</f>
        <v>No</v>
      </c>
      <c r="H282" s="3"/>
      <c r="I282" s="3"/>
      <c r="J282" s="3"/>
      <c r="K282" s="3"/>
      <c r="L282" s="3"/>
      <c r="M282" s="3"/>
      <c r="N282" s="3"/>
      <c r="O282" s="3"/>
    </row>
    <row r="283" customFormat="false" ht="15" hidden="false" customHeight="false" outlineLevel="0" collapsed="false">
      <c r="A283" s="27" t="n">
        <v>16</v>
      </c>
      <c r="B283" s="28" t="n">
        <v>46301.5249042245</v>
      </c>
      <c r="C283" s="28" t="n">
        <v>46301.5249045949</v>
      </c>
      <c r="D283" s="32" t="n">
        <f aca="false">(B283-INDEX(Rounds!$C:$C,MATCH(A283,Rounds!$A:$A,0)))*86400</f>
        <v>30.707998923</v>
      </c>
      <c r="E283" s="3" t="str">
        <f aca="false">INDEX(Rounds!$F:$F,MATCH(A283,Rounds!$A:$A,0))</f>
        <v>After fix</v>
      </c>
      <c r="F283" s="31" t="n">
        <f aca="false">(C283-B283)*86400</f>
        <v>0.032001058</v>
      </c>
      <c r="G283" s="3" t="str">
        <f aca="false">IF(F283*1000&gt;Constants!$B$12,"Yes","No")</f>
        <v>No</v>
      </c>
      <c r="H283" s="3"/>
      <c r="I283" s="3"/>
      <c r="J283" s="3"/>
      <c r="K283" s="3"/>
      <c r="L283" s="3"/>
      <c r="M283" s="3"/>
      <c r="N283" s="3"/>
      <c r="O283" s="3"/>
    </row>
    <row r="284" customFormat="false" ht="15" hidden="false" customHeight="false" outlineLevel="0" collapsed="false">
      <c r="A284" s="27" t="n">
        <v>16</v>
      </c>
      <c r="B284" s="28" t="n">
        <v>46301.5249393056</v>
      </c>
      <c r="C284" s="28" t="n">
        <v>46301.5249398727</v>
      </c>
      <c r="D284" s="32" t="n">
        <f aca="false">(B284-INDEX(Rounds!$C:$C,MATCH(A284,Rounds!$A:$A,0)))*86400</f>
        <v>33.738999883</v>
      </c>
      <c r="E284" s="3" t="str">
        <f aca="false">INDEX(Rounds!$F:$F,MATCH(A284,Rounds!$A:$A,0))</f>
        <v>After fix</v>
      </c>
      <c r="F284" s="31" t="n">
        <f aca="false">(C284-B284)*86400</f>
        <v>0.049000186</v>
      </c>
      <c r="G284" s="3" t="str">
        <f aca="false">IF(F284*1000&gt;Constants!$B$12,"Yes","No")</f>
        <v>No</v>
      </c>
      <c r="H284" s="3"/>
      <c r="I284" s="3"/>
      <c r="J284" s="3"/>
      <c r="K284" s="3"/>
      <c r="L284" s="3"/>
      <c r="M284" s="3"/>
      <c r="N284" s="3"/>
      <c r="O284" s="3"/>
    </row>
    <row r="285" customFormat="false" ht="15" hidden="false" customHeight="false" outlineLevel="0" collapsed="false">
      <c r="A285" s="27" t="n">
        <v>16</v>
      </c>
      <c r="B285" s="28" t="n">
        <v>46301.5249897107</v>
      </c>
      <c r="C285" s="28" t="n">
        <v>46301.5249904514</v>
      </c>
      <c r="D285" s="32" t="n">
        <f aca="false">(B285-INDEX(Rounds!$C:$C,MATCH(A285,Rounds!$A:$A,0)))*86400</f>
        <v>38.093999773</v>
      </c>
      <c r="E285" s="3" t="str">
        <f aca="false">INDEX(Rounds!$F:$F,MATCH(A285,Rounds!$A:$A,0))</f>
        <v>After fix</v>
      </c>
      <c r="F285" s="31" t="n">
        <f aca="false">(C285-B285)*86400</f>
        <v>0.064000231</v>
      </c>
      <c r="G285" s="3" t="str">
        <f aca="false">IF(F285*1000&gt;Constants!$B$12,"Yes","No")</f>
        <v>No</v>
      </c>
      <c r="H285" s="3"/>
      <c r="I285" s="3"/>
      <c r="J285" s="3"/>
      <c r="K285" s="3"/>
      <c r="L285" s="3"/>
      <c r="M285" s="3"/>
      <c r="N285" s="3"/>
      <c r="O285" s="3"/>
    </row>
    <row r="286" customFormat="false" ht="15" hidden="false" customHeight="false" outlineLevel="0" collapsed="false">
      <c r="A286" s="27" t="n">
        <v>16</v>
      </c>
      <c r="B286" s="28" t="n">
        <v>46301.5250105787</v>
      </c>
      <c r="C286" s="28" t="n">
        <v>46301.5250163542</v>
      </c>
      <c r="D286" s="32" t="n">
        <f aca="false">(B286-INDEX(Rounds!$C:$C,MATCH(A286,Rounds!$A:$A,0)))*86400</f>
        <v>39.89700058</v>
      </c>
      <c r="E286" s="3" t="str">
        <f aca="false">INDEX(Rounds!$F:$F,MATCH(A286,Rounds!$A:$A,0))</f>
        <v>After fix</v>
      </c>
      <c r="F286" s="31" t="n">
        <f aca="false">(C286-B286)*86400</f>
        <v>0.498998374</v>
      </c>
      <c r="G286" s="3" t="str">
        <f aca="false">IF(F286*1000&gt;Constants!$B$12,"Yes","No")</f>
        <v>No</v>
      </c>
      <c r="H286" s="3"/>
      <c r="I286" s="3"/>
      <c r="J286" s="3"/>
      <c r="K286" s="3"/>
      <c r="L286" s="3"/>
      <c r="M286" s="3"/>
      <c r="N286" s="3"/>
      <c r="O286" s="3"/>
    </row>
    <row r="287" customFormat="false" ht="15" hidden="false" customHeight="false" outlineLevel="0" collapsed="false">
      <c r="A287" s="27" t="n">
        <v>16</v>
      </c>
      <c r="B287" s="28" t="n">
        <v>46301.5250284144</v>
      </c>
      <c r="C287" s="28" t="n">
        <v>46301.5250291551</v>
      </c>
      <c r="D287" s="32" t="n">
        <f aca="false">(B287-INDEX(Rounds!$C:$C,MATCH(A287,Rounds!$A:$A,0)))*86400</f>
        <v>41.437999438</v>
      </c>
      <c r="E287" s="3" t="str">
        <f aca="false">INDEX(Rounds!$F:$F,MATCH(A287,Rounds!$A:$A,0))</f>
        <v>After fix</v>
      </c>
      <c r="F287" s="31" t="n">
        <f aca="false">(C287-B287)*86400</f>
        <v>0.064000231</v>
      </c>
      <c r="G287" s="3" t="str">
        <f aca="false">IF(F287*1000&gt;Constants!$B$12,"Yes","No")</f>
        <v>No</v>
      </c>
      <c r="H287" s="3"/>
      <c r="I287" s="3"/>
      <c r="J287" s="3"/>
      <c r="K287" s="3"/>
      <c r="L287" s="3"/>
      <c r="M287" s="3"/>
      <c r="N287" s="3"/>
      <c r="O287" s="3"/>
    </row>
    <row r="288" customFormat="false" ht="15" hidden="false" customHeight="false" outlineLevel="0" collapsed="false">
      <c r="A288" s="27" t="n">
        <v>16</v>
      </c>
      <c r="B288" s="28" t="n">
        <v>46301.5250834144</v>
      </c>
      <c r="C288" s="28" t="n">
        <v>46301.5250959375</v>
      </c>
      <c r="D288" s="32" t="n">
        <f aca="false">(B288-INDEX(Rounds!$C:$C,MATCH(A288,Rounds!$A:$A,0)))*86400</f>
        <v>46.189999789</v>
      </c>
      <c r="E288" s="3" t="str">
        <f aca="false">INDEX(Rounds!$F:$F,MATCH(A288,Rounds!$A:$A,0))</f>
        <v>After fix</v>
      </c>
      <c r="F288" s="31" t="n">
        <f aca="false">(C288-B288)*86400</f>
        <v>1.081999763</v>
      </c>
      <c r="G288" s="3" t="str">
        <f aca="false">IF(F288*1000&gt;Constants!$B$12,"Yes","No")</f>
        <v>Yes</v>
      </c>
      <c r="H288" s="3"/>
      <c r="I288" s="3"/>
      <c r="J288" s="3"/>
      <c r="K288" s="3"/>
      <c r="L288" s="3"/>
      <c r="M288" s="3"/>
      <c r="N288" s="3"/>
      <c r="O288" s="3"/>
    </row>
    <row r="289" customFormat="false" ht="15" hidden="false" customHeight="false" outlineLevel="0" collapsed="false">
      <c r="A289" s="27" t="n">
        <v>16</v>
      </c>
      <c r="B289" s="28" t="n">
        <v>46301.5251015394</v>
      </c>
      <c r="C289" s="28" t="n">
        <v>46301.5251026505</v>
      </c>
      <c r="D289" s="32" t="n">
        <f aca="false">(B289-INDEX(Rounds!$C:$C,MATCH(A289,Rounds!$A:$A,0)))*86400</f>
        <v>47.75599977</v>
      </c>
      <c r="E289" s="3" t="str">
        <f aca="false">INDEX(Rounds!$F:$F,MATCH(A289,Rounds!$A:$A,0))</f>
        <v>After fix</v>
      </c>
      <c r="F289" s="31" t="n">
        <f aca="false">(C289-B289)*86400</f>
        <v>0.096000032</v>
      </c>
      <c r="G289" s="3" t="str">
        <f aca="false">IF(F289*1000&gt;Constants!$B$12,"Yes","No")</f>
        <v>No</v>
      </c>
      <c r="H289" s="3"/>
      <c r="I289" s="3"/>
      <c r="J289" s="3"/>
      <c r="K289" s="3"/>
      <c r="L289" s="3"/>
      <c r="M289" s="3"/>
      <c r="N289" s="3"/>
      <c r="O289" s="3"/>
    </row>
    <row r="290" customFormat="false" ht="15" hidden="false" customHeight="false" outlineLevel="0" collapsed="false">
      <c r="A290" s="27" t="n">
        <v>16</v>
      </c>
      <c r="B290" s="28" t="n">
        <v>46301.5251306366</v>
      </c>
      <c r="C290" s="28" t="n">
        <v>46301.5251368171</v>
      </c>
      <c r="D290" s="32" t="n">
        <f aca="false">(B290-INDEX(Rounds!$C:$C,MATCH(A290,Rounds!$A:$A,0)))*86400</f>
        <v>50.270000542</v>
      </c>
      <c r="E290" s="3" t="str">
        <f aca="false">INDEX(Rounds!$F:$F,MATCH(A290,Rounds!$A:$A,0))</f>
        <v>After fix</v>
      </c>
      <c r="F290" s="31" t="n">
        <f aca="false">(C290-B290)*86400</f>
        <v>0.533999316</v>
      </c>
      <c r="G290" s="3" t="str">
        <f aca="false">IF(F290*1000&gt;Constants!$B$12,"Yes","No")</f>
        <v>No</v>
      </c>
      <c r="H290" s="3"/>
      <c r="I290" s="3"/>
      <c r="J290" s="3"/>
      <c r="K290" s="3"/>
      <c r="L290" s="3"/>
      <c r="M290" s="3"/>
      <c r="N290" s="3"/>
      <c r="O290" s="3"/>
    </row>
    <row r="291" customFormat="false" ht="15" hidden="false" customHeight="false" outlineLevel="0" collapsed="false">
      <c r="A291" s="27" t="n">
        <v>16</v>
      </c>
      <c r="B291" s="28" t="n">
        <v>46301.525148912</v>
      </c>
      <c r="C291" s="28" t="n">
        <v>46301.5251517361</v>
      </c>
      <c r="D291" s="32" t="n">
        <f aca="false">(B291-INDEX(Rounds!$C:$C,MATCH(A291,Rounds!$A:$A,0)))*86400</f>
        <v>51.848998968</v>
      </c>
      <c r="E291" s="3" t="str">
        <f aca="false">INDEX(Rounds!$F:$F,MATCH(A291,Rounds!$A:$A,0))</f>
        <v>After fix</v>
      </c>
      <c r="F291" s="31" t="n">
        <f aca="false">(C291-B291)*86400</f>
        <v>0.244000763</v>
      </c>
      <c r="G291" s="3" t="str">
        <f aca="false">IF(F291*1000&gt;Constants!$B$12,"Yes","No")</f>
        <v>No</v>
      </c>
      <c r="H291" s="3"/>
      <c r="I291" s="3"/>
      <c r="J291" s="3"/>
      <c r="K291" s="3"/>
      <c r="L291" s="3"/>
      <c r="M291" s="3"/>
      <c r="N291" s="3"/>
      <c r="O291" s="3"/>
    </row>
    <row r="292" customFormat="false" ht="15" hidden="false" customHeight="false" outlineLevel="0" collapsed="false">
      <c r="A292" s="27" t="n">
        <v>16</v>
      </c>
      <c r="B292" s="28" t="n">
        <v>46301.5251651852</v>
      </c>
      <c r="C292" s="28" t="n">
        <v>46301.5251732176</v>
      </c>
      <c r="D292" s="32" t="n">
        <f aca="false">(B292-INDEX(Rounds!$C:$C,MATCH(A292,Rounds!$A:$A,0)))*86400</f>
        <v>53.254999942</v>
      </c>
      <c r="E292" s="3" t="str">
        <f aca="false">INDEX(Rounds!$F:$F,MATCH(A292,Rounds!$A:$A,0))</f>
        <v>After fix</v>
      </c>
      <c r="F292" s="31" t="n">
        <f aca="false">(C292-B292)*86400</f>
        <v>0.69399958</v>
      </c>
      <c r="G292" s="3" t="str">
        <f aca="false">IF(F292*1000&gt;Constants!$B$12,"Yes","No")</f>
        <v>No</v>
      </c>
      <c r="H292" s="3"/>
      <c r="I292" s="3"/>
      <c r="J292" s="3"/>
      <c r="K292" s="3"/>
      <c r="L292" s="3"/>
      <c r="M292" s="3"/>
      <c r="N292" s="3"/>
      <c r="O292" s="3"/>
    </row>
    <row r="293" customFormat="false" ht="15" hidden="false" customHeight="false" outlineLevel="0" collapsed="false">
      <c r="A293" s="27" t="n">
        <v>16</v>
      </c>
      <c r="B293" s="28" t="n">
        <v>46301.5251983218</v>
      </c>
      <c r="C293" s="28" t="n">
        <v>46301.525198507</v>
      </c>
      <c r="D293" s="32" t="n">
        <f aca="false">(B293-INDEX(Rounds!$C:$C,MATCH(A293,Rounds!$A:$A,0)))*86400</f>
        <v>56.117999902</v>
      </c>
      <c r="E293" s="3" t="str">
        <f aca="false">INDEX(Rounds!$F:$F,MATCH(A293,Rounds!$A:$A,0))</f>
        <v>After fix</v>
      </c>
      <c r="F293" s="31" t="n">
        <f aca="false">(C293-B293)*86400</f>
        <v>0.016000214</v>
      </c>
      <c r="G293" s="3" t="str">
        <f aca="false">IF(F293*1000&gt;Constants!$B$12,"Yes","No")</f>
        <v>No</v>
      </c>
      <c r="H293" s="3"/>
      <c r="I293" s="3"/>
      <c r="J293" s="3"/>
      <c r="K293" s="3"/>
      <c r="L293" s="3"/>
      <c r="M293" s="3"/>
      <c r="N293" s="3"/>
      <c r="O293" s="3"/>
    </row>
    <row r="294" customFormat="false" ht="15" hidden="false" customHeight="false" outlineLevel="0" collapsed="false">
      <c r="A294" s="27" t="n">
        <v>16</v>
      </c>
      <c r="B294" s="28" t="n">
        <v>46301.5252056134</v>
      </c>
      <c r="C294" s="28" t="n">
        <v>46301.5252084491</v>
      </c>
      <c r="D294" s="32" t="n">
        <f aca="false">(B294-INDEX(Rounds!$C:$C,MATCH(A294,Rounds!$A:$A,0)))*86400</f>
        <v>56.74799988</v>
      </c>
      <c r="E294" s="3" t="str">
        <f aca="false">INDEX(Rounds!$F:$F,MATCH(A294,Rounds!$A:$A,0))</f>
        <v>After fix</v>
      </c>
      <c r="F294" s="31" t="n">
        <f aca="false">(C294-B294)*86400</f>
        <v>0.244999676</v>
      </c>
      <c r="G294" s="3" t="str">
        <f aca="false">IF(F294*1000&gt;Constants!$B$12,"Yes","No")</f>
        <v>No</v>
      </c>
      <c r="H294" s="3"/>
      <c r="I294" s="3"/>
      <c r="J294" s="3"/>
      <c r="K294" s="3"/>
      <c r="L294" s="3"/>
      <c r="M294" s="3"/>
      <c r="N294" s="3"/>
      <c r="O294" s="3"/>
    </row>
    <row r="295" customFormat="false" ht="15" hidden="false" customHeight="false" outlineLevel="0" collapsed="false">
      <c r="A295" s="27" t="n">
        <v>16</v>
      </c>
      <c r="B295" s="28" t="n">
        <v>46301.5252192824</v>
      </c>
      <c r="C295" s="28" t="n">
        <v>46301.5252206019</v>
      </c>
      <c r="D295" s="32" t="n">
        <f aca="false">(B295-INDEX(Rounds!$C:$C,MATCH(A295,Rounds!$A:$A,0)))*86400</f>
        <v>57.928998931</v>
      </c>
      <c r="E295" s="3" t="str">
        <f aca="false">INDEX(Rounds!$F:$F,MATCH(A295,Rounds!$A:$A,0))</f>
        <v>After fix</v>
      </c>
      <c r="F295" s="31" t="n">
        <f aca="false">(C295-B295)*86400</f>
        <v>0.114000588</v>
      </c>
      <c r="G295" s="3" t="str">
        <f aca="false">IF(F295*1000&gt;Constants!$B$12,"Yes","No")</f>
        <v>No</v>
      </c>
      <c r="H295" s="3"/>
      <c r="I295" s="3"/>
      <c r="J295" s="3"/>
      <c r="K295" s="3"/>
      <c r="L295" s="3"/>
      <c r="M295" s="3"/>
      <c r="N295" s="3"/>
      <c r="O295" s="3"/>
    </row>
    <row r="296" customFormat="false" ht="15" hidden="false" customHeight="false" outlineLevel="0" collapsed="false">
      <c r="A296" s="27" t="n">
        <v>16</v>
      </c>
      <c r="B296" s="28" t="n">
        <v>46301.5252392824</v>
      </c>
      <c r="C296" s="28" t="n">
        <v>46301.5252448611</v>
      </c>
      <c r="D296" s="32" t="n">
        <f aca="false">(B296-INDEX(Rounds!$C:$C,MATCH(A296,Rounds!$A:$A,0)))*86400</f>
        <v>59.656998887</v>
      </c>
      <c r="E296" s="3" t="str">
        <f aca="false">INDEX(Rounds!$F:$F,MATCH(A296,Rounds!$A:$A,0))</f>
        <v>After fix</v>
      </c>
      <c r="F296" s="31" t="n">
        <f aca="false">(C296-B296)*86400</f>
        <v>0.482001132</v>
      </c>
      <c r="G296" s="3" t="str">
        <f aca="false">IF(F296*1000&gt;Constants!$B$12,"Yes","No")</f>
        <v>No</v>
      </c>
      <c r="H296" s="3"/>
      <c r="I296" s="3"/>
      <c r="J296" s="3"/>
      <c r="K296" s="3"/>
      <c r="L296" s="3"/>
      <c r="M296" s="3"/>
      <c r="N296" s="3"/>
      <c r="O296" s="3"/>
    </row>
    <row r="297" customFormat="false" ht="15" hidden="false" customHeight="false" outlineLevel="0" collapsed="false">
      <c r="A297" s="27" t="n">
        <v>16</v>
      </c>
      <c r="B297" s="28" t="n">
        <v>46301.5252627199</v>
      </c>
      <c r="C297" s="28" t="n">
        <v>46301.5252658681</v>
      </c>
      <c r="D297" s="32" t="n">
        <f aca="false">(B297-INDEX(Rounds!$C:$C,MATCH(A297,Rounds!$A:$A,0)))*86400</f>
        <v>61.681999848</v>
      </c>
      <c r="E297" s="3" t="str">
        <f aca="false">INDEX(Rounds!$F:$F,MATCH(A297,Rounds!$A:$A,0))</f>
        <v>After fix</v>
      </c>
      <c r="F297" s="31" t="n">
        <f aca="false">(C297-B297)*86400</f>
        <v>0.271999253</v>
      </c>
      <c r="G297" s="3" t="str">
        <f aca="false">IF(F297*1000&gt;Constants!$B$12,"Yes","No")</f>
        <v>No</v>
      </c>
      <c r="H297" s="3"/>
      <c r="I297" s="3"/>
      <c r="J297" s="3"/>
      <c r="K297" s="3"/>
      <c r="L297" s="3"/>
      <c r="M297" s="3"/>
      <c r="N297" s="3"/>
      <c r="O297" s="3"/>
    </row>
    <row r="298" customFormat="false" ht="15" hidden="false" customHeight="false" outlineLevel="0" collapsed="false">
      <c r="A298" s="27" t="n">
        <v>16</v>
      </c>
      <c r="B298" s="28" t="n">
        <v>46301.5252759144</v>
      </c>
      <c r="C298" s="28" t="n">
        <v>46301.5252796296</v>
      </c>
      <c r="D298" s="32" t="n">
        <f aca="false">(B298-INDEX(Rounds!$C:$C,MATCH(A298,Rounds!$A:$A,0)))*86400</f>
        <v>62.822000705</v>
      </c>
      <c r="E298" s="3" t="str">
        <f aca="false">INDEX(Rounds!$F:$F,MATCH(A298,Rounds!$A:$A,0))</f>
        <v>After fix</v>
      </c>
      <c r="F298" s="31" t="n">
        <f aca="false">(C298-B298)*86400</f>
        <v>0.32099944</v>
      </c>
      <c r="G298" s="3" t="str">
        <f aca="false">IF(F298*1000&gt;Constants!$B$12,"Yes","No")</f>
        <v>No</v>
      </c>
      <c r="H298" s="3"/>
      <c r="I298" s="3"/>
      <c r="J298" s="3"/>
      <c r="K298" s="3"/>
      <c r="L298" s="3"/>
      <c r="M298" s="3"/>
      <c r="N298" s="3"/>
      <c r="O298" s="3"/>
    </row>
    <row r="299" customFormat="false" ht="15" hidden="false" customHeight="false" outlineLevel="0" collapsed="false">
      <c r="A299" s="27" t="n">
        <v>16</v>
      </c>
      <c r="B299" s="28" t="n">
        <v>46301.5252939468</v>
      </c>
      <c r="C299" s="28" t="n">
        <v>46301.5252948727</v>
      </c>
      <c r="D299" s="32" t="n">
        <f aca="false">(B299-INDEX(Rounds!$C:$C,MATCH(A299,Rounds!$A:$A,0)))*86400</f>
        <v>64.379999949</v>
      </c>
      <c r="E299" s="3" t="str">
        <f aca="false">INDEX(Rounds!$F:$F,MATCH(A299,Rounds!$A:$A,0))</f>
        <v>After fix</v>
      </c>
      <c r="F299" s="31" t="n">
        <f aca="false">(C299-B299)*86400</f>
        <v>0.079999188</v>
      </c>
      <c r="G299" s="3" t="str">
        <f aca="false">IF(F299*1000&gt;Constants!$B$12,"Yes","No")</f>
        <v>No</v>
      </c>
      <c r="H299" s="3"/>
      <c r="I299" s="3"/>
      <c r="J299" s="3"/>
      <c r="K299" s="3"/>
      <c r="L299" s="3"/>
      <c r="M299" s="3"/>
      <c r="N299" s="3"/>
      <c r="O299" s="3"/>
    </row>
    <row r="300" customFormat="false" ht="15" hidden="false" customHeight="false" outlineLevel="0" collapsed="false">
      <c r="A300" s="27" t="n">
        <v>16</v>
      </c>
      <c r="B300" s="28" t="n">
        <v>46301.5253004398</v>
      </c>
      <c r="C300" s="28" t="n">
        <v>46301.5253067477</v>
      </c>
      <c r="D300" s="32" t="n">
        <f aca="false">(B300-INDEX(Rounds!$C:$C,MATCH(A300,Rounds!$A:$A,0)))*86400</f>
        <v>64.9410001</v>
      </c>
      <c r="E300" s="3" t="str">
        <f aca="false">INDEX(Rounds!$F:$F,MATCH(A300,Rounds!$A:$A,0))</f>
        <v>After fix</v>
      </c>
      <c r="F300" s="31" t="n">
        <f aca="false">(C300-B300)*86400</f>
        <v>0.544999935</v>
      </c>
      <c r="G300" s="3" t="str">
        <f aca="false">IF(F300*1000&gt;Constants!$B$12,"Yes","No")</f>
        <v>No</v>
      </c>
      <c r="H300" s="3"/>
      <c r="I300" s="3"/>
      <c r="J300" s="3"/>
      <c r="K300" s="3"/>
      <c r="L300" s="3"/>
      <c r="M300" s="3"/>
      <c r="N300" s="3"/>
      <c r="O300" s="3"/>
    </row>
    <row r="301" customFormat="false" ht="15" hidden="false" customHeight="false" outlineLevel="0" collapsed="false">
      <c r="A301" s="27" t="n">
        <v>17</v>
      </c>
      <c r="B301" s="28" t="n">
        <v>46301.5256743056</v>
      </c>
      <c r="C301" s="28" t="n">
        <v>46301.5256746644</v>
      </c>
      <c r="D301" s="32" t="n">
        <f aca="false">(B301-INDEX(Rounds!$C:$C,MATCH(A301,Rounds!$A:$A,0)))*86400</f>
        <v>1.107000885</v>
      </c>
      <c r="E301" s="3" t="str">
        <f aca="false">INDEX(Rounds!$F:$F,MATCH(A301,Rounds!$A:$A,0))</f>
        <v>After fix</v>
      </c>
      <c r="F301" s="31" t="n">
        <f aca="false">(C301-B301)*86400</f>
        <v>0.03099963</v>
      </c>
      <c r="G301" s="3" t="str">
        <f aca="false">IF(F301*1000&gt;Constants!$B$12,"Yes","No")</f>
        <v>No</v>
      </c>
      <c r="H301" s="3"/>
      <c r="I301" s="3"/>
      <c r="J301" s="3"/>
      <c r="K301" s="3"/>
      <c r="L301" s="3"/>
      <c r="M301" s="3"/>
      <c r="N301" s="3"/>
      <c r="O301" s="3"/>
    </row>
    <row r="302" customFormat="false" ht="15" hidden="false" customHeight="false" outlineLevel="0" collapsed="false">
      <c r="A302" s="27" t="n">
        <v>17</v>
      </c>
      <c r="B302" s="28" t="n">
        <v>46301.5256813657</v>
      </c>
      <c r="C302" s="28" t="n">
        <v>46301.5256843287</v>
      </c>
      <c r="D302" s="32" t="n">
        <f aca="false">(B302-INDEX(Rounds!$C:$C,MATCH(A302,Rounds!$A:$A,0)))*86400</f>
        <v>1.717000594</v>
      </c>
      <c r="E302" s="3" t="str">
        <f aca="false">INDEX(Rounds!$F:$F,MATCH(A302,Rounds!$A:$A,0))</f>
        <v>After fix</v>
      </c>
      <c r="F302" s="31" t="n">
        <f aca="false">(C302-B302)*86400</f>
        <v>0.256000924</v>
      </c>
      <c r="G302" s="3" t="str">
        <f aca="false">IF(F302*1000&gt;Constants!$B$12,"Yes","No")</f>
        <v>No</v>
      </c>
      <c r="H302" s="3"/>
      <c r="I302" s="3"/>
      <c r="J302" s="3"/>
      <c r="K302" s="3"/>
      <c r="L302" s="3"/>
      <c r="M302" s="3"/>
      <c r="N302" s="3"/>
      <c r="O302" s="3"/>
    </row>
    <row r="303" customFormat="false" ht="15" hidden="false" customHeight="false" outlineLevel="0" collapsed="false">
      <c r="A303" s="27" t="n">
        <v>17</v>
      </c>
      <c r="B303" s="28" t="n">
        <v>46301.5256949421</v>
      </c>
      <c r="C303" s="28" t="n">
        <v>46301.5256964236</v>
      </c>
      <c r="D303" s="32" t="n">
        <f aca="false">(B303-INDEX(Rounds!$C:$C,MATCH(A303,Rounds!$A:$A,0)))*86400</f>
        <v>2.890000795</v>
      </c>
      <c r="E303" s="3" t="str">
        <f aca="false">INDEX(Rounds!$F:$F,MATCH(A303,Rounds!$A:$A,0))</f>
        <v>After fix</v>
      </c>
      <c r="F303" s="31" t="n">
        <f aca="false">(C303-B303)*86400</f>
        <v>0.127999833</v>
      </c>
      <c r="G303" s="3" t="str">
        <f aca="false">IF(F303*1000&gt;Constants!$B$12,"Yes","No")</f>
        <v>No</v>
      </c>
      <c r="H303" s="3"/>
      <c r="I303" s="3"/>
      <c r="J303" s="3"/>
      <c r="K303" s="3"/>
      <c r="L303" s="3"/>
      <c r="M303" s="3"/>
      <c r="N303" s="3"/>
      <c r="O303" s="3"/>
    </row>
    <row r="304" customFormat="false" ht="15" hidden="false" customHeight="false" outlineLevel="0" collapsed="false">
      <c r="A304" s="27" t="n">
        <v>17</v>
      </c>
      <c r="B304" s="28" t="n">
        <v>46301.5257702083</v>
      </c>
      <c r="C304" s="28" t="n">
        <v>46301.5257752431</v>
      </c>
      <c r="D304" s="32" t="n">
        <f aca="false">(B304-INDEX(Rounds!$C:$C,MATCH(A304,Rounds!$A:$A,0)))*86400</f>
        <v>9.393000626</v>
      </c>
      <c r="E304" s="3" t="str">
        <f aca="false">INDEX(Rounds!$F:$F,MATCH(A304,Rounds!$A:$A,0))</f>
        <v>After fix</v>
      </c>
      <c r="F304" s="31" t="n">
        <f aca="false">(C304-B304)*86400</f>
        <v>0.435000658</v>
      </c>
      <c r="G304" s="3" t="str">
        <f aca="false">IF(F304*1000&gt;Constants!$B$12,"Yes","No")</f>
        <v>No</v>
      </c>
      <c r="H304" s="3"/>
      <c r="I304" s="3"/>
      <c r="J304" s="3"/>
      <c r="K304" s="3"/>
      <c r="L304" s="3"/>
      <c r="M304" s="3"/>
      <c r="N304" s="3"/>
      <c r="O304" s="3"/>
    </row>
    <row r="305" customFormat="false" ht="15" hidden="false" customHeight="false" outlineLevel="0" collapsed="false">
      <c r="A305" s="27" t="n">
        <v>17</v>
      </c>
      <c r="B305" s="28" t="n">
        <v>46301.5257820949</v>
      </c>
      <c r="C305" s="28" t="n">
        <v>46301.5257846991</v>
      </c>
      <c r="D305" s="32" t="n">
        <f aca="false">(B305-INDEX(Rounds!$C:$C,MATCH(A305,Rounds!$A:$A,0)))*86400</f>
        <v>10.419999808</v>
      </c>
      <c r="E305" s="3" t="str">
        <f aca="false">INDEX(Rounds!$F:$F,MATCH(A305,Rounds!$A:$A,0))</f>
        <v>After fix</v>
      </c>
      <c r="F305" s="31" t="n">
        <f aca="false">(C305-B305)*86400</f>
        <v>0.225000665</v>
      </c>
      <c r="G305" s="3" t="str">
        <f aca="false">IF(F305*1000&gt;Constants!$B$12,"Yes","No")</f>
        <v>No</v>
      </c>
      <c r="H305" s="3"/>
      <c r="I305" s="3"/>
      <c r="J305" s="3"/>
      <c r="K305" s="3"/>
      <c r="L305" s="3"/>
      <c r="M305" s="3"/>
      <c r="N305" s="3"/>
      <c r="O305" s="3"/>
    </row>
    <row r="306" customFormat="false" ht="15" hidden="false" customHeight="false" outlineLevel="0" collapsed="false">
      <c r="A306" s="27" t="n">
        <v>17</v>
      </c>
      <c r="B306" s="28" t="n">
        <v>46301.5258067708</v>
      </c>
      <c r="C306" s="28" t="n">
        <v>46301.525813287</v>
      </c>
      <c r="D306" s="32" t="n">
        <f aca="false">(B306-INDEX(Rounds!$C:$C,MATCH(A306,Rounds!$A:$A,0)))*86400</f>
        <v>12.552000163</v>
      </c>
      <c r="E306" s="3" t="str">
        <f aca="false">INDEX(Rounds!$F:$F,MATCH(A306,Rounds!$A:$A,0))</f>
        <v>After fix</v>
      </c>
      <c r="F306" s="31" t="n">
        <f aca="false">(C306-B306)*86400</f>
        <v>0.563000491</v>
      </c>
      <c r="G306" s="3" t="str">
        <f aca="false">IF(F306*1000&gt;Constants!$B$12,"Yes","No")</f>
        <v>No</v>
      </c>
      <c r="H306" s="3"/>
      <c r="I306" s="3"/>
      <c r="J306" s="3"/>
      <c r="K306" s="3"/>
      <c r="L306" s="3"/>
      <c r="M306" s="3"/>
      <c r="N306" s="3"/>
      <c r="O306" s="3"/>
    </row>
    <row r="307" customFormat="false" ht="15" hidden="false" customHeight="false" outlineLevel="0" collapsed="false">
      <c r="A307" s="27" t="n">
        <v>17</v>
      </c>
      <c r="B307" s="28" t="n">
        <v>46301.5258514931</v>
      </c>
      <c r="C307" s="28" t="n">
        <v>46301.5258596412</v>
      </c>
      <c r="D307" s="32" t="n">
        <f aca="false">(B307-INDEX(Rounds!$C:$C,MATCH(A307,Rounds!$A:$A,0)))*86400</f>
        <v>16.415999899</v>
      </c>
      <c r="E307" s="3" t="str">
        <f aca="false">INDEX(Rounds!$F:$F,MATCH(A307,Rounds!$A:$A,0))</f>
        <v>After fix</v>
      </c>
      <c r="F307" s="31" t="n">
        <f aca="false">(C307-B307)*86400</f>
        <v>0.704000657</v>
      </c>
      <c r="G307" s="3" t="str">
        <f aca="false">IF(F307*1000&gt;Constants!$B$12,"Yes","No")</f>
        <v>No</v>
      </c>
      <c r="H307" s="3"/>
      <c r="I307" s="3"/>
      <c r="J307" s="3"/>
      <c r="K307" s="3"/>
      <c r="L307" s="3"/>
      <c r="M307" s="3"/>
      <c r="N307" s="3"/>
      <c r="O307" s="3"/>
    </row>
    <row r="308" customFormat="false" ht="15" hidden="false" customHeight="false" outlineLevel="0" collapsed="false">
      <c r="A308" s="27" t="n">
        <v>17</v>
      </c>
      <c r="B308" s="28" t="n">
        <v>46301.5259221528</v>
      </c>
      <c r="C308" s="28" t="n">
        <v>46301.5259245718</v>
      </c>
      <c r="D308" s="32" t="n">
        <f aca="false">(B308-INDEX(Rounds!$C:$C,MATCH(A308,Rounds!$A:$A,0)))*86400</f>
        <v>22.521000984</v>
      </c>
      <c r="E308" s="3" t="str">
        <f aca="false">INDEX(Rounds!$F:$F,MATCH(A308,Rounds!$A:$A,0))</f>
        <v>After fix</v>
      </c>
      <c r="F308" s="31" t="n">
        <f aca="false">(C308-B308)*86400</f>
        <v>0.208999821</v>
      </c>
      <c r="G308" s="3" t="str">
        <f aca="false">IF(F308*1000&gt;Constants!$B$12,"Yes","No")</f>
        <v>No</v>
      </c>
      <c r="H308" s="3"/>
      <c r="I308" s="3"/>
      <c r="J308" s="3"/>
      <c r="K308" s="3"/>
      <c r="L308" s="3"/>
      <c r="M308" s="3"/>
      <c r="N308" s="3"/>
      <c r="O308" s="3"/>
    </row>
    <row r="309" customFormat="false" ht="15" hidden="false" customHeight="false" outlineLevel="0" collapsed="false">
      <c r="A309" s="27" t="n">
        <v>17</v>
      </c>
      <c r="B309" s="28" t="n">
        <v>46301.5259611574</v>
      </c>
      <c r="C309" s="28" t="n">
        <v>46301.525961331</v>
      </c>
      <c r="D309" s="32" t="n">
        <f aca="false">(B309-INDEX(Rounds!$C:$C,MATCH(A309,Rounds!$A:$A,0)))*86400</f>
        <v>25.891000684</v>
      </c>
      <c r="E309" s="3" t="str">
        <f aca="false">INDEX(Rounds!$F:$F,MATCH(A309,Rounds!$A:$A,0))</f>
        <v>After fix</v>
      </c>
      <c r="F309" s="31" t="n">
        <f aca="false">(C309-B309)*86400</f>
        <v>0.015000044</v>
      </c>
      <c r="G309" s="3" t="str">
        <f aca="false">IF(F309*1000&gt;Constants!$B$12,"Yes","No")</f>
        <v>No</v>
      </c>
      <c r="H309" s="3"/>
      <c r="I309" s="3"/>
      <c r="J309" s="3"/>
      <c r="K309" s="3"/>
      <c r="L309" s="3"/>
      <c r="M309" s="3"/>
      <c r="N309" s="3"/>
      <c r="O309" s="3"/>
    </row>
    <row r="310" customFormat="false" ht="15" hidden="false" customHeight="false" outlineLevel="0" collapsed="false">
      <c r="A310" s="27" t="n">
        <v>17</v>
      </c>
      <c r="B310" s="28" t="n">
        <v>46301.5260083333</v>
      </c>
      <c r="C310" s="28" t="n">
        <v>46301.5260111111</v>
      </c>
      <c r="D310" s="32" t="n">
        <f aca="false">(B310-INDEX(Rounds!$C:$C,MATCH(A310,Rounds!$A:$A,0)))*86400</f>
        <v>29.967000125</v>
      </c>
      <c r="E310" s="3" t="str">
        <f aca="false">INDEX(Rounds!$F:$F,MATCH(A310,Rounds!$A:$A,0))</f>
        <v>After fix</v>
      </c>
      <c r="F310" s="31" t="n">
        <f aca="false">(C310-B310)*86400</f>
        <v>0.240000709</v>
      </c>
      <c r="G310" s="3" t="str">
        <f aca="false">IF(F310*1000&gt;Constants!$B$12,"Yes","No")</f>
        <v>No</v>
      </c>
      <c r="H310" s="3"/>
      <c r="I310" s="3"/>
      <c r="J310" s="3"/>
      <c r="K310" s="3"/>
      <c r="L310" s="3"/>
      <c r="M310" s="3"/>
      <c r="N310" s="3"/>
      <c r="O310" s="3"/>
    </row>
    <row r="311" customFormat="false" ht="15" hidden="false" customHeight="false" outlineLevel="0" collapsed="false">
      <c r="A311" s="27" t="n">
        <v>17</v>
      </c>
      <c r="B311" s="28" t="n">
        <v>46301.5261087269</v>
      </c>
      <c r="C311" s="28" t="n">
        <v>46301.526113206</v>
      </c>
      <c r="D311" s="32" t="n">
        <f aca="false">(B311-INDEX(Rounds!$C:$C,MATCH(A311,Rounds!$A:$A,0)))*86400</f>
        <v>38.641000678</v>
      </c>
      <c r="E311" s="3" t="str">
        <f aca="false">INDEX(Rounds!$F:$F,MATCH(A311,Rounds!$A:$A,0))</f>
        <v>After fix</v>
      </c>
      <c r="F311" s="31" t="n">
        <f aca="false">(C311-B311)*86400</f>
        <v>0.387000013</v>
      </c>
      <c r="G311" s="3" t="str">
        <f aca="false">IF(F311*1000&gt;Constants!$B$12,"Yes","No")</f>
        <v>No</v>
      </c>
      <c r="H311" s="3"/>
      <c r="I311" s="3"/>
      <c r="J311" s="3"/>
      <c r="K311" s="3"/>
      <c r="L311" s="3"/>
      <c r="M311" s="3"/>
      <c r="N311" s="3"/>
      <c r="O311" s="3"/>
    </row>
    <row r="312" customFormat="false" ht="15" hidden="false" customHeight="false" outlineLevel="0" collapsed="false">
      <c r="A312" s="27" t="n">
        <v>17</v>
      </c>
      <c r="B312" s="28" t="n">
        <v>46301.5261303704</v>
      </c>
      <c r="C312" s="28" t="n">
        <v>46301.526134294</v>
      </c>
      <c r="D312" s="32" t="n">
        <f aca="false">(B312-INDEX(Rounds!$C:$C,MATCH(A312,Rounds!$A:$A,0)))*86400</f>
        <v>40.511000342</v>
      </c>
      <c r="E312" s="3" t="str">
        <f aca="false">INDEX(Rounds!$F:$F,MATCH(A312,Rounds!$A:$A,0))</f>
        <v>After fix</v>
      </c>
      <c r="F312" s="31" t="n">
        <f aca="false">(C312-B312)*86400</f>
        <v>0.338999996</v>
      </c>
      <c r="G312" s="3" t="str">
        <f aca="false">IF(F312*1000&gt;Constants!$B$12,"Yes","No")</f>
        <v>No</v>
      </c>
      <c r="H312" s="3"/>
      <c r="I312" s="3"/>
      <c r="J312" s="3"/>
      <c r="K312" s="3"/>
      <c r="L312" s="3"/>
      <c r="M312" s="3"/>
      <c r="N312" s="3"/>
      <c r="O312" s="3"/>
    </row>
    <row r="313" customFormat="false" ht="15" hidden="false" customHeight="false" outlineLevel="0" collapsed="false">
      <c r="A313" s="27" t="n">
        <v>17</v>
      </c>
      <c r="B313" s="28" t="n">
        <v>46301.5261512847</v>
      </c>
      <c r="C313" s="28" t="n">
        <v>46301.5261533565</v>
      </c>
      <c r="D313" s="32" t="n">
        <f aca="false">(B313-INDEX(Rounds!$C:$C,MATCH(A313,Rounds!$A:$A,0)))*86400</f>
        <v>42.318000574</v>
      </c>
      <c r="E313" s="3" t="str">
        <f aca="false">INDEX(Rounds!$F:$F,MATCH(A313,Rounds!$A:$A,0))</f>
        <v>After fix</v>
      </c>
      <c r="F313" s="31" t="n">
        <f aca="false">(C313-B313)*86400</f>
        <v>0.178999733</v>
      </c>
      <c r="G313" s="3" t="str">
        <f aca="false">IF(F313*1000&gt;Constants!$B$12,"Yes","No")</f>
        <v>No</v>
      </c>
      <c r="H313" s="3"/>
      <c r="I313" s="3"/>
      <c r="J313" s="3"/>
      <c r="K313" s="3"/>
      <c r="L313" s="3"/>
      <c r="M313" s="3"/>
      <c r="N313" s="3"/>
      <c r="O313" s="3"/>
    </row>
    <row r="314" customFormat="false" ht="15" hidden="false" customHeight="false" outlineLevel="0" collapsed="false">
      <c r="A314" s="27" t="n">
        <v>17</v>
      </c>
      <c r="B314" s="28" t="n">
        <v>46301.5262657176</v>
      </c>
      <c r="C314" s="28" t="n">
        <v>46301.526276331</v>
      </c>
      <c r="D314" s="32" t="n">
        <f aca="false">(B314-INDEX(Rounds!$C:$C,MATCH(A314,Rounds!$A:$A,0)))*86400</f>
        <v>52.205000608</v>
      </c>
      <c r="E314" s="3" t="str">
        <f aca="false">INDEX(Rounds!$F:$F,MATCH(A314,Rounds!$A:$A,0))</f>
        <v>After fix</v>
      </c>
      <c r="F314" s="31" t="n">
        <f aca="false">(C314-B314)*86400</f>
        <v>0.916999904</v>
      </c>
      <c r="G314" s="3" t="str">
        <f aca="false">IF(F314*1000&gt;Constants!$B$12,"Yes","No")</f>
        <v>No</v>
      </c>
      <c r="H314" s="3"/>
      <c r="I314" s="3"/>
      <c r="J314" s="3"/>
      <c r="K314" s="3"/>
      <c r="L314" s="3"/>
      <c r="M314" s="3"/>
      <c r="N314" s="3"/>
      <c r="O314" s="3"/>
    </row>
    <row r="315" customFormat="false" ht="15" hidden="false" customHeight="false" outlineLevel="0" collapsed="false">
      <c r="A315" s="27" t="n">
        <v>17</v>
      </c>
      <c r="B315" s="28" t="n">
        <v>46301.5262832407</v>
      </c>
      <c r="C315" s="28" t="n">
        <v>46301.5262858449</v>
      </c>
      <c r="D315" s="32" t="n">
        <f aca="false">(B315-INDEX(Rounds!$C:$C,MATCH(A315,Rounds!$A:$A,0)))*86400</f>
        <v>53.719000518</v>
      </c>
      <c r="E315" s="3" t="str">
        <f aca="false">INDEX(Rounds!$F:$F,MATCH(A315,Rounds!$A:$A,0))</f>
        <v>After fix</v>
      </c>
      <c r="F315" s="31" t="n">
        <f aca="false">(C315-B315)*86400</f>
        <v>0.225000665</v>
      </c>
      <c r="G315" s="3" t="str">
        <f aca="false">IF(F315*1000&gt;Constants!$B$12,"Yes","No")</f>
        <v>No</v>
      </c>
      <c r="H315" s="3"/>
      <c r="I315" s="3"/>
      <c r="J315" s="3"/>
      <c r="K315" s="3"/>
      <c r="L315" s="3"/>
      <c r="M315" s="3"/>
      <c r="N315" s="3"/>
      <c r="O315" s="3"/>
    </row>
    <row r="316" customFormat="false" ht="15" hidden="false" customHeight="false" outlineLevel="0" collapsed="false">
      <c r="A316" s="27" t="n">
        <v>17</v>
      </c>
      <c r="B316" s="28" t="n">
        <v>46301.5263311343</v>
      </c>
      <c r="C316" s="28" t="n">
        <v>46301.5263357639</v>
      </c>
      <c r="D316" s="32" t="n">
        <f aca="false">(B316-INDEX(Rounds!$C:$C,MATCH(A316,Rounds!$A:$A,0)))*86400</f>
        <v>57.857000478</v>
      </c>
      <c r="E316" s="3" t="str">
        <f aca="false">INDEX(Rounds!$F:$F,MATCH(A316,Rounds!$A:$A,0))</f>
        <v>After fix</v>
      </c>
      <c r="F316" s="31" t="n">
        <f aca="false">(C316-B316)*86400</f>
        <v>0.400000344</v>
      </c>
      <c r="G316" s="3" t="str">
        <f aca="false">IF(F316*1000&gt;Constants!$B$12,"Yes","No")</f>
        <v>No</v>
      </c>
      <c r="H316" s="3"/>
      <c r="I316" s="3"/>
      <c r="J316" s="3"/>
      <c r="K316" s="3"/>
      <c r="L316" s="3"/>
      <c r="M316" s="3"/>
      <c r="N316" s="3"/>
      <c r="O316" s="3"/>
    </row>
    <row r="317" customFormat="false" ht="15" hidden="false" customHeight="false" outlineLevel="0" collapsed="false">
      <c r="A317" s="27" t="n">
        <v>17</v>
      </c>
      <c r="B317" s="28" t="n">
        <v>46301.5263606597</v>
      </c>
      <c r="C317" s="28" t="n">
        <v>46301.5263669907</v>
      </c>
      <c r="D317" s="32" t="n">
        <f aca="false">(B317-INDEX(Rounds!$C:$C,MATCH(A317,Rounds!$A:$A,0)))*86400</f>
        <v>60.408000648</v>
      </c>
      <c r="E317" s="3" t="str">
        <f aca="false">INDEX(Rounds!$F:$F,MATCH(A317,Rounds!$A:$A,0))</f>
        <v>After fix</v>
      </c>
      <c r="F317" s="31" t="n">
        <f aca="false">(C317-B317)*86400</f>
        <v>0.547000276</v>
      </c>
      <c r="G317" s="3" t="str">
        <f aca="false">IF(F317*1000&gt;Constants!$B$12,"Yes","No")</f>
        <v>No</v>
      </c>
      <c r="H317" s="3"/>
      <c r="I317" s="3"/>
      <c r="J317" s="3"/>
      <c r="K317" s="3"/>
      <c r="L317" s="3"/>
      <c r="M317" s="3"/>
      <c r="N317" s="3"/>
      <c r="O317" s="3"/>
    </row>
    <row r="318" customFormat="false" ht="15" hidden="false" customHeight="false" outlineLevel="0" collapsed="false">
      <c r="A318" s="27" t="n">
        <v>17</v>
      </c>
      <c r="B318" s="28" t="n">
        <v>46301.5263725695</v>
      </c>
      <c r="C318" s="28" t="n">
        <v>46301.5263753588</v>
      </c>
      <c r="D318" s="32" t="n">
        <f aca="false">(B318-INDEX(Rounds!$C:$C,MATCH(A318,Rounds!$A:$A,0)))*86400</f>
        <v>61.437001428</v>
      </c>
      <c r="E318" s="3" t="str">
        <f aca="false">INDEX(Rounds!$F:$F,MATCH(A318,Rounds!$A:$A,0))</f>
        <v>After fix</v>
      </c>
      <c r="F318" s="31" t="n">
        <f aca="false">(C318-B318)*86400</f>
        <v>0.240998994</v>
      </c>
      <c r="G318" s="3" t="str">
        <f aca="false">IF(F318*1000&gt;Constants!$B$12,"Yes","No")</f>
        <v>No</v>
      </c>
      <c r="H318" s="3"/>
      <c r="I318" s="3"/>
      <c r="J318" s="3"/>
      <c r="K318" s="3"/>
      <c r="L318" s="3"/>
      <c r="M318" s="3"/>
      <c r="N318" s="3"/>
      <c r="O318" s="3"/>
    </row>
    <row r="319" customFormat="false" ht="15" hidden="false" customHeight="false" outlineLevel="0" collapsed="false">
      <c r="A319" s="27" t="n">
        <v>17</v>
      </c>
      <c r="B319" s="28" t="n">
        <v>46301.5263810995</v>
      </c>
      <c r="C319" s="28" t="n">
        <v>46301.5263825926</v>
      </c>
      <c r="D319" s="32" t="n">
        <f aca="false">(B319-INDEX(Rounds!$C:$C,MATCH(A319,Rounds!$A:$A,0)))*86400</f>
        <v>62.1740008</v>
      </c>
      <c r="E319" s="3" t="str">
        <f aca="false">INDEX(Rounds!$F:$F,MATCH(A319,Rounds!$A:$A,0))</f>
        <v>After fix</v>
      </c>
      <c r="F319" s="31" t="n">
        <f aca="false">(C319-B319)*86400</f>
        <v>0.128999375</v>
      </c>
      <c r="G319" s="3" t="str">
        <f aca="false">IF(F319*1000&gt;Constants!$B$12,"Yes","No")</f>
        <v>No</v>
      </c>
      <c r="H319" s="3"/>
      <c r="I319" s="3"/>
      <c r="J319" s="3"/>
      <c r="K319" s="3"/>
      <c r="L319" s="3"/>
      <c r="M319" s="3"/>
      <c r="N319" s="3"/>
      <c r="O319" s="3"/>
    </row>
    <row r="320" customFormat="false" ht="15" hidden="false" customHeight="false" outlineLevel="0" collapsed="false">
      <c r="A320" s="27" t="n">
        <v>17</v>
      </c>
      <c r="B320" s="28" t="n">
        <v>46301.5264190857</v>
      </c>
      <c r="C320" s="28" t="n">
        <v>46301.5264757986</v>
      </c>
      <c r="D320" s="32" t="n">
        <f aca="false">(B320-INDEX(Rounds!$C:$C,MATCH(A320,Rounds!$A:$A,0)))*86400</f>
        <v>65.456000575</v>
      </c>
      <c r="E320" s="3" t="str">
        <f aca="false">INDEX(Rounds!$F:$F,MATCH(A320,Rounds!$A:$A,0))</f>
        <v>After fix</v>
      </c>
      <c r="F320" s="31" t="n">
        <f aca="false">(C320-B320)*86400</f>
        <v>4.899999825</v>
      </c>
      <c r="G320" s="3" t="str">
        <f aca="false">IF(F320*1000&gt;Constants!$B$12,"Yes","No")</f>
        <v>Yes</v>
      </c>
      <c r="H320" s="3"/>
      <c r="I320" s="3"/>
      <c r="J320" s="3"/>
      <c r="K320" s="3"/>
      <c r="L320" s="3"/>
      <c r="M320" s="3"/>
      <c r="N320" s="3"/>
      <c r="O320" s="3"/>
    </row>
    <row r="321" customFormat="false" ht="15" hidden="false" customHeight="false" outlineLevel="0" collapsed="false">
      <c r="A321" s="27" t="n">
        <v>17</v>
      </c>
      <c r="B321" s="28" t="n">
        <v>46301.526503044</v>
      </c>
      <c r="C321" s="28" t="n">
        <v>46301.5267220486</v>
      </c>
      <c r="D321" s="32" t="n">
        <f aca="false">(B321-INDEX(Rounds!$C:$C,MATCH(A321,Rounds!$A:$A,0)))*86400</f>
        <v>72.710000281</v>
      </c>
      <c r="E321" s="3" t="str">
        <f aca="false">INDEX(Rounds!$F:$F,MATCH(A321,Rounds!$A:$A,0))</f>
        <v>After fix</v>
      </c>
      <c r="F321" s="31" t="n">
        <f aca="false">(C321-B321)*86400</f>
        <v>18.922000564</v>
      </c>
      <c r="G321" s="3" t="str">
        <f aca="false">IF(F321*1000&gt;Constants!$B$12,"Yes","No")</f>
        <v>Yes</v>
      </c>
      <c r="H321" s="3"/>
      <c r="I321" s="3"/>
      <c r="J321" s="3"/>
      <c r="K321" s="3"/>
      <c r="L321" s="3"/>
      <c r="M321" s="3"/>
      <c r="N321" s="3"/>
      <c r="O321" s="3"/>
    </row>
    <row r="322" customFormat="false" ht="15" hidden="false" customHeight="false" outlineLevel="0" collapsed="false">
      <c r="A322" s="27" t="n">
        <v>17</v>
      </c>
      <c r="B322" s="28" t="n">
        <v>46301.5267276505</v>
      </c>
      <c r="C322" s="28" t="n">
        <v>46301.5267278472</v>
      </c>
      <c r="D322" s="32" t="n">
        <f aca="false">(B322-INDEX(Rounds!$C:$C,MATCH(A322,Rounds!$A:$A,0)))*86400</f>
        <v>92.116000433</v>
      </c>
      <c r="E322" s="3" t="str">
        <f aca="false">INDEX(Rounds!$F:$F,MATCH(A322,Rounds!$A:$A,0))</f>
        <v>After fix</v>
      </c>
      <c r="F322" s="31" t="n">
        <f aca="false">(C322-B322)*86400</f>
        <v>0.016999756</v>
      </c>
      <c r="G322" s="3" t="str">
        <f aca="false">IF(F322*1000&gt;Constants!$B$12,"Yes","No")</f>
        <v>No</v>
      </c>
      <c r="H322" s="3"/>
      <c r="I322" s="3"/>
      <c r="J322" s="3"/>
      <c r="K322" s="3"/>
      <c r="L322" s="3"/>
      <c r="M322" s="3"/>
      <c r="N322" s="3"/>
      <c r="O322" s="3"/>
    </row>
    <row r="323" customFormat="false" ht="15" hidden="false" customHeight="false" outlineLevel="0" collapsed="false">
      <c r="A323" s="27" t="n">
        <v>17</v>
      </c>
      <c r="B323" s="28" t="n">
        <v>46301.5267332292</v>
      </c>
      <c r="C323" s="28" t="n">
        <v>46301.5267362037</v>
      </c>
      <c r="D323" s="32" t="n">
        <f aca="false">(B323-INDEX(Rounds!$C:$C,MATCH(A323,Rounds!$A:$A,0)))*86400</f>
        <v>92.598000937</v>
      </c>
      <c r="E323" s="3" t="str">
        <f aca="false">INDEX(Rounds!$F:$F,MATCH(A323,Rounds!$A:$A,0))</f>
        <v>After fix</v>
      </c>
      <c r="F323" s="31" t="n">
        <f aca="false">(C323-B323)*86400</f>
        <v>0.256999209</v>
      </c>
      <c r="G323" s="3" t="str">
        <f aca="false">IF(F323*1000&gt;Constants!$B$12,"Yes","No")</f>
        <v>No</v>
      </c>
      <c r="H323" s="3"/>
      <c r="I323" s="3"/>
      <c r="J323" s="3"/>
      <c r="K323" s="3"/>
      <c r="L323" s="3"/>
      <c r="M323" s="3"/>
      <c r="N323" s="3"/>
      <c r="O323" s="3"/>
    </row>
    <row r="324" customFormat="false" ht="15" hidden="false" customHeight="false" outlineLevel="0" collapsed="false">
      <c r="A324" s="27" t="n">
        <v>17</v>
      </c>
      <c r="B324" s="28" t="n">
        <v>46301.5267420023</v>
      </c>
      <c r="C324" s="28" t="n">
        <v>46301.5267440394</v>
      </c>
      <c r="D324" s="32" t="n">
        <f aca="false">(B324-INDEX(Rounds!$C:$C,MATCH(A324,Rounds!$A:$A,0)))*86400</f>
        <v>93.356001377</v>
      </c>
      <c r="E324" s="3" t="str">
        <f aca="false">INDEX(Rounds!$F:$F,MATCH(A324,Rounds!$A:$A,0))</f>
        <v>After fix</v>
      </c>
      <c r="F324" s="31" t="n">
        <f aca="false">(C324-B324)*86400</f>
        <v>0.175999221</v>
      </c>
      <c r="G324" s="3" t="str">
        <f aca="false">IF(F324*1000&gt;Constants!$B$12,"Yes","No")</f>
        <v>No</v>
      </c>
      <c r="H324" s="3"/>
      <c r="I324" s="3"/>
      <c r="J324" s="3"/>
      <c r="K324" s="3"/>
      <c r="L324" s="3"/>
      <c r="M324" s="3"/>
      <c r="N324" s="3"/>
      <c r="O324" s="3"/>
    </row>
    <row r="325" customFormat="false" ht="15" hidden="false" customHeight="false" outlineLevel="0" collapsed="false">
      <c r="A325" s="27" t="n">
        <v>17</v>
      </c>
      <c r="B325" s="28" t="n">
        <v>46301.5267496296</v>
      </c>
      <c r="C325" s="28" t="n">
        <v>46301.5267511343</v>
      </c>
      <c r="D325" s="32" t="n">
        <f aca="false">(B325-INDEX(Rounds!$C:$C,MATCH(A325,Rounds!$A:$A,0)))*86400</f>
        <v>94.015000644</v>
      </c>
      <c r="E325" s="3" t="str">
        <f aca="false">INDEX(Rounds!$F:$F,MATCH(A325,Rounds!$A:$A,0))</f>
        <v>After fix</v>
      </c>
      <c r="F325" s="31" t="n">
        <f aca="false">(C325-B325)*86400</f>
        <v>0.130000174</v>
      </c>
      <c r="G325" s="3" t="str">
        <f aca="false">IF(F325*1000&gt;Constants!$B$12,"Yes","No")</f>
        <v>No</v>
      </c>
      <c r="H325" s="3"/>
      <c r="I325" s="3"/>
      <c r="J325" s="3"/>
      <c r="K325" s="3"/>
      <c r="L325" s="3"/>
      <c r="M325" s="3"/>
      <c r="N325" s="3"/>
      <c r="O325" s="3"/>
    </row>
    <row r="326" customFormat="false" ht="15" hidden="false" customHeight="false" outlineLevel="0" collapsed="false">
      <c r="A326" s="27" t="n">
        <v>17</v>
      </c>
      <c r="B326" s="28" t="n">
        <v>46301.5267603241</v>
      </c>
      <c r="C326" s="28" t="n">
        <v>46301.5267610648</v>
      </c>
      <c r="D326" s="32" t="n">
        <f aca="false">(B326-INDEX(Rounds!$C:$C,MATCH(A326,Rounds!$A:$A,0)))*86400</f>
        <v>94.939000485</v>
      </c>
      <c r="E326" s="3" t="str">
        <f aca="false">INDEX(Rounds!$F:$F,MATCH(A326,Rounds!$A:$A,0))</f>
        <v>After fix</v>
      </c>
      <c r="F326" s="31" t="n">
        <f aca="false">(C326-B326)*86400</f>
        <v>0.064000859</v>
      </c>
      <c r="G326" s="3" t="str">
        <f aca="false">IF(F326*1000&gt;Constants!$B$12,"Yes","No")</f>
        <v>No</v>
      </c>
      <c r="H326" s="3"/>
      <c r="I326" s="3"/>
      <c r="J326" s="3"/>
      <c r="K326" s="3"/>
      <c r="L326" s="3"/>
      <c r="M326" s="3"/>
      <c r="N326" s="3"/>
      <c r="O326" s="3"/>
    </row>
    <row r="327" customFormat="false" ht="15" hidden="false" customHeight="false" outlineLevel="0" collapsed="false">
      <c r="A327" s="27" t="n">
        <v>17</v>
      </c>
      <c r="B327" s="28" t="n">
        <v>46301.5267666319</v>
      </c>
      <c r="C327" s="28" t="n">
        <v>46301.5267699769</v>
      </c>
      <c r="D327" s="32" t="n">
        <f aca="false">(B327-INDEX(Rounds!$C:$C,MATCH(A327,Rounds!$A:$A,0)))*86400</f>
        <v>95.484000421</v>
      </c>
      <c r="E327" s="3" t="str">
        <f aca="false">INDEX(Rounds!$F:$F,MATCH(A327,Rounds!$A:$A,0))</f>
        <v>After fix</v>
      </c>
      <c r="F327" s="31" t="n">
        <f aca="false">(C327-B327)*86400</f>
        <v>0.289000268</v>
      </c>
      <c r="G327" s="3" t="str">
        <f aca="false">IF(F327*1000&gt;Constants!$B$12,"Yes","No")</f>
        <v>No</v>
      </c>
      <c r="H327" s="3"/>
      <c r="I327" s="3"/>
      <c r="J327" s="3"/>
      <c r="K327" s="3"/>
      <c r="L327" s="3"/>
      <c r="M327" s="3"/>
      <c r="N327" s="3"/>
      <c r="O327"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9765625" defaultRowHeight="15" zeroHeight="false" outlineLevelRow="0" outlineLevelCol="0"/>
  <cols>
    <col collapsed="false" customWidth="true" hidden="false" outlineLevel="0" max="1" min="1" style="1" width="7"/>
    <col collapsed="false" customWidth="true" hidden="false" outlineLevel="0" max="2" min="2" style="1" width="22"/>
    <col collapsed="false" customWidth="true" hidden="false" outlineLevel="0" max="4" min="3" style="1" width="10"/>
    <col collapsed="false" customWidth="true" hidden="false" outlineLevel="0" max="5" min="5" style="1" width="6"/>
    <col collapsed="false" customWidth="true" hidden="false" outlineLevel="0" max="6" min="6" style="1" width="7"/>
    <col collapsed="false" customWidth="true" hidden="false" outlineLevel="0" max="8" min="7" style="1" width="8"/>
    <col collapsed="false" customWidth="true" hidden="false" outlineLevel="0" max="11" min="9" style="1" width="10"/>
    <col collapsed="false" customWidth="true" hidden="false" outlineLevel="0" max="15" min="12" style="1" width="9"/>
    <col collapsed="false" customWidth="true" hidden="false" outlineLevel="0" max="17" min="16" style="1" width="11"/>
    <col collapsed="false" customWidth="true" hidden="false" outlineLevel="0" max="18" min="18" style="1" width="34"/>
    <col collapsed="false" customWidth="true" hidden="false" outlineLevel="0" max="20" min="20" style="1" width="28"/>
    <col collapsed="false" customWidth="true" hidden="false" outlineLevel="0" max="21" min="21" style="1" width="10"/>
    <col collapsed="false" customWidth="true" hidden="false" outlineLevel="0" max="23" min="23" style="1" width="11"/>
    <col collapsed="false" customWidth="true" hidden="false" outlineLevel="0" max="25" min="24" style="1" width="9"/>
  </cols>
  <sheetData>
    <row r="1" customFormat="false" ht="19.7" hidden="false" customHeight="false" outlineLevel="0" collapsed="false">
      <c r="A1" s="2" t="s">
        <v>567</v>
      </c>
      <c r="B1" s="3"/>
      <c r="C1" s="3"/>
      <c r="D1" s="3"/>
      <c r="E1" s="3"/>
      <c r="F1" s="3"/>
      <c r="G1" s="3"/>
      <c r="H1" s="3"/>
      <c r="I1" s="3"/>
      <c r="J1" s="3"/>
      <c r="K1" s="3"/>
      <c r="L1" s="3"/>
      <c r="M1" s="3"/>
      <c r="N1" s="3"/>
      <c r="O1" s="3"/>
      <c r="P1" s="3"/>
      <c r="Q1" s="3"/>
      <c r="R1" s="3"/>
      <c r="S1" s="3"/>
      <c r="T1" s="3"/>
      <c r="U1" s="3"/>
      <c r="V1" s="3"/>
      <c r="W1" s="3"/>
      <c r="X1" s="3"/>
      <c r="Y1" s="3"/>
    </row>
    <row r="2" customFormat="false" ht="15" hidden="false" customHeight="false" outlineLevel="0" collapsed="false">
      <c r="A2" s="4" t="s">
        <v>568</v>
      </c>
      <c r="B2" s="3"/>
      <c r="C2" s="3"/>
      <c r="D2" s="3"/>
      <c r="E2" s="3"/>
      <c r="F2" s="3"/>
      <c r="G2" s="3"/>
      <c r="H2" s="3"/>
      <c r="I2" s="3"/>
      <c r="J2" s="3"/>
      <c r="K2" s="3"/>
      <c r="L2" s="3"/>
      <c r="M2" s="3"/>
      <c r="N2" s="3"/>
      <c r="O2" s="3"/>
      <c r="P2" s="3"/>
      <c r="Q2" s="3"/>
      <c r="R2" s="3"/>
      <c r="S2" s="3"/>
      <c r="T2" s="3"/>
      <c r="U2" s="3"/>
      <c r="V2" s="3"/>
      <c r="W2" s="3"/>
      <c r="X2" s="3"/>
      <c r="Y2" s="3"/>
    </row>
    <row r="3" customFormat="false" ht="15" hidden="false" customHeight="false" outlineLevel="0" collapsed="false">
      <c r="A3" s="3"/>
      <c r="B3" s="3"/>
      <c r="C3" s="3"/>
      <c r="D3" s="3"/>
      <c r="E3" s="3"/>
      <c r="F3" s="3"/>
      <c r="G3" s="3"/>
      <c r="H3" s="3"/>
      <c r="I3" s="3"/>
      <c r="J3" s="3"/>
      <c r="K3" s="3"/>
      <c r="L3" s="3"/>
      <c r="M3" s="3"/>
      <c r="N3" s="3"/>
      <c r="O3" s="3"/>
      <c r="P3" s="3"/>
      <c r="Q3" s="3"/>
      <c r="R3" s="3"/>
      <c r="S3" s="3"/>
      <c r="T3" s="3"/>
      <c r="U3" s="3"/>
      <c r="V3" s="3"/>
      <c r="W3" s="3"/>
      <c r="X3" s="3"/>
      <c r="Y3" s="3"/>
    </row>
    <row r="4" customFormat="false" ht="31.5" hidden="false" customHeight="true" outlineLevel="0" collapsed="false">
      <c r="A4" s="12" t="s">
        <v>155</v>
      </c>
      <c r="B4" s="12" t="s">
        <v>569</v>
      </c>
      <c r="C4" s="12" t="s">
        <v>570</v>
      </c>
      <c r="D4" s="12" t="s">
        <v>571</v>
      </c>
      <c r="E4" s="12" t="s">
        <v>141</v>
      </c>
      <c r="F4" s="12" t="s">
        <v>572</v>
      </c>
      <c r="G4" s="12" t="s">
        <v>573</v>
      </c>
      <c r="H4" s="12" t="s">
        <v>574</v>
      </c>
      <c r="I4" s="12" t="s">
        <v>575</v>
      </c>
      <c r="J4" s="12" t="s">
        <v>576</v>
      </c>
      <c r="K4" s="12" t="s">
        <v>577</v>
      </c>
      <c r="L4" s="12" t="s">
        <v>578</v>
      </c>
      <c r="M4" s="12" t="s">
        <v>579</v>
      </c>
      <c r="N4" s="12" t="s">
        <v>580</v>
      </c>
      <c r="O4" s="12" t="s">
        <v>581</v>
      </c>
      <c r="P4" s="12" t="s">
        <v>582</v>
      </c>
      <c r="Q4" s="12" t="s">
        <v>583</v>
      </c>
      <c r="R4" s="12" t="s">
        <v>584</v>
      </c>
      <c r="S4" s="3"/>
      <c r="T4" s="5" t="s">
        <v>585</v>
      </c>
      <c r="U4" s="3"/>
      <c r="V4" s="3"/>
      <c r="W4" s="15" t="s">
        <v>586</v>
      </c>
      <c r="X4" s="3"/>
      <c r="Y4" s="3"/>
    </row>
    <row r="5" customFormat="false" ht="15" hidden="false" customHeight="false" outlineLevel="0" collapsed="false">
      <c r="A5" s="27" t="n">
        <v>1</v>
      </c>
      <c r="B5" s="28" t="n">
        <v>46300.1112868171</v>
      </c>
      <c r="C5" s="32" t="n">
        <f aca="false">(B5-INDEX(Rounds!$C:$C,MATCH(A5,Rounds!$A:$A,0)))*86400</f>
        <v>11.250000586</v>
      </c>
      <c r="D5" s="27" t="s">
        <v>587</v>
      </c>
      <c r="E5" s="27" t="n">
        <v>5</v>
      </c>
      <c r="F5" s="27" t="n">
        <v>100</v>
      </c>
      <c r="G5" s="27" t="n">
        <v>100</v>
      </c>
      <c r="H5" s="27" t="n">
        <v>1</v>
      </c>
      <c r="I5" s="27" t="s">
        <v>145</v>
      </c>
      <c r="J5" s="33" t="n">
        <v>0.5302</v>
      </c>
      <c r="K5" s="33" t="n">
        <v>1.6011</v>
      </c>
      <c r="L5" s="31" t="n">
        <f aca="false">INDEX(Constants!$D$18:$D$41,MATCH(I5&amp;"#"&amp;E5,Constants!$A$18:$A$41,0))</f>
        <v>0.5</v>
      </c>
      <c r="M5" s="31" t="n">
        <f aca="false">INDEX(Constants!$E$18:$E$41,MATCH(I5&amp;"#"&amp;E5,Constants!$A$18:$A$41,0))</f>
        <v>1.74</v>
      </c>
      <c r="N5" s="31" t="n">
        <f aca="false">J5-L5</f>
        <v>0.0302</v>
      </c>
      <c r="O5" s="31" t="n">
        <f aca="false">K5-M5</f>
        <v>-0.1389</v>
      </c>
      <c r="P5" s="30" t="n">
        <f aca="false">SQRT((N5/Constants!$B$8)^2+(O5/Constants!$B$9)^2)</f>
        <v>1.00747100035159</v>
      </c>
      <c r="Q5" s="3" t="str">
        <f aca="false">IF(P5&lt;=1.05,"Yes","No")</f>
        <v>Yes</v>
      </c>
      <c r="R5" s="27" t="s">
        <v>588</v>
      </c>
      <c r="S5" s="3"/>
      <c r="T5" s="6" t="s">
        <v>99</v>
      </c>
      <c r="U5" s="34" t="n">
        <f aca="false">COUNTA(D5:D98)</f>
        <v>94</v>
      </c>
      <c r="V5" s="3"/>
      <c r="W5" s="12" t="s">
        <v>589</v>
      </c>
      <c r="X5" s="12" t="s">
        <v>580</v>
      </c>
      <c r="Y5" s="12" t="s">
        <v>581</v>
      </c>
    </row>
    <row r="6" customFormat="false" ht="15" hidden="false" customHeight="false" outlineLevel="0" collapsed="false">
      <c r="A6" s="27" t="n">
        <v>1</v>
      </c>
      <c r="B6" s="28" t="n">
        <v>46300.1115595833</v>
      </c>
      <c r="C6" s="32" t="n">
        <f aca="false">(B6-INDEX(Rounds!$C:$C,MATCH(A6,Rounds!$A:$A,0)))*86400</f>
        <v>34.817000222</v>
      </c>
      <c r="D6" s="27" t="s">
        <v>587</v>
      </c>
      <c r="E6" s="27" t="n">
        <v>3</v>
      </c>
      <c r="F6" s="27" t="n">
        <v>100</v>
      </c>
      <c r="G6" s="27" t="n">
        <v>200</v>
      </c>
      <c r="H6" s="27" t="n">
        <v>1</v>
      </c>
      <c r="I6" s="27" t="s">
        <v>145</v>
      </c>
      <c r="J6" s="33" t="n">
        <v>0.5945</v>
      </c>
      <c r="K6" s="33" t="n">
        <v>1.43</v>
      </c>
      <c r="L6" s="31" t="n">
        <f aca="false">INDEX(Constants!$D$18:$D$41,MATCH(I6&amp;"#"&amp;E6,Constants!$A$18:$A$41,0))</f>
        <v>0.75</v>
      </c>
      <c r="M6" s="31" t="n">
        <f aca="false">INDEX(Constants!$E$18:$E$41,MATCH(I6&amp;"#"&amp;E6,Constants!$A$18:$A$41,0))</f>
        <v>1.42</v>
      </c>
      <c r="N6" s="31" t="n">
        <f aca="false">J6-L6</f>
        <v>-0.1555</v>
      </c>
      <c r="O6" s="31" t="n">
        <f aca="false">K6-M6</f>
        <v>0.01</v>
      </c>
      <c r="P6" s="30" t="n">
        <f aca="false">SQRT((N6/Constants!$B$8)^2+(O6/Constants!$B$9)^2)</f>
        <v>0.904274757398201</v>
      </c>
      <c r="Q6" s="3" t="str">
        <f aca="false">IF(P6&lt;=1.05,"Yes","No")</f>
        <v>Yes</v>
      </c>
      <c r="R6" s="27" t="s">
        <v>588</v>
      </c>
      <c r="S6" s="3"/>
      <c r="T6" s="6" t="s">
        <v>590</v>
      </c>
      <c r="U6" s="34" t="n">
        <f aca="false">COUNTIF(Q5:Q98,"Yes")</f>
        <v>94</v>
      </c>
      <c r="V6" s="3"/>
      <c r="W6" s="27" t="n">
        <v>0</v>
      </c>
      <c r="X6" s="31" t="n">
        <f aca="false">Constants!$B$8*COS(RADIANS(W6))</f>
        <v>0.1725</v>
      </c>
      <c r="Y6" s="31" t="n">
        <f aca="false">Constants!$B$9*SIN(RADIANS(W6))</f>
        <v>0</v>
      </c>
    </row>
    <row r="7" customFormat="false" ht="15" hidden="false" customHeight="false" outlineLevel="0" collapsed="false">
      <c r="A7" s="27" t="n">
        <v>1</v>
      </c>
      <c r="B7" s="28" t="n">
        <v>46300.1116173264</v>
      </c>
      <c r="C7" s="32" t="n">
        <f aca="false">(B7-INDEX(Rounds!$C:$C,MATCH(A7,Rounds!$A:$A,0)))*86400</f>
        <v>39.806000143</v>
      </c>
      <c r="D7" s="27" t="s">
        <v>587</v>
      </c>
      <c r="E7" s="27" t="n">
        <v>0</v>
      </c>
      <c r="F7" s="27" t="n">
        <v>100</v>
      </c>
      <c r="G7" s="27" t="n">
        <v>300</v>
      </c>
      <c r="H7" s="27" t="n">
        <v>1</v>
      </c>
      <c r="I7" s="27" t="s">
        <v>145</v>
      </c>
      <c r="J7" s="33" t="n">
        <v>0.5862</v>
      </c>
      <c r="K7" s="33" t="n">
        <v>1.2187</v>
      </c>
      <c r="L7" s="31" t="n">
        <f aca="false">INDEX(Constants!$D$18:$D$41,MATCH(I7&amp;"#"&amp;E7,Constants!$A$18:$A$41,0))</f>
        <v>0.5</v>
      </c>
      <c r="M7" s="31" t="n">
        <f aca="false">INDEX(Constants!$E$18:$E$41,MATCH(I7&amp;"#"&amp;E7,Constants!$A$18:$A$41,0))</f>
        <v>1.1</v>
      </c>
      <c r="N7" s="31" t="n">
        <f aca="false">J7-L7</f>
        <v>0.0862000000000001</v>
      </c>
      <c r="O7" s="31" t="n">
        <f aca="false">K7-M7</f>
        <v>0.1187</v>
      </c>
      <c r="P7" s="30" t="n">
        <f aca="false">SQRT((N7/Constants!$B$8)^2+(O7/Constants!$B$9)^2)</f>
        <v>0.984160537533067</v>
      </c>
      <c r="Q7" s="3" t="str">
        <f aca="false">IF(P7&lt;=1.05,"Yes","No")</f>
        <v>Yes</v>
      </c>
      <c r="R7" s="27" t="s">
        <v>588</v>
      </c>
      <c r="S7" s="3"/>
      <c r="T7" s="6" t="s">
        <v>591</v>
      </c>
      <c r="U7" s="24" t="n">
        <f aca="false">U6/U5</f>
        <v>1</v>
      </c>
      <c r="V7" s="3"/>
      <c r="W7" s="27" t="n">
        <v>10</v>
      </c>
      <c r="X7" s="31" t="n">
        <f aca="false">Constants!$B$8*COS(RADIANS(W7))</f>
        <v>0.169879337394606</v>
      </c>
      <c r="Y7" s="31" t="n">
        <f aca="false">Constants!$B$9*SIN(RADIANS(W7))</f>
        <v>0.0243107448733703</v>
      </c>
    </row>
    <row r="8" customFormat="false" ht="15" hidden="false" customHeight="false" outlineLevel="0" collapsed="false">
      <c r="A8" s="27" t="n">
        <v>1</v>
      </c>
      <c r="B8" s="28" t="n">
        <v>46300.1117533218</v>
      </c>
      <c r="C8" s="32" t="n">
        <f aca="false">(B8-INDEX(Rounds!$C:$C,MATCH(A8,Rounds!$A:$A,0)))*86400</f>
        <v>51.556000532</v>
      </c>
      <c r="D8" s="27" t="s">
        <v>587</v>
      </c>
      <c r="E8" s="27" t="n">
        <v>2</v>
      </c>
      <c r="F8" s="27" t="n">
        <v>100</v>
      </c>
      <c r="G8" s="27" t="n">
        <v>400</v>
      </c>
      <c r="H8" s="27" t="n">
        <v>2</v>
      </c>
      <c r="I8" s="27" t="s">
        <v>145</v>
      </c>
      <c r="J8" s="33" t="n">
        <v>0.4185</v>
      </c>
      <c r="K8" s="33" t="n">
        <v>1.3949</v>
      </c>
      <c r="L8" s="31" t="n">
        <f aca="false">INDEX(Constants!$D$18:$D$41,MATCH(I8&amp;"#"&amp;E8,Constants!$A$18:$A$41,0))</f>
        <v>0.25</v>
      </c>
      <c r="M8" s="31" t="n">
        <f aca="false">INDEX(Constants!$E$18:$E$41,MATCH(I8&amp;"#"&amp;E8,Constants!$A$18:$A$41,0))</f>
        <v>1.42</v>
      </c>
      <c r="N8" s="31" t="n">
        <f aca="false">J8-L8</f>
        <v>0.1685</v>
      </c>
      <c r="O8" s="31" t="n">
        <f aca="false">K8-M8</f>
        <v>-0.0250999999999999</v>
      </c>
      <c r="P8" s="30" t="n">
        <f aca="false">SQRT((N8/Constants!$B$8)^2+(O8/Constants!$B$9)^2)</f>
        <v>0.993128520341726</v>
      </c>
      <c r="Q8" s="3" t="str">
        <f aca="false">IF(P8&lt;=1.05,"Yes","No")</f>
        <v>Yes</v>
      </c>
      <c r="R8" s="27" t="s">
        <v>588</v>
      </c>
      <c r="S8" s="3"/>
      <c r="T8" s="6" t="s">
        <v>592</v>
      </c>
      <c r="U8" s="26" t="n">
        <f aca="false">MEDIAN(P5:P98)</f>
        <v>0.953604451919214</v>
      </c>
      <c r="V8" s="3"/>
      <c r="W8" s="27" t="n">
        <v>20</v>
      </c>
      <c r="X8" s="31" t="n">
        <f aca="false">Constants!$B$8*COS(RADIANS(W8))</f>
        <v>0.162096977085569</v>
      </c>
      <c r="Y8" s="31" t="n">
        <f aca="false">Constants!$B$9*SIN(RADIANS(W8))</f>
        <v>0.0478828200655936</v>
      </c>
    </row>
    <row r="9" customFormat="false" ht="15" hidden="false" customHeight="false" outlineLevel="0" collapsed="false">
      <c r="A9" s="27" t="n">
        <v>2</v>
      </c>
      <c r="B9" s="28" t="n">
        <v>46300.1132073727</v>
      </c>
      <c r="C9" s="32" t="n">
        <f aca="false">(B9-INDEX(Rounds!$C:$C,MATCH(A9,Rounds!$A:$A,0)))*86400</f>
        <v>31.798998964</v>
      </c>
      <c r="D9" s="27" t="s">
        <v>587</v>
      </c>
      <c r="E9" s="27" t="n">
        <v>2</v>
      </c>
      <c r="F9" s="27" t="n">
        <v>100</v>
      </c>
      <c r="G9" s="27" t="n">
        <v>100</v>
      </c>
      <c r="H9" s="27" t="n">
        <v>1</v>
      </c>
      <c r="I9" s="27" t="s">
        <v>145</v>
      </c>
      <c r="J9" s="33" t="n">
        <v>0.3863</v>
      </c>
      <c r="K9" s="33" t="n">
        <v>1.4708</v>
      </c>
      <c r="L9" s="31" t="n">
        <f aca="false">INDEX(Constants!$D$18:$D$41,MATCH(I9&amp;"#"&amp;E9,Constants!$A$18:$A$41,0))</f>
        <v>0.25</v>
      </c>
      <c r="M9" s="31" t="n">
        <f aca="false">INDEX(Constants!$E$18:$E$41,MATCH(I9&amp;"#"&amp;E9,Constants!$A$18:$A$41,0))</f>
        <v>1.42</v>
      </c>
      <c r="N9" s="31" t="n">
        <f aca="false">J9-L9</f>
        <v>0.1363</v>
      </c>
      <c r="O9" s="31" t="n">
        <f aca="false">K9-M9</f>
        <v>0.0508000000000002</v>
      </c>
      <c r="P9" s="30" t="n">
        <f aca="false">SQRT((N9/Constants!$B$8)^2+(O9/Constants!$B$9)^2)</f>
        <v>0.869479334218868</v>
      </c>
      <c r="Q9" s="3" t="str">
        <f aca="false">IF(P9&lt;=1.05,"Yes","No")</f>
        <v>Yes</v>
      </c>
      <c r="R9" s="27" t="s">
        <v>588</v>
      </c>
      <c r="S9" s="3"/>
      <c r="T9" s="6" t="s">
        <v>593</v>
      </c>
      <c r="U9" s="26" t="n">
        <f aca="false">MAX(P5:P98)</f>
        <v>1.00747100035159</v>
      </c>
      <c r="V9" s="3"/>
      <c r="W9" s="27" t="n">
        <v>30</v>
      </c>
      <c r="X9" s="31" t="n">
        <f aca="false">Constants!$B$8*COS(RADIANS(W9))</f>
        <v>0.149389382152816</v>
      </c>
      <c r="Y9" s="31" t="n">
        <f aca="false">Constants!$B$9*SIN(RADIANS(W9))</f>
        <v>0.07</v>
      </c>
    </row>
    <row r="10" customFormat="false" ht="15" hidden="false" customHeight="false" outlineLevel="0" collapsed="false">
      <c r="A10" s="27" t="n">
        <v>2</v>
      </c>
      <c r="B10" s="28" t="n">
        <v>46300.1134810764</v>
      </c>
      <c r="C10" s="32" t="n">
        <f aca="false">(B10-INDEX(Rounds!$C:$C,MATCH(A10,Rounds!$A:$A,0)))*86400</f>
        <v>55.446999846</v>
      </c>
      <c r="D10" s="27" t="s">
        <v>587</v>
      </c>
      <c r="E10" s="27" t="n">
        <v>2</v>
      </c>
      <c r="F10" s="27" t="n">
        <v>100</v>
      </c>
      <c r="G10" s="27" t="n">
        <v>200</v>
      </c>
      <c r="H10" s="27" t="n">
        <v>1</v>
      </c>
      <c r="I10" s="27" t="s">
        <v>145</v>
      </c>
      <c r="J10" s="33" t="n">
        <v>0.3843</v>
      </c>
      <c r="K10" s="33" t="n">
        <v>1.3321</v>
      </c>
      <c r="L10" s="31" t="n">
        <f aca="false">INDEX(Constants!$D$18:$D$41,MATCH(I10&amp;"#"&amp;E10,Constants!$A$18:$A$41,0))</f>
        <v>0.25</v>
      </c>
      <c r="M10" s="31" t="n">
        <f aca="false">INDEX(Constants!$E$18:$E$41,MATCH(I10&amp;"#"&amp;E10,Constants!$A$18:$A$41,0))</f>
        <v>1.42</v>
      </c>
      <c r="N10" s="31" t="n">
        <f aca="false">J10-L10</f>
        <v>0.1343</v>
      </c>
      <c r="O10" s="31" t="n">
        <f aca="false">K10-M10</f>
        <v>-0.0878999999999999</v>
      </c>
      <c r="P10" s="30" t="n">
        <f aca="false">SQRT((N10/Constants!$B$8)^2+(O10/Constants!$B$9)^2)</f>
        <v>1.00017289638872</v>
      </c>
      <c r="Q10" s="3" t="str">
        <f aca="false">IF(P10&lt;=1.05,"Yes","No")</f>
        <v>Yes</v>
      </c>
      <c r="R10" s="27" t="s">
        <v>588</v>
      </c>
      <c r="S10" s="3"/>
      <c r="T10" s="3"/>
      <c r="U10" s="3"/>
      <c r="V10" s="3"/>
      <c r="W10" s="27" t="n">
        <v>40</v>
      </c>
      <c r="X10" s="31" t="n">
        <f aca="false">Constants!$B$8*COS(RADIANS(W10))</f>
        <v>0.132142666438024</v>
      </c>
      <c r="Y10" s="31" t="n">
        <f aca="false">Constants!$B$9*SIN(RADIANS(W10))</f>
        <v>0.0899902653561155</v>
      </c>
    </row>
    <row r="11" customFormat="false" ht="15" hidden="false" customHeight="true" outlineLevel="0" collapsed="false">
      <c r="A11" s="27" t="n">
        <v>3</v>
      </c>
      <c r="B11" s="28" t="n">
        <v>46300.1144853935</v>
      </c>
      <c r="C11" s="32" t="n">
        <f aca="false">(B11-INDEX(Rounds!$C:$C,MATCH(A11,Rounds!$A:$A,0)))*86400</f>
        <v>45.228999922</v>
      </c>
      <c r="D11" s="27" t="s">
        <v>587</v>
      </c>
      <c r="E11" s="27" t="n">
        <v>3</v>
      </c>
      <c r="F11" s="27" t="n">
        <v>100</v>
      </c>
      <c r="G11" s="27" t="n">
        <v>100</v>
      </c>
      <c r="H11" s="27" t="n">
        <v>1</v>
      </c>
      <c r="I11" s="27" t="s">
        <v>145</v>
      </c>
      <c r="J11" s="33" t="n">
        <v>0.7554</v>
      </c>
      <c r="K11" s="33" t="n">
        <v>1.2868</v>
      </c>
      <c r="L11" s="31" t="n">
        <f aca="false">INDEX(Constants!$D$18:$D$41,MATCH(I11&amp;"#"&amp;E11,Constants!$A$18:$A$41,0))</f>
        <v>0.75</v>
      </c>
      <c r="M11" s="31" t="n">
        <f aca="false">INDEX(Constants!$E$18:$E$41,MATCH(I11&amp;"#"&amp;E11,Constants!$A$18:$A$41,0))</f>
        <v>1.42</v>
      </c>
      <c r="N11" s="31" t="n">
        <f aca="false">J11-L11</f>
        <v>0.00539999999999996</v>
      </c>
      <c r="O11" s="31" t="n">
        <f aca="false">K11-M11</f>
        <v>-0.1332</v>
      </c>
      <c r="P11" s="30" t="n">
        <f aca="false">SQRT((N11/Constants!$B$8)^2+(O11/Constants!$B$9)^2)</f>
        <v>0.951943427270459</v>
      </c>
      <c r="Q11" s="3" t="str">
        <f aca="false">IF(P11&lt;=1.05,"Yes","No")</f>
        <v>Yes</v>
      </c>
      <c r="R11" s="27" t="s">
        <v>588</v>
      </c>
      <c r="S11" s="3"/>
      <c r="T11" s="35" t="s">
        <v>594</v>
      </c>
      <c r="U11" s="35"/>
      <c r="V11" s="3"/>
      <c r="W11" s="27" t="n">
        <v>50</v>
      </c>
      <c r="X11" s="31" t="n">
        <f aca="false">Constants!$B$8*COS(RADIANS(W11))</f>
        <v>0.110880862670928</v>
      </c>
      <c r="Y11" s="31" t="n">
        <f aca="false">Constants!$B$9*SIN(RADIANS(W11))</f>
        <v>0.107246222036657</v>
      </c>
    </row>
    <row r="12" customFormat="false" ht="15" hidden="false" customHeight="false" outlineLevel="0" collapsed="false">
      <c r="A12" s="27" t="n">
        <v>5</v>
      </c>
      <c r="B12" s="28" t="n">
        <v>46300.127614375</v>
      </c>
      <c r="C12" s="32" t="n">
        <f aca="false">(B12-INDEX(Rounds!$C:$C,MATCH(A12,Rounds!$A:$A,0)))*86400</f>
        <v>29.9300001</v>
      </c>
      <c r="D12" s="27" t="s">
        <v>587</v>
      </c>
      <c r="E12" s="27" t="n">
        <v>3</v>
      </c>
      <c r="F12" s="27" t="n">
        <v>100</v>
      </c>
      <c r="G12" s="27" t="n">
        <v>100</v>
      </c>
      <c r="H12" s="27" t="n">
        <v>1</v>
      </c>
      <c r="I12" s="27" t="s">
        <v>145</v>
      </c>
      <c r="J12" s="33" t="n">
        <v>0.5923</v>
      </c>
      <c r="K12" s="33" t="n">
        <v>1.3793</v>
      </c>
      <c r="L12" s="31" t="n">
        <f aca="false">INDEX(Constants!$D$18:$D$41,MATCH(I12&amp;"#"&amp;E12,Constants!$A$18:$A$41,0))</f>
        <v>0.75</v>
      </c>
      <c r="M12" s="31" t="n">
        <f aca="false">INDEX(Constants!$E$18:$E$41,MATCH(I12&amp;"#"&amp;E12,Constants!$A$18:$A$41,0))</f>
        <v>1.42</v>
      </c>
      <c r="N12" s="31" t="n">
        <f aca="false">J12-L12</f>
        <v>-0.1577</v>
      </c>
      <c r="O12" s="31" t="n">
        <f aca="false">K12-M12</f>
        <v>-0.0407</v>
      </c>
      <c r="P12" s="30" t="n">
        <f aca="false">SQRT((N12/Constants!$B$8)^2+(O12/Constants!$B$9)^2)</f>
        <v>0.959313158273623</v>
      </c>
      <c r="Q12" s="3" t="str">
        <f aca="false">IF(P12&lt;=1.05,"Yes","No")</f>
        <v>Yes</v>
      </c>
      <c r="R12" s="27" t="s">
        <v>588</v>
      </c>
      <c r="S12" s="3"/>
      <c r="T12" s="35"/>
      <c r="U12" s="35"/>
      <c r="V12" s="3"/>
      <c r="W12" s="27" t="n">
        <v>60</v>
      </c>
      <c r="X12" s="31" t="n">
        <f aca="false">Constants!$B$8*COS(RADIANS(W12))</f>
        <v>0.08625</v>
      </c>
      <c r="Y12" s="31" t="n">
        <f aca="false">Constants!$B$9*SIN(RADIANS(W12))</f>
        <v>0.121243556529821</v>
      </c>
    </row>
    <row r="13" customFormat="false" ht="15" hidden="false" customHeight="false" outlineLevel="0" collapsed="false">
      <c r="A13" s="27" t="n">
        <v>5</v>
      </c>
      <c r="B13" s="28" t="n">
        <v>46300.1279810301</v>
      </c>
      <c r="C13" s="32" t="n">
        <f aca="false">(B13-INDEX(Rounds!$C:$C,MATCH(A13,Rounds!$A:$A,0)))*86400</f>
        <v>61.608999967</v>
      </c>
      <c r="D13" s="27" t="s">
        <v>587</v>
      </c>
      <c r="E13" s="27" t="n">
        <v>4</v>
      </c>
      <c r="F13" s="27" t="n">
        <v>100</v>
      </c>
      <c r="G13" s="27" t="n">
        <v>200</v>
      </c>
      <c r="H13" s="27" t="n">
        <v>1</v>
      </c>
      <c r="I13" s="27" t="s">
        <v>145</v>
      </c>
      <c r="J13" s="33" t="n">
        <v>1.0863</v>
      </c>
      <c r="K13" s="33" t="n">
        <v>1.4467</v>
      </c>
      <c r="L13" s="31" t="n">
        <f aca="false">INDEX(Constants!$D$18:$D$41,MATCH(I13&amp;"#"&amp;E13,Constants!$A$18:$A$41,0))</f>
        <v>1.25</v>
      </c>
      <c r="M13" s="31" t="n">
        <f aca="false">INDEX(Constants!$E$18:$E$41,MATCH(I13&amp;"#"&amp;E13,Constants!$A$18:$A$41,0))</f>
        <v>1.42</v>
      </c>
      <c r="N13" s="31" t="n">
        <f aca="false">J13-L13</f>
        <v>-0.1637</v>
      </c>
      <c r="O13" s="31" t="n">
        <f aca="false">K13-M13</f>
        <v>0.0267000000000002</v>
      </c>
      <c r="P13" s="30" t="n">
        <f aca="false">SQRT((N13/Constants!$B$8)^2+(O13/Constants!$B$9)^2)</f>
        <v>0.967959416369908</v>
      </c>
      <c r="Q13" s="3" t="str">
        <f aca="false">IF(P13&lt;=1.05,"Yes","No")</f>
        <v>Yes</v>
      </c>
      <c r="R13" s="27" t="s">
        <v>588</v>
      </c>
      <c r="S13" s="3"/>
      <c r="T13" s="35"/>
      <c r="U13" s="35"/>
      <c r="V13" s="3"/>
      <c r="W13" s="27" t="n">
        <v>70</v>
      </c>
      <c r="X13" s="31" t="n">
        <f aca="false">Constants!$B$8*COS(RADIANS(W13))</f>
        <v>0.0589984747236779</v>
      </c>
      <c r="Y13" s="31" t="n">
        <f aca="false">Constants!$B$9*SIN(RADIANS(W13))</f>
        <v>0.131556966910027</v>
      </c>
    </row>
    <row r="14" customFormat="false" ht="15" hidden="false" customHeight="false" outlineLevel="0" collapsed="false">
      <c r="A14" s="27" t="n">
        <v>7</v>
      </c>
      <c r="B14" s="28" t="n">
        <v>46300.1570271412</v>
      </c>
      <c r="C14" s="32" t="n">
        <f aca="false">(B14-INDEX(Rounds!$C:$C,MATCH(A14,Rounds!$A:$A,0)))*86400</f>
        <v>283.460000669</v>
      </c>
      <c r="D14" s="27" t="s">
        <v>587</v>
      </c>
      <c r="E14" s="27" t="n">
        <v>5</v>
      </c>
      <c r="F14" s="27" t="n">
        <v>100</v>
      </c>
      <c r="G14" s="27" t="n">
        <v>100</v>
      </c>
      <c r="H14" s="27" t="n">
        <v>1</v>
      </c>
      <c r="I14" s="27" t="s">
        <v>145</v>
      </c>
      <c r="J14" s="33" t="n">
        <v>0.421</v>
      </c>
      <c r="K14" s="33" t="n">
        <v>1.6427</v>
      </c>
      <c r="L14" s="31" t="n">
        <f aca="false">INDEX(Constants!$D$18:$D$41,MATCH(I14&amp;"#"&amp;E14,Constants!$A$18:$A$41,0))</f>
        <v>0.5</v>
      </c>
      <c r="M14" s="31" t="n">
        <f aca="false">INDEX(Constants!$E$18:$E$41,MATCH(I14&amp;"#"&amp;E14,Constants!$A$18:$A$41,0))</f>
        <v>1.74</v>
      </c>
      <c r="N14" s="31" t="n">
        <f aca="false">J14-L14</f>
        <v>-0.079</v>
      </c>
      <c r="O14" s="31" t="n">
        <f aca="false">K14-M14</f>
        <v>-0.0972999999999999</v>
      </c>
      <c r="P14" s="30" t="n">
        <f aca="false">SQRT((N14/Constants!$B$8)^2+(O14/Constants!$B$9)^2)</f>
        <v>0.832323524908146</v>
      </c>
      <c r="Q14" s="3" t="str">
        <f aca="false">IF(P14&lt;=1.05,"Yes","No")</f>
        <v>Yes</v>
      </c>
      <c r="R14" s="27" t="s">
        <v>588</v>
      </c>
      <c r="S14" s="3"/>
      <c r="T14" s="35"/>
      <c r="U14" s="35"/>
      <c r="V14" s="3"/>
      <c r="W14" s="27" t="n">
        <v>80</v>
      </c>
      <c r="X14" s="31" t="n">
        <f aca="false">Constants!$B$8*COS(RADIANS(W14))</f>
        <v>0.0299543106475455</v>
      </c>
      <c r="Y14" s="31" t="n">
        <f aca="false">Constants!$B$9*SIN(RADIANS(W14))</f>
        <v>0.137873085421709</v>
      </c>
    </row>
    <row r="15" customFormat="false" ht="15" hidden="false" customHeight="false" outlineLevel="0" collapsed="false">
      <c r="A15" s="27" t="n">
        <v>7</v>
      </c>
      <c r="B15" s="28" t="n">
        <v>46300.1570559144</v>
      </c>
      <c r="C15" s="32" t="n">
        <f aca="false">(B15-INDEX(Rounds!$C:$C,MATCH(A15,Rounds!$A:$A,0)))*86400</f>
        <v>285.945999808</v>
      </c>
      <c r="D15" s="27" t="s">
        <v>587</v>
      </c>
      <c r="E15" s="27" t="n">
        <v>6</v>
      </c>
      <c r="F15" s="27" t="n">
        <v>100</v>
      </c>
      <c r="G15" s="27" t="n">
        <v>200</v>
      </c>
      <c r="H15" s="27" t="n">
        <v>1</v>
      </c>
      <c r="I15" s="27" t="s">
        <v>145</v>
      </c>
      <c r="J15" s="33" t="n">
        <v>0.8287</v>
      </c>
      <c r="K15" s="33" t="n">
        <v>1.7318</v>
      </c>
      <c r="L15" s="31" t="n">
        <f aca="false">INDEX(Constants!$D$18:$D$41,MATCH(I15&amp;"#"&amp;E15,Constants!$A$18:$A$41,0))</f>
        <v>1</v>
      </c>
      <c r="M15" s="31" t="n">
        <f aca="false">INDEX(Constants!$E$18:$E$41,MATCH(I15&amp;"#"&amp;E15,Constants!$A$18:$A$41,0))</f>
        <v>1.74</v>
      </c>
      <c r="N15" s="31" t="n">
        <f aca="false">J15-L15</f>
        <v>-0.1713</v>
      </c>
      <c r="O15" s="31" t="n">
        <f aca="false">K15-M15</f>
        <v>-0.00819999999999999</v>
      </c>
      <c r="P15" s="30" t="n">
        <f aca="false">SQRT((N15/Constants!$B$8)^2+(O15/Constants!$B$9)^2)</f>
        <v>0.994769300873999</v>
      </c>
      <c r="Q15" s="3" t="str">
        <f aca="false">IF(P15&lt;=1.05,"Yes","No")</f>
        <v>Yes</v>
      </c>
      <c r="R15" s="27" t="s">
        <v>588</v>
      </c>
      <c r="S15" s="3"/>
      <c r="T15" s="35"/>
      <c r="U15" s="35"/>
      <c r="V15" s="3"/>
      <c r="W15" s="27" t="n">
        <v>90</v>
      </c>
      <c r="X15" s="31" t="n">
        <f aca="false">Constants!$B$8*COS(RADIANS(W15))</f>
        <v>1.05625786426459E-017</v>
      </c>
      <c r="Y15" s="31" t="n">
        <f aca="false">Constants!$B$9*SIN(RADIANS(W15))</f>
        <v>0.14</v>
      </c>
    </row>
    <row r="16" customFormat="false" ht="15" hidden="false" customHeight="false" outlineLevel="0" collapsed="false">
      <c r="A16" s="27" t="n">
        <v>7</v>
      </c>
      <c r="B16" s="28" t="n">
        <v>46300.1570865857</v>
      </c>
      <c r="C16" s="32" t="n">
        <f aca="false">(B16-INDEX(Rounds!$C:$C,MATCH(A16,Rounds!$A:$A,0)))*86400</f>
        <v>288.595999893</v>
      </c>
      <c r="D16" s="27" t="s">
        <v>595</v>
      </c>
      <c r="E16" s="27" t="n">
        <v>4</v>
      </c>
      <c r="F16" s="27" t="n">
        <v>300</v>
      </c>
      <c r="G16" s="27" t="n">
        <v>500</v>
      </c>
      <c r="H16" s="27" t="n">
        <v>1</v>
      </c>
      <c r="I16" s="27" t="s">
        <v>145</v>
      </c>
      <c r="J16" s="33" t="n">
        <v>1.2034</v>
      </c>
      <c r="K16" s="33" t="n">
        <v>1.5443</v>
      </c>
      <c r="L16" s="31" t="n">
        <f aca="false">INDEX(Constants!$D$18:$D$41,MATCH(I16&amp;"#"&amp;E16,Constants!$A$18:$A$41,0))</f>
        <v>1.25</v>
      </c>
      <c r="M16" s="31" t="n">
        <f aca="false">INDEX(Constants!$E$18:$E$41,MATCH(I16&amp;"#"&amp;E16,Constants!$A$18:$A$41,0))</f>
        <v>1.42</v>
      </c>
      <c r="N16" s="31" t="n">
        <f aca="false">J16-L16</f>
        <v>-0.0466</v>
      </c>
      <c r="O16" s="31" t="n">
        <f aca="false">K16-M16</f>
        <v>0.1243</v>
      </c>
      <c r="P16" s="30" t="n">
        <f aca="false">SQRT((N16/Constants!$B$8)^2+(O16/Constants!$B$9)^2)</f>
        <v>0.9280455743098</v>
      </c>
      <c r="Q16" s="3" t="str">
        <f aca="false">IF(P16&lt;=1.05,"Yes","No")</f>
        <v>Yes</v>
      </c>
      <c r="R16" s="27" t="s">
        <v>588</v>
      </c>
      <c r="S16" s="3"/>
      <c r="T16" s="35"/>
      <c r="U16" s="35"/>
      <c r="V16" s="3"/>
      <c r="W16" s="27" t="n">
        <v>100</v>
      </c>
      <c r="X16" s="31" t="n">
        <f aca="false">Constants!$B$8*COS(RADIANS(W16))</f>
        <v>-0.0299543106475455</v>
      </c>
      <c r="Y16" s="31" t="n">
        <f aca="false">Constants!$B$9*SIN(RADIANS(W16))</f>
        <v>0.137873085421709</v>
      </c>
    </row>
    <row r="17" customFormat="false" ht="15" hidden="false" customHeight="false" outlineLevel="0" collapsed="false">
      <c r="A17" s="27" t="n">
        <v>8</v>
      </c>
      <c r="B17" s="28" t="n">
        <v>46300.1572398032</v>
      </c>
      <c r="C17" s="32" t="n">
        <f aca="false">(B17-INDEX(Rounds!$C:$C,MATCH(A17,Rounds!$A:$A,0)))*86400</f>
        <v>4.88499978</v>
      </c>
      <c r="D17" s="27" t="s">
        <v>587</v>
      </c>
      <c r="E17" s="27" t="n">
        <v>5</v>
      </c>
      <c r="F17" s="27" t="n">
        <v>100</v>
      </c>
      <c r="G17" s="27" t="n">
        <v>100</v>
      </c>
      <c r="H17" s="27" t="n">
        <v>1</v>
      </c>
      <c r="I17" s="27" t="s">
        <v>145</v>
      </c>
      <c r="J17" s="33" t="n">
        <v>0.3412</v>
      </c>
      <c r="K17" s="33" t="n">
        <v>1.7562</v>
      </c>
      <c r="L17" s="31" t="n">
        <f aca="false">INDEX(Constants!$D$18:$D$41,MATCH(I17&amp;"#"&amp;E17,Constants!$A$18:$A$41,0))</f>
        <v>0.5</v>
      </c>
      <c r="M17" s="31" t="n">
        <f aca="false">INDEX(Constants!$E$18:$E$41,MATCH(I17&amp;"#"&amp;E17,Constants!$A$18:$A$41,0))</f>
        <v>1.74</v>
      </c>
      <c r="N17" s="31" t="n">
        <f aca="false">J17-L17</f>
        <v>-0.1588</v>
      </c>
      <c r="O17" s="31" t="n">
        <f aca="false">K17-M17</f>
        <v>0.0162</v>
      </c>
      <c r="P17" s="30" t="n">
        <f aca="false">SQRT((N17/Constants!$B$8)^2+(O17/Constants!$B$9)^2)</f>
        <v>0.927823689419971</v>
      </c>
      <c r="Q17" s="3" t="str">
        <f aca="false">IF(P17&lt;=1.05,"Yes","No")</f>
        <v>Yes</v>
      </c>
      <c r="R17" s="27" t="s">
        <v>588</v>
      </c>
      <c r="S17" s="3"/>
      <c r="T17" s="3"/>
      <c r="U17" s="3"/>
      <c r="V17" s="3"/>
      <c r="W17" s="27" t="n">
        <v>110</v>
      </c>
      <c r="X17" s="31" t="n">
        <f aca="false">Constants!$B$8*COS(RADIANS(W17))</f>
        <v>-0.0589984747236779</v>
      </c>
      <c r="Y17" s="31" t="n">
        <f aca="false">Constants!$B$9*SIN(RADIANS(W17))</f>
        <v>0.131556966910027</v>
      </c>
    </row>
    <row r="18" customFormat="false" ht="15" hidden="false" customHeight="false" outlineLevel="0" collapsed="false">
      <c r="A18" s="27" t="n">
        <v>8</v>
      </c>
      <c r="B18" s="28" t="n">
        <v>46300.1575458565</v>
      </c>
      <c r="C18" s="32" t="n">
        <f aca="false">(B18-INDEX(Rounds!$C:$C,MATCH(A18,Rounds!$A:$A,0)))*86400</f>
        <v>31.327999709</v>
      </c>
      <c r="D18" s="27" t="s">
        <v>587</v>
      </c>
      <c r="E18" s="27" t="n">
        <v>3</v>
      </c>
      <c r="F18" s="27" t="n">
        <v>100</v>
      </c>
      <c r="G18" s="27" t="n">
        <v>200</v>
      </c>
      <c r="H18" s="27" t="n">
        <v>1</v>
      </c>
      <c r="I18" s="27" t="s">
        <v>145</v>
      </c>
      <c r="J18" s="33" t="n">
        <v>0.5843</v>
      </c>
      <c r="K18" s="33" t="n">
        <v>1.4119</v>
      </c>
      <c r="L18" s="31" t="n">
        <f aca="false">INDEX(Constants!$D$18:$D$41,MATCH(I18&amp;"#"&amp;E18,Constants!$A$18:$A$41,0))</f>
        <v>0.75</v>
      </c>
      <c r="M18" s="31" t="n">
        <f aca="false">INDEX(Constants!$E$18:$E$41,MATCH(I18&amp;"#"&amp;E18,Constants!$A$18:$A$41,0))</f>
        <v>1.42</v>
      </c>
      <c r="N18" s="31" t="n">
        <f aca="false">J18-L18</f>
        <v>-0.1657</v>
      </c>
      <c r="O18" s="31" t="n">
        <f aca="false">K18-M18</f>
        <v>-0.0081</v>
      </c>
      <c r="P18" s="30" t="n">
        <f aca="false">SQRT((N18/Constants!$B$8)^2+(O18/Constants!$B$9)^2)</f>
        <v>0.962320543541342</v>
      </c>
      <c r="Q18" s="3" t="str">
        <f aca="false">IF(P18&lt;=1.05,"Yes","No")</f>
        <v>Yes</v>
      </c>
      <c r="R18" s="27" t="s">
        <v>588</v>
      </c>
      <c r="S18" s="3"/>
      <c r="T18" s="3"/>
      <c r="U18" s="3"/>
      <c r="V18" s="3"/>
      <c r="W18" s="27" t="n">
        <v>120</v>
      </c>
      <c r="X18" s="31" t="n">
        <f aca="false">Constants!$B$8*COS(RADIANS(W18))</f>
        <v>-0.08625</v>
      </c>
      <c r="Y18" s="31" t="n">
        <f aca="false">Constants!$B$9*SIN(RADIANS(W18))</f>
        <v>0.121243556529821</v>
      </c>
    </row>
    <row r="19" customFormat="false" ht="15" hidden="false" customHeight="false" outlineLevel="0" collapsed="false">
      <c r="A19" s="27" t="n">
        <v>8</v>
      </c>
      <c r="B19" s="28" t="n">
        <v>46300.157576169</v>
      </c>
      <c r="C19" s="32" t="n">
        <f aca="false">(B19-INDEX(Rounds!$C:$C,MATCH(A19,Rounds!$A:$A,0)))*86400</f>
        <v>33.947000163</v>
      </c>
      <c r="D19" s="27" t="s">
        <v>595</v>
      </c>
      <c r="E19" s="27" t="n">
        <v>0</v>
      </c>
      <c r="F19" s="27" t="n">
        <v>300</v>
      </c>
      <c r="G19" s="27" t="n">
        <v>500</v>
      </c>
      <c r="H19" s="27" t="n">
        <v>1</v>
      </c>
      <c r="I19" s="27" t="s">
        <v>145</v>
      </c>
      <c r="J19" s="33" t="n">
        <v>0.5195</v>
      </c>
      <c r="K19" s="33" t="n">
        <v>1.2369</v>
      </c>
      <c r="L19" s="31" t="n">
        <f aca="false">INDEX(Constants!$D$18:$D$41,MATCH(I19&amp;"#"&amp;E19,Constants!$A$18:$A$41,0))</f>
        <v>0.5</v>
      </c>
      <c r="M19" s="31" t="n">
        <f aca="false">INDEX(Constants!$E$18:$E$41,MATCH(I19&amp;"#"&amp;E19,Constants!$A$18:$A$41,0))</f>
        <v>1.1</v>
      </c>
      <c r="N19" s="31" t="n">
        <f aca="false">J19-L19</f>
        <v>0.0195</v>
      </c>
      <c r="O19" s="31" t="n">
        <f aca="false">K19-M19</f>
        <v>0.1369</v>
      </c>
      <c r="P19" s="30" t="n">
        <f aca="false">SQRT((N19/Constants!$B$8)^2+(O19/Constants!$B$9)^2)</f>
        <v>0.984369554493662</v>
      </c>
      <c r="Q19" s="3" t="str">
        <f aca="false">IF(P19&lt;=1.05,"Yes","No")</f>
        <v>Yes</v>
      </c>
      <c r="R19" s="27" t="s">
        <v>588</v>
      </c>
      <c r="S19" s="3"/>
      <c r="T19" s="3"/>
      <c r="U19" s="3"/>
      <c r="V19" s="3"/>
      <c r="W19" s="27" t="n">
        <v>130</v>
      </c>
      <c r="X19" s="31" t="n">
        <f aca="false">Constants!$B$8*COS(RADIANS(W19))</f>
        <v>-0.110880862670928</v>
      </c>
      <c r="Y19" s="31" t="n">
        <f aca="false">Constants!$B$9*SIN(RADIANS(W19))</f>
        <v>0.107246222036657</v>
      </c>
    </row>
    <row r="20" customFormat="false" ht="15" hidden="false" customHeight="false" outlineLevel="0" collapsed="false">
      <c r="A20" s="27" t="n">
        <v>8</v>
      </c>
      <c r="B20" s="28" t="n">
        <v>46300.1577062616</v>
      </c>
      <c r="C20" s="32" t="n">
        <f aca="false">(B20-INDEX(Rounds!$C:$C,MATCH(A20,Rounds!$A:$A,0)))*86400</f>
        <v>45.18700093</v>
      </c>
      <c r="D20" s="27" t="s">
        <v>587</v>
      </c>
      <c r="E20" s="27" t="n">
        <v>2</v>
      </c>
      <c r="F20" s="27" t="n">
        <v>100</v>
      </c>
      <c r="G20" s="27" t="n">
        <v>600</v>
      </c>
      <c r="H20" s="27" t="n">
        <v>2</v>
      </c>
      <c r="I20" s="27" t="s">
        <v>145</v>
      </c>
      <c r="J20" s="33" t="n">
        <v>0.401</v>
      </c>
      <c r="K20" s="33" t="n">
        <v>1.4569</v>
      </c>
      <c r="L20" s="31" t="n">
        <f aca="false">INDEX(Constants!$D$18:$D$41,MATCH(I20&amp;"#"&amp;E20,Constants!$A$18:$A$41,0))</f>
        <v>0.25</v>
      </c>
      <c r="M20" s="31" t="n">
        <f aca="false">INDEX(Constants!$E$18:$E$41,MATCH(I20&amp;"#"&amp;E20,Constants!$A$18:$A$41,0))</f>
        <v>1.42</v>
      </c>
      <c r="N20" s="31" t="n">
        <f aca="false">J20-L20</f>
        <v>0.151</v>
      </c>
      <c r="O20" s="31" t="n">
        <f aca="false">K20-M20</f>
        <v>0.0369000000000002</v>
      </c>
      <c r="P20" s="30" t="n">
        <f aca="false">SQRT((N20/Constants!$B$8)^2+(O20/Constants!$B$9)^2)</f>
        <v>0.91418219584782</v>
      </c>
      <c r="Q20" s="3" t="str">
        <f aca="false">IF(P20&lt;=1.05,"Yes","No")</f>
        <v>Yes</v>
      </c>
      <c r="R20" s="27" t="s">
        <v>588</v>
      </c>
      <c r="S20" s="3"/>
      <c r="T20" s="3"/>
      <c r="U20" s="3"/>
      <c r="V20" s="3"/>
      <c r="W20" s="27" t="n">
        <v>140</v>
      </c>
      <c r="X20" s="31" t="n">
        <f aca="false">Constants!$B$8*COS(RADIANS(W20))</f>
        <v>-0.132142666438024</v>
      </c>
      <c r="Y20" s="31" t="n">
        <f aca="false">Constants!$B$9*SIN(RADIANS(W20))</f>
        <v>0.0899902653561155</v>
      </c>
    </row>
    <row r="21" customFormat="false" ht="15" hidden="false" customHeight="false" outlineLevel="0" collapsed="false">
      <c r="A21" s="27" t="n">
        <v>8</v>
      </c>
      <c r="B21" s="28" t="n">
        <v>46300.1578175694</v>
      </c>
      <c r="C21" s="32" t="n">
        <f aca="false">(B21-INDEX(Rounds!$C:$C,MATCH(A21,Rounds!$A:$A,0)))*86400</f>
        <v>54.803999536</v>
      </c>
      <c r="D21" s="27" t="s">
        <v>587</v>
      </c>
      <c r="E21" s="27" t="n">
        <v>3</v>
      </c>
      <c r="F21" s="27" t="n">
        <v>200</v>
      </c>
      <c r="G21" s="27" t="n">
        <v>800</v>
      </c>
      <c r="H21" s="27" t="n">
        <v>2</v>
      </c>
      <c r="I21" s="27" t="s">
        <v>146</v>
      </c>
      <c r="J21" s="33" t="n">
        <v>0.3881</v>
      </c>
      <c r="K21" s="33" t="n">
        <v>1.524</v>
      </c>
      <c r="L21" s="31" t="n">
        <f aca="false">INDEX(Constants!$D$18:$D$41,MATCH(I21&amp;"#"&amp;E21,Constants!$A$18:$A$41,0))</f>
        <v>0.5</v>
      </c>
      <c r="M21" s="31" t="n">
        <f aca="false">INDEX(Constants!$E$18:$E$41,MATCH(I21&amp;"#"&amp;E21,Constants!$A$18:$A$41,0))</f>
        <v>1.42</v>
      </c>
      <c r="N21" s="31" t="n">
        <f aca="false">J21-L21</f>
        <v>-0.1119</v>
      </c>
      <c r="O21" s="31" t="n">
        <f aca="false">K21-M21</f>
        <v>0.104</v>
      </c>
      <c r="P21" s="30" t="n">
        <f aca="false">SQRT((N21/Constants!$B$8)^2+(O21/Constants!$B$9)^2)</f>
        <v>0.986226537790997</v>
      </c>
      <c r="Q21" s="3" t="str">
        <f aca="false">IF(P21&lt;=1.05,"Yes","No")</f>
        <v>Yes</v>
      </c>
      <c r="R21" s="27" t="s">
        <v>596</v>
      </c>
      <c r="S21" s="3"/>
      <c r="T21" s="3"/>
      <c r="U21" s="3"/>
      <c r="V21" s="3"/>
      <c r="W21" s="27" t="n">
        <v>150</v>
      </c>
      <c r="X21" s="31" t="n">
        <f aca="false">Constants!$B$8*COS(RADIANS(W21))</f>
        <v>-0.149389382152816</v>
      </c>
      <c r="Y21" s="31" t="n">
        <f aca="false">Constants!$B$9*SIN(RADIANS(W21))</f>
        <v>0.07</v>
      </c>
    </row>
    <row r="22" customFormat="false" ht="15" hidden="false" customHeight="false" outlineLevel="0" collapsed="false">
      <c r="A22" s="27" t="n">
        <v>8</v>
      </c>
      <c r="B22" s="28" t="n">
        <v>46300.1578421065</v>
      </c>
      <c r="C22" s="32" t="n">
        <f aca="false">(B22-INDEX(Rounds!$C:$C,MATCH(A22,Rounds!$A:$A,0)))*86400</f>
        <v>56.92399973</v>
      </c>
      <c r="D22" s="27" t="s">
        <v>587</v>
      </c>
      <c r="E22" s="27" t="n">
        <v>4</v>
      </c>
      <c r="F22" s="27" t="n">
        <v>200</v>
      </c>
      <c r="G22" s="27" t="n">
        <v>1000</v>
      </c>
      <c r="H22" s="27" t="n">
        <v>2</v>
      </c>
      <c r="I22" s="27" t="s">
        <v>146</v>
      </c>
      <c r="J22" s="33" t="n">
        <v>0.828</v>
      </c>
      <c r="K22" s="33" t="n">
        <v>1.4053</v>
      </c>
      <c r="L22" s="31" t="n">
        <f aca="false">INDEX(Constants!$D$18:$D$41,MATCH(I22&amp;"#"&amp;E22,Constants!$A$18:$A$41,0))</f>
        <v>1</v>
      </c>
      <c r="M22" s="31" t="n">
        <f aca="false">INDEX(Constants!$E$18:$E$41,MATCH(I22&amp;"#"&amp;E22,Constants!$A$18:$A$41,0))</f>
        <v>1.42</v>
      </c>
      <c r="N22" s="31" t="n">
        <f aca="false">J22-L22</f>
        <v>-0.172</v>
      </c>
      <c r="O22" s="31" t="n">
        <f aca="false">K22-M22</f>
        <v>-0.0146999999999999</v>
      </c>
      <c r="P22" s="30" t="n">
        <f aca="false">SQRT((N22/Constants!$B$8)^2+(O22/Constants!$B$9)^2)</f>
        <v>1.00261473166268</v>
      </c>
      <c r="Q22" s="3" t="str">
        <f aca="false">IF(P22&lt;=1.05,"Yes","No")</f>
        <v>Yes</v>
      </c>
      <c r="R22" s="27" t="s">
        <v>596</v>
      </c>
      <c r="S22" s="3"/>
      <c r="T22" s="3"/>
      <c r="U22" s="3"/>
      <c r="V22" s="3"/>
      <c r="W22" s="27" t="n">
        <v>160</v>
      </c>
      <c r="X22" s="31" t="n">
        <f aca="false">Constants!$B$8*COS(RADIANS(W22))</f>
        <v>-0.162096977085569</v>
      </c>
      <c r="Y22" s="31" t="n">
        <f aca="false">Constants!$B$9*SIN(RADIANS(W22))</f>
        <v>0.0478828200655937</v>
      </c>
    </row>
    <row r="23" customFormat="false" ht="15" hidden="false" customHeight="false" outlineLevel="0" collapsed="false">
      <c r="A23" s="27" t="n">
        <v>8</v>
      </c>
      <c r="B23" s="28" t="n">
        <v>46300.157866632</v>
      </c>
      <c r="C23" s="32" t="n">
        <f aca="false">(B23-INDEX(Rounds!$C:$C,MATCH(A23,Rounds!$A:$A,0)))*86400</f>
        <v>59.043000382</v>
      </c>
      <c r="D23" s="27" t="s">
        <v>595</v>
      </c>
      <c r="E23" s="27" t="n">
        <v>1</v>
      </c>
      <c r="F23" s="27" t="n">
        <v>600</v>
      </c>
      <c r="G23" s="27" t="n">
        <v>1600</v>
      </c>
      <c r="H23" s="27" t="n">
        <v>2</v>
      </c>
      <c r="I23" s="27" t="s">
        <v>146</v>
      </c>
      <c r="J23" s="33" t="n">
        <v>0.8591</v>
      </c>
      <c r="K23" s="33" t="n">
        <v>1.2076</v>
      </c>
      <c r="L23" s="31" t="n">
        <f aca="false">INDEX(Constants!$D$18:$D$41,MATCH(I23&amp;"#"&amp;E23,Constants!$A$18:$A$41,0))</f>
        <v>0.75</v>
      </c>
      <c r="M23" s="31" t="n">
        <f aca="false">INDEX(Constants!$E$18:$E$41,MATCH(I23&amp;"#"&amp;E23,Constants!$A$18:$A$41,0))</f>
        <v>1.1</v>
      </c>
      <c r="N23" s="31" t="n">
        <f aca="false">J23-L23</f>
        <v>0.1091</v>
      </c>
      <c r="O23" s="31" t="n">
        <f aca="false">K23-M23</f>
        <v>0.1076</v>
      </c>
      <c r="P23" s="30" t="n">
        <f aca="false">SQRT((N23/Constants!$B$8)^2+(O23/Constants!$B$9)^2)</f>
        <v>0.99534539673208</v>
      </c>
      <c r="Q23" s="3" t="str">
        <f aca="false">IF(P23&lt;=1.05,"Yes","No")</f>
        <v>Yes</v>
      </c>
      <c r="R23" s="27" t="s">
        <v>596</v>
      </c>
      <c r="S23" s="3"/>
      <c r="T23" s="3"/>
      <c r="U23" s="3"/>
      <c r="V23" s="3"/>
      <c r="W23" s="27" t="n">
        <v>170</v>
      </c>
      <c r="X23" s="31" t="n">
        <f aca="false">Constants!$B$8*COS(RADIANS(W23))</f>
        <v>-0.169879337394606</v>
      </c>
      <c r="Y23" s="31" t="n">
        <f aca="false">Constants!$B$9*SIN(RADIANS(W23))</f>
        <v>0.0243107448733703</v>
      </c>
    </row>
    <row r="24" customFormat="false" ht="15" hidden="false" customHeight="false" outlineLevel="0" collapsed="false">
      <c r="A24" s="27" t="n">
        <v>8</v>
      </c>
      <c r="B24" s="28" t="n">
        <v>46300.1578934838</v>
      </c>
      <c r="C24" s="32" t="n">
        <f aca="false">(B24-INDEX(Rounds!$C:$C,MATCH(A24,Rounds!$A:$A,0)))*86400</f>
        <v>61.363000748</v>
      </c>
      <c r="D24" s="27" t="s">
        <v>587</v>
      </c>
      <c r="E24" s="27" t="n">
        <v>6</v>
      </c>
      <c r="F24" s="27" t="n">
        <v>200</v>
      </c>
      <c r="G24" s="27" t="n">
        <v>1800</v>
      </c>
      <c r="H24" s="27" t="n">
        <v>3</v>
      </c>
      <c r="I24" s="27" t="s">
        <v>146</v>
      </c>
      <c r="J24" s="33" t="n">
        <v>0.7208</v>
      </c>
      <c r="K24" s="33" t="n">
        <v>1.6044</v>
      </c>
      <c r="L24" s="31" t="n">
        <f aca="false">INDEX(Constants!$D$18:$D$41,MATCH(I24&amp;"#"&amp;E24,Constants!$A$18:$A$41,0))</f>
        <v>0.75</v>
      </c>
      <c r="M24" s="31" t="n">
        <f aca="false">INDEX(Constants!$E$18:$E$41,MATCH(I24&amp;"#"&amp;E24,Constants!$A$18:$A$41,0))</f>
        <v>1.74</v>
      </c>
      <c r="N24" s="31" t="n">
        <f aca="false">J24-L24</f>
        <v>-0.0292</v>
      </c>
      <c r="O24" s="31" t="n">
        <f aca="false">K24-M24</f>
        <v>-0.1356</v>
      </c>
      <c r="P24" s="30" t="n">
        <f aca="false">SQRT((N24/Constants!$B$8)^2+(O24/Constants!$B$9)^2)</f>
        <v>0.983252134771683</v>
      </c>
      <c r="Q24" s="3" t="str">
        <f aca="false">IF(P24&lt;=1.05,"Yes","No")</f>
        <v>Yes</v>
      </c>
      <c r="R24" s="27" t="s">
        <v>596</v>
      </c>
      <c r="S24" s="3"/>
      <c r="T24" s="3"/>
      <c r="U24" s="3"/>
      <c r="V24" s="3"/>
      <c r="W24" s="27" t="n">
        <v>180</v>
      </c>
      <c r="X24" s="31" t="n">
        <f aca="false">Constants!$B$8*COS(RADIANS(W24))</f>
        <v>-0.1725</v>
      </c>
      <c r="Y24" s="31" t="n">
        <f aca="false">Constants!$B$9*SIN(RADIANS(W24))</f>
        <v>1.71450551880629E-017</v>
      </c>
    </row>
    <row r="25" customFormat="false" ht="15" hidden="false" customHeight="false" outlineLevel="0" collapsed="false">
      <c r="A25" s="27" t="n">
        <v>9</v>
      </c>
      <c r="B25" s="28" t="n">
        <v>46301.4819925347</v>
      </c>
      <c r="C25" s="32" t="n">
        <f aca="false">(B25-INDEX(Rounds!$C:$C,MATCH(A25,Rounds!$A:$A,0)))*86400</f>
        <v>10.960000776</v>
      </c>
      <c r="D25" s="27" t="s">
        <v>587</v>
      </c>
      <c r="E25" s="27" t="n">
        <v>5</v>
      </c>
      <c r="F25" s="27" t="n">
        <v>100</v>
      </c>
      <c r="G25" s="27" t="n">
        <v>100</v>
      </c>
      <c r="H25" s="27" t="n">
        <v>1</v>
      </c>
      <c r="I25" s="27" t="s">
        <v>144</v>
      </c>
      <c r="J25" s="33" t="n">
        <v>1.117</v>
      </c>
      <c r="K25" s="33" t="n">
        <v>1.3718</v>
      </c>
      <c r="L25" s="31" t="n">
        <f aca="false">INDEX(Constants!$D$18:$D$41,MATCH(I25&amp;"#"&amp;E25,Constants!$A$18:$A$41,0))</f>
        <v>1.25</v>
      </c>
      <c r="M25" s="31" t="n">
        <f aca="false">INDEX(Constants!$E$18:$E$41,MATCH(I25&amp;"#"&amp;E25,Constants!$A$18:$A$41,0))</f>
        <v>1.45</v>
      </c>
      <c r="N25" s="31" t="n">
        <f aca="false">J25-L25</f>
        <v>-0.133</v>
      </c>
      <c r="O25" s="31" t="n">
        <f aca="false">K25-M25</f>
        <v>-0.0782000000000001</v>
      </c>
      <c r="P25" s="30" t="n">
        <f aca="false">SQRT((N25/Constants!$B$8)^2+(O25/Constants!$B$9)^2)</f>
        <v>0.952084759279579</v>
      </c>
      <c r="Q25" s="3" t="str">
        <f aca="false">IF(P25&lt;=1.05,"Yes","No")</f>
        <v>Yes</v>
      </c>
      <c r="R25" s="27" t="s">
        <v>597</v>
      </c>
      <c r="S25" s="3"/>
      <c r="T25" s="3"/>
      <c r="U25" s="3"/>
      <c r="V25" s="3"/>
      <c r="W25" s="27" t="n">
        <v>190</v>
      </c>
      <c r="X25" s="31" t="n">
        <f aca="false">Constants!$B$8*COS(RADIANS(W25))</f>
        <v>-0.169879337394606</v>
      </c>
      <c r="Y25" s="31" t="n">
        <f aca="false">Constants!$B$9*SIN(RADIANS(W25))</f>
        <v>-0.0243107448733703</v>
      </c>
    </row>
    <row r="26" customFormat="false" ht="15" hidden="false" customHeight="false" outlineLevel="0" collapsed="false">
      <c r="A26" s="27" t="n">
        <v>9</v>
      </c>
      <c r="B26" s="28" t="n">
        <v>46301.4820482407</v>
      </c>
      <c r="C26" s="32" t="n">
        <f aca="false">(B26-INDEX(Rounds!$C:$C,MATCH(A26,Rounds!$A:$A,0)))*86400</f>
        <v>15.77299959</v>
      </c>
      <c r="D26" s="27" t="s">
        <v>587</v>
      </c>
      <c r="E26" s="27" t="n">
        <v>1</v>
      </c>
      <c r="F26" s="27" t="n">
        <v>100</v>
      </c>
      <c r="G26" s="27" t="n">
        <v>200</v>
      </c>
      <c r="H26" s="27" t="n">
        <v>1</v>
      </c>
      <c r="I26" s="27" t="s">
        <v>144</v>
      </c>
      <c r="J26" s="33" t="n">
        <v>0.8754</v>
      </c>
      <c r="K26" s="33" t="n">
        <v>1.1615</v>
      </c>
      <c r="L26" s="31" t="n">
        <f aca="false">INDEX(Constants!$D$18:$D$41,MATCH(I26&amp;"#"&amp;E26,Constants!$A$18:$A$41,0))</f>
        <v>0.75</v>
      </c>
      <c r="M26" s="31" t="n">
        <f aca="false">INDEX(Constants!$E$18:$E$41,MATCH(I26&amp;"#"&amp;E26,Constants!$A$18:$A$41,0))</f>
        <v>1.1</v>
      </c>
      <c r="N26" s="31" t="n">
        <f aca="false">J26-L26</f>
        <v>0.1254</v>
      </c>
      <c r="O26" s="31" t="n">
        <f aca="false">K26-M26</f>
        <v>0.0614999999999999</v>
      </c>
      <c r="P26" s="30" t="n">
        <f aca="false">SQRT((N26/Constants!$B$8)^2+(O26/Constants!$B$9)^2)</f>
        <v>0.849374901486125</v>
      </c>
      <c r="Q26" s="3" t="str">
        <f aca="false">IF(P26&lt;=1.05,"Yes","No")</f>
        <v>Yes</v>
      </c>
      <c r="R26" s="27" t="s">
        <v>597</v>
      </c>
      <c r="S26" s="3"/>
      <c r="T26" s="3"/>
      <c r="U26" s="3"/>
      <c r="V26" s="3"/>
      <c r="W26" s="27" t="n">
        <v>200</v>
      </c>
      <c r="X26" s="31" t="n">
        <f aca="false">Constants!$B$8*COS(RADIANS(W26))</f>
        <v>-0.162096977085569</v>
      </c>
      <c r="Y26" s="31" t="n">
        <f aca="false">Constants!$B$9*SIN(RADIANS(W26))</f>
        <v>-0.0478828200655936</v>
      </c>
    </row>
    <row r="27" customFormat="false" ht="15" hidden="false" customHeight="false" outlineLevel="0" collapsed="false">
      <c r="A27" s="27" t="n">
        <v>9</v>
      </c>
      <c r="B27" s="28" t="n">
        <v>46301.4820899769</v>
      </c>
      <c r="C27" s="32" t="n">
        <f aca="false">(B27-INDEX(Rounds!$C:$C,MATCH(A27,Rounds!$A:$A,0)))*86400</f>
        <v>19.378999946</v>
      </c>
      <c r="D27" s="27" t="s">
        <v>595</v>
      </c>
      <c r="E27" s="27" t="n">
        <v>4</v>
      </c>
      <c r="F27" s="27" t="n">
        <v>300</v>
      </c>
      <c r="G27" s="27" t="n">
        <v>500</v>
      </c>
      <c r="H27" s="27" t="n">
        <v>1</v>
      </c>
      <c r="I27" s="27" t="s">
        <v>144</v>
      </c>
      <c r="J27" s="33" t="n">
        <v>0.7391</v>
      </c>
      <c r="K27" s="33" t="n">
        <v>1.3199</v>
      </c>
      <c r="L27" s="31" t="n">
        <f aca="false">INDEX(Constants!$D$18:$D$41,MATCH(I27&amp;"#"&amp;E27,Constants!$A$18:$A$41,0))</f>
        <v>0.75</v>
      </c>
      <c r="M27" s="31" t="n">
        <f aca="false">INDEX(Constants!$E$18:$E$41,MATCH(I27&amp;"#"&amp;E27,Constants!$A$18:$A$41,0))</f>
        <v>1.45</v>
      </c>
      <c r="N27" s="31" t="n">
        <f aca="false">J27-L27</f>
        <v>-0.0109</v>
      </c>
      <c r="O27" s="31" t="n">
        <f aca="false">K27-M27</f>
        <v>-0.1301</v>
      </c>
      <c r="P27" s="30" t="n">
        <f aca="false">SQRT((N27/Constants!$B$8)^2+(O27/Constants!$B$9)^2)</f>
        <v>0.931431539836765</v>
      </c>
      <c r="Q27" s="3" t="str">
        <f aca="false">IF(P27&lt;=1.05,"Yes","No")</f>
        <v>Yes</v>
      </c>
      <c r="R27" s="27" t="s">
        <v>597</v>
      </c>
      <c r="S27" s="3"/>
      <c r="T27" s="3"/>
      <c r="U27" s="3"/>
      <c r="V27" s="3"/>
      <c r="W27" s="27" t="n">
        <v>210</v>
      </c>
      <c r="X27" s="31" t="n">
        <f aca="false">Constants!$B$8*COS(RADIANS(W27))</f>
        <v>-0.149389382152816</v>
      </c>
      <c r="Y27" s="31" t="n">
        <f aca="false">Constants!$B$9*SIN(RADIANS(W27))</f>
        <v>-0.07</v>
      </c>
    </row>
    <row r="28" customFormat="false" ht="15" hidden="false" customHeight="false" outlineLevel="0" collapsed="false">
      <c r="A28" s="27" t="n">
        <v>9</v>
      </c>
      <c r="B28" s="28" t="n">
        <v>46301.4821450579</v>
      </c>
      <c r="C28" s="32" t="n">
        <f aca="false">(B28-INDEX(Rounds!$C:$C,MATCH(A28,Rounds!$A:$A,0)))*86400</f>
        <v>24.137999606</v>
      </c>
      <c r="D28" s="27" t="s">
        <v>587</v>
      </c>
      <c r="E28" s="27" t="n">
        <v>1</v>
      </c>
      <c r="F28" s="27" t="n">
        <v>100</v>
      </c>
      <c r="G28" s="27" t="n">
        <v>600</v>
      </c>
      <c r="H28" s="27" t="n">
        <v>2</v>
      </c>
      <c r="I28" s="27" t="s">
        <v>144</v>
      </c>
      <c r="J28" s="33" t="n">
        <v>0.5808</v>
      </c>
      <c r="K28" s="33" t="n">
        <v>1.0903</v>
      </c>
      <c r="L28" s="31" t="n">
        <f aca="false">INDEX(Constants!$D$18:$D$41,MATCH(I28&amp;"#"&amp;E28,Constants!$A$18:$A$41,0))</f>
        <v>0.75</v>
      </c>
      <c r="M28" s="31" t="n">
        <f aca="false">INDEX(Constants!$E$18:$E$41,MATCH(I28&amp;"#"&amp;E28,Constants!$A$18:$A$41,0))</f>
        <v>1.1</v>
      </c>
      <c r="N28" s="31" t="n">
        <f aca="false">J28-L28</f>
        <v>-0.1692</v>
      </c>
      <c r="O28" s="31" t="n">
        <f aca="false">K28-M28</f>
        <v>-0.00970000000000004</v>
      </c>
      <c r="P28" s="30" t="n">
        <f aca="false">SQRT((N28/Constants!$B$8)^2+(O28/Constants!$B$9)^2)</f>
        <v>0.983313588929715</v>
      </c>
      <c r="Q28" s="3" t="str">
        <f aca="false">IF(P28&lt;=1.05,"Yes","No")</f>
        <v>Yes</v>
      </c>
      <c r="R28" s="27" t="s">
        <v>597</v>
      </c>
      <c r="S28" s="3"/>
      <c r="T28" s="3"/>
      <c r="U28" s="3"/>
      <c r="V28" s="3"/>
      <c r="W28" s="27" t="n">
        <v>220</v>
      </c>
      <c r="X28" s="31" t="n">
        <f aca="false">Constants!$B$8*COS(RADIANS(W28))</f>
        <v>-0.132142666438024</v>
      </c>
      <c r="Y28" s="31" t="n">
        <f aca="false">Constants!$B$9*SIN(RADIANS(W28))</f>
        <v>-0.0899902653561155</v>
      </c>
    </row>
    <row r="29" customFormat="false" ht="15" hidden="false" customHeight="false" outlineLevel="0" collapsed="false">
      <c r="A29" s="27" t="n">
        <v>9</v>
      </c>
      <c r="B29" s="28" t="n">
        <v>46301.4821893403</v>
      </c>
      <c r="C29" s="32" t="n">
        <f aca="false">(B29-INDEX(Rounds!$C:$C,MATCH(A29,Rounds!$A:$A,0)))*86400</f>
        <v>27.963999775</v>
      </c>
      <c r="D29" s="27" t="s">
        <v>587</v>
      </c>
      <c r="E29" s="27" t="n">
        <v>2</v>
      </c>
      <c r="F29" s="27" t="n">
        <v>200</v>
      </c>
      <c r="G29" s="27" t="n">
        <v>800</v>
      </c>
      <c r="H29" s="27" t="n">
        <v>2</v>
      </c>
      <c r="I29" s="27" t="s">
        <v>145</v>
      </c>
      <c r="J29" s="33" t="n">
        <v>0.3105</v>
      </c>
      <c r="K29" s="33" t="n">
        <v>1.3011</v>
      </c>
      <c r="L29" s="31" t="n">
        <f aca="false">INDEX(Constants!$D$18:$D$41,MATCH(I29&amp;"#"&amp;E29,Constants!$A$18:$A$41,0))</f>
        <v>0.25</v>
      </c>
      <c r="M29" s="31" t="n">
        <f aca="false">INDEX(Constants!$E$18:$E$41,MATCH(I29&amp;"#"&amp;E29,Constants!$A$18:$A$41,0))</f>
        <v>1.42</v>
      </c>
      <c r="N29" s="31" t="n">
        <f aca="false">J29-L29</f>
        <v>0.0605</v>
      </c>
      <c r="O29" s="31" t="n">
        <f aca="false">K29-M29</f>
        <v>-0.1189</v>
      </c>
      <c r="P29" s="30" t="n">
        <f aca="false">SQRT((N29/Constants!$B$8)^2+(O29/Constants!$B$9)^2)</f>
        <v>0.918854719727975</v>
      </c>
      <c r="Q29" s="3" t="str">
        <f aca="false">IF(P29&lt;=1.05,"Yes","No")</f>
        <v>Yes</v>
      </c>
      <c r="R29" s="27" t="s">
        <v>596</v>
      </c>
      <c r="S29" s="3"/>
      <c r="T29" s="3"/>
      <c r="U29" s="3"/>
      <c r="V29" s="3"/>
      <c r="W29" s="27" t="n">
        <v>230</v>
      </c>
      <c r="X29" s="31" t="n">
        <f aca="false">Constants!$B$8*COS(RADIANS(W29))</f>
        <v>-0.110880862670928</v>
      </c>
      <c r="Y29" s="31" t="n">
        <f aca="false">Constants!$B$9*SIN(RADIANS(W29))</f>
        <v>-0.107246222036657</v>
      </c>
    </row>
    <row r="30" customFormat="false" ht="15" hidden="false" customHeight="false" outlineLevel="0" collapsed="false">
      <c r="A30" s="27" t="n">
        <v>9</v>
      </c>
      <c r="B30" s="28" t="n">
        <v>46301.482278044</v>
      </c>
      <c r="C30" s="32" t="n">
        <f aca="false">(B30-INDEX(Rounds!$C:$C,MATCH(A30,Rounds!$A:$A,0)))*86400</f>
        <v>35.627999645</v>
      </c>
      <c r="D30" s="27" t="s">
        <v>587</v>
      </c>
      <c r="E30" s="27" t="n">
        <v>5</v>
      </c>
      <c r="F30" s="27" t="n">
        <v>200</v>
      </c>
      <c r="G30" s="27" t="n">
        <v>1000</v>
      </c>
      <c r="H30" s="27" t="n">
        <v>2</v>
      </c>
      <c r="I30" s="27" t="s">
        <v>145</v>
      </c>
      <c r="J30" s="33" t="n">
        <v>0.535</v>
      </c>
      <c r="K30" s="33" t="n">
        <v>1.7115</v>
      </c>
      <c r="L30" s="31" t="n">
        <f aca="false">INDEX(Constants!$D$18:$D$41,MATCH(I30&amp;"#"&amp;E30,Constants!$A$18:$A$41,0))</f>
        <v>0.5</v>
      </c>
      <c r="M30" s="31" t="n">
        <f aca="false">INDEX(Constants!$E$18:$E$41,MATCH(I30&amp;"#"&amp;E30,Constants!$A$18:$A$41,0))</f>
        <v>1.74</v>
      </c>
      <c r="N30" s="31" t="n">
        <f aca="false">J30-L30</f>
        <v>0.035</v>
      </c>
      <c r="O30" s="31" t="n">
        <f aca="false">K30-M30</f>
        <v>-0.0285</v>
      </c>
      <c r="P30" s="30" t="n">
        <f aca="false">SQRT((N30/Constants!$B$8)^2+(O30/Constants!$B$9)^2)</f>
        <v>0.287418072529844</v>
      </c>
      <c r="Q30" s="3" t="str">
        <f aca="false">IF(P30&lt;=1.05,"Yes","No")</f>
        <v>Yes</v>
      </c>
      <c r="R30" s="27" t="s">
        <v>596</v>
      </c>
      <c r="S30" s="3"/>
      <c r="T30" s="3"/>
      <c r="U30" s="3"/>
      <c r="V30" s="3"/>
      <c r="W30" s="27" t="n">
        <v>240</v>
      </c>
      <c r="X30" s="31" t="n">
        <f aca="false">Constants!$B$8*COS(RADIANS(W30))</f>
        <v>-0.0862500000000001</v>
      </c>
      <c r="Y30" s="31" t="n">
        <f aca="false">Constants!$B$9*SIN(RADIANS(W30))</f>
        <v>-0.121243556529821</v>
      </c>
    </row>
    <row r="31" customFormat="false" ht="15" hidden="false" customHeight="false" outlineLevel="0" collapsed="false">
      <c r="A31" s="27" t="n">
        <v>9</v>
      </c>
      <c r="B31" s="28" t="n">
        <v>46301.4823197801</v>
      </c>
      <c r="C31" s="32" t="n">
        <f aca="false">(B31-INDEX(Rounds!$C:$C,MATCH(A31,Rounds!$A:$A,0)))*86400</f>
        <v>39.233999373</v>
      </c>
      <c r="D31" s="27" t="s">
        <v>595</v>
      </c>
      <c r="E31" s="27" t="n">
        <v>4</v>
      </c>
      <c r="F31" s="27" t="n">
        <v>600</v>
      </c>
      <c r="G31" s="27" t="n">
        <v>1600</v>
      </c>
      <c r="H31" s="27" t="n">
        <v>2</v>
      </c>
      <c r="I31" s="27" t="s">
        <v>145</v>
      </c>
      <c r="J31" s="33" t="n">
        <v>1.3516</v>
      </c>
      <c r="K31" s="33" t="n">
        <v>1.5308</v>
      </c>
      <c r="L31" s="31" t="n">
        <f aca="false">INDEX(Constants!$D$18:$D$41,MATCH(I31&amp;"#"&amp;E31,Constants!$A$18:$A$41,0))</f>
        <v>1.25</v>
      </c>
      <c r="M31" s="31" t="n">
        <f aca="false">INDEX(Constants!$E$18:$E$41,MATCH(I31&amp;"#"&amp;E31,Constants!$A$18:$A$41,0))</f>
        <v>1.42</v>
      </c>
      <c r="N31" s="31" t="n">
        <f aca="false">J31-L31</f>
        <v>0.1016</v>
      </c>
      <c r="O31" s="31" t="n">
        <f aca="false">K31-M31</f>
        <v>0.1108</v>
      </c>
      <c r="P31" s="30" t="n">
        <f aca="false">SQRT((N31/Constants!$B$8)^2+(O31/Constants!$B$9)^2)</f>
        <v>0.986540983142485</v>
      </c>
      <c r="Q31" s="3" t="str">
        <f aca="false">IF(P31&lt;=1.05,"Yes","No")</f>
        <v>Yes</v>
      </c>
      <c r="R31" s="27" t="s">
        <v>596</v>
      </c>
      <c r="S31" s="3"/>
      <c r="T31" s="3"/>
      <c r="U31" s="3"/>
      <c r="V31" s="3"/>
      <c r="W31" s="27" t="n">
        <v>250</v>
      </c>
      <c r="X31" s="31" t="n">
        <f aca="false">Constants!$B$8*COS(RADIANS(W31))</f>
        <v>-0.058998474723678</v>
      </c>
      <c r="Y31" s="31" t="n">
        <f aca="false">Constants!$B$9*SIN(RADIANS(W31))</f>
        <v>-0.131556966910027</v>
      </c>
    </row>
    <row r="32" customFormat="false" ht="15" hidden="false" customHeight="false" outlineLevel="0" collapsed="false">
      <c r="A32" s="27" t="n">
        <v>10</v>
      </c>
      <c r="B32" s="28" t="n">
        <v>46301.4832497685</v>
      </c>
      <c r="C32" s="32" t="n">
        <f aca="false">(B32-INDEX(Rounds!$C:$C,MATCH(A32,Rounds!$A:$A,0)))*86400</f>
        <v>12.940999888</v>
      </c>
      <c r="D32" s="27" t="s">
        <v>595</v>
      </c>
      <c r="E32" s="27" t="n">
        <v>7</v>
      </c>
      <c r="F32" s="27" t="n">
        <v>300</v>
      </c>
      <c r="G32" s="27" t="n">
        <v>300</v>
      </c>
      <c r="H32" s="27" t="n">
        <v>1</v>
      </c>
      <c r="I32" s="27" t="s">
        <v>144</v>
      </c>
      <c r="J32" s="33" t="n">
        <v>0.7791</v>
      </c>
      <c r="K32" s="33" t="n">
        <v>1.6662</v>
      </c>
      <c r="L32" s="31" t="n">
        <f aca="false">INDEX(Constants!$D$18:$D$41,MATCH(I32&amp;"#"&amp;E32,Constants!$A$18:$A$41,0))</f>
        <v>0.75</v>
      </c>
      <c r="M32" s="31" t="n">
        <f aca="false">INDEX(Constants!$E$18:$E$41,MATCH(I32&amp;"#"&amp;E32,Constants!$A$18:$A$41,0))</f>
        <v>1.8</v>
      </c>
      <c r="N32" s="31" t="n">
        <f aca="false">J32-L32</f>
        <v>0.0291</v>
      </c>
      <c r="O32" s="31" t="n">
        <f aca="false">K32-M32</f>
        <v>-0.1338</v>
      </c>
      <c r="P32" s="30" t="n">
        <f aca="false">SQRT((N32/Constants!$B$8)^2+(O32/Constants!$B$9)^2)</f>
        <v>0.970488546547949</v>
      </c>
      <c r="Q32" s="3" t="str">
        <f aca="false">IF(P32&lt;=1.05,"Yes","No")</f>
        <v>Yes</v>
      </c>
      <c r="R32" s="27" t="s">
        <v>597</v>
      </c>
      <c r="S32" s="3"/>
      <c r="T32" s="3"/>
      <c r="U32" s="3"/>
      <c r="V32" s="3"/>
      <c r="W32" s="27" t="n">
        <v>260</v>
      </c>
      <c r="X32" s="31" t="n">
        <f aca="false">Constants!$B$8*COS(RADIANS(W32))</f>
        <v>-0.0299543106475455</v>
      </c>
      <c r="Y32" s="31" t="n">
        <f aca="false">Constants!$B$9*SIN(RADIANS(W32))</f>
        <v>-0.137873085421709</v>
      </c>
    </row>
    <row r="33" customFormat="false" ht="15" hidden="false" customHeight="false" outlineLevel="0" collapsed="false">
      <c r="A33" s="27" t="n">
        <v>10</v>
      </c>
      <c r="B33" s="28" t="n">
        <v>46301.4832914699</v>
      </c>
      <c r="C33" s="32" t="n">
        <f aca="false">(B33-INDEX(Rounds!$C:$C,MATCH(A33,Rounds!$A:$A,0)))*86400</f>
        <v>16.543999733</v>
      </c>
      <c r="D33" s="27" t="s">
        <v>587</v>
      </c>
      <c r="E33" s="27" t="n">
        <v>6</v>
      </c>
      <c r="F33" s="27" t="n">
        <v>100</v>
      </c>
      <c r="G33" s="27" t="n">
        <v>400</v>
      </c>
      <c r="H33" s="27" t="n">
        <v>1</v>
      </c>
      <c r="I33" s="27" t="s">
        <v>144</v>
      </c>
      <c r="J33" s="33" t="n">
        <v>0.415</v>
      </c>
      <c r="K33" s="33" t="n">
        <v>1.8123</v>
      </c>
      <c r="L33" s="31" t="n">
        <f aca="false">INDEX(Constants!$D$18:$D$41,MATCH(I33&amp;"#"&amp;E33,Constants!$A$18:$A$41,0))</f>
        <v>0.25</v>
      </c>
      <c r="M33" s="31" t="n">
        <f aca="false">INDEX(Constants!$E$18:$E$41,MATCH(I33&amp;"#"&amp;E33,Constants!$A$18:$A$41,0))</f>
        <v>1.8</v>
      </c>
      <c r="N33" s="31" t="n">
        <f aca="false">J33-L33</f>
        <v>0.165</v>
      </c>
      <c r="O33" s="31" t="n">
        <f aca="false">K33-M33</f>
        <v>0.0123</v>
      </c>
      <c r="P33" s="30" t="n">
        <f aca="false">SQRT((N33/Constants!$B$8)^2+(O33/Constants!$B$9)^2)</f>
        <v>0.960548132568135</v>
      </c>
      <c r="Q33" s="3" t="str">
        <f aca="false">IF(P33&lt;=1.05,"Yes","No")</f>
        <v>Yes</v>
      </c>
      <c r="R33" s="27" t="s">
        <v>597</v>
      </c>
      <c r="S33" s="3"/>
      <c r="T33" s="3"/>
      <c r="U33" s="3"/>
      <c r="V33" s="3"/>
      <c r="W33" s="27" t="n">
        <v>270</v>
      </c>
      <c r="X33" s="31" t="n">
        <f aca="false">Constants!$B$8*COS(RADIANS(W33))</f>
        <v>-3.16877359279378E-017</v>
      </c>
      <c r="Y33" s="31" t="n">
        <f aca="false">Constants!$B$9*SIN(RADIANS(W33))</f>
        <v>-0.14</v>
      </c>
    </row>
    <row r="34" customFormat="false" ht="15" hidden="false" customHeight="false" outlineLevel="0" collapsed="false">
      <c r="A34" s="27" t="n">
        <v>10</v>
      </c>
      <c r="B34" s="28" t="n">
        <v>46301.4833282755</v>
      </c>
      <c r="C34" s="32" t="n">
        <f aca="false">(B34-INDEX(Rounds!$C:$C,MATCH(A34,Rounds!$A:$A,0)))*86400</f>
        <v>19.723999709</v>
      </c>
      <c r="D34" s="27" t="s">
        <v>587</v>
      </c>
      <c r="E34" s="27" t="n">
        <v>0</v>
      </c>
      <c r="F34" s="27" t="n">
        <v>100</v>
      </c>
      <c r="G34" s="27" t="n">
        <v>500</v>
      </c>
      <c r="H34" s="27" t="n">
        <v>1</v>
      </c>
      <c r="I34" s="27" t="s">
        <v>144</v>
      </c>
      <c r="J34" s="33" t="n">
        <v>0.2458</v>
      </c>
      <c r="K34" s="33" t="n">
        <v>1.2386</v>
      </c>
      <c r="L34" s="31" t="n">
        <f aca="false">INDEX(Constants!$D$18:$D$41,MATCH(I34&amp;"#"&amp;E34,Constants!$A$18:$A$41,0))</f>
        <v>0.25</v>
      </c>
      <c r="M34" s="31" t="n">
        <f aca="false">INDEX(Constants!$E$18:$E$41,MATCH(I34&amp;"#"&amp;E34,Constants!$A$18:$A$41,0))</f>
        <v>1.1</v>
      </c>
      <c r="N34" s="31" t="n">
        <f aca="false">J34-L34</f>
        <v>-0.00420000000000001</v>
      </c>
      <c r="O34" s="31" t="n">
        <f aca="false">K34-M34</f>
        <v>0.1386</v>
      </c>
      <c r="P34" s="30" t="n">
        <f aca="false">SQRT((N34/Constants!$B$8)^2+(O34/Constants!$B$9)^2)</f>
        <v>0.990299357081059</v>
      </c>
      <c r="Q34" s="3" t="str">
        <f aca="false">IF(P34&lt;=1.05,"Yes","No")</f>
        <v>Yes</v>
      </c>
      <c r="R34" s="27" t="s">
        <v>597</v>
      </c>
      <c r="S34" s="3"/>
      <c r="T34" s="3"/>
      <c r="U34" s="3"/>
      <c r="V34" s="3"/>
      <c r="W34" s="27" t="n">
        <v>280</v>
      </c>
      <c r="X34" s="31" t="n">
        <f aca="false">Constants!$B$8*COS(RADIANS(W34))</f>
        <v>0.0299543106475454</v>
      </c>
      <c r="Y34" s="31" t="n">
        <f aca="false">Constants!$B$9*SIN(RADIANS(W34))</f>
        <v>-0.137873085421709</v>
      </c>
    </row>
    <row r="35" customFormat="false" ht="15" hidden="false" customHeight="false" outlineLevel="0" collapsed="false">
      <c r="A35" s="27" t="n">
        <v>10</v>
      </c>
      <c r="B35" s="28" t="n">
        <v>46301.4834332986</v>
      </c>
      <c r="C35" s="32" t="n">
        <f aca="false">(B35-INDEX(Rounds!$C:$C,MATCH(A35,Rounds!$A:$A,0)))*86400</f>
        <v>28.79799935</v>
      </c>
      <c r="D35" s="27" t="s">
        <v>587</v>
      </c>
      <c r="E35" s="27" t="n">
        <v>5</v>
      </c>
      <c r="F35" s="27" t="n">
        <v>100</v>
      </c>
      <c r="G35" s="27" t="n">
        <v>600</v>
      </c>
      <c r="H35" s="27" t="n">
        <v>2</v>
      </c>
      <c r="I35" s="27" t="s">
        <v>144</v>
      </c>
      <c r="J35" s="33" t="n">
        <v>1.089</v>
      </c>
      <c r="K35" s="33" t="n">
        <v>1.4784</v>
      </c>
      <c r="L35" s="31" t="n">
        <f aca="false">INDEX(Constants!$D$18:$D$41,MATCH(I35&amp;"#"&amp;E35,Constants!$A$18:$A$41,0))</f>
        <v>1.25</v>
      </c>
      <c r="M35" s="31" t="n">
        <f aca="false">INDEX(Constants!$E$18:$E$41,MATCH(I35&amp;"#"&amp;E35,Constants!$A$18:$A$41,0))</f>
        <v>1.45</v>
      </c>
      <c r="N35" s="31" t="n">
        <f aca="false">J35-L35</f>
        <v>-0.161</v>
      </c>
      <c r="O35" s="31" t="n">
        <f aca="false">K35-M35</f>
        <v>0.0284</v>
      </c>
      <c r="P35" s="30" t="n">
        <f aca="false">SQRT((N35/Constants!$B$8)^2+(O35/Constants!$B$9)^2)</f>
        <v>0.95512414455885</v>
      </c>
      <c r="Q35" s="3" t="str">
        <f aca="false">IF(P35&lt;=1.05,"Yes","No")</f>
        <v>Yes</v>
      </c>
      <c r="R35" s="27" t="s">
        <v>597</v>
      </c>
      <c r="S35" s="3"/>
      <c r="T35" s="3"/>
      <c r="U35" s="3"/>
      <c r="V35" s="3"/>
      <c r="W35" s="27" t="n">
        <v>290</v>
      </c>
      <c r="X35" s="31" t="n">
        <f aca="false">Constants!$B$8*COS(RADIANS(W35))</f>
        <v>0.0589984747236779</v>
      </c>
      <c r="Y35" s="31" t="n">
        <f aca="false">Constants!$B$9*SIN(RADIANS(W35))</f>
        <v>-0.131556966910027</v>
      </c>
    </row>
    <row r="36" customFormat="false" ht="15" hidden="false" customHeight="false" outlineLevel="0" collapsed="false">
      <c r="A36" s="27" t="n">
        <v>10</v>
      </c>
      <c r="B36" s="28" t="n">
        <v>46301.4834687616</v>
      </c>
      <c r="C36" s="32" t="n">
        <f aca="false">(B36-INDEX(Rounds!$C:$C,MATCH(A36,Rounds!$A:$A,0)))*86400</f>
        <v>31.861999654</v>
      </c>
      <c r="D36" s="27" t="s">
        <v>587</v>
      </c>
      <c r="E36" s="27" t="n">
        <v>3</v>
      </c>
      <c r="F36" s="27" t="n">
        <v>200</v>
      </c>
      <c r="G36" s="27" t="n">
        <v>800</v>
      </c>
      <c r="H36" s="27" t="n">
        <v>2</v>
      </c>
      <c r="I36" s="27" t="s">
        <v>145</v>
      </c>
      <c r="J36" s="33" t="n">
        <v>0.8962</v>
      </c>
      <c r="K36" s="33" t="n">
        <v>1.4243</v>
      </c>
      <c r="L36" s="31" t="n">
        <f aca="false">INDEX(Constants!$D$18:$D$41,MATCH(I36&amp;"#"&amp;E36,Constants!$A$18:$A$41,0))</f>
        <v>0.75</v>
      </c>
      <c r="M36" s="31" t="n">
        <f aca="false">INDEX(Constants!$E$18:$E$41,MATCH(I36&amp;"#"&amp;E36,Constants!$A$18:$A$41,0))</f>
        <v>1.42</v>
      </c>
      <c r="N36" s="31" t="n">
        <f aca="false">J36-L36</f>
        <v>0.1462</v>
      </c>
      <c r="O36" s="31" t="n">
        <f aca="false">K36-M36</f>
        <v>0.00429999999999997</v>
      </c>
      <c r="P36" s="30" t="n">
        <f aca="false">SQRT((N36/Constants!$B$8)^2+(O36/Constants!$B$9)^2)</f>
        <v>0.848092584393453</v>
      </c>
      <c r="Q36" s="3" t="str">
        <f aca="false">IF(P36&lt;=1.05,"Yes","No")</f>
        <v>Yes</v>
      </c>
      <c r="R36" s="27" t="s">
        <v>596</v>
      </c>
      <c r="S36" s="3"/>
      <c r="T36" s="3"/>
      <c r="U36" s="3"/>
      <c r="V36" s="3"/>
      <c r="W36" s="27" t="n">
        <v>300</v>
      </c>
      <c r="X36" s="31" t="n">
        <f aca="false">Constants!$B$8*COS(RADIANS(W36))</f>
        <v>0.08625</v>
      </c>
      <c r="Y36" s="31" t="n">
        <f aca="false">Constants!$B$9*SIN(RADIANS(W36))</f>
        <v>-0.121243556529821</v>
      </c>
    </row>
    <row r="37" customFormat="false" ht="15" hidden="false" customHeight="false" outlineLevel="0" collapsed="false">
      <c r="A37" s="27" t="n">
        <v>10</v>
      </c>
      <c r="B37" s="28" t="n">
        <v>46301.4835012732</v>
      </c>
      <c r="C37" s="32" t="n">
        <f aca="false">(B37-INDEX(Rounds!$C:$C,MATCH(A37,Rounds!$A:$A,0)))*86400</f>
        <v>34.670999832</v>
      </c>
      <c r="D37" s="27" t="s">
        <v>587</v>
      </c>
      <c r="E37" s="27" t="n">
        <v>6</v>
      </c>
      <c r="F37" s="27" t="n">
        <v>200</v>
      </c>
      <c r="G37" s="27" t="n">
        <v>1000</v>
      </c>
      <c r="H37" s="27" t="n">
        <v>2</v>
      </c>
      <c r="I37" s="27" t="s">
        <v>145</v>
      </c>
      <c r="J37" s="33" t="n">
        <v>0.9259</v>
      </c>
      <c r="K37" s="33" t="n">
        <v>1.6319</v>
      </c>
      <c r="L37" s="31" t="n">
        <f aca="false">INDEX(Constants!$D$18:$D$41,MATCH(I37&amp;"#"&amp;E37,Constants!$A$18:$A$41,0))</f>
        <v>1</v>
      </c>
      <c r="M37" s="31" t="n">
        <f aca="false">INDEX(Constants!$E$18:$E$41,MATCH(I37&amp;"#"&amp;E37,Constants!$A$18:$A$41,0))</f>
        <v>1.74</v>
      </c>
      <c r="N37" s="31" t="n">
        <f aca="false">J37-L37</f>
        <v>-0.0741000000000001</v>
      </c>
      <c r="O37" s="31" t="n">
        <f aca="false">K37-M37</f>
        <v>-0.1081</v>
      </c>
      <c r="P37" s="30" t="n">
        <f aca="false">SQRT((N37/Constants!$B$8)^2+(O37/Constants!$B$9)^2)</f>
        <v>0.883589762179924</v>
      </c>
      <c r="Q37" s="3" t="str">
        <f aca="false">IF(P37&lt;=1.05,"Yes","No")</f>
        <v>Yes</v>
      </c>
      <c r="R37" s="27" t="s">
        <v>596</v>
      </c>
      <c r="S37" s="3"/>
      <c r="T37" s="3"/>
      <c r="U37" s="3"/>
      <c r="V37" s="3"/>
      <c r="W37" s="27" t="n">
        <v>310</v>
      </c>
      <c r="X37" s="31" t="n">
        <f aca="false">Constants!$B$8*COS(RADIANS(W37))</f>
        <v>0.110880862670928</v>
      </c>
      <c r="Y37" s="31" t="n">
        <f aca="false">Constants!$B$9*SIN(RADIANS(W37))</f>
        <v>-0.107246222036657</v>
      </c>
    </row>
    <row r="38" customFormat="false" ht="15" hidden="false" customHeight="false" outlineLevel="0" collapsed="false">
      <c r="A38" s="27" t="n">
        <v>10</v>
      </c>
      <c r="B38" s="28" t="n">
        <v>46301.4835468056</v>
      </c>
      <c r="C38" s="32" t="n">
        <f aca="false">(B38-INDEX(Rounds!$C:$C,MATCH(A38,Rounds!$A:$A,0)))*86400</f>
        <v>38.604999566</v>
      </c>
      <c r="D38" s="27" t="s">
        <v>595</v>
      </c>
      <c r="E38" s="27" t="n">
        <v>2</v>
      </c>
      <c r="F38" s="27" t="n">
        <v>600</v>
      </c>
      <c r="G38" s="27" t="n">
        <v>1600</v>
      </c>
      <c r="H38" s="27" t="n">
        <v>2</v>
      </c>
      <c r="I38" s="27" t="s">
        <v>145</v>
      </c>
      <c r="J38" s="33" t="n">
        <v>0.3842</v>
      </c>
      <c r="K38" s="33" t="n">
        <v>1.479</v>
      </c>
      <c r="L38" s="31" t="n">
        <f aca="false">INDEX(Constants!$D$18:$D$41,MATCH(I38&amp;"#"&amp;E38,Constants!$A$18:$A$41,0))</f>
        <v>0.25</v>
      </c>
      <c r="M38" s="31" t="n">
        <f aca="false">INDEX(Constants!$E$18:$E$41,MATCH(I38&amp;"#"&amp;E38,Constants!$A$18:$A$41,0))</f>
        <v>1.42</v>
      </c>
      <c r="N38" s="31" t="n">
        <f aca="false">J38-L38</f>
        <v>0.1342</v>
      </c>
      <c r="O38" s="31" t="n">
        <f aca="false">K38-M38</f>
        <v>0.0590000000000002</v>
      </c>
      <c r="P38" s="30" t="n">
        <f aca="false">SQRT((N38/Constants!$B$8)^2+(O38/Constants!$B$9)^2)</f>
        <v>0.884782990459927</v>
      </c>
      <c r="Q38" s="3" t="str">
        <f aca="false">IF(P38&lt;=1.05,"Yes","No")</f>
        <v>Yes</v>
      </c>
      <c r="R38" s="27" t="s">
        <v>596</v>
      </c>
      <c r="S38" s="3"/>
      <c r="T38" s="3"/>
      <c r="U38" s="3"/>
      <c r="V38" s="3"/>
      <c r="W38" s="27" t="n">
        <v>320</v>
      </c>
      <c r="X38" s="31" t="n">
        <f aca="false">Constants!$B$8*COS(RADIANS(W38))</f>
        <v>0.132142666438024</v>
      </c>
      <c r="Y38" s="31" t="n">
        <f aca="false">Constants!$B$9*SIN(RADIANS(W38))</f>
        <v>-0.0899902653561156</v>
      </c>
    </row>
    <row r="39" customFormat="false" ht="15" hidden="false" customHeight="false" outlineLevel="0" collapsed="false">
      <c r="A39" s="27" t="n">
        <v>10</v>
      </c>
      <c r="B39" s="28" t="n">
        <v>46301.4835963657</v>
      </c>
      <c r="C39" s="32" t="n">
        <f aca="false">(B39-INDEX(Rounds!$C:$C,MATCH(A39,Rounds!$A:$A,0)))*86400</f>
        <v>42.886999575</v>
      </c>
      <c r="D39" s="27" t="s">
        <v>587</v>
      </c>
      <c r="E39" s="27" t="n">
        <v>3</v>
      </c>
      <c r="F39" s="27" t="n">
        <v>200</v>
      </c>
      <c r="G39" s="27" t="n">
        <v>1800</v>
      </c>
      <c r="H39" s="27" t="n">
        <v>3</v>
      </c>
      <c r="I39" s="27" t="s">
        <v>145</v>
      </c>
      <c r="J39" s="33" t="n">
        <v>0.5936</v>
      </c>
      <c r="K39" s="33" t="n">
        <v>1.4702</v>
      </c>
      <c r="L39" s="31" t="n">
        <f aca="false">INDEX(Constants!$D$18:$D$41,MATCH(I39&amp;"#"&amp;E39,Constants!$A$18:$A$41,0))</f>
        <v>0.75</v>
      </c>
      <c r="M39" s="31" t="n">
        <f aca="false">INDEX(Constants!$E$18:$E$41,MATCH(I39&amp;"#"&amp;E39,Constants!$A$18:$A$41,0))</f>
        <v>1.42</v>
      </c>
      <c r="N39" s="31" t="n">
        <f aca="false">J39-L39</f>
        <v>-0.1564</v>
      </c>
      <c r="O39" s="31" t="n">
        <f aca="false">K39-M39</f>
        <v>0.0502</v>
      </c>
      <c r="P39" s="30" t="n">
        <f aca="false">SQRT((N39/Constants!$B$8)^2+(O39/Constants!$B$9)^2)</f>
        <v>0.974996366061023</v>
      </c>
      <c r="Q39" s="3" t="str">
        <f aca="false">IF(P39&lt;=1.05,"Yes","No")</f>
        <v>Yes</v>
      </c>
      <c r="R39" s="27" t="s">
        <v>596</v>
      </c>
      <c r="S39" s="3"/>
      <c r="T39" s="3"/>
      <c r="U39" s="3"/>
      <c r="V39" s="3"/>
      <c r="W39" s="27" t="n">
        <v>330</v>
      </c>
      <c r="X39" s="31" t="n">
        <f aca="false">Constants!$B$8*COS(RADIANS(W39))</f>
        <v>0.149389382152816</v>
      </c>
      <c r="Y39" s="31" t="n">
        <f aca="false">Constants!$B$9*SIN(RADIANS(W39))</f>
        <v>-0.0700000000000001</v>
      </c>
    </row>
    <row r="40" customFormat="false" ht="15" hidden="false" customHeight="false" outlineLevel="0" collapsed="false">
      <c r="A40" s="27" t="n">
        <v>10</v>
      </c>
      <c r="B40" s="28" t="n">
        <v>46301.4836491204</v>
      </c>
      <c r="C40" s="32" t="n">
        <f aca="false">(B40-INDEX(Rounds!$C:$C,MATCH(A40,Rounds!$A:$A,0)))*86400</f>
        <v>47.44499952</v>
      </c>
      <c r="D40" s="27" t="s">
        <v>587</v>
      </c>
      <c r="E40" s="27" t="n">
        <v>7</v>
      </c>
      <c r="F40" s="27" t="n">
        <v>300</v>
      </c>
      <c r="G40" s="27" t="n">
        <v>2100</v>
      </c>
      <c r="H40" s="27" t="n">
        <v>3</v>
      </c>
      <c r="I40" s="27" t="s">
        <v>146</v>
      </c>
      <c r="J40" s="33" t="n">
        <v>1.0932</v>
      </c>
      <c r="K40" s="33" t="n">
        <v>1.7333</v>
      </c>
      <c r="L40" s="31" t="n">
        <f aca="false">INDEX(Constants!$D$18:$D$41,MATCH(I40&amp;"#"&amp;E40,Constants!$A$18:$A$41,0))</f>
        <v>1.25</v>
      </c>
      <c r="M40" s="31" t="n">
        <f aca="false">INDEX(Constants!$E$18:$E$41,MATCH(I40&amp;"#"&amp;E40,Constants!$A$18:$A$41,0))</f>
        <v>1.74</v>
      </c>
      <c r="N40" s="31" t="n">
        <f aca="false">J40-L40</f>
        <v>-0.1568</v>
      </c>
      <c r="O40" s="31" t="n">
        <f aca="false">K40-M40</f>
        <v>-0.00669999999999993</v>
      </c>
      <c r="P40" s="30" t="n">
        <f aca="false">SQRT((N40/Constants!$B$8)^2+(O40/Constants!$B$9)^2)</f>
        <v>0.910244449863004</v>
      </c>
      <c r="Q40" s="3" t="str">
        <f aca="false">IF(P40&lt;=1.05,"Yes","No")</f>
        <v>Yes</v>
      </c>
      <c r="R40" s="27" t="s">
        <v>596</v>
      </c>
      <c r="S40" s="3"/>
      <c r="T40" s="3"/>
      <c r="U40" s="3"/>
      <c r="V40" s="3"/>
      <c r="W40" s="27" t="n">
        <v>340</v>
      </c>
      <c r="X40" s="31" t="n">
        <f aca="false">Constants!$B$8*COS(RADIANS(W40))</f>
        <v>0.162096977085569</v>
      </c>
      <c r="Y40" s="31" t="n">
        <f aca="false">Constants!$B$9*SIN(RADIANS(W40))</f>
        <v>-0.0478828200655937</v>
      </c>
    </row>
    <row r="41" customFormat="false" ht="15" hidden="false" customHeight="false" outlineLevel="0" collapsed="false">
      <c r="A41" s="27" t="n">
        <v>10</v>
      </c>
      <c r="B41" s="28" t="n">
        <v>46301.4836975579</v>
      </c>
      <c r="C41" s="32" t="n">
        <f aca="false">(B41-INDEX(Rounds!$C:$C,MATCH(A41,Rounds!$A:$A,0)))*86400</f>
        <v>51.629999955</v>
      </c>
      <c r="D41" s="27" t="s">
        <v>587</v>
      </c>
      <c r="E41" s="27" t="n">
        <v>0</v>
      </c>
      <c r="F41" s="27" t="n">
        <v>300</v>
      </c>
      <c r="G41" s="27" t="n">
        <v>2400</v>
      </c>
      <c r="H41" s="27" t="n">
        <v>3</v>
      </c>
      <c r="I41" s="27" t="s">
        <v>146</v>
      </c>
      <c r="J41" s="33" t="n">
        <v>0.3244</v>
      </c>
      <c r="K41" s="33" t="n">
        <v>1.2273</v>
      </c>
      <c r="L41" s="31" t="n">
        <f aca="false">INDEX(Constants!$D$18:$D$41,MATCH(I41&amp;"#"&amp;E41,Constants!$A$18:$A$41,0))</f>
        <v>0.25</v>
      </c>
      <c r="M41" s="31" t="n">
        <f aca="false">INDEX(Constants!$E$18:$E$41,MATCH(I41&amp;"#"&amp;E41,Constants!$A$18:$A$41,0))</f>
        <v>1.1</v>
      </c>
      <c r="N41" s="31" t="n">
        <f aca="false">J41-L41</f>
        <v>0.0744</v>
      </c>
      <c r="O41" s="31" t="n">
        <f aca="false">K41-M41</f>
        <v>0.1273</v>
      </c>
      <c r="P41" s="30" t="n">
        <f aca="false">SQRT((N41/Constants!$B$8)^2+(O41/Constants!$B$9)^2)</f>
        <v>1.00639154937716</v>
      </c>
      <c r="Q41" s="3" t="str">
        <f aca="false">IF(P41&lt;=1.05,"Yes","No")</f>
        <v>Yes</v>
      </c>
      <c r="R41" s="27" t="s">
        <v>596</v>
      </c>
      <c r="S41" s="3"/>
      <c r="T41" s="3"/>
      <c r="U41" s="3"/>
      <c r="V41" s="3"/>
      <c r="W41" s="27" t="n">
        <v>350</v>
      </c>
      <c r="X41" s="31" t="n">
        <f aca="false">Constants!$B$8*COS(RADIANS(W41))</f>
        <v>0.169879337394606</v>
      </c>
      <c r="Y41" s="31" t="n">
        <f aca="false">Constants!$B$9*SIN(RADIANS(W41))</f>
        <v>-0.0243107448733703</v>
      </c>
    </row>
    <row r="42" customFormat="false" ht="15" hidden="false" customHeight="false" outlineLevel="0" collapsed="false">
      <c r="A42" s="27" t="n">
        <v>10</v>
      </c>
      <c r="B42" s="28" t="n">
        <v>46301.4837541435</v>
      </c>
      <c r="C42" s="32" t="n">
        <f aca="false">(B42-INDEX(Rounds!$C:$C,MATCH(A42,Rounds!$A:$A,0)))*86400</f>
        <v>56.518999789</v>
      </c>
      <c r="D42" s="27" t="s">
        <v>595</v>
      </c>
      <c r="E42" s="27" t="n">
        <v>3</v>
      </c>
      <c r="F42" s="27" t="n">
        <v>900</v>
      </c>
      <c r="G42" s="27" t="n">
        <v>3300</v>
      </c>
      <c r="H42" s="27" t="n">
        <v>3</v>
      </c>
      <c r="I42" s="27" t="s">
        <v>146</v>
      </c>
      <c r="J42" s="33" t="n">
        <v>0.334</v>
      </c>
      <c r="K42" s="33" t="n">
        <v>1.4328</v>
      </c>
      <c r="L42" s="31" t="n">
        <f aca="false">INDEX(Constants!$D$18:$D$41,MATCH(I42&amp;"#"&amp;E42,Constants!$A$18:$A$41,0))</f>
        <v>0.5</v>
      </c>
      <c r="M42" s="31" t="n">
        <f aca="false">INDEX(Constants!$E$18:$E$41,MATCH(I42&amp;"#"&amp;E42,Constants!$A$18:$A$41,0))</f>
        <v>1.42</v>
      </c>
      <c r="N42" s="31" t="n">
        <f aca="false">J42-L42</f>
        <v>-0.166</v>
      </c>
      <c r="O42" s="31" t="n">
        <f aca="false">K42-M42</f>
        <v>0.0128000000000001</v>
      </c>
      <c r="P42" s="30" t="n">
        <f aca="false">SQRT((N42/Constants!$B$8)^2+(O42/Constants!$B$9)^2)</f>
        <v>0.966652333886463</v>
      </c>
      <c r="Q42" s="3" t="str">
        <f aca="false">IF(P42&lt;=1.05,"Yes","No")</f>
        <v>Yes</v>
      </c>
      <c r="R42" s="27" t="s">
        <v>596</v>
      </c>
      <c r="S42" s="3"/>
      <c r="T42" s="3"/>
      <c r="U42" s="3"/>
      <c r="V42" s="3"/>
      <c r="W42" s="27" t="n">
        <v>360</v>
      </c>
      <c r="X42" s="31" t="n">
        <f aca="false">Constants!$B$8*COS(RADIANS(W42))</f>
        <v>0.1725</v>
      </c>
      <c r="Y42" s="31" t="n">
        <f aca="false">Constants!$B$9*SIN(RADIANS(W42))</f>
        <v>-3.42901103761259E-017</v>
      </c>
    </row>
    <row r="43" customFormat="false" ht="15" hidden="false" customHeight="false" outlineLevel="0" collapsed="false">
      <c r="A43" s="27" t="n">
        <v>10</v>
      </c>
      <c r="B43" s="28" t="n">
        <v>46301.4838132639</v>
      </c>
      <c r="C43" s="32" t="n">
        <f aca="false">(B43-INDEX(Rounds!$C:$C,MATCH(A43,Rounds!$A:$A,0)))*86400</f>
        <v>61.626999895</v>
      </c>
      <c r="D43" s="27" t="s">
        <v>587</v>
      </c>
      <c r="E43" s="27" t="n">
        <v>7</v>
      </c>
      <c r="F43" s="27" t="n">
        <v>300</v>
      </c>
      <c r="G43" s="27" t="n">
        <v>3600</v>
      </c>
      <c r="H43" s="27" t="n">
        <v>4</v>
      </c>
      <c r="I43" s="27" t="s">
        <v>146</v>
      </c>
      <c r="J43" s="33" t="n">
        <v>1.1004</v>
      </c>
      <c r="K43" s="33" t="n">
        <v>1.7024</v>
      </c>
      <c r="L43" s="31" t="n">
        <f aca="false">INDEX(Constants!$D$18:$D$41,MATCH(I43&amp;"#"&amp;E43,Constants!$A$18:$A$41,0))</f>
        <v>1.25</v>
      </c>
      <c r="M43" s="31" t="n">
        <f aca="false">INDEX(Constants!$E$18:$E$41,MATCH(I43&amp;"#"&amp;E43,Constants!$A$18:$A$41,0))</f>
        <v>1.74</v>
      </c>
      <c r="N43" s="31" t="n">
        <f aca="false">J43-L43</f>
        <v>-0.1496</v>
      </c>
      <c r="O43" s="31" t="n">
        <f aca="false">K43-M43</f>
        <v>-0.0376000000000001</v>
      </c>
      <c r="P43" s="30" t="n">
        <f aca="false">SQRT((N43/Constants!$B$8)^2+(O43/Constants!$B$9)^2)</f>
        <v>0.90788043834953</v>
      </c>
      <c r="Q43" s="3" t="str">
        <f aca="false">IF(P43&lt;=1.05,"Yes","No")</f>
        <v>Yes</v>
      </c>
      <c r="R43" s="27" t="s">
        <v>596</v>
      </c>
      <c r="S43" s="3"/>
      <c r="T43" s="3"/>
      <c r="U43" s="3"/>
      <c r="V43" s="3"/>
      <c r="W43" s="3"/>
      <c r="X43" s="3"/>
      <c r="Y43" s="3"/>
    </row>
    <row r="44" customFormat="false" ht="15" hidden="false" customHeight="false" outlineLevel="0" collapsed="false">
      <c r="A44" s="27" t="n">
        <v>10</v>
      </c>
      <c r="B44" s="28" t="n">
        <v>46301.483850463</v>
      </c>
      <c r="C44" s="32" t="n">
        <f aca="false">(B44-INDEX(Rounds!$C:$C,MATCH(A44,Rounds!$A:$A,0)))*86400</f>
        <v>64.841000642</v>
      </c>
      <c r="D44" s="27" t="s">
        <v>587</v>
      </c>
      <c r="E44" s="27" t="n">
        <v>4</v>
      </c>
      <c r="F44" s="27" t="n">
        <v>400</v>
      </c>
      <c r="G44" s="27" t="n">
        <v>4000</v>
      </c>
      <c r="H44" s="27" t="n">
        <v>4</v>
      </c>
      <c r="I44" s="27" t="s">
        <v>144</v>
      </c>
      <c r="J44" s="33" t="n">
        <v>0.7465</v>
      </c>
      <c r="K44" s="33" t="n">
        <v>1.5813</v>
      </c>
      <c r="L44" s="31" t="n">
        <f aca="false">INDEX(Constants!$D$18:$D$41,MATCH(I44&amp;"#"&amp;E44,Constants!$A$18:$A$41,0))</f>
        <v>0.75</v>
      </c>
      <c r="M44" s="31" t="n">
        <f aca="false">INDEX(Constants!$E$18:$E$41,MATCH(I44&amp;"#"&amp;E44,Constants!$A$18:$A$41,0))</f>
        <v>1.45</v>
      </c>
      <c r="N44" s="31" t="n">
        <f aca="false">J44-L44</f>
        <v>-0.00349999999999995</v>
      </c>
      <c r="O44" s="31" t="n">
        <f aca="false">K44-M44</f>
        <v>0.1313</v>
      </c>
      <c r="P44" s="30" t="n">
        <f aca="false">SQRT((N44/Constants!$B$8)^2+(O44/Constants!$B$9)^2)</f>
        <v>0.938076595287946</v>
      </c>
      <c r="Q44" s="3" t="str">
        <f aca="false">IF(P44&lt;=1.05,"Yes","No")</f>
        <v>Yes</v>
      </c>
      <c r="R44" s="27" t="s">
        <v>596</v>
      </c>
      <c r="S44" s="3"/>
      <c r="T44" s="3"/>
      <c r="U44" s="3"/>
      <c r="V44" s="3"/>
      <c r="W44" s="3"/>
      <c r="X44" s="3"/>
      <c r="Y44" s="3"/>
    </row>
    <row r="45" customFormat="false" ht="15" hidden="false" customHeight="false" outlineLevel="0" collapsed="false">
      <c r="A45" s="27" t="n">
        <v>10</v>
      </c>
      <c r="B45" s="28" t="n">
        <v>46301.4838538079</v>
      </c>
      <c r="C45" s="32" t="n">
        <f aca="false">(B45-INDEX(Rounds!$C:$C,MATCH(A45,Rounds!$A:$A,0)))*86400</f>
        <v>65.129999653</v>
      </c>
      <c r="D45" s="27" t="s">
        <v>587</v>
      </c>
      <c r="E45" s="27" t="n">
        <v>3</v>
      </c>
      <c r="F45" s="27" t="n">
        <v>400</v>
      </c>
      <c r="G45" s="27" t="n">
        <v>4400</v>
      </c>
      <c r="H45" s="27" t="n">
        <v>4</v>
      </c>
      <c r="I45" s="27" t="s">
        <v>144</v>
      </c>
      <c r="J45" s="33" t="n">
        <v>0.3696</v>
      </c>
      <c r="K45" s="33" t="n">
        <v>1.544</v>
      </c>
      <c r="L45" s="31" t="n">
        <f aca="false">INDEX(Constants!$D$18:$D$41,MATCH(I45&amp;"#"&amp;E45,Constants!$A$18:$A$41,0))</f>
        <v>0.25</v>
      </c>
      <c r="M45" s="31" t="n">
        <f aca="false">INDEX(Constants!$E$18:$E$41,MATCH(I45&amp;"#"&amp;E45,Constants!$A$18:$A$41,0))</f>
        <v>1.45</v>
      </c>
      <c r="N45" s="31" t="n">
        <f aca="false">J45-L45</f>
        <v>0.1196</v>
      </c>
      <c r="O45" s="31" t="n">
        <f aca="false">K45-M45</f>
        <v>0.0940000000000001</v>
      </c>
      <c r="P45" s="30" t="n">
        <f aca="false">SQRT((N45/Constants!$B$8)^2+(O45/Constants!$B$9)^2)</f>
        <v>0.965156690720074</v>
      </c>
      <c r="Q45" s="3" t="str">
        <f aca="false">IF(P45&lt;=1.05,"Yes","No")</f>
        <v>Yes</v>
      </c>
      <c r="R45" s="27" t="s">
        <v>596</v>
      </c>
      <c r="S45" s="3"/>
      <c r="T45" s="3"/>
      <c r="U45" s="3"/>
      <c r="V45" s="3"/>
      <c r="W45" s="3"/>
      <c r="X45" s="3"/>
      <c r="Y45" s="3"/>
    </row>
    <row r="46" customFormat="false" ht="15" hidden="false" customHeight="false" outlineLevel="0" collapsed="false">
      <c r="A46" s="27" t="n">
        <v>11</v>
      </c>
      <c r="B46" s="28" t="n">
        <v>46301.48524625</v>
      </c>
      <c r="C46" s="32" t="n">
        <f aca="false">(B46-INDEX(Rounds!$C:$C,MATCH(A46,Rounds!$A:$A,0)))*86400</f>
        <v>10.438999906</v>
      </c>
      <c r="D46" s="27" t="s">
        <v>587</v>
      </c>
      <c r="E46" s="27" t="n">
        <v>0</v>
      </c>
      <c r="F46" s="27" t="n">
        <v>100</v>
      </c>
      <c r="G46" s="27" t="n">
        <v>100</v>
      </c>
      <c r="H46" s="27" t="n">
        <v>1</v>
      </c>
      <c r="I46" s="27" t="s">
        <v>144</v>
      </c>
      <c r="J46" s="33" t="n">
        <v>0.2109</v>
      </c>
      <c r="K46" s="33" t="n">
        <v>1.2184</v>
      </c>
      <c r="L46" s="31" t="n">
        <f aca="false">INDEX(Constants!$D$18:$D$41,MATCH(I46&amp;"#"&amp;E46,Constants!$A$18:$A$41,0))</f>
        <v>0.25</v>
      </c>
      <c r="M46" s="31" t="n">
        <f aca="false">INDEX(Constants!$E$18:$E$41,MATCH(I46&amp;"#"&amp;E46,Constants!$A$18:$A$41,0))</f>
        <v>1.1</v>
      </c>
      <c r="N46" s="31" t="n">
        <f aca="false">J46-L46</f>
        <v>-0.0391</v>
      </c>
      <c r="O46" s="31" t="n">
        <f aca="false">K46-M46</f>
        <v>0.1184</v>
      </c>
      <c r="P46" s="30" t="n">
        <f aca="false">SQRT((N46/Constants!$B$8)^2+(O46/Constants!$B$9)^2)</f>
        <v>0.875562922261445</v>
      </c>
      <c r="Q46" s="3" t="str">
        <f aca="false">IF(P46&lt;=1.05,"Yes","No")</f>
        <v>Yes</v>
      </c>
      <c r="R46" s="27" t="s">
        <v>597</v>
      </c>
      <c r="S46" s="3"/>
      <c r="T46" s="3"/>
      <c r="U46" s="3"/>
      <c r="V46" s="3"/>
      <c r="W46" s="3"/>
      <c r="X46" s="3"/>
      <c r="Y46" s="3"/>
    </row>
    <row r="47" customFormat="false" ht="15" hidden="false" customHeight="false" outlineLevel="0" collapsed="false">
      <c r="A47" s="27" t="n">
        <v>11</v>
      </c>
      <c r="B47" s="28" t="n">
        <v>46301.4852944329</v>
      </c>
      <c r="C47" s="32" t="n">
        <f aca="false">(B47-INDEX(Rounds!$C:$C,MATCH(A47,Rounds!$A:$A,0)))*86400</f>
        <v>14.60199973</v>
      </c>
      <c r="D47" s="27" t="s">
        <v>595</v>
      </c>
      <c r="E47" s="27" t="n">
        <v>1</v>
      </c>
      <c r="F47" s="27" t="n">
        <v>300</v>
      </c>
      <c r="G47" s="27" t="n">
        <v>400</v>
      </c>
      <c r="H47" s="27" t="n">
        <v>1</v>
      </c>
      <c r="I47" s="27" t="s">
        <v>144</v>
      </c>
      <c r="J47" s="33" t="n">
        <v>0.5839</v>
      </c>
      <c r="K47" s="33" t="n">
        <v>1.0744</v>
      </c>
      <c r="L47" s="31" t="n">
        <f aca="false">INDEX(Constants!$D$18:$D$41,MATCH(I47&amp;"#"&amp;E47,Constants!$A$18:$A$41,0))</f>
        <v>0.75</v>
      </c>
      <c r="M47" s="31" t="n">
        <f aca="false">INDEX(Constants!$E$18:$E$41,MATCH(I47&amp;"#"&amp;E47,Constants!$A$18:$A$41,0))</f>
        <v>1.1</v>
      </c>
      <c r="N47" s="31" t="n">
        <f aca="false">J47-L47</f>
        <v>-0.1661</v>
      </c>
      <c r="O47" s="31" t="n">
        <f aca="false">K47-M47</f>
        <v>-0.0256000000000001</v>
      </c>
      <c r="P47" s="30" t="n">
        <f aca="false">SQRT((N47/Constants!$B$8)^2+(O47/Constants!$B$9)^2)</f>
        <v>0.980107317430844</v>
      </c>
      <c r="Q47" s="3" t="str">
        <f aca="false">IF(P47&lt;=1.05,"Yes","No")</f>
        <v>Yes</v>
      </c>
      <c r="R47" s="27" t="s">
        <v>597</v>
      </c>
      <c r="S47" s="3"/>
      <c r="T47" s="3"/>
      <c r="U47" s="3"/>
      <c r="V47" s="3"/>
      <c r="W47" s="3"/>
      <c r="X47" s="3"/>
      <c r="Y47" s="3"/>
    </row>
    <row r="48" customFormat="false" ht="15" hidden="false" customHeight="false" outlineLevel="0" collapsed="false">
      <c r="A48" s="27" t="n">
        <v>11</v>
      </c>
      <c r="B48" s="28" t="n">
        <v>46301.4853550926</v>
      </c>
      <c r="C48" s="32" t="n">
        <f aca="false">(B48-INDEX(Rounds!$C:$C,MATCH(A48,Rounds!$A:$A,0)))*86400</f>
        <v>19.842999894</v>
      </c>
      <c r="D48" s="27" t="s">
        <v>587</v>
      </c>
      <c r="E48" s="27" t="n">
        <v>2</v>
      </c>
      <c r="F48" s="27" t="n">
        <v>100</v>
      </c>
      <c r="G48" s="27" t="n">
        <v>500</v>
      </c>
      <c r="H48" s="27" t="n">
        <v>1</v>
      </c>
      <c r="I48" s="27" t="s">
        <v>144</v>
      </c>
      <c r="J48" s="33" t="n">
        <v>1.1555</v>
      </c>
      <c r="K48" s="33" t="n">
        <v>0.9997</v>
      </c>
      <c r="L48" s="31" t="n">
        <f aca="false">INDEX(Constants!$D$18:$D$41,MATCH(I48&amp;"#"&amp;E48,Constants!$A$18:$A$41,0))</f>
        <v>1.25</v>
      </c>
      <c r="M48" s="31" t="n">
        <f aca="false">INDEX(Constants!$E$18:$E$41,MATCH(I48&amp;"#"&amp;E48,Constants!$A$18:$A$41,0))</f>
        <v>1.1</v>
      </c>
      <c r="N48" s="31" t="n">
        <f aca="false">J48-L48</f>
        <v>-0.0945</v>
      </c>
      <c r="O48" s="31" t="n">
        <f aca="false">K48-M48</f>
        <v>-0.1003</v>
      </c>
      <c r="P48" s="30" t="n">
        <f aca="false">SQRT((N48/Constants!$B$8)^2+(O48/Constants!$B$9)^2)</f>
        <v>0.901877663272175</v>
      </c>
      <c r="Q48" s="3" t="str">
        <f aca="false">IF(P48&lt;=1.05,"Yes","No")</f>
        <v>Yes</v>
      </c>
      <c r="R48" s="27" t="s">
        <v>597</v>
      </c>
      <c r="S48" s="3"/>
      <c r="T48" s="3"/>
      <c r="U48" s="3"/>
      <c r="V48" s="3"/>
      <c r="W48" s="3"/>
      <c r="X48" s="3"/>
      <c r="Y48" s="3"/>
    </row>
    <row r="49" customFormat="false" ht="15" hidden="false" customHeight="false" outlineLevel="0" collapsed="false">
      <c r="A49" s="27" t="n">
        <v>11</v>
      </c>
      <c r="B49" s="28" t="n">
        <v>46301.4853861111</v>
      </c>
      <c r="C49" s="32" t="n">
        <f aca="false">(B49-INDEX(Rounds!$C:$C,MATCH(A49,Rounds!$A:$A,0)))*86400</f>
        <v>22.523000068</v>
      </c>
      <c r="D49" s="27" t="s">
        <v>587</v>
      </c>
      <c r="E49" s="27" t="n">
        <v>5</v>
      </c>
      <c r="F49" s="27" t="n">
        <v>100</v>
      </c>
      <c r="G49" s="27" t="n">
        <v>600</v>
      </c>
      <c r="H49" s="27" t="n">
        <v>2</v>
      </c>
      <c r="I49" s="27" t="s">
        <v>144</v>
      </c>
      <c r="J49" s="33" t="n">
        <v>1.301</v>
      </c>
      <c r="K49" s="33" t="n">
        <v>1.328</v>
      </c>
      <c r="L49" s="31" t="n">
        <f aca="false">INDEX(Constants!$D$18:$D$41,MATCH(I49&amp;"#"&amp;E49,Constants!$A$18:$A$41,0))</f>
        <v>1.25</v>
      </c>
      <c r="M49" s="31" t="n">
        <f aca="false">INDEX(Constants!$E$18:$E$41,MATCH(I49&amp;"#"&amp;E49,Constants!$A$18:$A$41,0))</f>
        <v>1.45</v>
      </c>
      <c r="N49" s="31" t="n">
        <f aca="false">J49-L49</f>
        <v>0.0509999999999999</v>
      </c>
      <c r="O49" s="31" t="n">
        <f aca="false">K49-M49</f>
        <v>-0.122</v>
      </c>
      <c r="P49" s="30" t="n">
        <f aca="false">SQRT((N49/Constants!$B$8)^2+(O49/Constants!$B$9)^2)</f>
        <v>0.92021625884438</v>
      </c>
      <c r="Q49" s="3" t="str">
        <f aca="false">IF(P49&lt;=1.05,"Yes","No")</f>
        <v>Yes</v>
      </c>
      <c r="R49" s="27" t="s">
        <v>597</v>
      </c>
      <c r="S49" s="3"/>
      <c r="T49" s="3"/>
      <c r="U49" s="3"/>
      <c r="V49" s="3"/>
      <c r="W49" s="3"/>
      <c r="X49" s="3"/>
      <c r="Y49" s="3"/>
    </row>
    <row r="50" customFormat="false" ht="15" hidden="false" customHeight="false" outlineLevel="0" collapsed="false">
      <c r="A50" s="27" t="n">
        <v>11</v>
      </c>
      <c r="B50" s="28" t="n">
        <v>46301.4855483912</v>
      </c>
      <c r="C50" s="32" t="n">
        <f aca="false">(B50-INDEX(Rounds!$C:$C,MATCH(A50,Rounds!$A:$A,0)))*86400</f>
        <v>36.544000008</v>
      </c>
      <c r="D50" s="27" t="s">
        <v>587</v>
      </c>
      <c r="E50" s="27" t="n">
        <v>6</v>
      </c>
      <c r="F50" s="27" t="n">
        <v>200</v>
      </c>
      <c r="G50" s="27" t="n">
        <v>800</v>
      </c>
      <c r="H50" s="27" t="n">
        <v>2</v>
      </c>
      <c r="I50" s="27" t="s">
        <v>145</v>
      </c>
      <c r="J50" s="33" t="n">
        <v>0.8677</v>
      </c>
      <c r="K50" s="33" t="n">
        <v>1.6574</v>
      </c>
      <c r="L50" s="31" t="n">
        <f aca="false">INDEX(Constants!$D$18:$D$41,MATCH(I50&amp;"#"&amp;E50,Constants!$A$18:$A$41,0))</f>
        <v>1</v>
      </c>
      <c r="M50" s="31" t="n">
        <f aca="false">INDEX(Constants!$E$18:$E$41,MATCH(I50&amp;"#"&amp;E50,Constants!$A$18:$A$41,0))</f>
        <v>1.74</v>
      </c>
      <c r="N50" s="31" t="n">
        <f aca="false">J50-L50</f>
        <v>-0.1323</v>
      </c>
      <c r="O50" s="31" t="n">
        <f aca="false">K50-M50</f>
        <v>-0.0826</v>
      </c>
      <c r="P50" s="30" t="n">
        <f aca="false">SQRT((N50/Constants!$B$8)^2+(O50/Constants!$B$9)^2)</f>
        <v>0.967637486995096</v>
      </c>
      <c r="Q50" s="3" t="str">
        <f aca="false">IF(P50&lt;=1.05,"Yes","No")</f>
        <v>Yes</v>
      </c>
      <c r="R50" s="27" t="s">
        <v>596</v>
      </c>
      <c r="S50" s="3"/>
      <c r="T50" s="3"/>
      <c r="U50" s="3"/>
      <c r="V50" s="3"/>
      <c r="W50" s="3"/>
      <c r="X50" s="3"/>
      <c r="Y50" s="3"/>
    </row>
    <row r="51" customFormat="false" ht="15" hidden="false" customHeight="false" outlineLevel="0" collapsed="false">
      <c r="A51" s="27" t="n">
        <v>11</v>
      </c>
      <c r="B51" s="28" t="n">
        <v>46301.4855845255</v>
      </c>
      <c r="C51" s="32" t="n">
        <f aca="false">(B51-INDEX(Rounds!$C:$C,MATCH(A51,Rounds!$A:$A,0)))*86400</f>
        <v>39.665999519</v>
      </c>
      <c r="D51" s="27" t="s">
        <v>587</v>
      </c>
      <c r="E51" s="27" t="n">
        <v>5</v>
      </c>
      <c r="F51" s="27" t="n">
        <v>200</v>
      </c>
      <c r="G51" s="27" t="n">
        <v>1000</v>
      </c>
      <c r="H51" s="27" t="n">
        <v>2</v>
      </c>
      <c r="I51" s="27" t="s">
        <v>145</v>
      </c>
      <c r="J51" s="33" t="n">
        <v>0.6317</v>
      </c>
      <c r="K51" s="33" t="n">
        <v>1.8268</v>
      </c>
      <c r="L51" s="31" t="n">
        <f aca="false">INDEX(Constants!$D$18:$D$41,MATCH(I51&amp;"#"&amp;E51,Constants!$A$18:$A$41,0))</f>
        <v>0.5</v>
      </c>
      <c r="M51" s="31" t="n">
        <f aca="false">INDEX(Constants!$E$18:$E$41,MATCH(I51&amp;"#"&amp;E51,Constants!$A$18:$A$41,0))</f>
        <v>1.74</v>
      </c>
      <c r="N51" s="31" t="n">
        <f aca="false">J51-L51</f>
        <v>0.1317</v>
      </c>
      <c r="O51" s="31" t="n">
        <f aca="false">K51-M51</f>
        <v>0.0868</v>
      </c>
      <c r="P51" s="30" t="n">
        <f aca="false">SQRT((N51/Constants!$B$8)^2+(O51/Constants!$B$9)^2)</f>
        <v>0.98351362716559</v>
      </c>
      <c r="Q51" s="3" t="str">
        <f aca="false">IF(P51&lt;=1.05,"Yes","No")</f>
        <v>Yes</v>
      </c>
      <c r="R51" s="27" t="s">
        <v>596</v>
      </c>
      <c r="S51" s="3"/>
      <c r="T51" s="3"/>
      <c r="U51" s="3"/>
      <c r="V51" s="3"/>
      <c r="W51" s="3"/>
      <c r="X51" s="3"/>
      <c r="Y51" s="3"/>
    </row>
    <row r="52" customFormat="false" ht="15" hidden="false" customHeight="false" outlineLevel="0" collapsed="false">
      <c r="A52" s="27" t="n">
        <v>11</v>
      </c>
      <c r="B52" s="28" t="n">
        <v>46301.4856266088</v>
      </c>
      <c r="C52" s="32" t="n">
        <f aca="false">(B52-INDEX(Rounds!$C:$C,MATCH(A52,Rounds!$A:$A,0)))*86400</f>
        <v>43.302000593</v>
      </c>
      <c r="D52" s="27" t="s">
        <v>595</v>
      </c>
      <c r="E52" s="27" t="n">
        <v>2</v>
      </c>
      <c r="F52" s="27" t="n">
        <v>600</v>
      </c>
      <c r="G52" s="27" t="n">
        <v>1600</v>
      </c>
      <c r="H52" s="27" t="n">
        <v>2</v>
      </c>
      <c r="I52" s="27" t="s">
        <v>145</v>
      </c>
      <c r="J52" s="33" t="n">
        <v>0.2234</v>
      </c>
      <c r="K52" s="33" t="n">
        <v>1.5203</v>
      </c>
      <c r="L52" s="31" t="n">
        <f aca="false">INDEX(Constants!$D$18:$D$41,MATCH(I52&amp;"#"&amp;E52,Constants!$A$18:$A$41,0))</f>
        <v>0.25</v>
      </c>
      <c r="M52" s="31" t="n">
        <f aca="false">INDEX(Constants!$E$18:$E$41,MATCH(I52&amp;"#"&amp;E52,Constants!$A$18:$A$41,0))</f>
        <v>1.42</v>
      </c>
      <c r="N52" s="31" t="n">
        <f aca="false">J52-L52</f>
        <v>-0.0266</v>
      </c>
      <c r="O52" s="31" t="n">
        <f aca="false">K52-M52</f>
        <v>0.1003</v>
      </c>
      <c r="P52" s="30" t="n">
        <f aca="false">SQRT((N52/Constants!$B$8)^2+(O52/Constants!$B$9)^2)</f>
        <v>0.732835883319471</v>
      </c>
      <c r="Q52" s="3" t="str">
        <f aca="false">IF(P52&lt;=1.05,"Yes","No")</f>
        <v>Yes</v>
      </c>
      <c r="R52" s="27" t="s">
        <v>596</v>
      </c>
      <c r="S52" s="3"/>
      <c r="T52" s="3"/>
      <c r="U52" s="3"/>
      <c r="V52" s="3"/>
      <c r="W52" s="3"/>
      <c r="X52" s="3"/>
      <c r="Y52" s="3"/>
    </row>
    <row r="53" customFormat="false" ht="15" hidden="false" customHeight="false" outlineLevel="0" collapsed="false">
      <c r="A53" s="27" t="n">
        <v>11</v>
      </c>
      <c r="B53" s="28" t="n">
        <v>46301.4856763773</v>
      </c>
      <c r="C53" s="32" t="n">
        <f aca="false">(B53-INDEX(Rounds!$C:$C,MATCH(A53,Rounds!$A:$A,0)))*86400</f>
        <v>47.601999901</v>
      </c>
      <c r="D53" s="27" t="s">
        <v>587</v>
      </c>
      <c r="E53" s="27" t="n">
        <v>3</v>
      </c>
      <c r="F53" s="27" t="n">
        <v>200</v>
      </c>
      <c r="G53" s="27" t="n">
        <v>1800</v>
      </c>
      <c r="H53" s="27" t="n">
        <v>3</v>
      </c>
      <c r="I53" s="27" t="s">
        <v>145</v>
      </c>
      <c r="J53" s="33" t="n">
        <v>0.6335</v>
      </c>
      <c r="K53" s="33" t="n">
        <v>1.3358</v>
      </c>
      <c r="L53" s="31" t="n">
        <f aca="false">INDEX(Constants!$D$18:$D$41,MATCH(I53&amp;"#"&amp;E53,Constants!$A$18:$A$41,0))</f>
        <v>0.75</v>
      </c>
      <c r="M53" s="31" t="n">
        <f aca="false">INDEX(Constants!$E$18:$E$41,MATCH(I53&amp;"#"&amp;E53,Constants!$A$18:$A$41,0))</f>
        <v>1.42</v>
      </c>
      <c r="N53" s="31" t="n">
        <f aca="false">J53-L53</f>
        <v>-0.1165</v>
      </c>
      <c r="O53" s="31" t="n">
        <f aca="false">K53-M53</f>
        <v>-0.0841999999999998</v>
      </c>
      <c r="P53" s="30" t="n">
        <f aca="false">SQRT((N53/Constants!$B$8)^2+(O53/Constants!$B$9)^2)</f>
        <v>0.904339863237453</v>
      </c>
      <c r="Q53" s="3" t="str">
        <f aca="false">IF(P53&lt;=1.05,"Yes","No")</f>
        <v>Yes</v>
      </c>
      <c r="R53" s="27" t="s">
        <v>596</v>
      </c>
      <c r="S53" s="3"/>
      <c r="T53" s="3"/>
      <c r="U53" s="3"/>
      <c r="V53" s="3"/>
      <c r="W53" s="3"/>
      <c r="X53" s="3"/>
      <c r="Y53" s="3"/>
    </row>
    <row r="54" customFormat="false" ht="15" hidden="false" customHeight="false" outlineLevel="0" collapsed="false">
      <c r="A54" s="27" t="n">
        <v>11</v>
      </c>
      <c r="B54" s="28" t="n">
        <v>46301.4857095602</v>
      </c>
      <c r="C54" s="32" t="n">
        <f aca="false">(B54-INDEX(Rounds!$C:$C,MATCH(A54,Rounds!$A:$A,0)))*86400</f>
        <v>50.468999287</v>
      </c>
      <c r="D54" s="27" t="s">
        <v>587</v>
      </c>
      <c r="E54" s="27" t="n">
        <v>6</v>
      </c>
      <c r="F54" s="27" t="n">
        <v>300</v>
      </c>
      <c r="G54" s="27" t="n">
        <v>2100</v>
      </c>
      <c r="H54" s="27" t="n">
        <v>3</v>
      </c>
      <c r="I54" s="27" t="s">
        <v>146</v>
      </c>
      <c r="J54" s="33" t="n">
        <v>0.8393</v>
      </c>
      <c r="K54" s="33" t="n">
        <v>1.6431</v>
      </c>
      <c r="L54" s="31" t="n">
        <f aca="false">INDEX(Constants!$D$18:$D$41,MATCH(I54&amp;"#"&amp;E54,Constants!$A$18:$A$41,0))</f>
        <v>0.75</v>
      </c>
      <c r="M54" s="31" t="n">
        <f aca="false">INDEX(Constants!$E$18:$E$41,MATCH(I54&amp;"#"&amp;E54,Constants!$A$18:$A$41,0))</f>
        <v>1.74</v>
      </c>
      <c r="N54" s="31" t="n">
        <f aca="false">J54-L54</f>
        <v>0.0893000000000001</v>
      </c>
      <c r="O54" s="31" t="n">
        <f aca="false">K54-M54</f>
        <v>-0.0969</v>
      </c>
      <c r="P54" s="30" t="n">
        <f aca="false">SQRT((N54/Constants!$B$8)^2+(O54/Constants!$B$9)^2)</f>
        <v>0.864323734206468</v>
      </c>
      <c r="Q54" s="3" t="str">
        <f aca="false">IF(P54&lt;=1.05,"Yes","No")</f>
        <v>Yes</v>
      </c>
      <c r="R54" s="27" t="s">
        <v>596</v>
      </c>
      <c r="S54" s="3"/>
      <c r="T54" s="3"/>
      <c r="U54" s="3"/>
      <c r="V54" s="3"/>
      <c r="W54" s="3"/>
      <c r="X54" s="3"/>
      <c r="Y54" s="3"/>
    </row>
    <row r="55" customFormat="false" ht="15" hidden="false" customHeight="false" outlineLevel="0" collapsed="false">
      <c r="A55" s="27" t="n">
        <v>11</v>
      </c>
      <c r="B55" s="28" t="n">
        <v>46301.4858749421</v>
      </c>
      <c r="C55" s="32" t="n">
        <f aca="false">(B55-INDEX(Rounds!$C:$C,MATCH(A55,Rounds!$A:$A,0)))*86400</f>
        <v>64.758000313</v>
      </c>
      <c r="D55" s="27" t="s">
        <v>587</v>
      </c>
      <c r="E55" s="27" t="n">
        <v>0</v>
      </c>
      <c r="F55" s="27" t="n">
        <v>300</v>
      </c>
      <c r="G55" s="27" t="n">
        <v>2400</v>
      </c>
      <c r="H55" s="27" t="n">
        <v>3</v>
      </c>
      <c r="I55" s="27" t="s">
        <v>146</v>
      </c>
      <c r="J55" s="33" t="n">
        <v>0.333</v>
      </c>
      <c r="K55" s="33" t="n">
        <v>1.2232</v>
      </c>
      <c r="L55" s="31" t="n">
        <f aca="false">INDEX(Constants!$D$18:$D$41,MATCH(I55&amp;"#"&amp;E55,Constants!$A$18:$A$41,0))</f>
        <v>0.25</v>
      </c>
      <c r="M55" s="31" t="n">
        <f aca="false">INDEX(Constants!$E$18:$E$41,MATCH(I55&amp;"#"&amp;E55,Constants!$A$18:$A$41,0))</f>
        <v>1.1</v>
      </c>
      <c r="N55" s="31" t="n">
        <f aca="false">J55-L55</f>
        <v>0.083</v>
      </c>
      <c r="O55" s="31" t="n">
        <f aca="false">K55-M55</f>
        <v>0.1232</v>
      </c>
      <c r="P55" s="30" t="n">
        <f aca="false">SQRT((N55/Constants!$B$8)^2+(O55/Constants!$B$9)^2)</f>
        <v>1.00295283425178</v>
      </c>
      <c r="Q55" s="3" t="str">
        <f aca="false">IF(P55&lt;=1.05,"Yes","No")</f>
        <v>Yes</v>
      </c>
      <c r="R55" s="27" t="s">
        <v>596</v>
      </c>
      <c r="S55" s="3"/>
      <c r="T55" s="3"/>
      <c r="U55" s="3"/>
      <c r="V55" s="3"/>
      <c r="W55" s="3"/>
      <c r="X55" s="3"/>
      <c r="Y55" s="3"/>
    </row>
    <row r="56" customFormat="false" ht="15" hidden="false" customHeight="false" outlineLevel="0" collapsed="false">
      <c r="A56" s="27" t="n">
        <v>12</v>
      </c>
      <c r="B56" s="28" t="n">
        <v>46301.4859812269</v>
      </c>
      <c r="C56" s="32" t="n">
        <f aca="false">(B56-INDEX(Rounds!$C:$C,MATCH(A56,Rounds!$A:$A,0)))*86400</f>
        <v>4.530000826</v>
      </c>
      <c r="D56" s="27" t="s">
        <v>587</v>
      </c>
      <c r="E56" s="27" t="n">
        <v>7</v>
      </c>
      <c r="F56" s="27" t="n">
        <v>100</v>
      </c>
      <c r="G56" s="27" t="n">
        <v>100</v>
      </c>
      <c r="H56" s="27" t="n">
        <v>1</v>
      </c>
      <c r="I56" s="27" t="s">
        <v>144</v>
      </c>
      <c r="J56" s="33" t="n">
        <v>0.7371</v>
      </c>
      <c r="K56" s="33" t="n">
        <v>1.6618</v>
      </c>
      <c r="L56" s="31" t="n">
        <f aca="false">INDEX(Constants!$D$18:$D$41,MATCH(I56&amp;"#"&amp;E56,Constants!$A$18:$A$41,0))</f>
        <v>0.75</v>
      </c>
      <c r="M56" s="31" t="n">
        <f aca="false">INDEX(Constants!$E$18:$E$41,MATCH(I56&amp;"#"&amp;E56,Constants!$A$18:$A$41,0))</f>
        <v>1.8</v>
      </c>
      <c r="N56" s="31" t="n">
        <f aca="false">J56-L56</f>
        <v>-0.0129</v>
      </c>
      <c r="O56" s="31" t="n">
        <f aca="false">K56-M56</f>
        <v>-0.1382</v>
      </c>
      <c r="P56" s="30" t="n">
        <f aca="false">SQRT((N56/Constants!$B$8)^2+(O56/Constants!$B$9)^2)</f>
        <v>0.989971443513141</v>
      </c>
      <c r="Q56" s="3" t="str">
        <f aca="false">IF(P56&lt;=1.05,"Yes","No")</f>
        <v>Yes</v>
      </c>
      <c r="R56" s="27" t="s">
        <v>597</v>
      </c>
      <c r="S56" s="3"/>
      <c r="T56" s="3"/>
      <c r="U56" s="3"/>
      <c r="V56" s="3"/>
      <c r="W56" s="3"/>
      <c r="X56" s="3"/>
      <c r="Y56" s="3"/>
    </row>
    <row r="57" customFormat="false" ht="15" hidden="false" customHeight="false" outlineLevel="0" collapsed="false">
      <c r="A57" s="27" t="n">
        <v>12</v>
      </c>
      <c r="B57" s="28" t="n">
        <v>46301.4860928009</v>
      </c>
      <c r="C57" s="32" t="n">
        <f aca="false">(B57-INDEX(Rounds!$C:$C,MATCH(A57,Rounds!$A:$A,0)))*86400</f>
        <v>14.170000213</v>
      </c>
      <c r="D57" s="27" t="s">
        <v>587</v>
      </c>
      <c r="E57" s="27" t="n">
        <v>1</v>
      </c>
      <c r="F57" s="27" t="n">
        <v>100</v>
      </c>
      <c r="G57" s="27" t="n">
        <v>200</v>
      </c>
      <c r="H57" s="27" t="n">
        <v>1</v>
      </c>
      <c r="I57" s="27" t="s">
        <v>144</v>
      </c>
      <c r="J57" s="33" t="n">
        <v>0.8718</v>
      </c>
      <c r="K57" s="33" t="n">
        <v>1.1928</v>
      </c>
      <c r="L57" s="31" t="n">
        <f aca="false">INDEX(Constants!$D$18:$D$41,MATCH(I57&amp;"#"&amp;E57,Constants!$A$18:$A$41,0))</f>
        <v>0.75</v>
      </c>
      <c r="M57" s="31" t="n">
        <f aca="false">INDEX(Constants!$E$18:$E$41,MATCH(I57&amp;"#"&amp;E57,Constants!$A$18:$A$41,0))</f>
        <v>1.1</v>
      </c>
      <c r="N57" s="31" t="n">
        <f aca="false">J57-L57</f>
        <v>0.1218</v>
      </c>
      <c r="O57" s="31" t="n">
        <f aca="false">K57-M57</f>
        <v>0.0928</v>
      </c>
      <c r="P57" s="30" t="n">
        <f aca="false">SQRT((N57/Constants!$B$8)^2+(O57/Constants!$B$9)^2)</f>
        <v>0.96847218958877</v>
      </c>
      <c r="Q57" s="3" t="str">
        <f aca="false">IF(P57&lt;=1.05,"Yes","No")</f>
        <v>Yes</v>
      </c>
      <c r="R57" s="27" t="s">
        <v>597</v>
      </c>
      <c r="S57" s="3"/>
      <c r="T57" s="3"/>
      <c r="U57" s="3"/>
      <c r="V57" s="3"/>
      <c r="W57" s="3"/>
      <c r="X57" s="3"/>
      <c r="Y57" s="3"/>
    </row>
    <row r="58" customFormat="false" ht="15" hidden="false" customHeight="false" outlineLevel="0" collapsed="false">
      <c r="A58" s="27" t="n">
        <v>12</v>
      </c>
      <c r="B58" s="28" t="n">
        <v>46301.4862785532</v>
      </c>
      <c r="C58" s="32" t="n">
        <f aca="false">(B58-INDEX(Rounds!$C:$C,MATCH(A58,Rounds!$A:$A,0)))*86400</f>
        <v>30.218999739</v>
      </c>
      <c r="D58" s="27" t="s">
        <v>587</v>
      </c>
      <c r="E58" s="27" t="n">
        <v>1</v>
      </c>
      <c r="F58" s="27" t="n">
        <v>100</v>
      </c>
      <c r="G58" s="27" t="n">
        <v>300</v>
      </c>
      <c r="H58" s="27" t="n">
        <v>1</v>
      </c>
      <c r="I58" s="27" t="s">
        <v>144</v>
      </c>
      <c r="J58" s="33" t="n">
        <v>0.7973</v>
      </c>
      <c r="K58" s="33" t="n">
        <v>1.2351</v>
      </c>
      <c r="L58" s="31" t="n">
        <f aca="false">INDEX(Constants!$D$18:$D$41,MATCH(I58&amp;"#"&amp;E58,Constants!$A$18:$A$41,0))</f>
        <v>0.75</v>
      </c>
      <c r="M58" s="31" t="n">
        <f aca="false">INDEX(Constants!$E$18:$E$41,MATCH(I58&amp;"#"&amp;E58,Constants!$A$18:$A$41,0))</f>
        <v>1.1</v>
      </c>
      <c r="N58" s="31" t="n">
        <f aca="false">J58-L58</f>
        <v>0.0473</v>
      </c>
      <c r="O58" s="31" t="n">
        <f aca="false">K58-M58</f>
        <v>0.1351</v>
      </c>
      <c r="P58" s="30" t="n">
        <f aca="false">SQRT((N58/Constants!$B$8)^2+(O58/Constants!$B$9)^2)</f>
        <v>1.00320099161316</v>
      </c>
      <c r="Q58" s="3" t="str">
        <f aca="false">IF(P58&lt;=1.05,"Yes","No")</f>
        <v>Yes</v>
      </c>
      <c r="R58" s="27" t="s">
        <v>597</v>
      </c>
      <c r="S58" s="3"/>
      <c r="T58" s="3"/>
      <c r="U58" s="3"/>
      <c r="V58" s="3"/>
      <c r="W58" s="3"/>
      <c r="X58" s="3"/>
      <c r="Y58" s="3"/>
    </row>
    <row r="59" customFormat="false" ht="15" hidden="false" customHeight="false" outlineLevel="0" collapsed="false">
      <c r="A59" s="27" t="n">
        <v>12</v>
      </c>
      <c r="B59" s="28" t="n">
        <v>46301.4863126389</v>
      </c>
      <c r="C59" s="32" t="n">
        <f aca="false">(B59-INDEX(Rounds!$C:$C,MATCH(A59,Rounds!$A:$A,0)))*86400</f>
        <v>33.163999859</v>
      </c>
      <c r="D59" s="27" t="s">
        <v>587</v>
      </c>
      <c r="E59" s="27" t="n">
        <v>4</v>
      </c>
      <c r="F59" s="27" t="n">
        <v>100</v>
      </c>
      <c r="G59" s="27" t="n">
        <v>400</v>
      </c>
      <c r="H59" s="27" t="n">
        <v>2</v>
      </c>
      <c r="I59" s="27" t="s">
        <v>144</v>
      </c>
      <c r="J59" s="33" t="n">
        <v>0.7157</v>
      </c>
      <c r="K59" s="33" t="n">
        <v>1.3167</v>
      </c>
      <c r="L59" s="31" t="n">
        <f aca="false">INDEX(Constants!$D$18:$D$41,MATCH(I59&amp;"#"&amp;E59,Constants!$A$18:$A$41,0))</f>
        <v>0.75</v>
      </c>
      <c r="M59" s="31" t="n">
        <f aca="false">INDEX(Constants!$E$18:$E$41,MATCH(I59&amp;"#"&amp;E59,Constants!$A$18:$A$41,0))</f>
        <v>1.45</v>
      </c>
      <c r="N59" s="31" t="n">
        <f aca="false">J59-L59</f>
        <v>-0.0343</v>
      </c>
      <c r="O59" s="31" t="n">
        <f aca="false">K59-M59</f>
        <v>-0.1333</v>
      </c>
      <c r="P59" s="30" t="n">
        <f aca="false">SQRT((N59/Constants!$B$8)^2+(O59/Constants!$B$9)^2)</f>
        <v>0.972683708379877</v>
      </c>
      <c r="Q59" s="3" t="str">
        <f aca="false">IF(P59&lt;=1.05,"Yes","No")</f>
        <v>Yes</v>
      </c>
      <c r="R59" s="27" t="s">
        <v>597</v>
      </c>
      <c r="S59" s="3"/>
      <c r="T59" s="3"/>
      <c r="U59" s="3"/>
      <c r="V59" s="3"/>
      <c r="W59" s="3"/>
      <c r="X59" s="3"/>
      <c r="Y59" s="3"/>
    </row>
    <row r="60" customFormat="false" ht="15" hidden="false" customHeight="false" outlineLevel="0" collapsed="false">
      <c r="A60" s="27" t="n">
        <v>12</v>
      </c>
      <c r="B60" s="28" t="n">
        <v>46301.4866470949</v>
      </c>
      <c r="C60" s="32" t="n">
        <f aca="false">(B60-INDEX(Rounds!$C:$C,MATCH(A60,Rounds!$A:$A,0)))*86400</f>
        <v>62.061000382</v>
      </c>
      <c r="D60" s="27" t="s">
        <v>595</v>
      </c>
      <c r="E60" s="27" t="n">
        <v>2</v>
      </c>
      <c r="F60" s="27" t="n">
        <v>600</v>
      </c>
      <c r="G60" s="27" t="n">
        <v>1000</v>
      </c>
      <c r="H60" s="27" t="n">
        <v>2</v>
      </c>
      <c r="I60" s="27" t="s">
        <v>145</v>
      </c>
      <c r="J60" s="33" t="n">
        <v>0.3646</v>
      </c>
      <c r="K60" s="33" t="n">
        <v>1.5146</v>
      </c>
      <c r="L60" s="31" t="n">
        <f aca="false">INDEX(Constants!$D$18:$D$41,MATCH(I60&amp;"#"&amp;E60,Constants!$A$18:$A$41,0))</f>
        <v>0.25</v>
      </c>
      <c r="M60" s="31" t="n">
        <f aca="false">INDEX(Constants!$E$18:$E$41,MATCH(I60&amp;"#"&amp;E60,Constants!$A$18:$A$41,0))</f>
        <v>1.42</v>
      </c>
      <c r="N60" s="31" t="n">
        <f aca="false">J60-L60</f>
        <v>0.1146</v>
      </c>
      <c r="O60" s="31" t="n">
        <f aca="false">K60-M60</f>
        <v>0.0946</v>
      </c>
      <c r="P60" s="30" t="n">
        <f aca="false">SQRT((N60/Constants!$B$8)^2+(O60/Constants!$B$9)^2)</f>
        <v>0.947601092203271</v>
      </c>
      <c r="Q60" s="3" t="str">
        <f aca="false">IF(P60&lt;=1.05,"Yes","No")</f>
        <v>Yes</v>
      </c>
      <c r="R60" s="27" t="s">
        <v>596</v>
      </c>
      <c r="S60" s="3"/>
      <c r="T60" s="3"/>
      <c r="U60" s="3"/>
      <c r="V60" s="3"/>
      <c r="W60" s="3"/>
      <c r="X60" s="3"/>
      <c r="Y60" s="3"/>
    </row>
    <row r="61" customFormat="false" ht="15" hidden="false" customHeight="false" outlineLevel="0" collapsed="false">
      <c r="A61" s="27" t="n">
        <v>12</v>
      </c>
      <c r="B61" s="28" t="n">
        <v>46301.4867117708</v>
      </c>
      <c r="C61" s="32" t="n">
        <f aca="false">(B61-INDEX(Rounds!$C:$C,MATCH(A61,Rounds!$A:$A,0)))*86400</f>
        <v>67.648999392</v>
      </c>
      <c r="D61" s="27" t="s">
        <v>587</v>
      </c>
      <c r="E61" s="27" t="n">
        <v>6</v>
      </c>
      <c r="F61" s="27" t="n">
        <v>200</v>
      </c>
      <c r="G61" s="27" t="n">
        <v>1200</v>
      </c>
      <c r="H61" s="27" t="n">
        <v>2</v>
      </c>
      <c r="I61" s="27" t="s">
        <v>145</v>
      </c>
      <c r="J61" s="33" t="n">
        <v>1.0967</v>
      </c>
      <c r="K61" s="33" t="n">
        <v>1.8477</v>
      </c>
      <c r="L61" s="31" t="n">
        <f aca="false">INDEX(Constants!$D$18:$D$41,MATCH(I61&amp;"#"&amp;E61,Constants!$A$18:$A$41,0))</f>
        <v>1</v>
      </c>
      <c r="M61" s="31" t="n">
        <f aca="false">INDEX(Constants!$E$18:$E$41,MATCH(I61&amp;"#"&amp;E61,Constants!$A$18:$A$41,0))</f>
        <v>1.74</v>
      </c>
      <c r="N61" s="31" t="n">
        <f aca="false">J61-L61</f>
        <v>0.0967</v>
      </c>
      <c r="O61" s="31" t="n">
        <f aca="false">K61-M61</f>
        <v>0.1077</v>
      </c>
      <c r="P61" s="30" t="n">
        <f aca="false">SQRT((N61/Constants!$B$8)^2+(O61/Constants!$B$9)^2)</f>
        <v>0.951866651180853</v>
      </c>
      <c r="Q61" s="3" t="str">
        <f aca="false">IF(P61&lt;=1.05,"Yes","No")</f>
        <v>Yes</v>
      </c>
      <c r="R61" s="27" t="s">
        <v>596</v>
      </c>
      <c r="S61" s="3"/>
      <c r="T61" s="3"/>
      <c r="U61" s="3"/>
      <c r="V61" s="3"/>
      <c r="W61" s="3"/>
      <c r="X61" s="3"/>
      <c r="Y61" s="3"/>
    </row>
    <row r="62" customFormat="false" ht="15" hidden="false" customHeight="false" outlineLevel="0" collapsed="false">
      <c r="A62" s="27" t="n">
        <v>12</v>
      </c>
      <c r="B62" s="28" t="n">
        <v>46301.4867566551</v>
      </c>
      <c r="C62" s="32" t="n">
        <f aca="false">(B62-INDEX(Rounds!$C:$C,MATCH(A62,Rounds!$A:$A,0)))*86400</f>
        <v>71.526999631</v>
      </c>
      <c r="D62" s="27" t="s">
        <v>587</v>
      </c>
      <c r="E62" s="27" t="n">
        <v>5</v>
      </c>
      <c r="F62" s="27" t="n">
        <v>200</v>
      </c>
      <c r="G62" s="27" t="n">
        <v>1400</v>
      </c>
      <c r="H62" s="27" t="n">
        <v>2</v>
      </c>
      <c r="I62" s="27" t="s">
        <v>145</v>
      </c>
      <c r="J62" s="33" t="n">
        <v>0.5854</v>
      </c>
      <c r="K62" s="33" t="n">
        <v>1.846</v>
      </c>
      <c r="L62" s="31" t="n">
        <f aca="false">INDEX(Constants!$D$18:$D$41,MATCH(I62&amp;"#"&amp;E62,Constants!$A$18:$A$41,0))</f>
        <v>0.5</v>
      </c>
      <c r="M62" s="31" t="n">
        <f aca="false">INDEX(Constants!$E$18:$E$41,MATCH(I62&amp;"#"&amp;E62,Constants!$A$18:$A$41,0))</f>
        <v>1.74</v>
      </c>
      <c r="N62" s="31" t="n">
        <f aca="false">J62-L62</f>
        <v>0.0854</v>
      </c>
      <c r="O62" s="31" t="n">
        <f aca="false">K62-M62</f>
        <v>0.106</v>
      </c>
      <c r="P62" s="30" t="n">
        <f aca="false">SQRT((N62/Constants!$B$8)^2+(O62/Constants!$B$9)^2)</f>
        <v>0.904633655411892</v>
      </c>
      <c r="Q62" s="3" t="str">
        <f aca="false">IF(P62&lt;=1.05,"Yes","No")</f>
        <v>Yes</v>
      </c>
      <c r="R62" s="27" t="s">
        <v>596</v>
      </c>
      <c r="S62" s="3"/>
      <c r="T62" s="3"/>
      <c r="U62" s="3"/>
      <c r="V62" s="3"/>
      <c r="W62" s="3"/>
      <c r="X62" s="3"/>
      <c r="Y62" s="3"/>
    </row>
    <row r="63" customFormat="false" ht="15" hidden="false" customHeight="false" outlineLevel="0" collapsed="false">
      <c r="A63" s="27" t="n">
        <v>13</v>
      </c>
      <c r="B63" s="28" t="n">
        <v>46301.521838669</v>
      </c>
      <c r="C63" s="32" t="n">
        <f aca="false">(B63-INDEX(Rounds!$C:$C,MATCH(A63,Rounds!$A:$A,0)))*86400</f>
        <v>33.126999833</v>
      </c>
      <c r="D63" s="27" t="s">
        <v>587</v>
      </c>
      <c r="E63" s="27" t="n">
        <v>2</v>
      </c>
      <c r="F63" s="27" t="n">
        <v>100</v>
      </c>
      <c r="G63" s="27" t="n">
        <v>100</v>
      </c>
      <c r="H63" s="27" t="n">
        <v>1</v>
      </c>
      <c r="I63" s="27" t="s">
        <v>144</v>
      </c>
      <c r="J63" s="33" t="n">
        <v>1.1718</v>
      </c>
      <c r="K63" s="33" t="n">
        <v>1.2212</v>
      </c>
      <c r="L63" s="31" t="n">
        <f aca="false">INDEX(Constants!$D$18:$D$41,MATCH(I63&amp;"#"&amp;E63,Constants!$A$18:$A$41,0))</f>
        <v>1.25</v>
      </c>
      <c r="M63" s="31" t="n">
        <f aca="false">INDEX(Constants!$E$18:$E$41,MATCH(I63&amp;"#"&amp;E63,Constants!$A$18:$A$41,0))</f>
        <v>1.1</v>
      </c>
      <c r="N63" s="31" t="n">
        <f aca="false">J63-L63</f>
        <v>-0.0782000000000001</v>
      </c>
      <c r="O63" s="31" t="n">
        <f aca="false">K63-M63</f>
        <v>0.1212</v>
      </c>
      <c r="P63" s="30" t="n">
        <f aca="false">SQRT((N63/Constants!$B$8)^2+(O63/Constants!$B$9)^2)</f>
        <v>0.977226859844175</v>
      </c>
      <c r="Q63" s="3" t="str">
        <f aca="false">IF(P63&lt;=1.05,"Yes","No")</f>
        <v>Yes</v>
      </c>
      <c r="R63" s="27" t="s">
        <v>597</v>
      </c>
      <c r="S63" s="3"/>
      <c r="T63" s="3"/>
      <c r="U63" s="3"/>
      <c r="V63" s="3"/>
      <c r="W63" s="3"/>
      <c r="X63" s="3"/>
      <c r="Y63" s="3"/>
    </row>
    <row r="64" customFormat="false" ht="15" hidden="false" customHeight="false" outlineLevel="0" collapsed="false">
      <c r="A64" s="27" t="n">
        <v>13</v>
      </c>
      <c r="B64" s="28" t="n">
        <v>46301.5219628588</v>
      </c>
      <c r="C64" s="32" t="n">
        <f aca="false">(B64-INDEX(Rounds!$C:$C,MATCH(A64,Rounds!$A:$A,0)))*86400</f>
        <v>43.856999091</v>
      </c>
      <c r="D64" s="27" t="s">
        <v>587</v>
      </c>
      <c r="E64" s="27" t="n">
        <v>4</v>
      </c>
      <c r="F64" s="27" t="n">
        <v>100</v>
      </c>
      <c r="G64" s="27" t="n">
        <v>200</v>
      </c>
      <c r="H64" s="27" t="n">
        <v>1</v>
      </c>
      <c r="I64" s="27" t="s">
        <v>144</v>
      </c>
      <c r="J64" s="33" t="n">
        <v>0.7369</v>
      </c>
      <c r="K64" s="33" t="n">
        <v>1.3523</v>
      </c>
      <c r="L64" s="31" t="n">
        <f aca="false">INDEX(Constants!$D$18:$D$41,MATCH(I64&amp;"#"&amp;E64,Constants!$A$18:$A$41,0))</f>
        <v>0.75</v>
      </c>
      <c r="M64" s="31" t="n">
        <f aca="false">INDEX(Constants!$E$18:$E$41,MATCH(I64&amp;"#"&amp;E64,Constants!$A$18:$A$41,0))</f>
        <v>1.45</v>
      </c>
      <c r="N64" s="31" t="n">
        <f aca="false">J64-L64</f>
        <v>-0.0131</v>
      </c>
      <c r="O64" s="31" t="n">
        <f aca="false">K64-M64</f>
        <v>-0.0976999999999999</v>
      </c>
      <c r="P64" s="30" t="n">
        <f aca="false">SQRT((N64/Constants!$B$8)^2+(O64/Constants!$B$9)^2)</f>
        <v>0.701977053473381</v>
      </c>
      <c r="Q64" s="3" t="str">
        <f aca="false">IF(P64&lt;=1.05,"Yes","No")</f>
        <v>Yes</v>
      </c>
      <c r="R64" s="27" t="s">
        <v>597</v>
      </c>
      <c r="S64" s="3"/>
      <c r="T64" s="3"/>
      <c r="U64" s="3"/>
      <c r="V64" s="3"/>
      <c r="W64" s="3"/>
      <c r="X64" s="3"/>
      <c r="Y64" s="3"/>
    </row>
    <row r="65" customFormat="false" ht="15" hidden="false" customHeight="false" outlineLevel="0" collapsed="false">
      <c r="A65" s="27" t="n">
        <v>13</v>
      </c>
      <c r="B65" s="28" t="n">
        <v>46301.5219994444</v>
      </c>
      <c r="C65" s="32" t="n">
        <f aca="false">(B65-INDEX(Rounds!$C:$C,MATCH(A65,Rounds!$A:$A,0)))*86400</f>
        <v>47.017999598</v>
      </c>
      <c r="D65" s="27" t="s">
        <v>595</v>
      </c>
      <c r="E65" s="27" t="n">
        <v>8</v>
      </c>
      <c r="F65" s="27" t="n">
        <v>300</v>
      </c>
      <c r="G65" s="27" t="n">
        <v>500</v>
      </c>
      <c r="H65" s="27" t="n">
        <v>1</v>
      </c>
      <c r="I65" s="27" t="s">
        <v>144</v>
      </c>
      <c r="J65" s="33" t="n">
        <v>1.0996</v>
      </c>
      <c r="K65" s="33" t="n">
        <v>1.8469</v>
      </c>
      <c r="L65" s="31" t="n">
        <f aca="false">INDEX(Constants!$D$18:$D$41,MATCH(I65&amp;"#"&amp;E65,Constants!$A$18:$A$41,0))</f>
        <v>1.25</v>
      </c>
      <c r="M65" s="31" t="n">
        <f aca="false">INDEX(Constants!$E$18:$E$41,MATCH(I65&amp;"#"&amp;E65,Constants!$A$18:$A$41,0))</f>
        <v>1.8</v>
      </c>
      <c r="N65" s="31" t="n">
        <f aca="false">J65-L65</f>
        <v>-0.1504</v>
      </c>
      <c r="O65" s="31" t="n">
        <f aca="false">K65-M65</f>
        <v>0.0468999999999999</v>
      </c>
      <c r="P65" s="30" t="n">
        <f aca="false">SQRT((N65/Constants!$B$8)^2+(O65/Constants!$B$9)^2)</f>
        <v>0.934027200109292</v>
      </c>
      <c r="Q65" s="3" t="str">
        <f aca="false">IF(P65&lt;=1.05,"Yes","No")</f>
        <v>Yes</v>
      </c>
      <c r="R65" s="27" t="s">
        <v>597</v>
      </c>
      <c r="S65" s="3"/>
      <c r="T65" s="3"/>
      <c r="U65" s="3"/>
      <c r="V65" s="3"/>
      <c r="W65" s="3"/>
      <c r="X65" s="3"/>
      <c r="Y65" s="3"/>
    </row>
    <row r="66" customFormat="false" ht="15" hidden="false" customHeight="false" outlineLevel="0" collapsed="false">
      <c r="A66" s="27" t="n">
        <v>13</v>
      </c>
      <c r="B66" s="28" t="n">
        <v>46301.5220421296</v>
      </c>
      <c r="C66" s="32" t="n">
        <f aca="false">(B66-INDEX(Rounds!$C:$C,MATCH(A66,Rounds!$A:$A,0)))*86400</f>
        <v>50.706000113</v>
      </c>
      <c r="D66" s="27" t="s">
        <v>587</v>
      </c>
      <c r="E66" s="27" t="n">
        <v>1</v>
      </c>
      <c r="F66" s="27" t="n">
        <v>100</v>
      </c>
      <c r="G66" s="27" t="n">
        <v>600</v>
      </c>
      <c r="H66" s="27" t="n">
        <v>2</v>
      </c>
      <c r="I66" s="27" t="s">
        <v>144</v>
      </c>
      <c r="J66" s="33" t="n">
        <v>0.9164</v>
      </c>
      <c r="K66" s="33" t="n">
        <v>1.1075</v>
      </c>
      <c r="L66" s="31" t="n">
        <f aca="false">INDEX(Constants!$D$18:$D$41,MATCH(I66&amp;"#"&amp;E66,Constants!$A$18:$A$41,0))</f>
        <v>0.75</v>
      </c>
      <c r="M66" s="31" t="n">
        <f aca="false">INDEX(Constants!$E$18:$E$41,MATCH(I66&amp;"#"&amp;E66,Constants!$A$18:$A$41,0))</f>
        <v>1.1</v>
      </c>
      <c r="N66" s="31" t="n">
        <f aca="false">J66-L66</f>
        <v>0.1664</v>
      </c>
      <c r="O66" s="31" t="n">
        <f aca="false">K66-M66</f>
        <v>0.00749999999999984</v>
      </c>
      <c r="P66" s="30" t="n">
        <f aca="false">SQRT((N66/Constants!$B$8)^2+(O66/Constants!$B$9)^2)</f>
        <v>0.966124088237017</v>
      </c>
      <c r="Q66" s="3" t="str">
        <f aca="false">IF(P66&lt;=1.05,"Yes","No")</f>
        <v>Yes</v>
      </c>
      <c r="R66" s="27" t="s">
        <v>597</v>
      </c>
      <c r="S66" s="3"/>
      <c r="T66" s="3"/>
      <c r="U66" s="3"/>
      <c r="V66" s="3"/>
      <c r="W66" s="3"/>
      <c r="X66" s="3"/>
      <c r="Y66" s="3"/>
    </row>
    <row r="67" customFormat="false" ht="15" hidden="false" customHeight="false" outlineLevel="0" collapsed="false">
      <c r="A67" s="27" t="n">
        <v>13</v>
      </c>
      <c r="B67" s="28" t="n">
        <v>46301.5220978588</v>
      </c>
      <c r="C67" s="32" t="n">
        <f aca="false">(B67-INDEX(Rounds!$C:$C,MATCH(A67,Rounds!$A:$A,0)))*86400</f>
        <v>55.520999897</v>
      </c>
      <c r="D67" s="27" t="s">
        <v>587</v>
      </c>
      <c r="E67" s="27" t="n">
        <v>2</v>
      </c>
      <c r="F67" s="27" t="n">
        <v>200</v>
      </c>
      <c r="G67" s="27" t="n">
        <v>800</v>
      </c>
      <c r="H67" s="27" t="n">
        <v>2</v>
      </c>
      <c r="I67" s="27" t="s">
        <v>145</v>
      </c>
      <c r="J67" s="33" t="n">
        <v>0.2859</v>
      </c>
      <c r="K67" s="33" t="n">
        <v>1.5474</v>
      </c>
      <c r="L67" s="31" t="n">
        <f aca="false">INDEX(Constants!$D$18:$D$41,MATCH(I67&amp;"#"&amp;E67,Constants!$A$18:$A$41,0))</f>
        <v>0.25</v>
      </c>
      <c r="M67" s="31" t="n">
        <f aca="false">INDEX(Constants!$E$18:$E$41,MATCH(I67&amp;"#"&amp;E67,Constants!$A$18:$A$41,0))</f>
        <v>1.42</v>
      </c>
      <c r="N67" s="31" t="n">
        <f aca="false">J67-L67</f>
        <v>0.0359</v>
      </c>
      <c r="O67" s="31" t="n">
        <f aca="false">K67-M67</f>
        <v>0.1274</v>
      </c>
      <c r="P67" s="30" t="n">
        <f aca="false">SQRT((N67/Constants!$B$8)^2+(O67/Constants!$B$9)^2)</f>
        <v>0.933494641295072</v>
      </c>
      <c r="Q67" s="3" t="str">
        <f aca="false">IF(P67&lt;=1.05,"Yes","No")</f>
        <v>Yes</v>
      </c>
      <c r="R67" s="27" t="s">
        <v>596</v>
      </c>
      <c r="S67" s="3"/>
      <c r="T67" s="3"/>
      <c r="U67" s="3"/>
      <c r="V67" s="3"/>
      <c r="W67" s="3"/>
      <c r="X67" s="3"/>
      <c r="Y67" s="3"/>
    </row>
    <row r="68" customFormat="false" ht="15" hidden="false" customHeight="false" outlineLevel="0" collapsed="false">
      <c r="A68" s="27" t="n">
        <v>13</v>
      </c>
      <c r="B68" s="28" t="n">
        <v>46301.5221389931</v>
      </c>
      <c r="C68" s="32" t="n">
        <f aca="false">(B68-INDEX(Rounds!$C:$C,MATCH(A68,Rounds!$A:$A,0)))*86400</f>
        <v>59.074999555</v>
      </c>
      <c r="D68" s="27" t="s">
        <v>587</v>
      </c>
      <c r="E68" s="27" t="n">
        <v>5</v>
      </c>
      <c r="F68" s="27" t="n">
        <v>200</v>
      </c>
      <c r="G68" s="27" t="n">
        <v>1000</v>
      </c>
      <c r="H68" s="27" t="n">
        <v>2</v>
      </c>
      <c r="I68" s="27" t="s">
        <v>145</v>
      </c>
      <c r="J68" s="33" t="n">
        <v>0.3359</v>
      </c>
      <c r="K68" s="33" t="n">
        <v>1.723</v>
      </c>
      <c r="L68" s="31" t="n">
        <f aca="false">INDEX(Constants!$D$18:$D$41,MATCH(I68&amp;"#"&amp;E68,Constants!$A$18:$A$41,0))</f>
        <v>0.5</v>
      </c>
      <c r="M68" s="31" t="n">
        <f aca="false">INDEX(Constants!$E$18:$E$41,MATCH(I68&amp;"#"&amp;E68,Constants!$A$18:$A$41,0))</f>
        <v>1.74</v>
      </c>
      <c r="N68" s="31" t="n">
        <f aca="false">J68-L68</f>
        <v>-0.1641</v>
      </c>
      <c r="O68" s="31" t="n">
        <f aca="false">K68-M68</f>
        <v>-0.0169999999999999</v>
      </c>
      <c r="P68" s="30" t="n">
        <f aca="false">SQRT((N68/Constants!$B$8)^2+(O68/Constants!$B$9)^2)</f>
        <v>0.959022867376999</v>
      </c>
      <c r="Q68" s="3" t="str">
        <f aca="false">IF(P68&lt;=1.05,"Yes","No")</f>
        <v>Yes</v>
      </c>
      <c r="R68" s="27" t="s">
        <v>596</v>
      </c>
      <c r="S68" s="3"/>
      <c r="T68" s="3"/>
      <c r="U68" s="3"/>
      <c r="V68" s="3"/>
      <c r="W68" s="3"/>
      <c r="X68" s="3"/>
      <c r="Y68" s="3"/>
    </row>
    <row r="69" customFormat="false" ht="15" hidden="false" customHeight="false" outlineLevel="0" collapsed="false">
      <c r="A69" s="27" t="n">
        <v>13</v>
      </c>
      <c r="B69" s="28" t="n">
        <v>46301.5222477315</v>
      </c>
      <c r="C69" s="32" t="n">
        <f aca="false">(B69-INDEX(Rounds!$C:$C,MATCH(A69,Rounds!$A:$A,0)))*86400</f>
        <v>68.469999893</v>
      </c>
      <c r="D69" s="27" t="s">
        <v>587</v>
      </c>
      <c r="E69" s="27" t="n">
        <v>5</v>
      </c>
      <c r="F69" s="27" t="n">
        <v>200</v>
      </c>
      <c r="G69" s="27" t="n">
        <v>1200</v>
      </c>
      <c r="H69" s="27" t="n">
        <v>2</v>
      </c>
      <c r="I69" s="27" t="s">
        <v>145</v>
      </c>
      <c r="J69" s="33" t="n">
        <v>0.6315</v>
      </c>
      <c r="K69" s="33" t="n">
        <v>1.7669</v>
      </c>
      <c r="L69" s="31" t="n">
        <f aca="false">INDEX(Constants!$D$18:$D$41,MATCH(I69&amp;"#"&amp;E69,Constants!$A$18:$A$41,0))</f>
        <v>0.5</v>
      </c>
      <c r="M69" s="31" t="n">
        <f aca="false">INDEX(Constants!$E$18:$E$41,MATCH(I69&amp;"#"&amp;E69,Constants!$A$18:$A$41,0))</f>
        <v>1.74</v>
      </c>
      <c r="N69" s="31" t="n">
        <f aca="false">J69-L69</f>
        <v>0.1315</v>
      </c>
      <c r="O69" s="31" t="n">
        <f aca="false">K69-M69</f>
        <v>0.0268999999999999</v>
      </c>
      <c r="P69" s="30" t="n">
        <f aca="false">SQRT((N69/Constants!$B$8)^2+(O69/Constants!$B$9)^2)</f>
        <v>0.786160856475196</v>
      </c>
      <c r="Q69" s="3" t="str">
        <f aca="false">IF(P69&lt;=1.05,"Yes","No")</f>
        <v>Yes</v>
      </c>
      <c r="R69" s="27" t="s">
        <v>596</v>
      </c>
      <c r="S69" s="3"/>
      <c r="T69" s="3"/>
      <c r="U69" s="3"/>
      <c r="V69" s="3"/>
      <c r="W69" s="3"/>
      <c r="X69" s="3"/>
      <c r="Y69" s="3"/>
    </row>
    <row r="70" customFormat="false" ht="15" hidden="false" customHeight="false" outlineLevel="0" collapsed="false">
      <c r="A70" s="27" t="n">
        <v>13</v>
      </c>
      <c r="B70" s="28" t="n">
        <v>46301.5222855903</v>
      </c>
      <c r="C70" s="32" t="n">
        <f aca="false">(B70-INDEX(Rounds!$C:$C,MATCH(A70,Rounds!$A:$A,0)))*86400</f>
        <v>71.741000306</v>
      </c>
      <c r="D70" s="27" t="s">
        <v>587</v>
      </c>
      <c r="E70" s="27" t="n">
        <v>0</v>
      </c>
      <c r="F70" s="27" t="n">
        <v>200</v>
      </c>
      <c r="G70" s="27" t="n">
        <v>1400</v>
      </c>
      <c r="H70" s="27" t="n">
        <v>3</v>
      </c>
      <c r="I70" s="27" t="s">
        <v>145</v>
      </c>
      <c r="J70" s="33" t="n">
        <v>0.4818</v>
      </c>
      <c r="K70" s="33" t="n">
        <v>1.2235</v>
      </c>
      <c r="L70" s="31" t="n">
        <f aca="false">INDEX(Constants!$D$18:$D$41,MATCH(I70&amp;"#"&amp;E70,Constants!$A$18:$A$41,0))</f>
        <v>0.5</v>
      </c>
      <c r="M70" s="31" t="n">
        <f aca="false">INDEX(Constants!$E$18:$E$41,MATCH(I70&amp;"#"&amp;E70,Constants!$A$18:$A$41,0))</f>
        <v>1.1</v>
      </c>
      <c r="N70" s="31" t="n">
        <f aca="false">J70-L70</f>
        <v>-0.0182</v>
      </c>
      <c r="O70" s="31" t="n">
        <f aca="false">K70-M70</f>
        <v>0.1235</v>
      </c>
      <c r="P70" s="30" t="n">
        <f aca="false">SQRT((N70/Constants!$B$8)^2+(O70/Constants!$B$9)^2)</f>
        <v>0.888429963163208</v>
      </c>
      <c r="Q70" s="3" t="str">
        <f aca="false">IF(P70&lt;=1.05,"Yes","No")</f>
        <v>Yes</v>
      </c>
      <c r="R70" s="27" t="s">
        <v>596</v>
      </c>
      <c r="S70" s="3"/>
      <c r="T70" s="3"/>
      <c r="U70" s="3"/>
      <c r="V70" s="3"/>
      <c r="W70" s="3"/>
      <c r="X70" s="3"/>
      <c r="Y70" s="3"/>
    </row>
    <row r="71" customFormat="false" ht="15" hidden="false" customHeight="false" outlineLevel="0" collapsed="false">
      <c r="A71" s="27" t="n">
        <v>15</v>
      </c>
      <c r="B71" s="28" t="n">
        <v>46301.5238414352</v>
      </c>
      <c r="C71" s="32" t="n">
        <f aca="false">(B71-INDEX(Rounds!$C:$C,MATCH(A71,Rounds!$A:$A,0)))*86400</f>
        <v>16.905999253</v>
      </c>
      <c r="D71" s="27" t="s">
        <v>587</v>
      </c>
      <c r="E71" s="27" t="n">
        <v>3</v>
      </c>
      <c r="F71" s="27" t="n">
        <v>100</v>
      </c>
      <c r="G71" s="27" t="n">
        <v>100</v>
      </c>
      <c r="H71" s="27" t="n">
        <v>1</v>
      </c>
      <c r="I71" s="27" t="s">
        <v>144</v>
      </c>
      <c r="J71" s="33" t="n">
        <v>0.3851</v>
      </c>
      <c r="K71" s="33" t="n">
        <v>1.5368</v>
      </c>
      <c r="L71" s="31" t="n">
        <f aca="false">INDEX(Constants!$D$18:$D$41,MATCH(I71&amp;"#"&amp;E71,Constants!$A$18:$A$41,0))</f>
        <v>0.25</v>
      </c>
      <c r="M71" s="31" t="n">
        <f aca="false">INDEX(Constants!$E$18:$E$41,MATCH(I71&amp;"#"&amp;E71,Constants!$A$18:$A$41,0))</f>
        <v>1.45</v>
      </c>
      <c r="N71" s="31" t="n">
        <f aca="false">J71-L71</f>
        <v>0.1351</v>
      </c>
      <c r="O71" s="31" t="n">
        <f aca="false">K71-M71</f>
        <v>0.0868</v>
      </c>
      <c r="P71" s="30" t="n">
        <f aca="false">SQRT((N71/Constants!$B$8)^2+(O71/Constants!$B$9)^2)</f>
        <v>0.998891425018258</v>
      </c>
      <c r="Q71" s="3" t="str">
        <f aca="false">IF(P71&lt;=1.05,"Yes","No")</f>
        <v>Yes</v>
      </c>
      <c r="R71" s="27" t="s">
        <v>597</v>
      </c>
      <c r="S71" s="3"/>
      <c r="T71" s="3"/>
      <c r="U71" s="3"/>
      <c r="V71" s="3"/>
      <c r="W71" s="3"/>
      <c r="X71" s="3"/>
      <c r="Y71" s="3"/>
    </row>
    <row r="72" customFormat="false" ht="15" hidden="false" customHeight="false" outlineLevel="0" collapsed="false">
      <c r="A72" s="27" t="n">
        <v>15</v>
      </c>
      <c r="B72" s="28" t="n">
        <v>46301.5238787037</v>
      </c>
      <c r="C72" s="32" t="n">
        <f aca="false">(B72-INDEX(Rounds!$C:$C,MATCH(A72,Rounds!$A:$A,0)))*86400</f>
        <v>20.125999767</v>
      </c>
      <c r="D72" s="27" t="s">
        <v>587</v>
      </c>
      <c r="E72" s="27" t="n">
        <v>1</v>
      </c>
      <c r="F72" s="27" t="n">
        <v>100</v>
      </c>
      <c r="G72" s="27" t="n">
        <v>200</v>
      </c>
      <c r="H72" s="27" t="n">
        <v>1</v>
      </c>
      <c r="I72" s="27" t="s">
        <v>144</v>
      </c>
      <c r="J72" s="33" t="n">
        <v>0.9086</v>
      </c>
      <c r="K72" s="33" t="n">
        <v>1.1448</v>
      </c>
      <c r="L72" s="31" t="n">
        <f aca="false">INDEX(Constants!$D$18:$D$41,MATCH(I72&amp;"#"&amp;E72,Constants!$A$18:$A$41,0))</f>
        <v>0.75</v>
      </c>
      <c r="M72" s="31" t="n">
        <f aca="false">INDEX(Constants!$E$18:$E$41,MATCH(I72&amp;"#"&amp;E72,Constants!$A$18:$A$41,0))</f>
        <v>1.1</v>
      </c>
      <c r="N72" s="31" t="n">
        <f aca="false">J72-L72</f>
        <v>0.1586</v>
      </c>
      <c r="O72" s="31" t="n">
        <f aca="false">K72-M72</f>
        <v>0.0448</v>
      </c>
      <c r="P72" s="30" t="n">
        <f aca="false">SQRT((N72/Constants!$B$8)^2+(O72/Constants!$B$9)^2)</f>
        <v>0.973516137204302</v>
      </c>
      <c r="Q72" s="3" t="str">
        <f aca="false">IF(P72&lt;=1.05,"Yes","No")</f>
        <v>Yes</v>
      </c>
      <c r="R72" s="27" t="s">
        <v>597</v>
      </c>
      <c r="S72" s="3"/>
      <c r="T72" s="3"/>
      <c r="U72" s="3"/>
      <c r="V72" s="3"/>
      <c r="W72" s="3"/>
      <c r="X72" s="3"/>
      <c r="Y72" s="3"/>
    </row>
    <row r="73" customFormat="false" ht="15" hidden="false" customHeight="false" outlineLevel="0" collapsed="false">
      <c r="A73" s="27" t="n">
        <v>15</v>
      </c>
      <c r="B73" s="28" t="n">
        <v>46301.5239889468</v>
      </c>
      <c r="C73" s="32" t="n">
        <f aca="false">(B73-INDEX(Rounds!$C:$C,MATCH(A73,Rounds!$A:$A,0)))*86400</f>
        <v>29.65100028</v>
      </c>
      <c r="D73" s="27" t="s">
        <v>595</v>
      </c>
      <c r="E73" s="27" t="n">
        <v>0</v>
      </c>
      <c r="F73" s="27" t="n">
        <v>300</v>
      </c>
      <c r="G73" s="27" t="n">
        <v>500</v>
      </c>
      <c r="H73" s="27" t="n">
        <v>1</v>
      </c>
      <c r="I73" s="27" t="s">
        <v>144</v>
      </c>
      <c r="J73" s="33" t="n">
        <v>0.3953</v>
      </c>
      <c r="K73" s="33" t="n">
        <v>1.0858</v>
      </c>
      <c r="L73" s="31" t="n">
        <f aca="false">INDEX(Constants!$D$18:$D$41,MATCH(I73&amp;"#"&amp;E73,Constants!$A$18:$A$41,0))</f>
        <v>0.25</v>
      </c>
      <c r="M73" s="31" t="n">
        <f aca="false">INDEX(Constants!$E$18:$E$41,MATCH(I73&amp;"#"&amp;E73,Constants!$A$18:$A$41,0))</f>
        <v>1.1</v>
      </c>
      <c r="N73" s="31" t="n">
        <f aca="false">J73-L73</f>
        <v>0.1453</v>
      </c>
      <c r="O73" s="31" t="n">
        <f aca="false">K73-M73</f>
        <v>-0.0142</v>
      </c>
      <c r="P73" s="30" t="n">
        <f aca="false">SQRT((N73/Constants!$B$8)^2+(O73/Constants!$B$9)^2)</f>
        <v>0.848403668248545</v>
      </c>
      <c r="Q73" s="3" t="str">
        <f aca="false">IF(P73&lt;=1.05,"Yes","No")</f>
        <v>Yes</v>
      </c>
      <c r="R73" s="27" t="s">
        <v>597</v>
      </c>
      <c r="S73" s="3"/>
      <c r="T73" s="3"/>
      <c r="U73" s="3"/>
      <c r="V73" s="3"/>
      <c r="W73" s="3"/>
      <c r="X73" s="3"/>
      <c r="Y73" s="3"/>
    </row>
    <row r="74" customFormat="false" ht="15" hidden="false" customHeight="false" outlineLevel="0" collapsed="false">
      <c r="A74" s="27" t="n">
        <v>15</v>
      </c>
      <c r="B74" s="28" t="n">
        <v>46301.5240196875</v>
      </c>
      <c r="C74" s="32" t="n">
        <f aca="false">(B74-INDEX(Rounds!$C:$C,MATCH(A74,Rounds!$A:$A,0)))*86400</f>
        <v>32.307000132</v>
      </c>
      <c r="D74" s="27" t="s">
        <v>587</v>
      </c>
      <c r="E74" s="27" t="n">
        <v>4</v>
      </c>
      <c r="F74" s="27" t="n">
        <v>100</v>
      </c>
      <c r="G74" s="27" t="n">
        <v>600</v>
      </c>
      <c r="H74" s="27" t="n">
        <v>2</v>
      </c>
      <c r="I74" s="27" t="s">
        <v>144</v>
      </c>
      <c r="J74" s="33" t="n">
        <v>0.5919</v>
      </c>
      <c r="K74" s="33" t="n">
        <v>1.5046</v>
      </c>
      <c r="L74" s="31" t="n">
        <f aca="false">INDEX(Constants!$D$18:$D$41,MATCH(I74&amp;"#"&amp;E74,Constants!$A$18:$A$41,0))</f>
        <v>0.75</v>
      </c>
      <c r="M74" s="31" t="n">
        <f aca="false">INDEX(Constants!$E$18:$E$41,MATCH(I74&amp;"#"&amp;E74,Constants!$A$18:$A$41,0))</f>
        <v>1.45</v>
      </c>
      <c r="N74" s="31" t="n">
        <f aca="false">J74-L74</f>
        <v>-0.1581</v>
      </c>
      <c r="O74" s="31" t="n">
        <f aca="false">K74-M74</f>
        <v>0.0546</v>
      </c>
      <c r="P74" s="30" t="n">
        <f aca="false">SQRT((N74/Constants!$B$8)^2+(O74/Constants!$B$9)^2)</f>
        <v>0.996048240949542</v>
      </c>
      <c r="Q74" s="3" t="str">
        <f aca="false">IF(P74&lt;=1.05,"Yes","No")</f>
        <v>Yes</v>
      </c>
      <c r="R74" s="27" t="s">
        <v>597</v>
      </c>
      <c r="S74" s="3"/>
      <c r="T74" s="3"/>
      <c r="U74" s="3"/>
      <c r="V74" s="3"/>
      <c r="W74" s="3"/>
      <c r="X74" s="3"/>
      <c r="Y74" s="3"/>
    </row>
    <row r="75" customFormat="false" ht="15" hidden="false" customHeight="false" outlineLevel="0" collapsed="false">
      <c r="A75" s="27" t="n">
        <v>15</v>
      </c>
      <c r="B75" s="28" t="n">
        <v>46301.5240711227</v>
      </c>
      <c r="C75" s="32" t="n">
        <f aca="false">(B75-INDEX(Rounds!$C:$C,MATCH(A75,Rounds!$A:$A,0)))*86400</f>
        <v>36.751000117</v>
      </c>
      <c r="D75" s="27" t="s">
        <v>587</v>
      </c>
      <c r="E75" s="27" t="n">
        <v>2</v>
      </c>
      <c r="F75" s="27" t="n">
        <v>200</v>
      </c>
      <c r="G75" s="27" t="n">
        <v>800</v>
      </c>
      <c r="H75" s="27" t="n">
        <v>2</v>
      </c>
      <c r="I75" s="27" t="s">
        <v>145</v>
      </c>
      <c r="J75" s="33" t="n">
        <v>0.3828</v>
      </c>
      <c r="K75" s="33" t="n">
        <v>1.5072</v>
      </c>
      <c r="L75" s="31" t="n">
        <f aca="false">INDEX(Constants!$D$18:$D$41,MATCH(I75&amp;"#"&amp;E75,Constants!$A$18:$A$41,0))</f>
        <v>0.25</v>
      </c>
      <c r="M75" s="31" t="n">
        <f aca="false">INDEX(Constants!$E$18:$E$41,MATCH(I75&amp;"#"&amp;E75,Constants!$A$18:$A$41,0))</f>
        <v>1.42</v>
      </c>
      <c r="N75" s="31" t="n">
        <f aca="false">J75-L75</f>
        <v>0.1328</v>
      </c>
      <c r="O75" s="31" t="n">
        <f aca="false">K75-M75</f>
        <v>0.0872000000000002</v>
      </c>
      <c r="P75" s="30" t="n">
        <f aca="false">SQRT((N75/Constants!$B$8)^2+(O75/Constants!$B$9)^2)</f>
        <v>0.990266556542408</v>
      </c>
      <c r="Q75" s="3" t="str">
        <f aca="false">IF(P75&lt;=1.05,"Yes","No")</f>
        <v>Yes</v>
      </c>
      <c r="R75" s="27" t="s">
        <v>596</v>
      </c>
      <c r="S75" s="3"/>
      <c r="T75" s="3"/>
      <c r="U75" s="3"/>
      <c r="V75" s="3"/>
      <c r="W75" s="3"/>
      <c r="X75" s="3"/>
      <c r="Y75" s="3"/>
    </row>
    <row r="76" customFormat="false" ht="15" hidden="false" customHeight="false" outlineLevel="0" collapsed="false">
      <c r="A76" s="27" t="n">
        <v>15</v>
      </c>
      <c r="B76" s="28" t="n">
        <v>46301.5241092245</v>
      </c>
      <c r="C76" s="32" t="n">
        <f aca="false">(B76-INDEX(Rounds!$C:$C,MATCH(A76,Rounds!$A:$A,0)))*86400</f>
        <v>40.042999084</v>
      </c>
      <c r="D76" s="27" t="s">
        <v>587</v>
      </c>
      <c r="E76" s="27" t="n">
        <v>6</v>
      </c>
      <c r="F76" s="27" t="n">
        <v>200</v>
      </c>
      <c r="G76" s="27" t="n">
        <v>1000</v>
      </c>
      <c r="H76" s="27" t="n">
        <v>2</v>
      </c>
      <c r="I76" s="27" t="s">
        <v>145</v>
      </c>
      <c r="J76" s="33" t="n">
        <v>0.8404</v>
      </c>
      <c r="K76" s="33" t="n">
        <v>1.6878</v>
      </c>
      <c r="L76" s="31" t="n">
        <f aca="false">INDEX(Constants!$D$18:$D$41,MATCH(I76&amp;"#"&amp;E76,Constants!$A$18:$A$41,0))</f>
        <v>1</v>
      </c>
      <c r="M76" s="31" t="n">
        <f aca="false">INDEX(Constants!$E$18:$E$41,MATCH(I76&amp;"#"&amp;E76,Constants!$A$18:$A$41,0))</f>
        <v>1.74</v>
      </c>
      <c r="N76" s="31" t="n">
        <f aca="false">J76-L76</f>
        <v>-0.1596</v>
      </c>
      <c r="O76" s="31" t="n">
        <f aca="false">K76-M76</f>
        <v>-0.0522</v>
      </c>
      <c r="P76" s="30" t="n">
        <f aca="false">SQRT((N76/Constants!$B$8)^2+(O76/Constants!$B$9)^2)</f>
        <v>0.99752176424959</v>
      </c>
      <c r="Q76" s="3" t="str">
        <f aca="false">IF(P76&lt;=1.05,"Yes","No")</f>
        <v>Yes</v>
      </c>
      <c r="R76" s="27" t="s">
        <v>596</v>
      </c>
      <c r="S76" s="3"/>
      <c r="T76" s="3"/>
      <c r="U76" s="3"/>
      <c r="V76" s="3"/>
      <c r="W76" s="3"/>
      <c r="X76" s="3"/>
      <c r="Y76" s="3"/>
    </row>
    <row r="77" customFormat="false" ht="15" hidden="false" customHeight="false" outlineLevel="0" collapsed="false">
      <c r="A77" s="27" t="n">
        <v>15</v>
      </c>
      <c r="B77" s="28" t="n">
        <v>46301.524144375</v>
      </c>
      <c r="C77" s="32" t="n">
        <f aca="false">(B77-INDEX(Rounds!$C:$C,MATCH(A77,Rounds!$A:$A,0)))*86400</f>
        <v>43.079999811</v>
      </c>
      <c r="D77" s="27" t="s">
        <v>595</v>
      </c>
      <c r="E77" s="27" t="n">
        <v>1</v>
      </c>
      <c r="F77" s="27" t="n">
        <v>600</v>
      </c>
      <c r="G77" s="27" t="n">
        <v>1600</v>
      </c>
      <c r="H77" s="27" t="n">
        <v>2</v>
      </c>
      <c r="I77" s="27" t="s">
        <v>145</v>
      </c>
      <c r="J77" s="33" t="n">
        <v>1.0036</v>
      </c>
      <c r="K77" s="33" t="n">
        <v>1.2337</v>
      </c>
      <c r="L77" s="31" t="n">
        <f aca="false">INDEX(Constants!$D$18:$D$41,MATCH(I77&amp;"#"&amp;E77,Constants!$A$18:$A$41,0))</f>
        <v>1</v>
      </c>
      <c r="M77" s="31" t="n">
        <f aca="false">INDEX(Constants!$E$18:$E$41,MATCH(I77&amp;"#"&amp;E77,Constants!$A$18:$A$41,0))</f>
        <v>1.1</v>
      </c>
      <c r="N77" s="31" t="n">
        <f aca="false">J77-L77</f>
        <v>0.00360000000000005</v>
      </c>
      <c r="O77" s="31" t="n">
        <f aca="false">K77-M77</f>
        <v>0.1337</v>
      </c>
      <c r="P77" s="30" t="n">
        <f aca="false">SQRT((N77/Constants!$B$8)^2+(O77/Constants!$B$9)^2)</f>
        <v>0.955228003542799</v>
      </c>
      <c r="Q77" s="3" t="str">
        <f aca="false">IF(P77&lt;=1.05,"Yes","No")</f>
        <v>Yes</v>
      </c>
      <c r="R77" s="27" t="s">
        <v>596</v>
      </c>
      <c r="S77" s="3"/>
      <c r="T77" s="3"/>
      <c r="U77" s="3"/>
      <c r="V77" s="3"/>
      <c r="W77" s="3"/>
      <c r="X77" s="3"/>
      <c r="Y77" s="3"/>
    </row>
    <row r="78" customFormat="false" ht="15" hidden="false" customHeight="false" outlineLevel="0" collapsed="false">
      <c r="A78" s="27" t="n">
        <v>15</v>
      </c>
      <c r="B78" s="28" t="n">
        <v>46301.5241959375</v>
      </c>
      <c r="C78" s="32" t="n">
        <f aca="false">(B78-INDEX(Rounds!$C:$C,MATCH(A78,Rounds!$A:$A,0)))*86400</f>
        <v>47.534999786</v>
      </c>
      <c r="D78" s="27" t="s">
        <v>587</v>
      </c>
      <c r="E78" s="27" t="n">
        <v>6</v>
      </c>
      <c r="F78" s="27" t="n">
        <v>200</v>
      </c>
      <c r="G78" s="27" t="n">
        <v>1800</v>
      </c>
      <c r="H78" s="27" t="n">
        <v>3</v>
      </c>
      <c r="I78" s="27" t="s">
        <v>145</v>
      </c>
      <c r="J78" s="33" t="n">
        <v>0.9373</v>
      </c>
      <c r="K78" s="33" t="n">
        <v>1.6238</v>
      </c>
      <c r="L78" s="31" t="n">
        <f aca="false">INDEX(Constants!$D$18:$D$41,MATCH(I78&amp;"#"&amp;E78,Constants!$A$18:$A$41,0))</f>
        <v>1</v>
      </c>
      <c r="M78" s="31" t="n">
        <f aca="false">INDEX(Constants!$E$18:$E$41,MATCH(I78&amp;"#"&amp;E78,Constants!$A$18:$A$41,0))</f>
        <v>1.74</v>
      </c>
      <c r="N78" s="31" t="n">
        <f aca="false">J78-L78</f>
        <v>-0.0627</v>
      </c>
      <c r="O78" s="31" t="n">
        <f aca="false">K78-M78</f>
        <v>-0.1162</v>
      </c>
      <c r="P78" s="30" t="n">
        <f aca="false">SQRT((N78/Constants!$B$8)^2+(O78/Constants!$B$9)^2)</f>
        <v>0.906099578481728</v>
      </c>
      <c r="Q78" s="3" t="str">
        <f aca="false">IF(P78&lt;=1.05,"Yes","No")</f>
        <v>Yes</v>
      </c>
      <c r="R78" s="27" t="s">
        <v>596</v>
      </c>
      <c r="S78" s="3"/>
      <c r="T78" s="3"/>
      <c r="U78" s="3"/>
      <c r="V78" s="3"/>
      <c r="W78" s="3"/>
      <c r="X78" s="3"/>
      <c r="Y78" s="3"/>
    </row>
    <row r="79" customFormat="false" ht="15" hidden="false" customHeight="false" outlineLevel="0" collapsed="false">
      <c r="A79" s="27" t="n">
        <v>15</v>
      </c>
      <c r="B79" s="28" t="n">
        <v>46301.5242347338</v>
      </c>
      <c r="C79" s="32" t="n">
        <f aca="false">(B79-INDEX(Rounds!$C:$C,MATCH(A79,Rounds!$A:$A,0)))*86400</f>
        <v>50.887000188</v>
      </c>
      <c r="D79" s="27" t="s">
        <v>587</v>
      </c>
      <c r="E79" s="27" t="n">
        <v>5</v>
      </c>
      <c r="F79" s="27" t="n">
        <v>300</v>
      </c>
      <c r="G79" s="27" t="n">
        <v>2100</v>
      </c>
      <c r="H79" s="27" t="n">
        <v>3</v>
      </c>
      <c r="I79" s="27" t="s">
        <v>146</v>
      </c>
      <c r="J79" s="33" t="n">
        <v>0.3802</v>
      </c>
      <c r="K79" s="33" t="n">
        <v>1.799</v>
      </c>
      <c r="L79" s="31" t="n">
        <f aca="false">INDEX(Constants!$D$18:$D$41,MATCH(I79&amp;"#"&amp;E79,Constants!$A$18:$A$41,0))</f>
        <v>0.25</v>
      </c>
      <c r="M79" s="31" t="n">
        <f aca="false">INDEX(Constants!$E$18:$E$41,MATCH(I79&amp;"#"&amp;E79,Constants!$A$18:$A$41,0))</f>
        <v>1.74</v>
      </c>
      <c r="N79" s="31" t="n">
        <f aca="false">J79-L79</f>
        <v>0.1302</v>
      </c>
      <c r="O79" s="31" t="n">
        <f aca="false">K79-M79</f>
        <v>0.0589999999999999</v>
      </c>
      <c r="P79" s="30" t="n">
        <f aca="false">SQRT((N79/Constants!$B$8)^2+(O79/Constants!$B$9)^2)</f>
        <v>0.864464474229994</v>
      </c>
      <c r="Q79" s="3" t="str">
        <f aca="false">IF(P79&lt;=1.05,"Yes","No")</f>
        <v>Yes</v>
      </c>
      <c r="R79" s="27" t="s">
        <v>596</v>
      </c>
      <c r="S79" s="3"/>
      <c r="T79" s="3"/>
      <c r="U79" s="3"/>
      <c r="V79" s="3"/>
      <c r="W79" s="3"/>
      <c r="X79" s="3"/>
      <c r="Y79" s="3"/>
    </row>
    <row r="80" customFormat="false" ht="15" hidden="false" customHeight="false" outlineLevel="0" collapsed="false">
      <c r="A80" s="27" t="n">
        <v>15</v>
      </c>
      <c r="B80" s="28" t="n">
        <v>46301.5242781019</v>
      </c>
      <c r="C80" s="32" t="n">
        <f aca="false">(B80-INDEX(Rounds!$C:$C,MATCH(A80,Rounds!$A:$A,0)))*86400</f>
        <v>54.634000081</v>
      </c>
      <c r="D80" s="27" t="s">
        <v>587</v>
      </c>
      <c r="E80" s="27" t="n">
        <v>2</v>
      </c>
      <c r="F80" s="27" t="n">
        <v>300</v>
      </c>
      <c r="G80" s="27" t="n">
        <v>2400</v>
      </c>
      <c r="H80" s="27" t="n">
        <v>3</v>
      </c>
      <c r="I80" s="27" t="s">
        <v>146</v>
      </c>
      <c r="J80" s="33" t="n">
        <v>1.0948</v>
      </c>
      <c r="K80" s="33" t="n">
        <v>1.1078</v>
      </c>
      <c r="L80" s="31" t="n">
        <f aca="false">INDEX(Constants!$D$18:$D$41,MATCH(I80&amp;"#"&amp;E80,Constants!$A$18:$A$41,0))</f>
        <v>1.25</v>
      </c>
      <c r="M80" s="31" t="n">
        <f aca="false">INDEX(Constants!$E$18:$E$41,MATCH(I80&amp;"#"&amp;E80,Constants!$A$18:$A$41,0))</f>
        <v>1.1</v>
      </c>
      <c r="N80" s="31" t="n">
        <f aca="false">J80-L80</f>
        <v>-0.1552</v>
      </c>
      <c r="O80" s="31" t="n">
        <f aca="false">K80-M80</f>
        <v>0.00779999999999981</v>
      </c>
      <c r="P80" s="30" t="n">
        <f aca="false">SQRT((N80/Constants!$B$8)^2+(O80/Constants!$B$9)^2)</f>
        <v>0.901433539712264</v>
      </c>
      <c r="Q80" s="3" t="str">
        <f aca="false">IF(P80&lt;=1.05,"Yes","No")</f>
        <v>Yes</v>
      </c>
      <c r="R80" s="27" t="s">
        <v>596</v>
      </c>
      <c r="S80" s="3"/>
      <c r="T80" s="3"/>
      <c r="U80" s="3"/>
      <c r="V80" s="3"/>
      <c r="W80" s="3"/>
      <c r="X80" s="3"/>
      <c r="Y80" s="3"/>
    </row>
    <row r="81" customFormat="false" ht="15" hidden="false" customHeight="false" outlineLevel="0" collapsed="false">
      <c r="A81" s="27" t="n">
        <v>15</v>
      </c>
      <c r="B81" s="28" t="n">
        <v>46301.5243168866</v>
      </c>
      <c r="C81" s="32" t="n">
        <f aca="false">(B81-INDEX(Rounds!$C:$C,MATCH(A81,Rounds!$A:$A,0)))*86400</f>
        <v>57.984999683</v>
      </c>
      <c r="D81" s="27" t="s">
        <v>595</v>
      </c>
      <c r="E81" s="27" t="n">
        <v>6</v>
      </c>
      <c r="F81" s="27" t="n">
        <v>900</v>
      </c>
      <c r="G81" s="27" t="n">
        <v>3300</v>
      </c>
      <c r="H81" s="27" t="n">
        <v>3</v>
      </c>
      <c r="I81" s="27" t="s">
        <v>146</v>
      </c>
      <c r="J81" s="33" t="n">
        <v>0.8528</v>
      </c>
      <c r="K81" s="33" t="n">
        <v>1.6575</v>
      </c>
      <c r="L81" s="31" t="n">
        <f aca="false">INDEX(Constants!$D$18:$D$41,MATCH(I81&amp;"#"&amp;E81,Constants!$A$18:$A$41,0))</f>
        <v>0.75</v>
      </c>
      <c r="M81" s="31" t="n">
        <f aca="false">INDEX(Constants!$E$18:$E$41,MATCH(I81&amp;"#"&amp;E81,Constants!$A$18:$A$41,0))</f>
        <v>1.74</v>
      </c>
      <c r="N81" s="31" t="n">
        <f aca="false">J81-L81</f>
        <v>0.1028</v>
      </c>
      <c r="O81" s="31" t="n">
        <f aca="false">K81-M81</f>
        <v>-0.0825</v>
      </c>
      <c r="P81" s="30" t="n">
        <f aca="false">SQRT((N81/Constants!$B$8)^2+(O81/Constants!$B$9)^2)</f>
        <v>0.838095791048128</v>
      </c>
      <c r="Q81" s="3" t="str">
        <f aca="false">IF(P81&lt;=1.05,"Yes","No")</f>
        <v>Yes</v>
      </c>
      <c r="R81" s="27" t="s">
        <v>596</v>
      </c>
      <c r="S81" s="3"/>
      <c r="T81" s="3"/>
      <c r="U81" s="3"/>
      <c r="V81" s="3"/>
      <c r="W81" s="3"/>
      <c r="X81" s="3"/>
      <c r="Y81" s="3"/>
    </row>
    <row r="82" customFormat="false" ht="15" hidden="false" customHeight="false" outlineLevel="0" collapsed="false">
      <c r="A82" s="27" t="n">
        <v>15</v>
      </c>
      <c r="B82" s="28" t="n">
        <v>46301.5243472917</v>
      </c>
      <c r="C82" s="32" t="n">
        <f aca="false">(B82-INDEX(Rounds!$C:$C,MATCH(A82,Rounds!$A:$A,0)))*86400</f>
        <v>60.612000245</v>
      </c>
      <c r="D82" s="27" t="s">
        <v>587</v>
      </c>
      <c r="E82" s="27" t="n">
        <v>3</v>
      </c>
      <c r="F82" s="27" t="n">
        <v>300</v>
      </c>
      <c r="G82" s="27" t="n">
        <v>3600</v>
      </c>
      <c r="H82" s="27" t="n">
        <v>4</v>
      </c>
      <c r="I82" s="27" t="s">
        <v>146</v>
      </c>
      <c r="J82" s="33" t="n">
        <v>0.4932</v>
      </c>
      <c r="K82" s="33" t="n">
        <v>1.5573</v>
      </c>
      <c r="L82" s="31" t="n">
        <f aca="false">INDEX(Constants!$D$18:$D$41,MATCH(I82&amp;"#"&amp;E82,Constants!$A$18:$A$41,0))</f>
        <v>0.5</v>
      </c>
      <c r="M82" s="31" t="n">
        <f aca="false">INDEX(Constants!$E$18:$E$41,MATCH(I82&amp;"#"&amp;E82,Constants!$A$18:$A$41,0))</f>
        <v>1.42</v>
      </c>
      <c r="N82" s="31" t="n">
        <f aca="false">J82-L82</f>
        <v>-0.00679999999999997</v>
      </c>
      <c r="O82" s="31" t="n">
        <f aca="false">K82-M82</f>
        <v>0.1373</v>
      </c>
      <c r="P82" s="30" t="n">
        <f aca="false">SQRT((N82/Constants!$B$8)^2+(O82/Constants!$B$9)^2)</f>
        <v>0.981506224868869</v>
      </c>
      <c r="Q82" s="3" t="str">
        <f aca="false">IF(P82&lt;=1.05,"Yes","No")</f>
        <v>Yes</v>
      </c>
      <c r="R82" s="27" t="s">
        <v>596</v>
      </c>
      <c r="S82" s="3"/>
      <c r="T82" s="3"/>
      <c r="U82" s="3"/>
      <c r="V82" s="3"/>
      <c r="W82" s="3"/>
      <c r="X82" s="3"/>
      <c r="Y82" s="3"/>
    </row>
    <row r="83" customFormat="false" ht="15" hidden="false" customHeight="false" outlineLevel="0" collapsed="false">
      <c r="A83" s="27" t="n">
        <v>15</v>
      </c>
      <c r="B83" s="28" t="n">
        <v>46301.5243768519</v>
      </c>
      <c r="C83" s="32" t="n">
        <f aca="false">(B83-INDEX(Rounds!$C:$C,MATCH(A83,Rounds!$A:$A,0)))*86400</f>
        <v>63.165999669</v>
      </c>
      <c r="D83" s="27" t="s">
        <v>587</v>
      </c>
      <c r="E83" s="27" t="n">
        <v>0</v>
      </c>
      <c r="F83" s="27" t="n">
        <v>400</v>
      </c>
      <c r="G83" s="27" t="n">
        <v>4000</v>
      </c>
      <c r="H83" s="27" t="n">
        <v>4</v>
      </c>
      <c r="I83" s="27" t="s">
        <v>144</v>
      </c>
      <c r="J83" s="33" t="n">
        <v>0.2838</v>
      </c>
      <c r="K83" s="33" t="n">
        <v>1.2277</v>
      </c>
      <c r="L83" s="31" t="n">
        <f aca="false">INDEX(Constants!$D$18:$D$41,MATCH(I83&amp;"#"&amp;E83,Constants!$A$18:$A$41,0))</f>
        <v>0.25</v>
      </c>
      <c r="M83" s="31" t="n">
        <f aca="false">INDEX(Constants!$E$18:$E$41,MATCH(I83&amp;"#"&amp;E83,Constants!$A$18:$A$41,0))</f>
        <v>1.1</v>
      </c>
      <c r="N83" s="31" t="n">
        <f aca="false">J83-L83</f>
        <v>0.0338</v>
      </c>
      <c r="O83" s="31" t="n">
        <f aca="false">K83-M83</f>
        <v>0.1277</v>
      </c>
      <c r="P83" s="30" t="n">
        <f aca="false">SQRT((N83/Constants!$B$8)^2+(O83/Constants!$B$9)^2)</f>
        <v>0.93295116193705</v>
      </c>
      <c r="Q83" s="3" t="str">
        <f aca="false">IF(P83&lt;=1.05,"Yes","No")</f>
        <v>Yes</v>
      </c>
      <c r="R83" s="27" t="s">
        <v>596</v>
      </c>
      <c r="S83" s="3"/>
      <c r="T83" s="3"/>
      <c r="U83" s="3"/>
      <c r="V83" s="3"/>
      <c r="W83" s="3"/>
      <c r="X83" s="3"/>
      <c r="Y83" s="3"/>
    </row>
    <row r="84" customFormat="false" ht="15" hidden="false" customHeight="false" outlineLevel="0" collapsed="false">
      <c r="A84" s="27" t="n">
        <v>15</v>
      </c>
      <c r="B84" s="28" t="n">
        <v>46301.524424375</v>
      </c>
      <c r="C84" s="32" t="n">
        <f aca="false">(B84-INDEX(Rounds!$C:$C,MATCH(A84,Rounds!$A:$A,0)))*86400</f>
        <v>67.271999828</v>
      </c>
      <c r="D84" s="27" t="s">
        <v>587</v>
      </c>
      <c r="E84" s="27" t="n">
        <v>5</v>
      </c>
      <c r="F84" s="27" t="n">
        <v>400</v>
      </c>
      <c r="G84" s="27" t="n">
        <v>4400</v>
      </c>
      <c r="H84" s="27" t="n">
        <v>4</v>
      </c>
      <c r="I84" s="27" t="s">
        <v>144</v>
      </c>
      <c r="J84" s="33" t="n">
        <v>1.2791</v>
      </c>
      <c r="K84" s="33" t="n">
        <v>1.5789</v>
      </c>
      <c r="L84" s="31" t="n">
        <f aca="false">INDEX(Constants!$D$18:$D$41,MATCH(I84&amp;"#"&amp;E84,Constants!$A$18:$A$41,0))</f>
        <v>1.25</v>
      </c>
      <c r="M84" s="31" t="n">
        <f aca="false">INDEX(Constants!$E$18:$E$41,MATCH(I84&amp;"#"&amp;E84,Constants!$A$18:$A$41,0))</f>
        <v>1.45</v>
      </c>
      <c r="N84" s="31" t="n">
        <f aca="false">J84-L84</f>
        <v>0.0290999999999999</v>
      </c>
      <c r="O84" s="31" t="n">
        <f aca="false">K84-M84</f>
        <v>0.1289</v>
      </c>
      <c r="P84" s="30" t="n">
        <f aca="false">SQRT((N84/Constants!$B$8)^2+(O84/Constants!$B$9)^2)</f>
        <v>0.936041141713733</v>
      </c>
      <c r="Q84" s="3" t="str">
        <f aca="false">IF(P84&lt;=1.05,"Yes","No")</f>
        <v>Yes</v>
      </c>
      <c r="R84" s="27" t="s">
        <v>596</v>
      </c>
      <c r="S84" s="3"/>
      <c r="T84" s="3"/>
      <c r="U84" s="3"/>
      <c r="V84" s="3"/>
      <c r="W84" s="3"/>
      <c r="X84" s="3"/>
      <c r="Y84" s="3"/>
    </row>
    <row r="85" customFormat="false" ht="15" hidden="false" customHeight="false" outlineLevel="0" collapsed="false">
      <c r="A85" s="27" t="n">
        <v>16</v>
      </c>
      <c r="B85" s="28" t="n">
        <v>46301.5246895833</v>
      </c>
      <c r="C85" s="32" t="n">
        <f aca="false">(B85-INDEX(Rounds!$C:$C,MATCH(A85,Rounds!$A:$A,0)))*86400</f>
        <v>12.162999808</v>
      </c>
      <c r="D85" s="27" t="s">
        <v>587</v>
      </c>
      <c r="E85" s="27" t="n">
        <v>8</v>
      </c>
      <c r="F85" s="27" t="n">
        <v>100</v>
      </c>
      <c r="G85" s="27" t="n">
        <v>100</v>
      </c>
      <c r="H85" s="27" t="n">
        <v>1</v>
      </c>
      <c r="I85" s="27" t="s">
        <v>144</v>
      </c>
      <c r="J85" s="33" t="n">
        <v>1.1142</v>
      </c>
      <c r="K85" s="33" t="n">
        <v>1.8826</v>
      </c>
      <c r="L85" s="31" t="n">
        <f aca="false">INDEX(Constants!$D$18:$D$41,MATCH(I85&amp;"#"&amp;E85,Constants!$A$18:$A$41,0))</f>
        <v>1.25</v>
      </c>
      <c r="M85" s="31" t="n">
        <f aca="false">INDEX(Constants!$E$18:$E$41,MATCH(I85&amp;"#"&amp;E85,Constants!$A$18:$A$41,0))</f>
        <v>1.8</v>
      </c>
      <c r="N85" s="31" t="n">
        <f aca="false">J85-L85</f>
        <v>-0.1358</v>
      </c>
      <c r="O85" s="31" t="n">
        <f aca="false">K85-M85</f>
        <v>0.0826</v>
      </c>
      <c r="P85" s="30" t="n">
        <f aca="false">SQRT((N85/Constants!$B$8)^2+(O85/Constants!$B$9)^2)</f>
        <v>0.983797162937047</v>
      </c>
      <c r="Q85" s="3" t="str">
        <f aca="false">IF(P85&lt;=1.05,"Yes","No")</f>
        <v>Yes</v>
      </c>
      <c r="R85" s="27" t="s">
        <v>597</v>
      </c>
      <c r="S85" s="3"/>
      <c r="T85" s="3"/>
      <c r="U85" s="3"/>
      <c r="V85" s="3"/>
      <c r="W85" s="3"/>
      <c r="X85" s="3"/>
      <c r="Y85" s="3"/>
    </row>
    <row r="86" customFormat="false" ht="15" hidden="false" customHeight="false" outlineLevel="0" collapsed="false">
      <c r="A86" s="27" t="n">
        <v>16</v>
      </c>
      <c r="B86" s="28" t="n">
        <v>46301.5247323264</v>
      </c>
      <c r="C86" s="32" t="n">
        <f aca="false">(B86-INDEX(Rounds!$C:$C,MATCH(A86,Rounds!$A:$A,0)))*86400</f>
        <v>15.855999919</v>
      </c>
      <c r="D86" s="27" t="s">
        <v>587</v>
      </c>
      <c r="E86" s="27" t="n">
        <v>1</v>
      </c>
      <c r="F86" s="27" t="n">
        <v>100</v>
      </c>
      <c r="G86" s="27" t="n">
        <v>200</v>
      </c>
      <c r="H86" s="27" t="n">
        <v>1</v>
      </c>
      <c r="I86" s="27" t="s">
        <v>144</v>
      </c>
      <c r="J86" s="33" t="n">
        <v>0.904</v>
      </c>
      <c r="K86" s="33" t="n">
        <v>1.1392</v>
      </c>
      <c r="L86" s="31" t="n">
        <f aca="false">INDEX(Constants!$D$18:$D$41,MATCH(I86&amp;"#"&amp;E86,Constants!$A$18:$A$41,0))</f>
        <v>0.75</v>
      </c>
      <c r="M86" s="31" t="n">
        <f aca="false">INDEX(Constants!$E$18:$E$41,MATCH(I86&amp;"#"&amp;E86,Constants!$A$18:$A$41,0))</f>
        <v>1.1</v>
      </c>
      <c r="N86" s="31" t="n">
        <f aca="false">J86-L86</f>
        <v>0.154</v>
      </c>
      <c r="O86" s="31" t="n">
        <f aca="false">K86-M86</f>
        <v>0.0391999999999999</v>
      </c>
      <c r="P86" s="30" t="n">
        <f aca="false">SQRT((N86/Constants!$B$8)^2+(O86/Constants!$B$9)^2)</f>
        <v>0.935632957797034</v>
      </c>
      <c r="Q86" s="3" t="str">
        <f aca="false">IF(P86&lt;=1.05,"Yes","No")</f>
        <v>Yes</v>
      </c>
      <c r="R86" s="27" t="s">
        <v>597</v>
      </c>
      <c r="S86" s="3"/>
      <c r="T86" s="3"/>
      <c r="U86" s="3"/>
      <c r="V86" s="3"/>
      <c r="W86" s="3"/>
      <c r="X86" s="3"/>
      <c r="Y86" s="3"/>
    </row>
    <row r="87" customFormat="false" ht="15" hidden="false" customHeight="false" outlineLevel="0" collapsed="false">
      <c r="A87" s="27" t="n">
        <v>16</v>
      </c>
      <c r="B87" s="28" t="n">
        <v>46301.524774537</v>
      </c>
      <c r="C87" s="32" t="n">
        <f aca="false">(B87-INDEX(Rounds!$C:$C,MATCH(A87,Rounds!$A:$A,0)))*86400</f>
        <v>19.503000355</v>
      </c>
      <c r="D87" s="27" t="s">
        <v>595</v>
      </c>
      <c r="E87" s="27" t="n">
        <v>8</v>
      </c>
      <c r="F87" s="27" t="n">
        <v>300</v>
      </c>
      <c r="G87" s="27" t="n">
        <v>500</v>
      </c>
      <c r="H87" s="27" t="n">
        <v>1</v>
      </c>
      <c r="I87" s="27" t="s">
        <v>144</v>
      </c>
      <c r="J87" s="33" t="n">
        <v>1.1699</v>
      </c>
      <c r="K87" s="33" t="n">
        <v>1.6932</v>
      </c>
      <c r="L87" s="31" t="n">
        <f aca="false">INDEX(Constants!$D$18:$D$41,MATCH(I87&amp;"#"&amp;E87,Constants!$A$18:$A$41,0))</f>
        <v>1.25</v>
      </c>
      <c r="M87" s="31" t="n">
        <f aca="false">INDEX(Constants!$E$18:$E$41,MATCH(I87&amp;"#"&amp;E87,Constants!$A$18:$A$41,0))</f>
        <v>1.8</v>
      </c>
      <c r="N87" s="31" t="n">
        <f aca="false">J87-L87</f>
        <v>-0.0801000000000001</v>
      </c>
      <c r="O87" s="31" t="n">
        <f aca="false">K87-M87</f>
        <v>-0.1068</v>
      </c>
      <c r="P87" s="30" t="n">
        <f aca="false">SQRT((N87/Constants!$B$8)^2+(O87/Constants!$B$9)^2)</f>
        <v>0.893067704040319</v>
      </c>
      <c r="Q87" s="3" t="str">
        <f aca="false">IF(P87&lt;=1.05,"Yes","No")</f>
        <v>Yes</v>
      </c>
      <c r="R87" s="27" t="s">
        <v>597</v>
      </c>
      <c r="S87" s="3"/>
      <c r="T87" s="3"/>
      <c r="U87" s="3"/>
      <c r="V87" s="3"/>
      <c r="W87" s="3"/>
      <c r="X87" s="3"/>
      <c r="Y87" s="3"/>
    </row>
    <row r="88" customFormat="false" ht="15" hidden="false" customHeight="false" outlineLevel="0" collapsed="false">
      <c r="A88" s="27" t="n">
        <v>16</v>
      </c>
      <c r="B88" s="28" t="n">
        <v>46301.5248153241</v>
      </c>
      <c r="C88" s="32" t="n">
        <f aca="false">(B88-INDEX(Rounds!$C:$C,MATCH(A88,Rounds!$A:$A,0)))*86400</f>
        <v>23.027000552</v>
      </c>
      <c r="D88" s="27" t="s">
        <v>587</v>
      </c>
      <c r="E88" s="27" t="n">
        <v>0</v>
      </c>
      <c r="F88" s="27" t="n">
        <v>100</v>
      </c>
      <c r="G88" s="27" t="n">
        <v>600</v>
      </c>
      <c r="H88" s="27" t="n">
        <v>2</v>
      </c>
      <c r="I88" s="27" t="s">
        <v>144</v>
      </c>
      <c r="J88" s="33" t="n">
        <v>0.3817</v>
      </c>
      <c r="K88" s="33" t="n">
        <v>1.1889</v>
      </c>
      <c r="L88" s="31" t="n">
        <f aca="false">INDEX(Constants!$D$18:$D$41,MATCH(I88&amp;"#"&amp;E88,Constants!$A$18:$A$41,0))</f>
        <v>0.25</v>
      </c>
      <c r="M88" s="31" t="n">
        <f aca="false">INDEX(Constants!$E$18:$E$41,MATCH(I88&amp;"#"&amp;E88,Constants!$A$18:$A$41,0))</f>
        <v>1.1</v>
      </c>
      <c r="N88" s="31" t="n">
        <f aca="false">J88-L88</f>
        <v>0.1317</v>
      </c>
      <c r="O88" s="31" t="n">
        <f aca="false">K88-M88</f>
        <v>0.0889</v>
      </c>
      <c r="P88" s="30" t="n">
        <f aca="false">SQRT((N88/Constants!$B$8)^2+(O88/Constants!$B$9)^2)</f>
        <v>0.993037791234762</v>
      </c>
      <c r="Q88" s="3" t="str">
        <f aca="false">IF(P88&lt;=1.05,"Yes","No")</f>
        <v>Yes</v>
      </c>
      <c r="R88" s="27" t="s">
        <v>597</v>
      </c>
      <c r="S88" s="3"/>
      <c r="T88" s="3"/>
      <c r="U88" s="3"/>
      <c r="V88" s="3"/>
      <c r="W88" s="3"/>
      <c r="X88" s="3"/>
      <c r="Y88" s="3"/>
    </row>
    <row r="89" customFormat="false" ht="15" hidden="false" customHeight="false" outlineLevel="0" collapsed="false">
      <c r="A89" s="27" t="n">
        <v>16</v>
      </c>
      <c r="B89" s="28" t="n">
        <v>46301.5248713889</v>
      </c>
      <c r="C89" s="32" t="n">
        <f aca="false">(B89-INDEX(Rounds!$C:$C,MATCH(A89,Rounds!$A:$A,0)))*86400</f>
        <v>27.870999625</v>
      </c>
      <c r="D89" s="27" t="s">
        <v>587</v>
      </c>
      <c r="E89" s="27" t="n">
        <v>1</v>
      </c>
      <c r="F89" s="27" t="n">
        <v>200</v>
      </c>
      <c r="G89" s="27" t="n">
        <v>800</v>
      </c>
      <c r="H89" s="27" t="n">
        <v>2</v>
      </c>
      <c r="I89" s="27" t="s">
        <v>145</v>
      </c>
      <c r="J89" s="33" t="n">
        <v>1.0174</v>
      </c>
      <c r="K89" s="33" t="n">
        <v>0.9691</v>
      </c>
      <c r="L89" s="31" t="n">
        <f aca="false">INDEX(Constants!$D$18:$D$41,MATCH(I89&amp;"#"&amp;E89,Constants!$A$18:$A$41,0))</f>
        <v>1</v>
      </c>
      <c r="M89" s="31" t="n">
        <f aca="false">INDEX(Constants!$E$18:$E$41,MATCH(I89&amp;"#"&amp;E89,Constants!$A$18:$A$41,0))</f>
        <v>1.1</v>
      </c>
      <c r="N89" s="31" t="n">
        <f aca="false">J89-L89</f>
        <v>0.0174000000000001</v>
      </c>
      <c r="O89" s="31" t="n">
        <f aca="false">K89-M89</f>
        <v>-0.1309</v>
      </c>
      <c r="P89" s="30" t="n">
        <f aca="false">SQRT((N89/Constants!$B$8)^2+(O89/Constants!$B$9)^2)</f>
        <v>0.940425259756004</v>
      </c>
      <c r="Q89" s="3" t="str">
        <f aca="false">IF(P89&lt;=1.05,"Yes","No")</f>
        <v>Yes</v>
      </c>
      <c r="R89" s="27" t="s">
        <v>596</v>
      </c>
      <c r="S89" s="3"/>
      <c r="T89" s="3"/>
      <c r="U89" s="3"/>
      <c r="V89" s="3"/>
      <c r="W89" s="3"/>
      <c r="X89" s="3"/>
      <c r="Y89" s="3"/>
    </row>
    <row r="90" customFormat="false" ht="15" hidden="false" customHeight="false" outlineLevel="0" collapsed="false">
      <c r="A90" s="27" t="n">
        <v>16</v>
      </c>
      <c r="B90" s="28" t="n">
        <v>46301.5249128125</v>
      </c>
      <c r="C90" s="32" t="n">
        <f aca="false">(B90-INDEX(Rounds!$C:$C,MATCH(A90,Rounds!$A:$A,0)))*86400</f>
        <v>31.449999776</v>
      </c>
      <c r="D90" s="27" t="s">
        <v>587</v>
      </c>
      <c r="E90" s="27" t="n">
        <v>3</v>
      </c>
      <c r="F90" s="27" t="n">
        <v>200</v>
      </c>
      <c r="G90" s="27" t="n">
        <v>1000</v>
      </c>
      <c r="H90" s="27" t="n">
        <v>2</v>
      </c>
      <c r="I90" s="27" t="s">
        <v>145</v>
      </c>
      <c r="J90" s="33" t="n">
        <v>0.6823</v>
      </c>
      <c r="K90" s="33" t="n">
        <v>1.5466</v>
      </c>
      <c r="L90" s="31" t="n">
        <f aca="false">INDEX(Constants!$D$18:$D$41,MATCH(I90&amp;"#"&amp;E90,Constants!$A$18:$A$41,0))</f>
        <v>0.75</v>
      </c>
      <c r="M90" s="31" t="n">
        <f aca="false">INDEX(Constants!$E$18:$E$41,MATCH(I90&amp;"#"&amp;E90,Constants!$A$18:$A$41,0))</f>
        <v>1.42</v>
      </c>
      <c r="N90" s="31" t="n">
        <f aca="false">J90-L90</f>
        <v>-0.0677</v>
      </c>
      <c r="O90" s="31" t="n">
        <f aca="false">K90-M90</f>
        <v>0.1266</v>
      </c>
      <c r="P90" s="30" t="n">
        <f aca="false">SQRT((N90/Constants!$B$8)^2+(O90/Constants!$B$9)^2)</f>
        <v>0.985779114378566</v>
      </c>
      <c r="Q90" s="3" t="str">
        <f aca="false">IF(P90&lt;=1.05,"Yes","No")</f>
        <v>Yes</v>
      </c>
      <c r="R90" s="27" t="s">
        <v>596</v>
      </c>
      <c r="S90" s="3"/>
      <c r="T90" s="3"/>
      <c r="U90" s="3"/>
      <c r="V90" s="3"/>
      <c r="W90" s="3"/>
      <c r="X90" s="3"/>
      <c r="Y90" s="3"/>
    </row>
    <row r="91" customFormat="false" ht="15" hidden="false" customHeight="false" outlineLevel="0" collapsed="false">
      <c r="A91" s="27" t="n">
        <v>16</v>
      </c>
      <c r="B91" s="28" t="n">
        <v>46301.5249419329</v>
      </c>
      <c r="C91" s="32" t="n">
        <f aca="false">(B91-INDEX(Rounds!$C:$C,MATCH(A91,Rounds!$A:$A,0)))*86400</f>
        <v>33.965999633</v>
      </c>
      <c r="D91" s="27" t="s">
        <v>595</v>
      </c>
      <c r="E91" s="27" t="n">
        <v>0</v>
      </c>
      <c r="F91" s="27" t="n">
        <v>600</v>
      </c>
      <c r="G91" s="27" t="n">
        <v>1600</v>
      </c>
      <c r="H91" s="27" t="n">
        <v>2</v>
      </c>
      <c r="I91" s="27" t="s">
        <v>145</v>
      </c>
      <c r="J91" s="33" t="n">
        <v>0.6405</v>
      </c>
      <c r="K91" s="33" t="n">
        <v>1.1716</v>
      </c>
      <c r="L91" s="31" t="n">
        <f aca="false">INDEX(Constants!$D$18:$D$41,MATCH(I91&amp;"#"&amp;E91,Constants!$A$18:$A$41,0))</f>
        <v>0.5</v>
      </c>
      <c r="M91" s="31" t="n">
        <f aca="false">INDEX(Constants!$E$18:$E$41,MATCH(I91&amp;"#"&amp;E91,Constants!$A$18:$A$41,0))</f>
        <v>1.1</v>
      </c>
      <c r="N91" s="31" t="n">
        <f aca="false">J91-L91</f>
        <v>0.1405</v>
      </c>
      <c r="O91" s="31" t="n">
        <f aca="false">K91-M91</f>
        <v>0.0715999999999999</v>
      </c>
      <c r="P91" s="30" t="n">
        <f aca="false">SQRT((N91/Constants!$B$8)^2+(O91/Constants!$B$9)^2)</f>
        <v>0.961747175393904</v>
      </c>
      <c r="Q91" s="3" t="str">
        <f aca="false">IF(P91&lt;=1.05,"Yes","No")</f>
        <v>Yes</v>
      </c>
      <c r="R91" s="27" t="s">
        <v>596</v>
      </c>
      <c r="S91" s="3"/>
      <c r="T91" s="3"/>
      <c r="U91" s="3"/>
      <c r="V91" s="3"/>
      <c r="W91" s="3"/>
      <c r="X91" s="3"/>
      <c r="Y91" s="3"/>
    </row>
    <row r="92" customFormat="false" ht="15" hidden="false" customHeight="false" outlineLevel="0" collapsed="false">
      <c r="A92" s="27" t="n">
        <v>16</v>
      </c>
      <c r="B92" s="28" t="n">
        <v>46301.5249951042</v>
      </c>
      <c r="C92" s="32" t="n">
        <f aca="false">(B92-INDEX(Rounds!$C:$C,MATCH(A92,Rounds!$A:$A,0)))*86400</f>
        <v>38.560000061</v>
      </c>
      <c r="D92" s="27" t="s">
        <v>587</v>
      </c>
      <c r="E92" s="27" t="n">
        <v>1</v>
      </c>
      <c r="F92" s="27" t="n">
        <v>200</v>
      </c>
      <c r="G92" s="27" t="n">
        <v>1800</v>
      </c>
      <c r="H92" s="27" t="n">
        <v>3</v>
      </c>
      <c r="I92" s="27" t="s">
        <v>145</v>
      </c>
      <c r="J92" s="33" t="n">
        <v>0.8782</v>
      </c>
      <c r="K92" s="33" t="n">
        <v>1.1903</v>
      </c>
      <c r="L92" s="31" t="n">
        <f aca="false">INDEX(Constants!$D$18:$D$41,MATCH(I92&amp;"#"&amp;E92,Constants!$A$18:$A$41,0))</f>
        <v>1</v>
      </c>
      <c r="M92" s="31" t="n">
        <f aca="false">INDEX(Constants!$E$18:$E$41,MATCH(I92&amp;"#"&amp;E92,Constants!$A$18:$A$41,0))</f>
        <v>1.1</v>
      </c>
      <c r="N92" s="31" t="n">
        <f aca="false">J92-L92</f>
        <v>-0.1218</v>
      </c>
      <c r="O92" s="31" t="n">
        <f aca="false">K92-M92</f>
        <v>0.0902999999999998</v>
      </c>
      <c r="P92" s="30" t="n">
        <f aca="false">SQRT((N92/Constants!$B$8)^2+(O92/Constants!$B$9)^2)</f>
        <v>0.956338742376429</v>
      </c>
      <c r="Q92" s="3" t="str">
        <f aca="false">IF(P92&lt;=1.05,"Yes","No")</f>
        <v>Yes</v>
      </c>
      <c r="R92" s="27" t="s">
        <v>596</v>
      </c>
      <c r="S92" s="3"/>
      <c r="T92" s="3"/>
      <c r="U92" s="3"/>
      <c r="V92" s="3"/>
      <c r="W92" s="3"/>
      <c r="X92" s="3"/>
      <c r="Y92" s="3"/>
    </row>
    <row r="93" customFormat="false" ht="15" hidden="false" customHeight="false" outlineLevel="0" collapsed="false">
      <c r="A93" s="27" t="n">
        <v>16</v>
      </c>
      <c r="B93" s="28" t="n">
        <v>46301.5251028357</v>
      </c>
      <c r="C93" s="32" t="n">
        <f aca="false">(B93-INDEX(Rounds!$C:$C,MATCH(A93,Rounds!$A:$A,0)))*86400</f>
        <v>47.868000017</v>
      </c>
      <c r="D93" s="27" t="s">
        <v>587</v>
      </c>
      <c r="E93" s="27" t="n">
        <v>7</v>
      </c>
      <c r="F93" s="27" t="n">
        <v>300</v>
      </c>
      <c r="G93" s="27" t="n">
        <v>2100</v>
      </c>
      <c r="H93" s="27" t="n">
        <v>3</v>
      </c>
      <c r="I93" s="27" t="s">
        <v>146</v>
      </c>
      <c r="J93" s="33" t="n">
        <v>1.2088</v>
      </c>
      <c r="K93" s="33" t="n">
        <v>1.6182</v>
      </c>
      <c r="L93" s="31" t="n">
        <f aca="false">INDEX(Constants!$D$18:$D$41,MATCH(I93&amp;"#"&amp;E93,Constants!$A$18:$A$41,0))</f>
        <v>1.25</v>
      </c>
      <c r="M93" s="31" t="n">
        <f aca="false">INDEX(Constants!$E$18:$E$41,MATCH(I93&amp;"#"&amp;E93,Constants!$A$18:$A$41,0))</f>
        <v>1.74</v>
      </c>
      <c r="N93" s="31" t="n">
        <f aca="false">J93-L93</f>
        <v>-0.0411999999999999</v>
      </c>
      <c r="O93" s="31" t="n">
        <f aca="false">K93-M93</f>
        <v>-0.1218</v>
      </c>
      <c r="P93" s="30" t="n">
        <f aca="false">SQRT((N93/Constants!$B$8)^2+(O93/Constants!$B$9)^2)</f>
        <v>0.902188906225452</v>
      </c>
      <c r="Q93" s="3" t="str">
        <f aca="false">IF(P93&lt;=1.05,"Yes","No")</f>
        <v>Yes</v>
      </c>
      <c r="R93" s="27" t="s">
        <v>596</v>
      </c>
      <c r="S93" s="3"/>
      <c r="T93" s="3"/>
      <c r="U93" s="3"/>
      <c r="V93" s="3"/>
      <c r="W93" s="3"/>
      <c r="X93" s="3"/>
      <c r="Y93" s="3"/>
    </row>
    <row r="94" customFormat="false" ht="15" hidden="false" customHeight="false" outlineLevel="0" collapsed="false">
      <c r="A94" s="27" t="n">
        <v>16</v>
      </c>
      <c r="B94" s="28" t="n">
        <v>46301.5251435417</v>
      </c>
      <c r="C94" s="32" t="n">
        <f aca="false">(B94-INDEX(Rounds!$C:$C,MATCH(A94,Rounds!$A:$A,0)))*86400</f>
        <v>51.38499902</v>
      </c>
      <c r="D94" s="27" t="s">
        <v>587</v>
      </c>
      <c r="E94" s="27" t="n">
        <v>3</v>
      </c>
      <c r="F94" s="27" t="n">
        <v>300</v>
      </c>
      <c r="G94" s="27" t="n">
        <v>2400</v>
      </c>
      <c r="H94" s="27" t="n">
        <v>3</v>
      </c>
      <c r="I94" s="27" t="s">
        <v>146</v>
      </c>
      <c r="J94" s="33" t="n">
        <v>0.6213</v>
      </c>
      <c r="K94" s="33" t="n">
        <v>1.3465</v>
      </c>
      <c r="L94" s="31" t="n">
        <f aca="false">INDEX(Constants!$D$18:$D$41,MATCH(I94&amp;"#"&amp;E94,Constants!$A$18:$A$41,0))</f>
        <v>0.5</v>
      </c>
      <c r="M94" s="31" t="n">
        <f aca="false">INDEX(Constants!$E$18:$E$41,MATCH(I94&amp;"#"&amp;E94,Constants!$A$18:$A$41,0))</f>
        <v>1.42</v>
      </c>
      <c r="N94" s="31" t="n">
        <f aca="false">J94-L94</f>
        <v>0.1213</v>
      </c>
      <c r="O94" s="31" t="n">
        <f aca="false">K94-M94</f>
        <v>-0.0734999999999999</v>
      </c>
      <c r="P94" s="30" t="n">
        <f aca="false">SQRT((N94/Constants!$B$8)^2+(O94/Constants!$B$9)^2)</f>
        <v>0.877552809833954</v>
      </c>
      <c r="Q94" s="3" t="str">
        <f aca="false">IF(P94&lt;=1.05,"Yes","No")</f>
        <v>Yes</v>
      </c>
      <c r="R94" s="27" t="s">
        <v>596</v>
      </c>
      <c r="S94" s="3"/>
      <c r="T94" s="3"/>
      <c r="U94" s="3"/>
      <c r="V94" s="3"/>
      <c r="W94" s="3"/>
      <c r="X94" s="3"/>
      <c r="Y94" s="3"/>
    </row>
    <row r="95" customFormat="false" ht="15" hidden="false" customHeight="false" outlineLevel="0" collapsed="false">
      <c r="A95" s="27" t="n">
        <v>16</v>
      </c>
      <c r="B95" s="28" t="n">
        <v>46301.5251743403</v>
      </c>
      <c r="C95" s="32" t="n">
        <f aca="false">(B95-INDEX(Rounds!$C:$C,MATCH(A95,Rounds!$A:$A,0)))*86400</f>
        <v>54.045999725</v>
      </c>
      <c r="D95" s="27" t="s">
        <v>595</v>
      </c>
      <c r="E95" s="27" t="n">
        <v>0</v>
      </c>
      <c r="F95" s="27" t="n">
        <v>900</v>
      </c>
      <c r="G95" s="27" t="n">
        <v>3300</v>
      </c>
      <c r="H95" s="27" t="n">
        <v>3</v>
      </c>
      <c r="I95" s="27" t="s">
        <v>146</v>
      </c>
      <c r="J95" s="33" t="n">
        <v>0.3383</v>
      </c>
      <c r="K95" s="33" t="n">
        <v>1.2017</v>
      </c>
      <c r="L95" s="31" t="n">
        <f aca="false">INDEX(Constants!$D$18:$D$41,MATCH(I95&amp;"#"&amp;E95,Constants!$A$18:$A$41,0))</f>
        <v>0.25</v>
      </c>
      <c r="M95" s="31" t="n">
        <f aca="false">INDEX(Constants!$E$18:$E$41,MATCH(I95&amp;"#"&amp;E95,Constants!$A$18:$A$41,0))</f>
        <v>1.1</v>
      </c>
      <c r="N95" s="31" t="n">
        <f aca="false">J95-L95</f>
        <v>0.0883</v>
      </c>
      <c r="O95" s="31" t="n">
        <f aca="false">K95-M95</f>
        <v>0.1017</v>
      </c>
      <c r="P95" s="30" t="n">
        <f aca="false">SQRT((N95/Constants!$B$8)^2+(O95/Constants!$B$9)^2)</f>
        <v>0.888664029986939</v>
      </c>
      <c r="Q95" s="3" t="str">
        <f aca="false">IF(P95&lt;=1.05,"Yes","No")</f>
        <v>Yes</v>
      </c>
      <c r="R95" s="27" t="s">
        <v>596</v>
      </c>
      <c r="S95" s="3"/>
      <c r="T95" s="3"/>
      <c r="U95" s="3"/>
      <c r="V95" s="3"/>
      <c r="W95" s="3"/>
      <c r="X95" s="3"/>
      <c r="Y95" s="3"/>
    </row>
    <row r="96" customFormat="false" ht="15" hidden="false" customHeight="false" outlineLevel="0" collapsed="false">
      <c r="A96" s="27" t="n">
        <v>16</v>
      </c>
      <c r="B96" s="28" t="n">
        <v>46301.5252872454</v>
      </c>
      <c r="C96" s="32" t="n">
        <f aca="false">(B96-INDEX(Rounds!$C:$C,MATCH(A96,Rounds!$A:$A,0)))*86400</f>
        <v>63.800999871</v>
      </c>
      <c r="D96" s="27" t="s">
        <v>587</v>
      </c>
      <c r="E96" s="27" t="n">
        <v>3</v>
      </c>
      <c r="F96" s="27" t="n">
        <v>300</v>
      </c>
      <c r="G96" s="27" t="n">
        <v>3600</v>
      </c>
      <c r="H96" s="27" t="n">
        <v>4</v>
      </c>
      <c r="I96" s="27" t="s">
        <v>146</v>
      </c>
      <c r="J96" s="33" t="n">
        <v>0.5713</v>
      </c>
      <c r="K96" s="33" t="n">
        <v>1.5437</v>
      </c>
      <c r="L96" s="31" t="n">
        <f aca="false">INDEX(Constants!$D$18:$D$41,MATCH(I96&amp;"#"&amp;E96,Constants!$A$18:$A$41,0))</f>
        <v>0.5</v>
      </c>
      <c r="M96" s="31" t="n">
        <f aca="false">INDEX(Constants!$E$18:$E$41,MATCH(I96&amp;"#"&amp;E96,Constants!$A$18:$A$41,0))</f>
        <v>1.42</v>
      </c>
      <c r="N96" s="31" t="n">
        <f aca="false">J96-L96</f>
        <v>0.0713</v>
      </c>
      <c r="O96" s="31" t="n">
        <f aca="false">K96-M96</f>
        <v>0.1237</v>
      </c>
      <c r="P96" s="30" t="n">
        <f aca="false">SQRT((N96/Constants!$B$8)^2+(O96/Constants!$B$9)^2)</f>
        <v>0.975470611465154</v>
      </c>
      <c r="Q96" s="3" t="str">
        <f aca="false">IF(P96&lt;=1.05,"Yes","No")</f>
        <v>Yes</v>
      </c>
      <c r="R96" s="27" t="s">
        <v>596</v>
      </c>
      <c r="S96" s="3"/>
      <c r="T96" s="3"/>
      <c r="U96" s="3"/>
      <c r="V96" s="3"/>
      <c r="W96" s="3"/>
      <c r="X96" s="3"/>
      <c r="Y96" s="3"/>
    </row>
    <row r="97" customFormat="false" ht="15" hidden="false" customHeight="false" outlineLevel="0" collapsed="false">
      <c r="A97" s="27" t="n">
        <v>16</v>
      </c>
      <c r="B97" s="28" t="n">
        <v>46301.5253073148</v>
      </c>
      <c r="C97" s="32" t="n">
        <f aca="false">(B97-INDEX(Rounds!$C:$C,MATCH(A97,Rounds!$A:$A,0)))*86400</f>
        <v>65.534999594</v>
      </c>
      <c r="D97" s="27" t="s">
        <v>587</v>
      </c>
      <c r="E97" s="27" t="n">
        <v>0</v>
      </c>
      <c r="F97" s="27" t="n">
        <v>400</v>
      </c>
      <c r="G97" s="27" t="n">
        <v>4000</v>
      </c>
      <c r="H97" s="27" t="n">
        <v>4</v>
      </c>
      <c r="I97" s="27" t="s">
        <v>144</v>
      </c>
      <c r="J97" s="33" t="n">
        <v>0.2865</v>
      </c>
      <c r="K97" s="33" t="n">
        <v>1.2123</v>
      </c>
      <c r="L97" s="31" t="n">
        <f aca="false">INDEX(Constants!$D$18:$D$41,MATCH(I97&amp;"#"&amp;E97,Constants!$A$18:$A$41,0))</f>
        <v>0.25</v>
      </c>
      <c r="M97" s="31" t="n">
        <f aca="false">INDEX(Constants!$E$18:$E$41,MATCH(I97&amp;"#"&amp;E97,Constants!$A$18:$A$41,0))</f>
        <v>1.1</v>
      </c>
      <c r="N97" s="31" t="n">
        <f aca="false">J97-L97</f>
        <v>0.0365</v>
      </c>
      <c r="O97" s="31" t="n">
        <f aca="false">K97-M97</f>
        <v>0.1123</v>
      </c>
      <c r="P97" s="30" t="n">
        <f aca="false">SQRT((N97/Constants!$B$8)^2+(O97/Constants!$B$9)^2)</f>
        <v>0.829581382364369</v>
      </c>
      <c r="Q97" s="3" t="str">
        <f aca="false">IF(P97&lt;=1.05,"Yes","No")</f>
        <v>Yes</v>
      </c>
      <c r="R97" s="27" t="s">
        <v>596</v>
      </c>
      <c r="S97" s="3"/>
      <c r="T97" s="3"/>
      <c r="U97" s="3"/>
      <c r="V97" s="3"/>
      <c r="W97" s="3"/>
      <c r="X97" s="3"/>
      <c r="Y97" s="3"/>
    </row>
    <row r="98" customFormat="false" ht="15" hidden="false" customHeight="false" outlineLevel="0" collapsed="false">
      <c r="A98" s="27" t="n">
        <v>17</v>
      </c>
      <c r="B98" s="28" t="n">
        <v>46301.5257903357</v>
      </c>
      <c r="C98" s="32" t="n">
        <f aca="false">(B98-INDEX(Rounds!$C:$C,MATCH(A98,Rounds!$A:$A,0)))*86400</f>
        <v>11.132000572</v>
      </c>
      <c r="D98" s="27" t="s">
        <v>587</v>
      </c>
      <c r="E98" s="27" t="n">
        <v>1</v>
      </c>
      <c r="F98" s="27" t="n">
        <v>100</v>
      </c>
      <c r="G98" s="27" t="n">
        <v>100</v>
      </c>
      <c r="H98" s="27" t="n">
        <v>1</v>
      </c>
      <c r="I98" s="27" t="s">
        <v>144</v>
      </c>
      <c r="J98" s="33" t="n">
        <v>0.7424</v>
      </c>
      <c r="K98" s="33" t="n">
        <v>1.2271</v>
      </c>
      <c r="L98" s="31" t="n">
        <f aca="false">INDEX(Constants!$D$18:$D$41,MATCH(I98&amp;"#"&amp;E98,Constants!$A$18:$A$41,0))</f>
        <v>0.75</v>
      </c>
      <c r="M98" s="31" t="n">
        <f aca="false">INDEX(Constants!$E$18:$E$41,MATCH(I98&amp;"#"&amp;E98,Constants!$A$18:$A$41,0))</f>
        <v>1.1</v>
      </c>
      <c r="N98" s="31" t="n">
        <f aca="false">J98-L98</f>
        <v>-0.00760000000000005</v>
      </c>
      <c r="O98" s="31" t="n">
        <f aca="false">K98-M98</f>
        <v>0.1271</v>
      </c>
      <c r="P98" s="30" t="n">
        <f aca="false">SQRT((N98/Constants!$B$8)^2+(O98/Constants!$B$9)^2)</f>
        <v>0.908925572666238</v>
      </c>
      <c r="Q98" s="3" t="str">
        <f aca="false">IF(P98&lt;=1.05,"Yes","No")</f>
        <v>Yes</v>
      </c>
      <c r="R98" s="27" t="s">
        <v>597</v>
      </c>
      <c r="S98" s="3"/>
      <c r="T98" s="3"/>
      <c r="U98" s="3"/>
      <c r="V98" s="3"/>
      <c r="W98" s="3"/>
      <c r="X98" s="3"/>
      <c r="Y98" s="3"/>
    </row>
  </sheetData>
  <mergeCells count="1">
    <mergeCell ref="T11:U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0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9765625" defaultRowHeight="15" zeroHeight="false" outlineLevelRow="0" outlineLevelCol="0"/>
  <cols>
    <col collapsed="false" customWidth="true" hidden="false" outlineLevel="0" max="1" min="1" style="1" width="22"/>
    <col collapsed="false" customWidth="true" hidden="false" outlineLevel="0" max="2" min="2" style="1" width="11"/>
    <col collapsed="false" customWidth="true" hidden="false" outlineLevel="0" max="4" min="3" style="1" width="9"/>
    <col collapsed="false" customWidth="true" hidden="false" outlineLevel="0" max="5" min="5" style="1" width="14"/>
    <col collapsed="false" customWidth="true" hidden="false" outlineLevel="0" max="6" min="6" style="1" width="12"/>
    <col collapsed="false" customWidth="true" hidden="false" outlineLevel="0" max="7" min="7" style="1" width="14"/>
    <col collapsed="false" customWidth="true" hidden="false" outlineLevel="0" max="9" min="9" style="1" width="12"/>
    <col collapsed="false" customWidth="true" hidden="false" outlineLevel="0" max="12" min="10" style="1" width="10"/>
    <col collapsed="false" customWidth="true" hidden="false" outlineLevel="0" max="13" min="13" style="1" width="9"/>
  </cols>
  <sheetData>
    <row r="1" customFormat="false" ht="19.7" hidden="false" customHeight="false" outlineLevel="0" collapsed="false">
      <c r="A1" s="2" t="s">
        <v>598</v>
      </c>
      <c r="B1" s="3"/>
      <c r="C1" s="3"/>
      <c r="D1" s="3"/>
      <c r="E1" s="3"/>
      <c r="F1" s="3"/>
      <c r="G1" s="3"/>
      <c r="H1" s="3"/>
      <c r="I1" s="3"/>
      <c r="J1" s="3"/>
      <c r="K1" s="3"/>
      <c r="L1" s="3"/>
      <c r="M1" s="3"/>
    </row>
    <row r="2" customFormat="false" ht="15" hidden="false" customHeight="false" outlineLevel="0" collapsed="false">
      <c r="A2" s="4" t="s">
        <v>599</v>
      </c>
      <c r="B2" s="3"/>
      <c r="C2" s="3"/>
      <c r="D2" s="3"/>
      <c r="E2" s="3"/>
      <c r="F2" s="3"/>
      <c r="G2" s="3"/>
      <c r="H2" s="3"/>
      <c r="I2" s="3"/>
      <c r="J2" s="3"/>
      <c r="K2" s="3"/>
      <c r="L2" s="3"/>
      <c r="M2" s="3"/>
    </row>
    <row r="3" customFormat="false" ht="15" hidden="false" customHeight="false" outlineLevel="0" collapsed="false">
      <c r="A3" s="3"/>
      <c r="B3" s="3"/>
      <c r="C3" s="3"/>
      <c r="D3" s="3"/>
      <c r="E3" s="3"/>
      <c r="F3" s="3"/>
      <c r="G3" s="3"/>
      <c r="H3" s="3"/>
      <c r="I3" s="3"/>
      <c r="J3" s="3"/>
      <c r="K3" s="3"/>
      <c r="L3" s="3"/>
      <c r="M3" s="3"/>
    </row>
    <row r="4" customFormat="false" ht="39.55" hidden="false" customHeight="false" outlineLevel="0" collapsed="false">
      <c r="A4" s="12" t="s">
        <v>569</v>
      </c>
      <c r="B4" s="12" t="s">
        <v>570</v>
      </c>
      <c r="C4" s="12" t="s">
        <v>142</v>
      </c>
      <c r="D4" s="12" t="s">
        <v>143</v>
      </c>
      <c r="E4" s="12" t="s">
        <v>600</v>
      </c>
      <c r="F4" s="12" t="s">
        <v>575</v>
      </c>
      <c r="G4" s="12" t="s">
        <v>601</v>
      </c>
      <c r="H4" s="3"/>
      <c r="I4" s="5" t="s">
        <v>602</v>
      </c>
      <c r="J4" s="3"/>
      <c r="K4" s="3"/>
      <c r="L4" s="3"/>
      <c r="M4" s="3"/>
    </row>
    <row r="5" customFormat="false" ht="15" hidden="false" customHeight="false" outlineLevel="0" collapsed="false">
      <c r="A5" s="28" t="n">
        <v>46301.5236532176</v>
      </c>
      <c r="B5" s="31" t="n">
        <f aca="false">(A5-$A$5)*86400</f>
        <v>0</v>
      </c>
      <c r="C5" s="27" t="n">
        <v>0.8862</v>
      </c>
      <c r="D5" s="27" t="n">
        <v>1.7332</v>
      </c>
      <c r="E5" s="27" t="s">
        <v>603</v>
      </c>
      <c r="F5" s="27" t="s">
        <v>144</v>
      </c>
      <c r="G5" s="32"/>
      <c r="H5" s="3"/>
      <c r="I5" s="12" t="s">
        <v>604</v>
      </c>
      <c r="J5" s="12" t="s">
        <v>605</v>
      </c>
      <c r="K5" s="12" t="s">
        <v>606</v>
      </c>
      <c r="L5" s="12" t="s">
        <v>607</v>
      </c>
      <c r="M5" s="12" t="s">
        <v>608</v>
      </c>
    </row>
    <row r="6" customFormat="false" ht="15" hidden="false" customHeight="false" outlineLevel="0" collapsed="false">
      <c r="A6" s="28" t="n">
        <v>46301.5236534028</v>
      </c>
      <c r="B6" s="31" t="n">
        <f aca="false">(A6-$A$5)*86400</f>
        <v>0.016000214</v>
      </c>
      <c r="C6" s="27" t="n">
        <v>0.8397</v>
      </c>
      <c r="D6" s="27" t="n">
        <v>1.7495</v>
      </c>
      <c r="E6" s="27" t="s">
        <v>603</v>
      </c>
      <c r="F6" s="27" t="s">
        <v>144</v>
      </c>
      <c r="G6" s="32" t="n">
        <f aca="false">(A6-A5)*86400000</f>
        <v>16.000214</v>
      </c>
      <c r="H6" s="3"/>
      <c r="I6" s="6" t="s">
        <v>609</v>
      </c>
      <c r="J6" s="20" t="n">
        <v>0</v>
      </c>
      <c r="K6" s="20" t="n">
        <v>25</v>
      </c>
      <c r="L6" s="6" t="n">
        <f aca="false">COUNTIFS($G$6:$G$2060,"&gt;="&amp;J6,$G$6:$G$2060,"&lt;"&amp;K6)</f>
        <v>1696</v>
      </c>
      <c r="M6" s="24" t="n">
        <f aca="false">L6/SUM($L$6:$L$10)</f>
        <v>0.825304136253041</v>
      </c>
    </row>
    <row r="7" customFormat="false" ht="15" hidden="false" customHeight="false" outlineLevel="0" collapsed="false">
      <c r="A7" s="28" t="n">
        <v>46301.523653588</v>
      </c>
      <c r="B7" s="31" t="n">
        <f aca="false">(A7-$A$5)*86400</f>
        <v>0.031999801</v>
      </c>
      <c r="C7" s="27" t="n">
        <v>0.8038</v>
      </c>
      <c r="D7" s="27" t="n">
        <v>1.7622</v>
      </c>
      <c r="E7" s="27" t="s">
        <v>603</v>
      </c>
      <c r="F7" s="27" t="s">
        <v>144</v>
      </c>
      <c r="G7" s="32" t="n">
        <f aca="false">(A7-A6)*86400000</f>
        <v>15.999586</v>
      </c>
      <c r="H7" s="3"/>
      <c r="I7" s="6" t="s">
        <v>610</v>
      </c>
      <c r="J7" s="20" t="n">
        <v>25</v>
      </c>
      <c r="K7" s="20" t="n">
        <v>42</v>
      </c>
      <c r="L7" s="6" t="n">
        <f aca="false">COUNTIFS($G$6:$G$2060,"&gt;="&amp;J7,$G$6:$G$2060,"&lt;"&amp;K7)</f>
        <v>181</v>
      </c>
      <c r="M7" s="24" t="n">
        <f aca="false">L7/SUM($L$6:$L$10)</f>
        <v>0.0880778588807786</v>
      </c>
    </row>
    <row r="8" customFormat="false" ht="15" hidden="false" customHeight="false" outlineLevel="0" collapsed="false">
      <c r="A8" s="28" t="n">
        <v>46301.5236537847</v>
      </c>
      <c r="B8" s="31" t="n">
        <f aca="false">(A8-$A$5)*86400</f>
        <v>0.049000186</v>
      </c>
      <c r="C8" s="27" t="n">
        <v>0.7726</v>
      </c>
      <c r="D8" s="27" t="n">
        <v>1.7732</v>
      </c>
      <c r="E8" s="27" t="s">
        <v>603</v>
      </c>
      <c r="F8" s="27" t="s">
        <v>144</v>
      </c>
      <c r="G8" s="32" t="n">
        <f aca="false">(A8-A7)*86400000</f>
        <v>17.000385</v>
      </c>
      <c r="H8" s="3"/>
      <c r="I8" s="6" t="s">
        <v>611</v>
      </c>
      <c r="J8" s="20" t="n">
        <v>42</v>
      </c>
      <c r="K8" s="20" t="n">
        <v>92</v>
      </c>
      <c r="L8" s="6" t="n">
        <f aca="false">COUNTIFS($G$6:$G$2060,"&gt;="&amp;J8,$G$6:$G$2060,"&lt;"&amp;K8)</f>
        <v>123</v>
      </c>
      <c r="M8" s="24" t="n">
        <f aca="false">L8/SUM($L$6:$L$10)</f>
        <v>0.0598540145985401</v>
      </c>
    </row>
    <row r="9" customFormat="false" ht="15" hidden="false" customHeight="false" outlineLevel="0" collapsed="false">
      <c r="A9" s="28" t="n">
        <v>46301.5236539815</v>
      </c>
      <c r="B9" s="31" t="n">
        <f aca="false">(A9-$A$5)*86400</f>
        <v>0.065999943</v>
      </c>
      <c r="C9" s="27" t="n">
        <v>0.7484</v>
      </c>
      <c r="D9" s="27" t="n">
        <v>1.7817</v>
      </c>
      <c r="E9" s="27" t="s">
        <v>603</v>
      </c>
      <c r="F9" s="27" t="s">
        <v>144</v>
      </c>
      <c r="G9" s="32" t="n">
        <f aca="false">(A9-A8)*86400000</f>
        <v>16.999756</v>
      </c>
      <c r="H9" s="3"/>
      <c r="I9" s="6" t="s">
        <v>612</v>
      </c>
      <c r="J9" s="20" t="n">
        <v>92</v>
      </c>
      <c r="K9" s="20" t="n">
        <v>208</v>
      </c>
      <c r="L9" s="6" t="n">
        <f aca="false">COUNTIFS($G$6:$G$2060,"&gt;="&amp;J9,$G$6:$G$2060,"&lt;"&amp;K9)</f>
        <v>24</v>
      </c>
      <c r="M9" s="24" t="n">
        <f aca="false">L9/SUM($L$6:$L$10)</f>
        <v>0.0116788321167883</v>
      </c>
    </row>
    <row r="10" customFormat="false" ht="15" hidden="false" customHeight="false" outlineLevel="0" collapsed="false">
      <c r="A10" s="28" t="n">
        <v>46301.5236541667</v>
      </c>
      <c r="B10" s="31" t="n">
        <f aca="false">(A10-$A$5)*86400</f>
        <v>0.082000158</v>
      </c>
      <c r="C10" s="27" t="n">
        <v>0.7285</v>
      </c>
      <c r="D10" s="27" t="n">
        <v>1.7888</v>
      </c>
      <c r="E10" s="27" t="s">
        <v>603</v>
      </c>
      <c r="F10" s="27" t="s">
        <v>144</v>
      </c>
      <c r="G10" s="32" t="n">
        <f aca="false">(A10-A9)*86400000</f>
        <v>16.000214</v>
      </c>
      <c r="H10" s="3"/>
      <c r="I10" s="6" t="s">
        <v>613</v>
      </c>
      <c r="J10" s="20" t="n">
        <v>208</v>
      </c>
      <c r="K10" s="20" t="n">
        <v>10000000</v>
      </c>
      <c r="L10" s="6" t="n">
        <f aca="false">COUNTIFS($G$6:$G$2060,"&gt;="&amp;J10,$G$6:$G$2060,"&lt;"&amp;K10)</f>
        <v>31</v>
      </c>
      <c r="M10" s="24" t="n">
        <f aca="false">L10/SUM($L$6:$L$10)</f>
        <v>0.0150851581508516</v>
      </c>
    </row>
    <row r="11" customFormat="false" ht="15" hidden="false" customHeight="false" outlineLevel="0" collapsed="false">
      <c r="A11" s="28" t="n">
        <v>46301.5236543519</v>
      </c>
      <c r="B11" s="31" t="n">
        <f aca="false">(A11-$A$5)*86400</f>
        <v>0.097999745</v>
      </c>
      <c r="C11" s="27" t="n">
        <v>0.712</v>
      </c>
      <c r="D11" s="27" t="n">
        <v>1.7946</v>
      </c>
      <c r="E11" s="27" t="s">
        <v>603</v>
      </c>
      <c r="F11" s="27" t="s">
        <v>144</v>
      </c>
      <c r="G11" s="32" t="n">
        <f aca="false">(A11-A10)*86400000</f>
        <v>15.999586</v>
      </c>
      <c r="H11" s="3"/>
      <c r="I11" s="3"/>
      <c r="J11" s="3"/>
      <c r="K11" s="3"/>
      <c r="L11" s="3"/>
      <c r="M11" s="3"/>
    </row>
    <row r="12" customFormat="false" ht="15" hidden="false" customHeight="false" outlineLevel="0" collapsed="false">
      <c r="A12" s="28" t="n">
        <v>46301.5236545255</v>
      </c>
      <c r="B12" s="31" t="n">
        <f aca="false">(A12-$A$5)*86400</f>
        <v>0.113000418</v>
      </c>
      <c r="C12" s="27" t="n">
        <v>0.6985</v>
      </c>
      <c r="D12" s="27" t="n">
        <v>1.7993</v>
      </c>
      <c r="E12" s="27" t="s">
        <v>603</v>
      </c>
      <c r="F12" s="27" t="s">
        <v>144</v>
      </c>
      <c r="G12" s="32" t="n">
        <f aca="false">(A12-A11)*86400000</f>
        <v>15.000673</v>
      </c>
      <c r="H12" s="3"/>
      <c r="I12" s="3" t="s">
        <v>614</v>
      </c>
      <c r="J12" s="3"/>
      <c r="K12" s="3"/>
      <c r="L12" s="32" t="n">
        <f aca="false">MEDIAN(G6:G2060)</f>
        <v>16.000214</v>
      </c>
      <c r="M12" s="3"/>
    </row>
    <row r="13" customFormat="false" ht="15" hidden="false" customHeight="false" outlineLevel="0" collapsed="false">
      <c r="A13" s="28" t="n">
        <v>46301.5236547107</v>
      </c>
      <c r="B13" s="31" t="n">
        <f aca="false">(A13-$A$5)*86400</f>
        <v>0.129000004</v>
      </c>
      <c r="C13" s="27" t="n">
        <v>0.6873</v>
      </c>
      <c r="D13" s="27" t="n">
        <v>1.8033</v>
      </c>
      <c r="E13" s="27" t="s">
        <v>603</v>
      </c>
      <c r="F13" s="27" t="s">
        <v>144</v>
      </c>
      <c r="G13" s="32" t="n">
        <f aca="false">(A13-A12)*86400000</f>
        <v>15.999586</v>
      </c>
      <c r="H13" s="3"/>
      <c r="I13" s="3" t="s">
        <v>615</v>
      </c>
      <c r="J13" s="3"/>
      <c r="K13" s="3"/>
      <c r="L13" s="32" t="n">
        <f aca="false">Constants!$B$11</f>
        <v>16.6666666666667</v>
      </c>
      <c r="M13" s="3"/>
    </row>
    <row r="14" customFormat="false" ht="15" hidden="false" customHeight="true" outlineLevel="0" collapsed="false">
      <c r="A14" s="28" t="n">
        <v>46301.5236549074</v>
      </c>
      <c r="B14" s="31" t="n">
        <f aca="false">(A14-$A$5)*86400</f>
        <v>0.146000389</v>
      </c>
      <c r="C14" s="27" t="n">
        <v>0.678</v>
      </c>
      <c r="D14" s="27" t="n">
        <v>1.8066</v>
      </c>
      <c r="E14" s="27" t="s">
        <v>603</v>
      </c>
      <c r="F14" s="27" t="s">
        <v>144</v>
      </c>
      <c r="G14" s="32" t="n">
        <f aca="false">(A14-A13)*86400000</f>
        <v>17.000385</v>
      </c>
      <c r="H14" s="3"/>
      <c r="I14" s="35" t="s">
        <v>616</v>
      </c>
      <c r="J14" s="35"/>
      <c r="K14" s="35"/>
      <c r="L14" s="35"/>
      <c r="M14" s="35"/>
    </row>
    <row r="15" customFormat="false" ht="15" hidden="false" customHeight="false" outlineLevel="0" collapsed="false">
      <c r="A15" s="28" t="n">
        <v>46301.5236550926</v>
      </c>
      <c r="B15" s="31" t="n">
        <f aca="false">(A15-$A$5)*86400</f>
        <v>0.161999976</v>
      </c>
      <c r="C15" s="27" t="n">
        <v>0.6704</v>
      </c>
      <c r="D15" s="27" t="n">
        <v>1.8092</v>
      </c>
      <c r="E15" s="27" t="s">
        <v>603</v>
      </c>
      <c r="F15" s="27" t="s">
        <v>144</v>
      </c>
      <c r="G15" s="32" t="n">
        <f aca="false">(A15-A14)*86400000</f>
        <v>15.999586</v>
      </c>
      <c r="H15" s="3"/>
      <c r="I15" s="35"/>
      <c r="J15" s="35"/>
      <c r="K15" s="35"/>
      <c r="L15" s="35"/>
      <c r="M15" s="35"/>
    </row>
    <row r="16" customFormat="false" ht="15" hidden="false" customHeight="false" outlineLevel="0" collapsed="false">
      <c r="A16" s="28" t="n">
        <v>46301.5236552778</v>
      </c>
      <c r="B16" s="31" t="n">
        <f aca="false">(A16-$A$5)*86400</f>
        <v>0.178000191</v>
      </c>
      <c r="C16" s="27" t="n">
        <v>0.6641</v>
      </c>
      <c r="D16" s="27" t="n">
        <v>1.8115</v>
      </c>
      <c r="E16" s="27" t="s">
        <v>603</v>
      </c>
      <c r="F16" s="27" t="s">
        <v>144</v>
      </c>
      <c r="G16" s="32" t="n">
        <f aca="false">(A16-A15)*86400000</f>
        <v>16.000214</v>
      </c>
      <c r="H16" s="3"/>
      <c r="I16" s="35"/>
      <c r="J16" s="35"/>
      <c r="K16" s="35"/>
      <c r="L16" s="35"/>
      <c r="M16" s="35"/>
    </row>
    <row r="17" customFormat="false" ht="15" hidden="false" customHeight="false" outlineLevel="0" collapsed="false">
      <c r="A17" s="28" t="n">
        <v>46301.5236554514</v>
      </c>
      <c r="B17" s="31" t="n">
        <f aca="false">(A17-$A$5)*86400</f>
        <v>0.193000235</v>
      </c>
      <c r="C17" s="27" t="n">
        <v>0.6589</v>
      </c>
      <c r="D17" s="27" t="n">
        <v>1.8133</v>
      </c>
      <c r="E17" s="27" t="s">
        <v>603</v>
      </c>
      <c r="F17" s="27" t="s">
        <v>144</v>
      </c>
      <c r="G17" s="32" t="n">
        <f aca="false">(A17-A16)*86400000</f>
        <v>15.000044</v>
      </c>
      <c r="H17" s="3"/>
      <c r="I17" s="35"/>
      <c r="J17" s="35"/>
      <c r="K17" s="35"/>
      <c r="L17" s="35"/>
      <c r="M17" s="35"/>
    </row>
    <row r="18" customFormat="false" ht="15" hidden="false" customHeight="false" outlineLevel="0" collapsed="false">
      <c r="A18" s="28" t="n">
        <v>46301.5236556482</v>
      </c>
      <c r="B18" s="31" t="n">
        <f aca="false">(A18-$A$5)*86400</f>
        <v>0.209999992</v>
      </c>
      <c r="C18" s="27" t="n">
        <v>0.6546</v>
      </c>
      <c r="D18" s="27" t="n">
        <v>1.8148</v>
      </c>
      <c r="E18" s="27" t="s">
        <v>603</v>
      </c>
      <c r="F18" s="27" t="s">
        <v>144</v>
      </c>
      <c r="G18" s="32" t="n">
        <f aca="false">(A18-A17)*86400000</f>
        <v>16.999756</v>
      </c>
      <c r="H18" s="3"/>
      <c r="I18" s="3"/>
      <c r="J18" s="3"/>
      <c r="K18" s="3"/>
      <c r="L18" s="3"/>
      <c r="M18" s="3"/>
    </row>
    <row r="19" customFormat="false" ht="15" hidden="false" customHeight="false" outlineLevel="0" collapsed="false">
      <c r="A19" s="28" t="n">
        <v>46301.5236558333</v>
      </c>
      <c r="B19" s="31" t="n">
        <f aca="false">(A19-$A$5)*86400</f>
        <v>0.225999578</v>
      </c>
      <c r="C19" s="27" t="n">
        <v>0.6511</v>
      </c>
      <c r="D19" s="27" t="n">
        <v>1.8161</v>
      </c>
      <c r="E19" s="27" t="s">
        <v>603</v>
      </c>
      <c r="F19" s="27" t="s">
        <v>144</v>
      </c>
      <c r="G19" s="32" t="n">
        <f aca="false">(A19-A18)*86400000</f>
        <v>15.999586</v>
      </c>
      <c r="H19" s="3"/>
      <c r="I19" s="3"/>
      <c r="J19" s="3"/>
      <c r="K19" s="3"/>
      <c r="L19" s="3"/>
      <c r="M19" s="3"/>
    </row>
    <row r="20" customFormat="false" ht="15" hidden="false" customHeight="false" outlineLevel="0" collapsed="false">
      <c r="A20" s="28" t="n">
        <v>46301.5236560185</v>
      </c>
      <c r="B20" s="31" t="n">
        <f aca="false">(A20-$A$5)*86400</f>
        <v>0.241999165</v>
      </c>
      <c r="C20" s="27" t="n">
        <v>0.648</v>
      </c>
      <c r="D20" s="27" t="n">
        <v>1.8171</v>
      </c>
      <c r="E20" s="27" t="s">
        <v>603</v>
      </c>
      <c r="F20" s="27" t="s">
        <v>144</v>
      </c>
      <c r="G20" s="32" t="n">
        <f aca="false">(A20-A19)*86400000</f>
        <v>15.999586</v>
      </c>
      <c r="H20" s="3"/>
      <c r="I20" s="15" t="s">
        <v>617</v>
      </c>
      <c r="J20" s="3"/>
      <c r="K20" s="3"/>
      <c r="L20" s="3"/>
      <c r="M20" s="3"/>
    </row>
    <row r="21" customFormat="false" ht="15" hidden="false" customHeight="false" outlineLevel="0" collapsed="false">
      <c r="A21" s="28" t="n">
        <v>46301.5236562153</v>
      </c>
      <c r="B21" s="31" t="n">
        <f aca="false">(A21-$A$5)*86400</f>
        <v>0.259000179</v>
      </c>
      <c r="C21" s="27" t="n">
        <v>0.6455</v>
      </c>
      <c r="D21" s="27" t="n">
        <v>1.818</v>
      </c>
      <c r="E21" s="27" t="s">
        <v>603</v>
      </c>
      <c r="F21" s="27" t="s">
        <v>144</v>
      </c>
      <c r="G21" s="32" t="n">
        <f aca="false">(A21-A20)*86400000</f>
        <v>17.001014</v>
      </c>
      <c r="H21" s="3"/>
      <c r="I21" s="12" t="s">
        <v>141</v>
      </c>
      <c r="J21" s="12" t="s">
        <v>142</v>
      </c>
      <c r="K21" s="12" t="s">
        <v>143</v>
      </c>
      <c r="L21" s="3"/>
      <c r="M21" s="3"/>
    </row>
    <row r="22" customFormat="false" ht="15" hidden="false" customHeight="false" outlineLevel="0" collapsed="false">
      <c r="A22" s="28" t="n">
        <v>46301.5236564005</v>
      </c>
      <c r="B22" s="31" t="n">
        <f aca="false">(A22-$A$5)*86400</f>
        <v>0.275001022</v>
      </c>
      <c r="C22" s="27" t="n">
        <v>0.6435</v>
      </c>
      <c r="D22" s="27" t="n">
        <v>1.8187</v>
      </c>
      <c r="E22" s="27" t="s">
        <v>603</v>
      </c>
      <c r="F22" s="27" t="s">
        <v>144</v>
      </c>
      <c r="G22" s="32" t="n">
        <f aca="false">(A22-A21)*86400000</f>
        <v>16.000843</v>
      </c>
      <c r="H22" s="3"/>
      <c r="I22" s="20" t="n">
        <v>0</v>
      </c>
      <c r="J22" s="6" t="n">
        <f aca="false">INDEX(Constants!$D$18:$D$41,MATCH("3-3-3#"&amp;I22,Constants!$A$18:$A$41,0))</f>
        <v>0.25</v>
      </c>
      <c r="K22" s="6" t="n">
        <f aca="false">INDEX(Constants!$E$18:$E$41,MATCH("3-3-3#"&amp;I22,Constants!$A$18:$A$41,0))</f>
        <v>1.1</v>
      </c>
      <c r="L22" s="3"/>
      <c r="M22" s="3"/>
    </row>
    <row r="23" customFormat="false" ht="15" hidden="false" customHeight="false" outlineLevel="0" collapsed="false">
      <c r="A23" s="28" t="n">
        <v>46301.5236565972</v>
      </c>
      <c r="B23" s="31" t="n">
        <f aca="false">(A23-$A$5)*86400</f>
        <v>0.292000151</v>
      </c>
      <c r="C23" s="27" t="n">
        <v>0.6419</v>
      </c>
      <c r="D23" s="27" t="n">
        <v>1.8193</v>
      </c>
      <c r="E23" s="27" t="s">
        <v>603</v>
      </c>
      <c r="F23" s="27" t="s">
        <v>144</v>
      </c>
      <c r="G23" s="32" t="n">
        <f aca="false">(A23-A22)*86400000</f>
        <v>16.999128</v>
      </c>
      <c r="H23" s="3"/>
      <c r="I23" s="20" t="n">
        <v>1</v>
      </c>
      <c r="J23" s="6" t="n">
        <f aca="false">INDEX(Constants!$D$18:$D$41,MATCH("3-3-3#"&amp;I23,Constants!$A$18:$A$41,0))</f>
        <v>0.75</v>
      </c>
      <c r="K23" s="6" t="n">
        <f aca="false">INDEX(Constants!$E$18:$E$41,MATCH("3-3-3#"&amp;I23,Constants!$A$18:$A$41,0))</f>
        <v>1.1</v>
      </c>
      <c r="L23" s="3"/>
      <c r="M23" s="3"/>
    </row>
    <row r="24" customFormat="false" ht="15" hidden="false" customHeight="false" outlineLevel="0" collapsed="false">
      <c r="A24" s="28" t="n">
        <v>46301.5236567824</v>
      </c>
      <c r="B24" s="31" t="n">
        <f aca="false">(A24-$A$5)*86400</f>
        <v>0.308000366</v>
      </c>
      <c r="C24" s="27" t="n">
        <v>0.6406</v>
      </c>
      <c r="D24" s="27" t="n">
        <v>1.8197</v>
      </c>
      <c r="E24" s="27" t="s">
        <v>603</v>
      </c>
      <c r="F24" s="27" t="s">
        <v>144</v>
      </c>
      <c r="G24" s="32" t="n">
        <f aca="false">(A24-A23)*86400000</f>
        <v>16.000214</v>
      </c>
      <c r="H24" s="3"/>
      <c r="I24" s="20" t="n">
        <v>2</v>
      </c>
      <c r="J24" s="6" t="n">
        <f aca="false">INDEX(Constants!$D$18:$D$41,MATCH("3-3-3#"&amp;I24,Constants!$A$18:$A$41,0))</f>
        <v>1.25</v>
      </c>
      <c r="K24" s="6" t="n">
        <f aca="false">INDEX(Constants!$E$18:$E$41,MATCH("3-3-3#"&amp;I24,Constants!$A$18:$A$41,0))</f>
        <v>1.1</v>
      </c>
      <c r="L24" s="3"/>
      <c r="M24" s="3"/>
    </row>
    <row r="25" customFormat="false" ht="15" hidden="false" customHeight="false" outlineLevel="0" collapsed="false">
      <c r="A25" s="28" t="n">
        <v>46301.5236569676</v>
      </c>
      <c r="B25" s="31" t="n">
        <f aca="false">(A25-$A$5)*86400</f>
        <v>0.323999952</v>
      </c>
      <c r="C25" s="27" t="n">
        <v>0.6396</v>
      </c>
      <c r="D25" s="27" t="n">
        <v>1.8192</v>
      </c>
      <c r="E25" s="27" t="s">
        <v>603</v>
      </c>
      <c r="F25" s="27" t="s">
        <v>144</v>
      </c>
      <c r="G25" s="32" t="n">
        <f aca="false">(A25-A24)*86400000</f>
        <v>15.999586</v>
      </c>
      <c r="H25" s="3"/>
      <c r="I25" s="20" t="n">
        <v>3</v>
      </c>
      <c r="J25" s="6" t="n">
        <f aca="false">INDEX(Constants!$D$18:$D$41,MATCH("3-3-3#"&amp;I25,Constants!$A$18:$A$41,0))</f>
        <v>0.25</v>
      </c>
      <c r="K25" s="6" t="n">
        <f aca="false">INDEX(Constants!$E$18:$E$41,MATCH("3-3-3#"&amp;I25,Constants!$A$18:$A$41,0))</f>
        <v>1.45</v>
      </c>
      <c r="L25" s="3"/>
      <c r="M25" s="3"/>
    </row>
    <row r="26" customFormat="false" ht="15" hidden="false" customHeight="false" outlineLevel="0" collapsed="false">
      <c r="A26" s="28" t="n">
        <v>46301.523657338</v>
      </c>
      <c r="B26" s="31" t="n">
        <f aca="false">(A26-$A$5)*86400</f>
        <v>0.356001011</v>
      </c>
      <c r="C26" s="27" t="n">
        <v>0.6381</v>
      </c>
      <c r="D26" s="27" t="n">
        <v>1.8184</v>
      </c>
      <c r="E26" s="27" t="s">
        <v>603</v>
      </c>
      <c r="F26" s="27" t="s">
        <v>144</v>
      </c>
      <c r="G26" s="32" t="n">
        <f aca="false">(A26-A25)*86400000</f>
        <v>32.001058</v>
      </c>
      <c r="H26" s="3"/>
      <c r="I26" s="20" t="n">
        <v>4</v>
      </c>
      <c r="J26" s="6" t="n">
        <f aca="false">INDEX(Constants!$D$18:$D$41,MATCH("3-3-3#"&amp;I26,Constants!$A$18:$A$41,0))</f>
        <v>0.75</v>
      </c>
      <c r="K26" s="6" t="n">
        <f aca="false">INDEX(Constants!$E$18:$E$41,MATCH("3-3-3#"&amp;I26,Constants!$A$18:$A$41,0))</f>
        <v>1.45</v>
      </c>
      <c r="L26" s="3"/>
      <c r="M26" s="3"/>
    </row>
    <row r="27" customFormat="false" ht="15" hidden="false" customHeight="false" outlineLevel="0" collapsed="false">
      <c r="A27" s="28" t="n">
        <v>46301.5236580787</v>
      </c>
      <c r="B27" s="31" t="n">
        <f aca="false">(A27-$A$5)*86400</f>
        <v>0.419999985</v>
      </c>
      <c r="C27" s="27" t="n">
        <v>0.6363</v>
      </c>
      <c r="D27" s="27" t="n">
        <v>1.8174</v>
      </c>
      <c r="E27" s="27" t="s">
        <v>603</v>
      </c>
      <c r="F27" s="27" t="s">
        <v>144</v>
      </c>
      <c r="G27" s="32" t="n">
        <f aca="false">(A27-A26)*86400000</f>
        <v>63.998973</v>
      </c>
      <c r="H27" s="3"/>
      <c r="I27" s="20" t="n">
        <v>5</v>
      </c>
      <c r="J27" s="6" t="n">
        <f aca="false">INDEX(Constants!$D$18:$D$41,MATCH("3-3-3#"&amp;I27,Constants!$A$18:$A$41,0))</f>
        <v>1.25</v>
      </c>
      <c r="K27" s="6" t="n">
        <f aca="false">INDEX(Constants!$E$18:$E$41,MATCH("3-3-3#"&amp;I27,Constants!$A$18:$A$41,0))</f>
        <v>1.45</v>
      </c>
      <c r="L27" s="3"/>
      <c r="M27" s="3"/>
    </row>
    <row r="28" customFormat="false" ht="15" hidden="false" customHeight="false" outlineLevel="0" collapsed="false">
      <c r="A28" s="28" t="n">
        <v>46301.5236582639</v>
      </c>
      <c r="B28" s="31" t="n">
        <f aca="false">(A28-$A$5)*86400</f>
        <v>0.436000199</v>
      </c>
      <c r="C28" s="27" t="n">
        <v>0.6758</v>
      </c>
      <c r="D28" s="27" t="n">
        <v>1.8143</v>
      </c>
      <c r="E28" s="27" t="s">
        <v>603</v>
      </c>
      <c r="F28" s="27" t="s">
        <v>144</v>
      </c>
      <c r="G28" s="32" t="n">
        <f aca="false">(A28-A27)*86400000</f>
        <v>16.000214</v>
      </c>
      <c r="H28" s="3"/>
      <c r="I28" s="20" t="n">
        <v>6</v>
      </c>
      <c r="J28" s="6" t="n">
        <f aca="false">INDEX(Constants!$D$18:$D$41,MATCH("3-3-3#"&amp;I28,Constants!$A$18:$A$41,0))</f>
        <v>0.25</v>
      </c>
      <c r="K28" s="6" t="n">
        <f aca="false">INDEX(Constants!$E$18:$E$41,MATCH("3-3-3#"&amp;I28,Constants!$A$18:$A$41,0))</f>
        <v>1.8</v>
      </c>
      <c r="L28" s="3"/>
      <c r="M28" s="3"/>
    </row>
    <row r="29" customFormat="false" ht="15" hidden="false" customHeight="false" outlineLevel="0" collapsed="false">
      <c r="A29" s="28" t="n">
        <v>46301.5236584491</v>
      </c>
      <c r="B29" s="31" t="n">
        <f aca="false">(A29-$A$5)*86400</f>
        <v>0.452000414</v>
      </c>
      <c r="C29" s="27" t="n">
        <v>0.7083</v>
      </c>
      <c r="D29" s="27" t="n">
        <v>1.8118</v>
      </c>
      <c r="E29" s="27" t="s">
        <v>603</v>
      </c>
      <c r="F29" s="27" t="s">
        <v>144</v>
      </c>
      <c r="G29" s="32" t="n">
        <f aca="false">(A29-A28)*86400000</f>
        <v>16.000214</v>
      </c>
      <c r="H29" s="3"/>
      <c r="I29" s="20" t="n">
        <v>7</v>
      </c>
      <c r="J29" s="6" t="n">
        <f aca="false">INDEX(Constants!$D$18:$D$41,MATCH("3-3-3#"&amp;I29,Constants!$A$18:$A$41,0))</f>
        <v>0.75</v>
      </c>
      <c r="K29" s="6" t="n">
        <f aca="false">INDEX(Constants!$E$18:$E$41,MATCH("3-3-3#"&amp;I29,Constants!$A$18:$A$41,0))</f>
        <v>1.8</v>
      </c>
      <c r="L29" s="3"/>
      <c r="M29" s="3"/>
    </row>
    <row r="30" customFormat="false" ht="15" hidden="false" customHeight="false" outlineLevel="0" collapsed="false">
      <c r="A30" s="28" t="n">
        <v>46301.5236586227</v>
      </c>
      <c r="B30" s="31" t="n">
        <f aca="false">(A30-$A$5)*86400</f>
        <v>0.46699983</v>
      </c>
      <c r="C30" s="27" t="n">
        <v>0.7352</v>
      </c>
      <c r="D30" s="27" t="n">
        <v>1.8097</v>
      </c>
      <c r="E30" s="27" t="s">
        <v>603</v>
      </c>
      <c r="F30" s="27" t="s">
        <v>144</v>
      </c>
      <c r="G30" s="32" t="n">
        <f aca="false">(A30-A29)*86400000</f>
        <v>14.999415</v>
      </c>
      <c r="H30" s="3"/>
      <c r="I30" s="20" t="n">
        <v>8</v>
      </c>
      <c r="J30" s="6" t="n">
        <f aca="false">INDEX(Constants!$D$18:$D$41,MATCH("3-3-3#"&amp;I30,Constants!$A$18:$A$41,0))</f>
        <v>1.25</v>
      </c>
      <c r="K30" s="6" t="n">
        <f aca="false">INDEX(Constants!$E$18:$E$41,MATCH("3-3-3#"&amp;I30,Constants!$A$18:$A$41,0))</f>
        <v>1.8</v>
      </c>
      <c r="L30" s="3"/>
      <c r="M30" s="3"/>
    </row>
    <row r="31" customFormat="false" ht="15" hidden="false" customHeight="false" outlineLevel="0" collapsed="false">
      <c r="A31" s="28" t="n">
        <v>46301.5236588079</v>
      </c>
      <c r="B31" s="31" t="n">
        <f aca="false">(A31-$A$5)*86400</f>
        <v>0.483000045</v>
      </c>
      <c r="C31" s="27" t="n">
        <v>0.7574</v>
      </c>
      <c r="D31" s="27" t="n">
        <v>1.808</v>
      </c>
      <c r="E31" s="27" t="s">
        <v>603</v>
      </c>
      <c r="F31" s="27" t="s">
        <v>144</v>
      </c>
      <c r="G31" s="32" t="n">
        <f aca="false">(A31-A30)*86400000</f>
        <v>16.000214</v>
      </c>
      <c r="H31" s="3"/>
      <c r="I31" s="3"/>
      <c r="J31" s="3"/>
      <c r="K31" s="3"/>
      <c r="L31" s="3"/>
      <c r="M31" s="3"/>
    </row>
    <row r="32" customFormat="false" ht="15" hidden="false" customHeight="false" outlineLevel="0" collapsed="false">
      <c r="A32" s="28" t="n">
        <v>46301.5236590046</v>
      </c>
      <c r="B32" s="31" t="n">
        <f aca="false">(A32-$A$5)*86400</f>
        <v>0.500000431</v>
      </c>
      <c r="C32" s="27" t="n">
        <v>0.7757</v>
      </c>
      <c r="D32" s="27" t="n">
        <v>1.8066</v>
      </c>
      <c r="E32" s="27" t="s">
        <v>603</v>
      </c>
      <c r="F32" s="27" t="s">
        <v>144</v>
      </c>
      <c r="G32" s="32" t="n">
        <f aca="false">(A32-A31)*86400000</f>
        <v>17.000385</v>
      </c>
      <c r="H32" s="3"/>
      <c r="I32" s="12" t="s">
        <v>618</v>
      </c>
      <c r="J32" s="12" t="s">
        <v>141</v>
      </c>
      <c r="K32" s="12" t="s">
        <v>578</v>
      </c>
      <c r="L32" s="12" t="s">
        <v>579</v>
      </c>
      <c r="M32" s="3"/>
    </row>
    <row r="33" customFormat="false" ht="15" hidden="false" customHeight="false" outlineLevel="0" collapsed="false">
      <c r="A33" s="28" t="n">
        <v>46301.5236591898</v>
      </c>
      <c r="B33" s="31" t="n">
        <f aca="false">(A33-$A$5)*86400</f>
        <v>0.515999388</v>
      </c>
      <c r="C33" s="27" t="n">
        <v>0.7908</v>
      </c>
      <c r="D33" s="27" t="n">
        <v>1.8054</v>
      </c>
      <c r="E33" s="27" t="s">
        <v>603</v>
      </c>
      <c r="F33" s="27" t="s">
        <v>144</v>
      </c>
      <c r="G33" s="32" t="n">
        <f aca="false">(A33-A32)*86400000</f>
        <v>15.998957</v>
      </c>
      <c r="H33" s="3"/>
      <c r="I33" s="6" t="s">
        <v>619</v>
      </c>
      <c r="J33" s="6" t="n">
        <f aca="false">Hits!E71</f>
        <v>3</v>
      </c>
      <c r="K33" s="18" t="n">
        <f aca="false">Hits!L71</f>
        <v>0.25</v>
      </c>
      <c r="L33" s="18" t="n">
        <f aca="false">Hits!M71</f>
        <v>1.45</v>
      </c>
      <c r="M33" s="3"/>
    </row>
    <row r="34" customFormat="false" ht="15" hidden="false" customHeight="false" outlineLevel="0" collapsed="false">
      <c r="A34" s="28" t="n">
        <v>46301.523659375</v>
      </c>
      <c r="B34" s="31" t="n">
        <f aca="false">(A34-$A$5)*86400</f>
        <v>0.532000232</v>
      </c>
      <c r="C34" s="27" t="n">
        <v>0.8033</v>
      </c>
      <c r="D34" s="27" t="n">
        <v>1.8045</v>
      </c>
      <c r="E34" s="27" t="s">
        <v>603</v>
      </c>
      <c r="F34" s="27" t="s">
        <v>144</v>
      </c>
      <c r="G34" s="32" t="n">
        <f aca="false">(A34-A33)*86400000</f>
        <v>16.000843</v>
      </c>
      <c r="H34" s="3"/>
      <c r="I34" s="6" t="s">
        <v>620</v>
      </c>
      <c r="J34" s="6" t="n">
        <f aca="false">Hits!E72</f>
        <v>1</v>
      </c>
      <c r="K34" s="18" t="n">
        <f aca="false">Hits!L72</f>
        <v>0.75</v>
      </c>
      <c r="L34" s="18" t="n">
        <f aca="false">Hits!M72</f>
        <v>1.1</v>
      </c>
      <c r="M34" s="3"/>
    </row>
    <row r="35" customFormat="false" ht="15" hidden="false" customHeight="false" outlineLevel="0" collapsed="false">
      <c r="A35" s="28" t="n">
        <v>46301.5236595602</v>
      </c>
      <c r="B35" s="31" t="n">
        <f aca="false">(A35-$A$5)*86400</f>
        <v>0.547999818</v>
      </c>
      <c r="C35" s="27" t="n">
        <v>0.8136</v>
      </c>
      <c r="D35" s="27" t="n">
        <v>1.8037</v>
      </c>
      <c r="E35" s="27" t="s">
        <v>603</v>
      </c>
      <c r="F35" s="27" t="s">
        <v>144</v>
      </c>
      <c r="G35" s="32" t="n">
        <f aca="false">(A35-A34)*86400000</f>
        <v>15.999586</v>
      </c>
      <c r="H35" s="3"/>
      <c r="I35" s="6" t="s">
        <v>621</v>
      </c>
      <c r="J35" s="6" t="n">
        <f aca="false">Hits!E73</f>
        <v>0</v>
      </c>
      <c r="K35" s="18" t="n">
        <f aca="false">Hits!L73</f>
        <v>0.25</v>
      </c>
      <c r="L35" s="18" t="n">
        <f aca="false">Hits!M73</f>
        <v>1.1</v>
      </c>
      <c r="M35" s="3"/>
    </row>
    <row r="36" customFormat="false" ht="15" hidden="false" customHeight="false" outlineLevel="0" collapsed="false">
      <c r="A36" s="28" t="n">
        <v>46301.5236597454</v>
      </c>
      <c r="B36" s="31" t="n">
        <f aca="false">(A36-$A$5)*86400</f>
        <v>0.564000033</v>
      </c>
      <c r="C36" s="27" t="n">
        <v>0.8221</v>
      </c>
      <c r="D36" s="27" t="n">
        <v>1.803</v>
      </c>
      <c r="E36" s="27" t="s">
        <v>603</v>
      </c>
      <c r="F36" s="27" t="s">
        <v>144</v>
      </c>
      <c r="G36" s="32" t="n">
        <f aca="false">(A36-A35)*86400000</f>
        <v>16.000214</v>
      </c>
      <c r="H36" s="3"/>
      <c r="I36" s="3"/>
      <c r="J36" s="3"/>
      <c r="K36" s="3"/>
      <c r="L36" s="3"/>
      <c r="M36" s="3"/>
    </row>
    <row r="37" customFormat="false" ht="15" hidden="false" customHeight="false" outlineLevel="0" collapsed="false">
      <c r="A37" s="28" t="n">
        <v>46301.5236599306</v>
      </c>
      <c r="B37" s="31" t="n">
        <f aca="false">(A37-$A$5)*86400</f>
        <v>0.580000248</v>
      </c>
      <c r="C37" s="27" t="n">
        <v>0.8295</v>
      </c>
      <c r="D37" s="27" t="n">
        <v>1.8024</v>
      </c>
      <c r="E37" s="27" t="s">
        <v>603</v>
      </c>
      <c r="F37" s="27" t="s">
        <v>144</v>
      </c>
      <c r="G37" s="32" t="n">
        <f aca="false">(A37-A36)*86400000</f>
        <v>16.000214</v>
      </c>
      <c r="H37" s="3"/>
      <c r="I37" s="3"/>
      <c r="J37" s="3"/>
      <c r="K37" s="3"/>
      <c r="L37" s="3"/>
      <c r="M37" s="3"/>
    </row>
    <row r="38" customFormat="false" ht="15" hidden="false" customHeight="false" outlineLevel="0" collapsed="false">
      <c r="A38" s="28" t="n">
        <v>46301.5236601042</v>
      </c>
      <c r="B38" s="31" t="n">
        <f aca="false">(A38-$A$5)*86400</f>
        <v>0.595000293</v>
      </c>
      <c r="C38" s="27" t="n">
        <v>0.8352</v>
      </c>
      <c r="D38" s="27" t="n">
        <v>1.802</v>
      </c>
      <c r="E38" s="27" t="s">
        <v>603</v>
      </c>
      <c r="F38" s="27" t="s">
        <v>144</v>
      </c>
      <c r="G38" s="32" t="n">
        <f aca="false">(A38-A37)*86400000</f>
        <v>15.000044</v>
      </c>
      <c r="H38" s="3"/>
      <c r="I38" s="3"/>
      <c r="J38" s="3"/>
      <c r="K38" s="3"/>
      <c r="L38" s="3"/>
      <c r="M38" s="3"/>
    </row>
    <row r="39" customFormat="false" ht="15" hidden="false" customHeight="false" outlineLevel="0" collapsed="false">
      <c r="A39" s="28" t="n">
        <v>46301.5236603009</v>
      </c>
      <c r="B39" s="31" t="n">
        <f aca="false">(A39-$A$5)*86400</f>
        <v>0.612000678</v>
      </c>
      <c r="C39" s="27" t="n">
        <v>0.8399</v>
      </c>
      <c r="D39" s="27" t="n">
        <v>1.8016</v>
      </c>
      <c r="E39" s="27" t="s">
        <v>603</v>
      </c>
      <c r="F39" s="27" t="s">
        <v>144</v>
      </c>
      <c r="G39" s="32" t="n">
        <f aca="false">(A39-A38)*86400000</f>
        <v>17.000385</v>
      </c>
      <c r="H39" s="3"/>
      <c r="I39" s="3"/>
      <c r="J39" s="3"/>
      <c r="K39" s="3"/>
      <c r="L39" s="3"/>
      <c r="M39" s="3"/>
    </row>
    <row r="40" customFormat="false" ht="15" hidden="false" customHeight="false" outlineLevel="0" collapsed="false">
      <c r="A40" s="28" t="n">
        <v>46301.5236604861</v>
      </c>
      <c r="B40" s="31" t="n">
        <f aca="false">(A40-$A$5)*86400</f>
        <v>0.628000264</v>
      </c>
      <c r="C40" s="27" t="n">
        <v>0.8438</v>
      </c>
      <c r="D40" s="27" t="n">
        <v>1.8013</v>
      </c>
      <c r="E40" s="27" t="s">
        <v>603</v>
      </c>
      <c r="F40" s="27" t="s">
        <v>144</v>
      </c>
      <c r="G40" s="32" t="n">
        <f aca="false">(A40-A39)*86400000</f>
        <v>15.999586</v>
      </c>
      <c r="H40" s="3"/>
      <c r="I40" s="3"/>
      <c r="J40" s="3"/>
      <c r="K40" s="3"/>
      <c r="L40" s="3"/>
      <c r="M40" s="3"/>
    </row>
    <row r="41" customFormat="false" ht="15" hidden="false" customHeight="false" outlineLevel="0" collapsed="false">
      <c r="A41" s="28" t="n">
        <v>46301.5236606713</v>
      </c>
      <c r="B41" s="31" t="n">
        <f aca="false">(A41-$A$5)*86400</f>
        <v>0.643999851</v>
      </c>
      <c r="C41" s="27" t="n">
        <v>0.8472</v>
      </c>
      <c r="D41" s="27" t="n">
        <v>1.801</v>
      </c>
      <c r="E41" s="27" t="s">
        <v>603</v>
      </c>
      <c r="F41" s="27" t="s">
        <v>144</v>
      </c>
      <c r="G41" s="32" t="n">
        <f aca="false">(A41-A40)*86400000</f>
        <v>15.999586</v>
      </c>
      <c r="H41" s="3"/>
      <c r="I41" s="3"/>
      <c r="J41" s="3"/>
      <c r="K41" s="3"/>
      <c r="L41" s="3"/>
      <c r="M41" s="3"/>
    </row>
    <row r="42" customFormat="false" ht="15" hidden="false" customHeight="false" outlineLevel="0" collapsed="false">
      <c r="A42" s="28" t="n">
        <v>46301.5236608681</v>
      </c>
      <c r="B42" s="31" t="n">
        <f aca="false">(A42-$A$5)*86400</f>
        <v>0.661000236</v>
      </c>
      <c r="C42" s="27" t="n">
        <v>0.8498</v>
      </c>
      <c r="D42" s="27" t="n">
        <v>1.8008</v>
      </c>
      <c r="E42" s="27" t="s">
        <v>603</v>
      </c>
      <c r="F42" s="27" t="s">
        <v>144</v>
      </c>
      <c r="G42" s="32" t="n">
        <f aca="false">(A42-A41)*86400000</f>
        <v>17.000385</v>
      </c>
      <c r="H42" s="3"/>
      <c r="I42" s="3"/>
      <c r="J42" s="3"/>
      <c r="K42" s="3"/>
      <c r="L42" s="3"/>
      <c r="M42" s="3"/>
    </row>
    <row r="43" customFormat="false" ht="15" hidden="false" customHeight="false" outlineLevel="0" collapsed="false">
      <c r="A43" s="28" t="n">
        <v>46301.5236610417</v>
      </c>
      <c r="B43" s="31" t="n">
        <f aca="false">(A43-$A$5)*86400</f>
        <v>0.676000281</v>
      </c>
      <c r="C43" s="27" t="n">
        <v>0.852</v>
      </c>
      <c r="D43" s="27" t="n">
        <v>1.8007</v>
      </c>
      <c r="E43" s="27" t="s">
        <v>603</v>
      </c>
      <c r="F43" s="27" t="s">
        <v>144</v>
      </c>
      <c r="G43" s="32" t="n">
        <f aca="false">(A43-A42)*86400000</f>
        <v>15.000044</v>
      </c>
      <c r="H43" s="3"/>
      <c r="I43" s="3"/>
      <c r="J43" s="3"/>
      <c r="K43" s="3"/>
      <c r="L43" s="3"/>
      <c r="M43" s="3"/>
    </row>
    <row r="44" customFormat="false" ht="15" hidden="false" customHeight="false" outlineLevel="0" collapsed="false">
      <c r="A44" s="28" t="n">
        <v>46301.5236612269</v>
      </c>
      <c r="B44" s="31" t="n">
        <f aca="false">(A44-$A$5)*86400</f>
        <v>0.691999867</v>
      </c>
      <c r="C44" s="27" t="n">
        <v>0.8538</v>
      </c>
      <c r="D44" s="27" t="n">
        <v>1.8005</v>
      </c>
      <c r="E44" s="27" t="s">
        <v>603</v>
      </c>
      <c r="F44" s="27" t="s">
        <v>144</v>
      </c>
      <c r="G44" s="32" t="n">
        <f aca="false">(A44-A43)*86400000</f>
        <v>15.999586</v>
      </c>
      <c r="H44" s="3"/>
      <c r="I44" s="3"/>
      <c r="J44" s="3"/>
      <c r="K44" s="3"/>
      <c r="L44" s="3"/>
      <c r="M44" s="3"/>
    </row>
    <row r="45" customFormat="false" ht="15" hidden="false" customHeight="false" outlineLevel="0" collapsed="false">
      <c r="A45" s="28" t="n">
        <v>46301.5236614236</v>
      </c>
      <c r="B45" s="31" t="n">
        <f aca="false">(A45-$A$5)*86400</f>
        <v>0.709000253</v>
      </c>
      <c r="C45" s="27" t="n">
        <v>0.8553</v>
      </c>
      <c r="D45" s="27" t="n">
        <v>1.8004</v>
      </c>
      <c r="E45" s="27" t="s">
        <v>603</v>
      </c>
      <c r="F45" s="27" t="s">
        <v>144</v>
      </c>
      <c r="G45" s="32" t="n">
        <f aca="false">(A45-A44)*86400000</f>
        <v>17.000385</v>
      </c>
      <c r="H45" s="3"/>
      <c r="I45" s="3"/>
      <c r="J45" s="3"/>
      <c r="K45" s="3"/>
      <c r="L45" s="3"/>
      <c r="M45" s="3"/>
    </row>
    <row r="46" customFormat="false" ht="15" hidden="false" customHeight="false" outlineLevel="0" collapsed="false">
      <c r="A46" s="28" t="n">
        <v>46301.523661794</v>
      </c>
      <c r="B46" s="31" t="n">
        <f aca="false">(A46-$A$5)*86400</f>
        <v>0.741000054</v>
      </c>
      <c r="C46" s="27" t="n">
        <v>0.8575</v>
      </c>
      <c r="D46" s="27" t="n">
        <v>1.8002</v>
      </c>
      <c r="E46" s="27" t="s">
        <v>603</v>
      </c>
      <c r="F46" s="27" t="s">
        <v>144</v>
      </c>
      <c r="G46" s="32" t="n">
        <f aca="false">(A46-A45)*86400000</f>
        <v>31.999801</v>
      </c>
      <c r="H46" s="3"/>
      <c r="I46" s="3"/>
      <c r="J46" s="3"/>
      <c r="K46" s="3"/>
      <c r="L46" s="3"/>
      <c r="M46" s="3"/>
    </row>
    <row r="47" customFormat="false" ht="15" hidden="false" customHeight="false" outlineLevel="0" collapsed="false">
      <c r="A47" s="28" t="n">
        <v>46301.5236621759</v>
      </c>
      <c r="B47" s="31" t="n">
        <f aca="false">(A47-$A$5)*86400</f>
        <v>0.773999397</v>
      </c>
      <c r="C47" s="27" t="n">
        <v>0.859</v>
      </c>
      <c r="D47" s="27" t="n">
        <v>1.8001</v>
      </c>
      <c r="E47" s="27" t="s">
        <v>603</v>
      </c>
      <c r="F47" s="27" t="s">
        <v>144</v>
      </c>
      <c r="G47" s="32" t="n">
        <f aca="false">(A47-A46)*86400000</f>
        <v>32.999343</v>
      </c>
      <c r="H47" s="3"/>
      <c r="I47" s="3"/>
      <c r="J47" s="3"/>
      <c r="K47" s="3"/>
      <c r="L47" s="3"/>
      <c r="M47" s="3"/>
    </row>
    <row r="48" customFormat="false" ht="15" hidden="false" customHeight="false" outlineLevel="0" collapsed="false">
      <c r="A48" s="28" t="n">
        <v>46301.5236627431</v>
      </c>
      <c r="B48" s="31" t="n">
        <f aca="false">(A48-$A$5)*86400</f>
        <v>0.823000213</v>
      </c>
      <c r="C48" s="27" t="n">
        <v>0.8604</v>
      </c>
      <c r="D48" s="27" t="n">
        <v>1.8</v>
      </c>
      <c r="E48" s="27" t="s">
        <v>603</v>
      </c>
      <c r="F48" s="27" t="s">
        <v>144</v>
      </c>
      <c r="G48" s="32" t="n">
        <f aca="false">(A48-A47)*86400000</f>
        <v>49.000815</v>
      </c>
      <c r="H48" s="3"/>
      <c r="I48" s="3"/>
      <c r="J48" s="3"/>
      <c r="K48" s="3"/>
      <c r="L48" s="3"/>
      <c r="M48" s="3"/>
    </row>
    <row r="49" customFormat="false" ht="15" hidden="false" customHeight="false" outlineLevel="0" collapsed="false">
      <c r="A49" s="28" t="n">
        <v>46301.5236629282</v>
      </c>
      <c r="B49" s="31" t="n">
        <f aca="false">(A49-$A$5)*86400</f>
        <v>0.838999799</v>
      </c>
      <c r="C49" s="27" t="n">
        <v>0.8622</v>
      </c>
      <c r="D49" s="27" t="n">
        <v>1.7999</v>
      </c>
      <c r="E49" s="27" t="s">
        <v>603</v>
      </c>
      <c r="F49" s="27" t="s">
        <v>144</v>
      </c>
      <c r="G49" s="32" t="n">
        <f aca="false">(A49-A48)*86400000</f>
        <v>15.999586</v>
      </c>
      <c r="H49" s="3"/>
      <c r="I49" s="3"/>
      <c r="J49" s="3"/>
      <c r="K49" s="3"/>
      <c r="L49" s="3"/>
      <c r="M49" s="3"/>
    </row>
    <row r="50" customFormat="false" ht="15" hidden="false" customHeight="false" outlineLevel="0" collapsed="false">
      <c r="A50" s="28" t="n">
        <v>46301.5236664815</v>
      </c>
      <c r="B50" s="31" t="n">
        <f aca="false">(A50-$A$5)*86400</f>
        <v>1.145999995</v>
      </c>
      <c r="C50" s="27" t="n">
        <v>0.8207</v>
      </c>
      <c r="D50" s="27" t="n">
        <v>1.7977</v>
      </c>
      <c r="E50" s="27" t="s">
        <v>603</v>
      </c>
      <c r="F50" s="27" t="s">
        <v>144</v>
      </c>
      <c r="G50" s="32" t="n">
        <f aca="false">(A50-A49)*86400000</f>
        <v>307.000195</v>
      </c>
      <c r="H50" s="3"/>
      <c r="I50" s="3"/>
      <c r="J50" s="3"/>
      <c r="K50" s="3"/>
      <c r="L50" s="3"/>
      <c r="M50" s="3"/>
    </row>
    <row r="51" customFormat="false" ht="15" hidden="false" customHeight="false" outlineLevel="0" collapsed="false">
      <c r="A51" s="28" t="n">
        <v>46301.5236666667</v>
      </c>
      <c r="B51" s="31" t="n">
        <f aca="false">(A51-$A$5)*86400</f>
        <v>1.16200021</v>
      </c>
      <c r="C51" s="27" t="n">
        <v>0.7887</v>
      </c>
      <c r="D51" s="27" t="n">
        <v>1.796</v>
      </c>
      <c r="E51" s="27" t="s">
        <v>603</v>
      </c>
      <c r="F51" s="27" t="s">
        <v>144</v>
      </c>
      <c r="G51" s="32" t="n">
        <f aca="false">(A51-A50)*86400000</f>
        <v>16.000214</v>
      </c>
      <c r="H51" s="3"/>
      <c r="I51" s="3"/>
      <c r="J51" s="3"/>
      <c r="K51" s="3"/>
      <c r="L51" s="3"/>
      <c r="M51" s="3"/>
    </row>
    <row r="52" customFormat="false" ht="15" hidden="false" customHeight="false" outlineLevel="0" collapsed="false">
      <c r="A52" s="28" t="n">
        <v>46301.5236668519</v>
      </c>
      <c r="B52" s="31" t="n">
        <f aca="false">(A52-$A$5)*86400</f>
        <v>1.177999796</v>
      </c>
      <c r="C52" s="27" t="n">
        <v>0.7607</v>
      </c>
      <c r="D52" s="27" t="n">
        <v>1.7946</v>
      </c>
      <c r="E52" s="27" t="s">
        <v>603</v>
      </c>
      <c r="F52" s="27" t="s">
        <v>144</v>
      </c>
      <c r="G52" s="32" t="n">
        <f aca="false">(A52-A51)*86400000</f>
        <v>15.999586</v>
      </c>
      <c r="H52" s="3"/>
      <c r="I52" s="3"/>
      <c r="J52" s="3"/>
      <c r="K52" s="3"/>
      <c r="L52" s="3"/>
      <c r="M52" s="3"/>
    </row>
    <row r="53" customFormat="false" ht="15" hidden="false" customHeight="false" outlineLevel="0" collapsed="false">
      <c r="A53" s="28" t="n">
        <v>46301.5236670486</v>
      </c>
      <c r="B53" s="31" t="n">
        <f aca="false">(A53-$A$5)*86400</f>
        <v>1.195000181</v>
      </c>
      <c r="C53" s="27" t="n">
        <v>0.7392</v>
      </c>
      <c r="D53" s="27" t="n">
        <v>1.7934</v>
      </c>
      <c r="E53" s="27" t="s">
        <v>603</v>
      </c>
      <c r="F53" s="27" t="s">
        <v>144</v>
      </c>
      <c r="G53" s="32" t="n">
        <f aca="false">(A53-A52)*86400000</f>
        <v>17.000385</v>
      </c>
      <c r="H53" s="3"/>
      <c r="I53" s="3"/>
      <c r="J53" s="3"/>
      <c r="K53" s="3"/>
      <c r="L53" s="3"/>
      <c r="M53" s="3"/>
    </row>
    <row r="54" customFormat="false" ht="15" hidden="false" customHeight="false" outlineLevel="0" collapsed="false">
      <c r="A54" s="28" t="n">
        <v>46301.5236672338</v>
      </c>
      <c r="B54" s="31" t="n">
        <f aca="false">(A54-$A$5)*86400</f>
        <v>1.211000396</v>
      </c>
      <c r="C54" s="27" t="n">
        <v>0.7214</v>
      </c>
      <c r="D54" s="27" t="n">
        <v>1.7925</v>
      </c>
      <c r="E54" s="27" t="s">
        <v>603</v>
      </c>
      <c r="F54" s="27" t="s">
        <v>144</v>
      </c>
      <c r="G54" s="32" t="n">
        <f aca="false">(A54-A53)*86400000</f>
        <v>16.000214</v>
      </c>
      <c r="H54" s="3"/>
      <c r="I54" s="3"/>
      <c r="J54" s="3"/>
      <c r="K54" s="3"/>
      <c r="L54" s="3"/>
      <c r="M54" s="3"/>
    </row>
    <row r="55" customFormat="false" ht="15" hidden="false" customHeight="false" outlineLevel="0" collapsed="false">
      <c r="A55" s="28" t="n">
        <v>46301.523667419</v>
      </c>
      <c r="B55" s="31" t="n">
        <f aca="false">(A55-$A$5)*86400</f>
        <v>1.226999983</v>
      </c>
      <c r="C55" s="27" t="n">
        <v>0.7059</v>
      </c>
      <c r="D55" s="27" t="n">
        <v>1.7917</v>
      </c>
      <c r="E55" s="27" t="s">
        <v>603</v>
      </c>
      <c r="F55" s="27" t="s">
        <v>144</v>
      </c>
      <c r="G55" s="32" t="n">
        <f aca="false">(A55-A54)*86400000</f>
        <v>15.999586</v>
      </c>
      <c r="H55" s="3"/>
      <c r="I55" s="3"/>
      <c r="J55" s="3"/>
      <c r="K55" s="3"/>
      <c r="L55" s="3"/>
      <c r="M55" s="3"/>
    </row>
    <row r="56" customFormat="false" ht="15" hidden="false" customHeight="false" outlineLevel="0" collapsed="false">
      <c r="A56" s="28" t="n">
        <v>46301.5236676157</v>
      </c>
      <c r="B56" s="31" t="n">
        <f aca="false">(A56-$A$5)*86400</f>
        <v>1.24399974</v>
      </c>
      <c r="C56" s="27" t="n">
        <v>0.7313</v>
      </c>
      <c r="D56" s="27" t="n">
        <v>1.7887</v>
      </c>
      <c r="E56" s="27" t="s">
        <v>603</v>
      </c>
      <c r="F56" s="27" t="s">
        <v>144</v>
      </c>
      <c r="G56" s="32" t="n">
        <f aca="false">(A56-A55)*86400000</f>
        <v>16.999756</v>
      </c>
      <c r="H56" s="3"/>
      <c r="I56" s="3"/>
      <c r="J56" s="3"/>
      <c r="K56" s="3"/>
      <c r="L56" s="3"/>
      <c r="M56" s="3"/>
    </row>
    <row r="57" customFormat="false" ht="15" hidden="false" customHeight="false" outlineLevel="0" collapsed="false">
      <c r="A57" s="28" t="n">
        <v>46301.5236678009</v>
      </c>
      <c r="B57" s="31" t="n">
        <f aca="false">(A57-$A$5)*86400</f>
        <v>1.259999326</v>
      </c>
      <c r="C57" s="27" t="n">
        <v>0.7522</v>
      </c>
      <c r="D57" s="27" t="n">
        <v>1.7863</v>
      </c>
      <c r="E57" s="27" t="s">
        <v>603</v>
      </c>
      <c r="F57" s="27" t="s">
        <v>144</v>
      </c>
      <c r="G57" s="32" t="n">
        <f aca="false">(A57-A56)*86400000</f>
        <v>15.999586</v>
      </c>
      <c r="H57" s="3"/>
      <c r="I57" s="3"/>
      <c r="J57" s="3"/>
      <c r="K57" s="3"/>
      <c r="L57" s="3"/>
      <c r="M57" s="3"/>
    </row>
    <row r="58" customFormat="false" ht="15" hidden="false" customHeight="false" outlineLevel="0" collapsed="false">
      <c r="A58" s="28" t="n">
        <v>46301.5236679861</v>
      </c>
      <c r="B58" s="31" t="n">
        <f aca="false">(A58-$A$5)*86400</f>
        <v>1.27600017</v>
      </c>
      <c r="C58" s="27" t="n">
        <v>0.7696</v>
      </c>
      <c r="D58" s="27" t="n">
        <v>1.7843</v>
      </c>
      <c r="E58" s="27" t="s">
        <v>603</v>
      </c>
      <c r="F58" s="27" t="s">
        <v>144</v>
      </c>
      <c r="G58" s="32" t="n">
        <f aca="false">(A58-A57)*86400000</f>
        <v>16.000843</v>
      </c>
      <c r="H58" s="3"/>
      <c r="I58" s="3"/>
      <c r="J58" s="3"/>
      <c r="K58" s="3"/>
      <c r="L58" s="3"/>
      <c r="M58" s="3"/>
    </row>
    <row r="59" customFormat="false" ht="15" hidden="false" customHeight="false" outlineLevel="0" collapsed="false">
      <c r="A59" s="28" t="n">
        <v>46301.5236681713</v>
      </c>
      <c r="B59" s="31" t="n">
        <f aca="false">(A59-$A$5)*86400</f>
        <v>1.292000385</v>
      </c>
      <c r="C59" s="27" t="n">
        <v>0.7838</v>
      </c>
      <c r="D59" s="27" t="n">
        <v>1.7826</v>
      </c>
      <c r="E59" s="27" t="s">
        <v>603</v>
      </c>
      <c r="F59" s="27" t="s">
        <v>144</v>
      </c>
      <c r="G59" s="32" t="n">
        <f aca="false">(A59-A58)*86400000</f>
        <v>16.000214</v>
      </c>
      <c r="H59" s="3"/>
      <c r="I59" s="3"/>
      <c r="J59" s="3"/>
      <c r="K59" s="3"/>
      <c r="L59" s="3"/>
      <c r="M59" s="3"/>
    </row>
    <row r="60" customFormat="false" ht="15" hidden="false" customHeight="false" outlineLevel="0" collapsed="false">
      <c r="A60" s="28" t="n">
        <v>46301.5236683565</v>
      </c>
      <c r="B60" s="31" t="n">
        <f aca="false">(A60-$A$5)*86400</f>
        <v>1.307999971</v>
      </c>
      <c r="C60" s="27" t="n">
        <v>0.7956</v>
      </c>
      <c r="D60" s="27" t="n">
        <v>1.7813</v>
      </c>
      <c r="E60" s="27" t="s">
        <v>603</v>
      </c>
      <c r="F60" s="27" t="s">
        <v>144</v>
      </c>
      <c r="G60" s="32" t="n">
        <f aca="false">(A60-A59)*86400000</f>
        <v>15.999586</v>
      </c>
      <c r="H60" s="3"/>
      <c r="I60" s="3"/>
      <c r="J60" s="3"/>
      <c r="K60" s="3"/>
      <c r="L60" s="3"/>
      <c r="M60" s="3"/>
    </row>
    <row r="61" customFormat="false" ht="15" hidden="false" customHeight="false" outlineLevel="0" collapsed="false">
      <c r="A61" s="28" t="n">
        <v>46301.5236685417</v>
      </c>
      <c r="B61" s="31" t="n">
        <f aca="false">(A61-$A$5)*86400</f>
        <v>1.324000186</v>
      </c>
      <c r="C61" s="27" t="n">
        <v>0.8054</v>
      </c>
      <c r="D61" s="27" t="n">
        <v>1.7801</v>
      </c>
      <c r="E61" s="27" t="s">
        <v>603</v>
      </c>
      <c r="F61" s="27" t="s">
        <v>144</v>
      </c>
      <c r="G61" s="32" t="n">
        <f aca="false">(A61-A60)*86400000</f>
        <v>16.000214</v>
      </c>
      <c r="H61" s="3"/>
      <c r="I61" s="3"/>
      <c r="J61" s="3"/>
      <c r="K61" s="3"/>
      <c r="L61" s="3"/>
      <c r="M61" s="3"/>
    </row>
    <row r="62" customFormat="false" ht="15" hidden="false" customHeight="false" outlineLevel="0" collapsed="false">
      <c r="A62" s="28" t="n">
        <v>46301.5236687269</v>
      </c>
      <c r="B62" s="31" t="n">
        <f aca="false">(A62-$A$5)*86400</f>
        <v>1.340001029</v>
      </c>
      <c r="C62" s="27" t="n">
        <v>0.8134</v>
      </c>
      <c r="D62" s="27" t="n">
        <v>1.7792</v>
      </c>
      <c r="E62" s="27" t="s">
        <v>603</v>
      </c>
      <c r="F62" s="27" t="s">
        <v>144</v>
      </c>
      <c r="G62" s="32" t="n">
        <f aca="false">(A62-A61)*86400000</f>
        <v>16.000843</v>
      </c>
      <c r="H62" s="3"/>
      <c r="I62" s="3"/>
      <c r="J62" s="3"/>
      <c r="K62" s="3"/>
      <c r="L62" s="3"/>
      <c r="M62" s="3"/>
    </row>
    <row r="63" customFormat="false" ht="15" hidden="false" customHeight="false" outlineLevel="0" collapsed="false">
      <c r="A63" s="28" t="n">
        <v>46301.523668912</v>
      </c>
      <c r="B63" s="31" t="n">
        <f aca="false">(A63-$A$5)*86400</f>
        <v>1.356000616</v>
      </c>
      <c r="C63" s="27" t="n">
        <v>0.8397</v>
      </c>
      <c r="D63" s="27" t="n">
        <v>1.7779</v>
      </c>
      <c r="E63" s="27" t="s">
        <v>603</v>
      </c>
      <c r="F63" s="27" t="s">
        <v>144</v>
      </c>
      <c r="G63" s="32" t="n">
        <f aca="false">(A63-A62)*86400000</f>
        <v>15.999586</v>
      </c>
      <c r="H63" s="3"/>
      <c r="I63" s="3"/>
      <c r="J63" s="3"/>
      <c r="K63" s="3"/>
      <c r="L63" s="3"/>
      <c r="M63" s="3"/>
    </row>
    <row r="64" customFormat="false" ht="15" hidden="false" customHeight="false" outlineLevel="0" collapsed="false">
      <c r="A64" s="28" t="n">
        <v>46301.5236690972</v>
      </c>
      <c r="B64" s="31" t="n">
        <f aca="false">(A64-$A$5)*86400</f>
        <v>1.372000202</v>
      </c>
      <c r="C64" s="27" t="n">
        <v>0.8614</v>
      </c>
      <c r="D64" s="27" t="n">
        <v>1.7769</v>
      </c>
      <c r="E64" s="27" t="s">
        <v>603</v>
      </c>
      <c r="F64" s="27" t="s">
        <v>144</v>
      </c>
      <c r="G64" s="32" t="n">
        <f aca="false">(A64-A63)*86400000</f>
        <v>15.999586</v>
      </c>
      <c r="H64" s="3"/>
      <c r="I64" s="3"/>
      <c r="J64" s="3"/>
      <c r="K64" s="3"/>
      <c r="L64" s="3"/>
      <c r="M64" s="3"/>
    </row>
    <row r="65" customFormat="false" ht="15" hidden="false" customHeight="false" outlineLevel="0" collapsed="false">
      <c r="A65" s="28" t="n">
        <v>46301.5236692824</v>
      </c>
      <c r="B65" s="31" t="n">
        <f aca="false">(A65-$A$5)*86400</f>
        <v>1.388000417</v>
      </c>
      <c r="C65" s="27" t="n">
        <v>0.8794</v>
      </c>
      <c r="D65" s="27" t="n">
        <v>1.776</v>
      </c>
      <c r="E65" s="27" t="s">
        <v>603</v>
      </c>
      <c r="F65" s="27" t="s">
        <v>144</v>
      </c>
      <c r="G65" s="32" t="n">
        <f aca="false">(A65-A64)*86400000</f>
        <v>16.000214</v>
      </c>
      <c r="H65" s="3"/>
      <c r="I65" s="3"/>
      <c r="J65" s="3"/>
      <c r="K65" s="3"/>
      <c r="L65" s="3"/>
      <c r="M65" s="3"/>
    </row>
    <row r="66" customFormat="false" ht="15" hidden="false" customHeight="false" outlineLevel="0" collapsed="false">
      <c r="A66" s="28" t="n">
        <v>46301.5236694676</v>
      </c>
      <c r="B66" s="31" t="n">
        <f aca="false">(A66-$A$5)*86400</f>
        <v>1.404000003</v>
      </c>
      <c r="C66" s="27" t="n">
        <v>0.8942</v>
      </c>
      <c r="D66" s="27" t="n">
        <v>1.7753</v>
      </c>
      <c r="E66" s="27" t="s">
        <v>603</v>
      </c>
      <c r="F66" s="27" t="s">
        <v>144</v>
      </c>
      <c r="G66" s="32" t="n">
        <f aca="false">(A66-A65)*86400000</f>
        <v>15.999586</v>
      </c>
      <c r="H66" s="3"/>
      <c r="I66" s="3"/>
      <c r="J66" s="3"/>
      <c r="K66" s="3"/>
      <c r="L66" s="3"/>
      <c r="M66" s="3"/>
    </row>
    <row r="67" customFormat="false" ht="15" hidden="false" customHeight="false" outlineLevel="0" collapsed="false">
      <c r="A67" s="28" t="n">
        <v>46301.5236696528</v>
      </c>
      <c r="B67" s="31" t="n">
        <f aca="false">(A67-$A$5)*86400</f>
        <v>1.420000218</v>
      </c>
      <c r="C67" s="27" t="n">
        <v>0.9064</v>
      </c>
      <c r="D67" s="27" t="n">
        <v>1.7747</v>
      </c>
      <c r="E67" s="27" t="s">
        <v>603</v>
      </c>
      <c r="F67" s="27" t="s">
        <v>144</v>
      </c>
      <c r="G67" s="32" t="n">
        <f aca="false">(A67-A66)*86400000</f>
        <v>16.000214</v>
      </c>
      <c r="H67" s="3"/>
      <c r="I67" s="3"/>
      <c r="J67" s="3"/>
      <c r="K67" s="3"/>
      <c r="L67" s="3"/>
      <c r="M67" s="3"/>
    </row>
    <row r="68" customFormat="false" ht="15" hidden="false" customHeight="false" outlineLevel="0" collapsed="false">
      <c r="A68" s="28" t="n">
        <v>46301.523669838</v>
      </c>
      <c r="B68" s="31" t="n">
        <f aca="false">(A68-$A$5)*86400</f>
        <v>1.435999805</v>
      </c>
      <c r="C68" s="27" t="n">
        <v>0.9164</v>
      </c>
      <c r="D68" s="27" t="n">
        <v>1.7742</v>
      </c>
      <c r="E68" s="27" t="s">
        <v>603</v>
      </c>
      <c r="F68" s="27" t="s">
        <v>144</v>
      </c>
      <c r="G68" s="32" t="n">
        <f aca="false">(A68-A67)*86400000</f>
        <v>15.999586</v>
      </c>
      <c r="H68" s="3"/>
      <c r="I68" s="3"/>
      <c r="J68" s="3"/>
      <c r="K68" s="3"/>
      <c r="L68" s="3"/>
      <c r="M68" s="3"/>
    </row>
    <row r="69" customFormat="false" ht="15" hidden="false" customHeight="false" outlineLevel="0" collapsed="false">
      <c r="A69" s="28" t="n">
        <v>46301.5236700116</v>
      </c>
      <c r="B69" s="31" t="n">
        <f aca="false">(A69-$A$5)*86400</f>
        <v>1.450999849</v>
      </c>
      <c r="C69" s="27" t="n">
        <v>0.9248</v>
      </c>
      <c r="D69" s="27" t="n">
        <v>1.7738</v>
      </c>
      <c r="E69" s="27" t="s">
        <v>603</v>
      </c>
      <c r="F69" s="27" t="s">
        <v>144</v>
      </c>
      <c r="G69" s="32" t="n">
        <f aca="false">(A69-A68)*86400000</f>
        <v>15.000044</v>
      </c>
      <c r="H69" s="3"/>
      <c r="I69" s="3"/>
      <c r="J69" s="3"/>
      <c r="K69" s="3"/>
      <c r="L69" s="3"/>
      <c r="M69" s="3"/>
    </row>
    <row r="70" customFormat="false" ht="15" hidden="false" customHeight="false" outlineLevel="0" collapsed="false">
      <c r="A70" s="28" t="n">
        <v>46301.5236702083</v>
      </c>
      <c r="B70" s="31" t="n">
        <f aca="false">(A70-$A$5)*86400</f>
        <v>1.467999606</v>
      </c>
      <c r="C70" s="27" t="n">
        <v>0.9366</v>
      </c>
      <c r="D70" s="27" t="n">
        <v>1.7729</v>
      </c>
      <c r="E70" s="27" t="s">
        <v>603</v>
      </c>
      <c r="F70" s="27" t="s">
        <v>144</v>
      </c>
      <c r="G70" s="32" t="n">
        <f aca="false">(A70-A69)*86400000</f>
        <v>16.999756</v>
      </c>
      <c r="H70" s="3"/>
      <c r="I70" s="3"/>
      <c r="J70" s="3"/>
      <c r="K70" s="3"/>
      <c r="L70" s="3"/>
      <c r="M70" s="3"/>
    </row>
    <row r="71" customFormat="false" ht="15" hidden="false" customHeight="false" outlineLevel="0" collapsed="false">
      <c r="A71" s="28" t="n">
        <v>46301.5236703935</v>
      </c>
      <c r="B71" s="31" t="n">
        <f aca="false">(A71-$A$5)*86400</f>
        <v>1.48400045</v>
      </c>
      <c r="C71" s="27" t="n">
        <v>0.9463</v>
      </c>
      <c r="D71" s="27" t="n">
        <v>1.772</v>
      </c>
      <c r="E71" s="27" t="s">
        <v>603</v>
      </c>
      <c r="F71" s="27" t="s">
        <v>144</v>
      </c>
      <c r="G71" s="32" t="n">
        <f aca="false">(A71-A70)*86400000</f>
        <v>16.000843</v>
      </c>
      <c r="H71" s="3"/>
      <c r="I71" s="3"/>
      <c r="J71" s="3"/>
      <c r="K71" s="3"/>
      <c r="L71" s="3"/>
      <c r="M71" s="3"/>
    </row>
    <row r="72" customFormat="false" ht="15" hidden="false" customHeight="false" outlineLevel="0" collapsed="false">
      <c r="A72" s="28" t="n">
        <v>46301.5236705787</v>
      </c>
      <c r="B72" s="31" t="n">
        <f aca="false">(A72-$A$5)*86400</f>
        <v>1.500000036</v>
      </c>
      <c r="C72" s="27" t="n">
        <v>0.9544</v>
      </c>
      <c r="D72" s="27" t="n">
        <v>1.7714</v>
      </c>
      <c r="E72" s="27" t="s">
        <v>603</v>
      </c>
      <c r="F72" s="27" t="s">
        <v>144</v>
      </c>
      <c r="G72" s="32" t="n">
        <f aca="false">(A72-A71)*86400000</f>
        <v>15.999586</v>
      </c>
      <c r="H72" s="3"/>
      <c r="I72" s="3"/>
      <c r="J72" s="3"/>
      <c r="K72" s="3"/>
      <c r="L72" s="3"/>
      <c r="M72" s="3"/>
    </row>
    <row r="73" customFormat="false" ht="15" hidden="false" customHeight="false" outlineLevel="0" collapsed="false">
      <c r="A73" s="28" t="n">
        <v>46301.5236707523</v>
      </c>
      <c r="B73" s="31" t="n">
        <f aca="false">(A73-$A$5)*86400</f>
        <v>1.514999452</v>
      </c>
      <c r="C73" s="27" t="n">
        <v>0.961</v>
      </c>
      <c r="D73" s="27" t="n">
        <v>1.7708</v>
      </c>
      <c r="E73" s="27" t="s">
        <v>603</v>
      </c>
      <c r="F73" s="27" t="s">
        <v>144</v>
      </c>
      <c r="G73" s="32" t="n">
        <f aca="false">(A73-A72)*86400000</f>
        <v>14.999415</v>
      </c>
      <c r="H73" s="3"/>
      <c r="I73" s="3"/>
      <c r="J73" s="3"/>
      <c r="K73" s="3"/>
      <c r="L73" s="3"/>
      <c r="M73" s="3"/>
    </row>
    <row r="74" customFormat="false" ht="15" hidden="false" customHeight="false" outlineLevel="0" collapsed="false">
      <c r="A74" s="28" t="n">
        <v>46301.5236709491</v>
      </c>
      <c r="B74" s="31" t="n">
        <f aca="false">(A74-$A$5)*86400</f>
        <v>1.531999837</v>
      </c>
      <c r="C74" s="27" t="n">
        <v>0.9665</v>
      </c>
      <c r="D74" s="27" t="n">
        <v>1.7704</v>
      </c>
      <c r="E74" s="27" t="s">
        <v>603</v>
      </c>
      <c r="F74" s="27" t="s">
        <v>144</v>
      </c>
      <c r="G74" s="32" t="n">
        <f aca="false">(A74-A73)*86400000</f>
        <v>17.000385</v>
      </c>
      <c r="H74" s="3"/>
      <c r="I74" s="3"/>
      <c r="J74" s="3"/>
      <c r="K74" s="3"/>
      <c r="L74" s="3"/>
      <c r="M74" s="3"/>
    </row>
    <row r="75" customFormat="false" ht="15" hidden="false" customHeight="false" outlineLevel="0" collapsed="false">
      <c r="A75" s="28" t="n">
        <v>46301.5236711343</v>
      </c>
      <c r="B75" s="31" t="n">
        <f aca="false">(A75-$A$5)*86400</f>
        <v>1.548000052</v>
      </c>
      <c r="C75" s="27" t="n">
        <v>0.971</v>
      </c>
      <c r="D75" s="27" t="n">
        <v>1.77</v>
      </c>
      <c r="E75" s="27" t="s">
        <v>603</v>
      </c>
      <c r="F75" s="27" t="s">
        <v>144</v>
      </c>
      <c r="G75" s="32" t="n">
        <f aca="false">(A75-A74)*86400000</f>
        <v>16.000214</v>
      </c>
      <c r="H75" s="3"/>
      <c r="I75" s="3"/>
      <c r="J75" s="3"/>
      <c r="K75" s="3"/>
      <c r="L75" s="3"/>
      <c r="M75" s="3"/>
    </row>
    <row r="76" customFormat="false" ht="15" hidden="false" customHeight="false" outlineLevel="0" collapsed="false">
      <c r="A76" s="28" t="n">
        <v>46301.5236713195</v>
      </c>
      <c r="B76" s="31" t="n">
        <f aca="false">(A76-$A$5)*86400</f>
        <v>1.564000896</v>
      </c>
      <c r="C76" s="27" t="n">
        <v>0.9749</v>
      </c>
      <c r="D76" s="27" t="n">
        <v>1.7697</v>
      </c>
      <c r="E76" s="27" t="s">
        <v>603</v>
      </c>
      <c r="F76" s="27" t="s">
        <v>144</v>
      </c>
      <c r="G76" s="32" t="n">
        <f aca="false">(A76-A75)*86400000</f>
        <v>16.000843</v>
      </c>
      <c r="H76" s="3"/>
      <c r="I76" s="3"/>
      <c r="J76" s="3"/>
      <c r="K76" s="3"/>
      <c r="L76" s="3"/>
      <c r="M76" s="3"/>
    </row>
    <row r="77" customFormat="false" ht="15" hidden="false" customHeight="false" outlineLevel="0" collapsed="false">
      <c r="A77" s="28" t="n">
        <v>46301.5236715162</v>
      </c>
      <c r="B77" s="31" t="n">
        <f aca="false">(A77-$A$5)*86400</f>
        <v>1.581000024</v>
      </c>
      <c r="C77" s="27" t="n">
        <v>0.9805</v>
      </c>
      <c r="D77" s="27" t="n">
        <v>1.769</v>
      </c>
      <c r="E77" s="27" t="s">
        <v>603</v>
      </c>
      <c r="F77" s="27" t="s">
        <v>144</v>
      </c>
      <c r="G77" s="32" t="n">
        <f aca="false">(A77-A76)*86400000</f>
        <v>16.999128</v>
      </c>
      <c r="H77" s="3"/>
      <c r="I77" s="3"/>
      <c r="J77" s="3"/>
      <c r="K77" s="3"/>
      <c r="L77" s="3"/>
      <c r="M77" s="3"/>
    </row>
    <row r="78" customFormat="false" ht="15" hidden="false" customHeight="false" outlineLevel="0" collapsed="false">
      <c r="A78" s="28" t="n">
        <v>46301.5236717014</v>
      </c>
      <c r="B78" s="31" t="n">
        <f aca="false">(A78-$A$5)*86400</f>
        <v>1.597000239</v>
      </c>
      <c r="C78" s="27" t="n">
        <v>0.9847</v>
      </c>
      <c r="D78" s="27" t="n">
        <v>1.7685</v>
      </c>
      <c r="E78" s="27" t="s">
        <v>603</v>
      </c>
      <c r="F78" s="27" t="s">
        <v>144</v>
      </c>
      <c r="G78" s="32" t="n">
        <f aca="false">(A78-A77)*86400000</f>
        <v>16.000214</v>
      </c>
      <c r="H78" s="3"/>
      <c r="I78" s="3"/>
      <c r="J78" s="3"/>
      <c r="K78" s="3"/>
      <c r="L78" s="3"/>
      <c r="M78" s="3"/>
    </row>
    <row r="79" customFormat="false" ht="15" hidden="false" customHeight="false" outlineLevel="0" collapsed="false">
      <c r="A79" s="28" t="n">
        <v>46301.5236718866</v>
      </c>
      <c r="B79" s="31" t="n">
        <f aca="false">(A79-$A$5)*86400</f>
        <v>1.612999825</v>
      </c>
      <c r="C79" s="27" t="n">
        <v>0.9885</v>
      </c>
      <c r="D79" s="27" t="n">
        <v>1.7681</v>
      </c>
      <c r="E79" s="27" t="s">
        <v>603</v>
      </c>
      <c r="F79" s="27" t="s">
        <v>144</v>
      </c>
      <c r="G79" s="32" t="n">
        <f aca="false">(A79-A78)*86400000</f>
        <v>15.999586</v>
      </c>
      <c r="H79" s="3"/>
      <c r="I79" s="3"/>
      <c r="J79" s="3"/>
      <c r="K79" s="3"/>
      <c r="L79" s="3"/>
      <c r="M79" s="3"/>
    </row>
    <row r="80" customFormat="false" ht="15" hidden="false" customHeight="false" outlineLevel="0" collapsed="false">
      <c r="A80" s="28" t="n">
        <v>46301.5236720833</v>
      </c>
      <c r="B80" s="31" t="n">
        <f aca="false">(A80-$A$5)*86400</f>
        <v>1.629999582</v>
      </c>
      <c r="C80" s="27" t="n">
        <v>0.9913</v>
      </c>
      <c r="D80" s="27" t="n">
        <v>1.7677</v>
      </c>
      <c r="E80" s="27" t="s">
        <v>603</v>
      </c>
      <c r="F80" s="27" t="s">
        <v>144</v>
      </c>
      <c r="G80" s="32" t="n">
        <f aca="false">(A80-A79)*86400000</f>
        <v>16.999756</v>
      </c>
      <c r="H80" s="3"/>
      <c r="I80" s="3"/>
      <c r="J80" s="3"/>
      <c r="K80" s="3"/>
      <c r="L80" s="3"/>
      <c r="M80" s="3"/>
    </row>
    <row r="81" customFormat="false" ht="15" hidden="false" customHeight="false" outlineLevel="0" collapsed="false">
      <c r="A81" s="28" t="n">
        <v>46301.5236722685</v>
      </c>
      <c r="B81" s="31" t="n">
        <f aca="false">(A81-$A$5)*86400</f>
        <v>1.645999168</v>
      </c>
      <c r="C81" s="27" t="n">
        <v>0.9937</v>
      </c>
      <c r="D81" s="27" t="n">
        <v>1.7675</v>
      </c>
      <c r="E81" s="27" t="s">
        <v>603</v>
      </c>
      <c r="F81" s="27" t="s">
        <v>144</v>
      </c>
      <c r="G81" s="32" t="n">
        <f aca="false">(A81-A80)*86400000</f>
        <v>15.999586</v>
      </c>
      <c r="H81" s="3"/>
      <c r="I81" s="3"/>
      <c r="J81" s="3"/>
      <c r="K81" s="3"/>
      <c r="L81" s="3"/>
      <c r="M81" s="3"/>
    </row>
    <row r="82" customFormat="false" ht="15" hidden="false" customHeight="false" outlineLevel="0" collapsed="false">
      <c r="A82" s="28" t="n">
        <v>46301.5236724537</v>
      </c>
      <c r="B82" s="31" t="n">
        <f aca="false">(A82-$A$5)*86400</f>
        <v>1.662000012</v>
      </c>
      <c r="C82" s="27" t="n">
        <v>0.9957</v>
      </c>
      <c r="D82" s="27" t="n">
        <v>1.7672</v>
      </c>
      <c r="E82" s="27" t="s">
        <v>603</v>
      </c>
      <c r="F82" s="27" t="s">
        <v>144</v>
      </c>
      <c r="G82" s="32" t="n">
        <f aca="false">(A82-A81)*86400000</f>
        <v>16.000843</v>
      </c>
      <c r="H82" s="3"/>
      <c r="I82" s="3"/>
      <c r="J82" s="3"/>
      <c r="K82" s="3"/>
      <c r="L82" s="3"/>
      <c r="M82" s="3"/>
    </row>
    <row r="83" customFormat="false" ht="15" hidden="false" customHeight="false" outlineLevel="0" collapsed="false">
      <c r="A83" s="28" t="n">
        <v>46301.5236726389</v>
      </c>
      <c r="B83" s="31" t="n">
        <f aca="false">(A83-$A$5)*86400</f>
        <v>1.678000227</v>
      </c>
      <c r="C83" s="27" t="n">
        <v>0.9979</v>
      </c>
      <c r="D83" s="27" t="n">
        <v>1.7665</v>
      </c>
      <c r="E83" s="27" t="s">
        <v>603</v>
      </c>
      <c r="F83" s="27" t="s">
        <v>144</v>
      </c>
      <c r="G83" s="32" t="n">
        <f aca="false">(A83-A82)*86400000</f>
        <v>16.000214</v>
      </c>
      <c r="H83" s="3"/>
      <c r="I83" s="3"/>
      <c r="J83" s="3"/>
      <c r="K83" s="3"/>
      <c r="L83" s="3"/>
      <c r="M83" s="3"/>
    </row>
    <row r="84" customFormat="false" ht="15" hidden="false" customHeight="false" outlineLevel="0" collapsed="false">
      <c r="A84" s="28" t="n">
        <v>46301.5236728241</v>
      </c>
      <c r="B84" s="31" t="n">
        <f aca="false">(A84-$A$5)*86400</f>
        <v>1.693999813</v>
      </c>
      <c r="C84" s="27" t="n">
        <v>0.9998</v>
      </c>
      <c r="D84" s="27" t="n">
        <v>1.7658</v>
      </c>
      <c r="E84" s="27" t="s">
        <v>603</v>
      </c>
      <c r="F84" s="27" t="s">
        <v>144</v>
      </c>
      <c r="G84" s="32" t="n">
        <f aca="false">(A84-A83)*86400000</f>
        <v>15.999586</v>
      </c>
      <c r="H84" s="3"/>
      <c r="I84" s="3"/>
      <c r="J84" s="3"/>
      <c r="K84" s="3"/>
      <c r="L84" s="3"/>
      <c r="M84" s="3"/>
    </row>
    <row r="85" customFormat="false" ht="15" hidden="false" customHeight="false" outlineLevel="0" collapsed="false">
      <c r="A85" s="28" t="n">
        <v>46301.5236729977</v>
      </c>
      <c r="B85" s="31" t="n">
        <f aca="false">(A85-$A$5)*86400</f>
        <v>1.708999858</v>
      </c>
      <c r="C85" s="27" t="n">
        <v>1.0013</v>
      </c>
      <c r="D85" s="27" t="n">
        <v>1.7653</v>
      </c>
      <c r="E85" s="27" t="s">
        <v>603</v>
      </c>
      <c r="F85" s="27" t="s">
        <v>144</v>
      </c>
      <c r="G85" s="32" t="n">
        <f aca="false">(A85-A84)*86400000</f>
        <v>15.000044</v>
      </c>
      <c r="H85" s="3"/>
      <c r="I85" s="3"/>
      <c r="J85" s="3"/>
      <c r="K85" s="3"/>
      <c r="L85" s="3"/>
      <c r="M85" s="3"/>
    </row>
    <row r="86" customFormat="false" ht="15" hidden="false" customHeight="false" outlineLevel="0" collapsed="false">
      <c r="A86" s="28" t="n">
        <v>46301.5236731945</v>
      </c>
      <c r="B86" s="31" t="n">
        <f aca="false">(A86-$A$5)*86400</f>
        <v>1.726000872</v>
      </c>
      <c r="C86" s="27" t="n">
        <v>1.0026</v>
      </c>
      <c r="D86" s="27" t="n">
        <v>1.7649</v>
      </c>
      <c r="E86" s="27" t="s">
        <v>603</v>
      </c>
      <c r="F86" s="27" t="s">
        <v>144</v>
      </c>
      <c r="G86" s="32" t="n">
        <f aca="false">(A86-A85)*86400000</f>
        <v>17.001014</v>
      </c>
      <c r="H86" s="3"/>
      <c r="I86" s="3"/>
      <c r="J86" s="3"/>
      <c r="K86" s="3"/>
      <c r="L86" s="3"/>
      <c r="M86" s="3"/>
    </row>
    <row r="87" customFormat="false" ht="15" hidden="false" customHeight="false" outlineLevel="0" collapsed="false">
      <c r="A87" s="28" t="n">
        <v>46301.5236733681</v>
      </c>
      <c r="B87" s="31" t="n">
        <f aca="false">(A87-$A$5)*86400</f>
        <v>1.741000288</v>
      </c>
      <c r="C87" s="27" t="n">
        <v>1.0036</v>
      </c>
      <c r="D87" s="27" t="n">
        <v>1.7645</v>
      </c>
      <c r="E87" s="27" t="s">
        <v>603</v>
      </c>
      <c r="F87" s="27" t="s">
        <v>144</v>
      </c>
      <c r="G87" s="32" t="n">
        <f aca="false">(A87-A86)*86400000</f>
        <v>14.999415</v>
      </c>
      <c r="H87" s="3"/>
      <c r="I87" s="3"/>
      <c r="J87" s="3"/>
      <c r="K87" s="3"/>
      <c r="L87" s="3"/>
      <c r="M87" s="3"/>
    </row>
    <row r="88" customFormat="false" ht="15" hidden="false" customHeight="false" outlineLevel="0" collapsed="false">
      <c r="A88" s="28" t="n">
        <v>46301.5236739468</v>
      </c>
      <c r="B88" s="31" t="n">
        <f aca="false">(A88-$A$5)*86400</f>
        <v>1.791000016</v>
      </c>
      <c r="C88" s="27" t="n">
        <v>1.0058</v>
      </c>
      <c r="D88" s="27" t="n">
        <v>1.7637</v>
      </c>
      <c r="E88" s="27" t="s">
        <v>603</v>
      </c>
      <c r="F88" s="27" t="s">
        <v>144</v>
      </c>
      <c r="G88" s="32" t="n">
        <f aca="false">(A88-A87)*86400000</f>
        <v>49.999728</v>
      </c>
      <c r="H88" s="3"/>
      <c r="I88" s="3"/>
      <c r="J88" s="3"/>
      <c r="K88" s="3"/>
      <c r="L88" s="3"/>
      <c r="M88" s="3"/>
    </row>
    <row r="89" customFormat="false" ht="15" hidden="false" customHeight="false" outlineLevel="0" collapsed="false">
      <c r="A89" s="28" t="n">
        <v>46301.523674132</v>
      </c>
      <c r="B89" s="31" t="n">
        <f aca="false">(A89-$A$5)*86400</f>
        <v>1.80700086</v>
      </c>
      <c r="C89" s="27" t="n">
        <v>1.0032</v>
      </c>
      <c r="D89" s="27" t="n">
        <v>1.7627</v>
      </c>
      <c r="E89" s="27" t="s">
        <v>603</v>
      </c>
      <c r="F89" s="27" t="s">
        <v>144</v>
      </c>
      <c r="G89" s="32" t="n">
        <f aca="false">(A89-A88)*86400000</f>
        <v>16.000843</v>
      </c>
      <c r="H89" s="3"/>
      <c r="I89" s="3"/>
      <c r="J89" s="3"/>
      <c r="K89" s="3"/>
      <c r="L89" s="3"/>
      <c r="M89" s="3"/>
    </row>
    <row r="90" customFormat="false" ht="15" hidden="false" customHeight="false" outlineLevel="0" collapsed="false">
      <c r="A90" s="28" t="n">
        <v>46301.5236743171</v>
      </c>
      <c r="B90" s="31" t="n">
        <f aca="false">(A90-$A$5)*86400</f>
        <v>1.823000446</v>
      </c>
      <c r="C90" s="27" t="n">
        <v>1.001</v>
      </c>
      <c r="D90" s="27" t="n">
        <v>1.7618</v>
      </c>
      <c r="E90" s="27" t="s">
        <v>603</v>
      </c>
      <c r="F90" s="27" t="s">
        <v>144</v>
      </c>
      <c r="G90" s="32" t="n">
        <f aca="false">(A90-A89)*86400000</f>
        <v>15.999586</v>
      </c>
      <c r="H90" s="3"/>
      <c r="I90" s="3"/>
      <c r="J90" s="3"/>
      <c r="K90" s="3"/>
      <c r="L90" s="3"/>
      <c r="M90" s="3"/>
    </row>
    <row r="91" customFormat="false" ht="15" hidden="false" customHeight="false" outlineLevel="0" collapsed="false">
      <c r="A91" s="28" t="n">
        <v>46301.5236744907</v>
      </c>
      <c r="B91" s="31" t="n">
        <f aca="false">(A91-$A$5)*86400</f>
        <v>1.837999862</v>
      </c>
      <c r="C91" s="27" t="n">
        <v>0.9993</v>
      </c>
      <c r="D91" s="27" t="n">
        <v>1.761</v>
      </c>
      <c r="E91" s="27" t="s">
        <v>603</v>
      </c>
      <c r="F91" s="27" t="s">
        <v>144</v>
      </c>
      <c r="G91" s="32" t="n">
        <f aca="false">(A91-A90)*86400000</f>
        <v>14.999415</v>
      </c>
      <c r="H91" s="3"/>
      <c r="I91" s="3"/>
      <c r="J91" s="3"/>
      <c r="K91" s="3"/>
      <c r="L91" s="3"/>
      <c r="M91" s="3"/>
    </row>
    <row r="92" customFormat="false" ht="15" hidden="false" customHeight="false" outlineLevel="0" collapsed="false">
      <c r="A92" s="28" t="n">
        <v>46301.5236746875</v>
      </c>
      <c r="B92" s="31" t="n">
        <f aca="false">(A92-$A$5)*86400</f>
        <v>1.855000248</v>
      </c>
      <c r="C92" s="27" t="n">
        <v>0.9978</v>
      </c>
      <c r="D92" s="27" t="n">
        <v>1.7604</v>
      </c>
      <c r="E92" s="27" t="s">
        <v>603</v>
      </c>
      <c r="F92" s="27" t="s">
        <v>144</v>
      </c>
      <c r="G92" s="32" t="n">
        <f aca="false">(A92-A91)*86400000</f>
        <v>17.000385</v>
      </c>
      <c r="H92" s="3"/>
      <c r="I92" s="3"/>
      <c r="J92" s="3"/>
      <c r="K92" s="3"/>
      <c r="L92" s="3"/>
      <c r="M92" s="3"/>
    </row>
    <row r="93" customFormat="false" ht="15" hidden="false" customHeight="false" outlineLevel="0" collapsed="false">
      <c r="A93" s="28" t="n">
        <v>46301.5236748727</v>
      </c>
      <c r="B93" s="31" t="n">
        <f aca="false">(A93-$A$5)*86400</f>
        <v>1.870999834</v>
      </c>
      <c r="C93" s="27" t="n">
        <v>0.9965</v>
      </c>
      <c r="D93" s="27" t="n">
        <v>1.7599</v>
      </c>
      <c r="E93" s="27" t="s">
        <v>603</v>
      </c>
      <c r="F93" s="27" t="s">
        <v>144</v>
      </c>
      <c r="G93" s="32" t="n">
        <f aca="false">(A93-A92)*86400000</f>
        <v>15.999586</v>
      </c>
      <c r="H93" s="3"/>
      <c r="I93" s="3"/>
      <c r="J93" s="3"/>
      <c r="K93" s="3"/>
      <c r="L93" s="3"/>
      <c r="M93" s="3"/>
    </row>
    <row r="94" customFormat="false" ht="15" hidden="false" customHeight="false" outlineLevel="0" collapsed="false">
      <c r="A94" s="28" t="n">
        <v>46301.5236752546</v>
      </c>
      <c r="B94" s="31" t="n">
        <f aca="false">(A94-$A$5)*86400</f>
        <v>1.904000435</v>
      </c>
      <c r="C94" s="27" t="n">
        <v>0.9947</v>
      </c>
      <c r="D94" s="27" t="n">
        <v>1.7591</v>
      </c>
      <c r="E94" s="27" t="s">
        <v>603</v>
      </c>
      <c r="F94" s="27" t="s">
        <v>144</v>
      </c>
      <c r="G94" s="32" t="n">
        <f aca="false">(A94-A93)*86400000</f>
        <v>33.0006</v>
      </c>
      <c r="H94" s="3"/>
      <c r="I94" s="3"/>
      <c r="J94" s="3"/>
      <c r="K94" s="3"/>
      <c r="L94" s="3"/>
      <c r="M94" s="3"/>
    </row>
    <row r="95" customFormat="false" ht="15" hidden="false" customHeight="false" outlineLevel="0" collapsed="false">
      <c r="A95" s="28" t="n">
        <v>46301.523675625</v>
      </c>
      <c r="B95" s="31" t="n">
        <f aca="false">(A95-$A$5)*86400</f>
        <v>1.936000236</v>
      </c>
      <c r="C95" s="27" t="n">
        <v>0.9922</v>
      </c>
      <c r="D95" s="27" t="n">
        <v>1.7583</v>
      </c>
      <c r="E95" s="27" t="s">
        <v>603</v>
      </c>
      <c r="F95" s="27" t="s">
        <v>144</v>
      </c>
      <c r="G95" s="32" t="n">
        <f aca="false">(A95-A94)*86400000</f>
        <v>31.999801</v>
      </c>
      <c r="H95" s="3"/>
      <c r="I95" s="3"/>
      <c r="J95" s="3"/>
      <c r="K95" s="3"/>
      <c r="L95" s="3"/>
      <c r="M95" s="3"/>
    </row>
    <row r="96" customFormat="false" ht="15" hidden="false" customHeight="false" outlineLevel="0" collapsed="false">
      <c r="A96" s="28" t="n">
        <v>46301.5236758102</v>
      </c>
      <c r="B96" s="31" t="n">
        <f aca="false">(A96-$A$5)*86400</f>
        <v>1.951999822</v>
      </c>
      <c r="C96" s="27" t="n">
        <v>0.9906</v>
      </c>
      <c r="D96" s="27" t="n">
        <v>1.7579</v>
      </c>
      <c r="E96" s="27" t="s">
        <v>603</v>
      </c>
      <c r="F96" s="27" t="s">
        <v>144</v>
      </c>
      <c r="G96" s="32" t="n">
        <f aca="false">(A96-A95)*86400000</f>
        <v>15.999586</v>
      </c>
      <c r="H96" s="3"/>
      <c r="I96" s="3"/>
      <c r="J96" s="3"/>
      <c r="K96" s="3"/>
      <c r="L96" s="3"/>
      <c r="M96" s="3"/>
    </row>
    <row r="97" customFormat="false" ht="15" hidden="false" customHeight="false" outlineLevel="0" collapsed="false">
      <c r="A97" s="28" t="n">
        <v>46301.5236759954</v>
      </c>
      <c r="B97" s="31" t="n">
        <f aca="false">(A97-$A$5)*86400</f>
        <v>1.968000037</v>
      </c>
      <c r="C97" s="27" t="n">
        <v>0.9894</v>
      </c>
      <c r="D97" s="27" t="n">
        <v>1.7575</v>
      </c>
      <c r="E97" s="27" t="s">
        <v>603</v>
      </c>
      <c r="F97" s="27" t="s">
        <v>144</v>
      </c>
      <c r="G97" s="32" t="n">
        <f aca="false">(A97-A96)*86400000</f>
        <v>16.000214</v>
      </c>
      <c r="H97" s="3"/>
      <c r="I97" s="3"/>
      <c r="J97" s="3"/>
      <c r="K97" s="3"/>
      <c r="L97" s="3"/>
      <c r="M97" s="3"/>
    </row>
    <row r="98" customFormat="false" ht="15" hidden="false" customHeight="false" outlineLevel="0" collapsed="false">
      <c r="A98" s="28" t="n">
        <v>46301.5236761806</v>
      </c>
      <c r="B98" s="31" t="n">
        <f aca="false">(A98-$A$5)*86400</f>
        <v>1.984000252</v>
      </c>
      <c r="C98" s="27" t="n">
        <v>0.9883</v>
      </c>
      <c r="D98" s="27" t="n">
        <v>1.7572</v>
      </c>
      <c r="E98" s="27" t="s">
        <v>603</v>
      </c>
      <c r="F98" s="27" t="s">
        <v>144</v>
      </c>
      <c r="G98" s="32" t="n">
        <f aca="false">(A98-A97)*86400000</f>
        <v>16.000214</v>
      </c>
      <c r="H98" s="3"/>
      <c r="I98" s="3"/>
      <c r="J98" s="3"/>
      <c r="K98" s="3"/>
      <c r="L98" s="3"/>
      <c r="M98" s="3"/>
    </row>
    <row r="99" customFormat="false" ht="15" hidden="false" customHeight="false" outlineLevel="0" collapsed="false">
      <c r="A99" s="28" t="n">
        <v>46301.5236765625</v>
      </c>
      <c r="B99" s="31" t="n">
        <f aca="false">(A99-$A$5)*86400</f>
        <v>2.017000224</v>
      </c>
      <c r="C99" s="27" t="n">
        <v>0.9867</v>
      </c>
      <c r="D99" s="27" t="n">
        <v>1.7568</v>
      </c>
      <c r="E99" s="27" t="s">
        <v>603</v>
      </c>
      <c r="F99" s="27" t="s">
        <v>144</v>
      </c>
      <c r="G99" s="32" t="n">
        <f aca="false">(A99-A98)*86400000</f>
        <v>32.999971</v>
      </c>
      <c r="H99" s="3"/>
      <c r="I99" s="3"/>
      <c r="J99" s="3"/>
      <c r="K99" s="3"/>
      <c r="L99" s="3"/>
      <c r="M99" s="3"/>
    </row>
    <row r="100" customFormat="false" ht="15" hidden="false" customHeight="false" outlineLevel="0" collapsed="false">
      <c r="A100" s="28" t="n">
        <v>46301.5236769329</v>
      </c>
      <c r="B100" s="31" t="n">
        <f aca="false">(A100-$A$5)*86400</f>
        <v>2.049000025</v>
      </c>
      <c r="C100" s="27" t="n">
        <v>0.9849</v>
      </c>
      <c r="D100" s="27" t="n">
        <v>1.7554</v>
      </c>
      <c r="E100" s="27" t="s">
        <v>603</v>
      </c>
      <c r="F100" s="27" t="s">
        <v>144</v>
      </c>
      <c r="G100" s="32" t="n">
        <f aca="false">(A100-A99)*86400000</f>
        <v>31.999801</v>
      </c>
      <c r="H100" s="3"/>
      <c r="I100" s="3"/>
      <c r="J100" s="3"/>
      <c r="K100" s="3"/>
      <c r="L100" s="3"/>
      <c r="M100" s="3"/>
    </row>
    <row r="101" customFormat="false" ht="15" hidden="false" customHeight="false" outlineLevel="0" collapsed="false">
      <c r="A101" s="28" t="n">
        <v>46301.5236773032</v>
      </c>
      <c r="B101" s="31" t="n">
        <f aca="false">(A101-$A$5)*86400</f>
        <v>2.080999827</v>
      </c>
      <c r="C101" s="27" t="n">
        <v>0.9831</v>
      </c>
      <c r="D101" s="27" t="n">
        <v>1.7535</v>
      </c>
      <c r="E101" s="27" t="s">
        <v>603</v>
      </c>
      <c r="F101" s="27" t="s">
        <v>144</v>
      </c>
      <c r="G101" s="32" t="n">
        <f aca="false">(A101-A100)*86400000</f>
        <v>31.999801</v>
      </c>
      <c r="H101" s="3"/>
      <c r="I101" s="3"/>
      <c r="J101" s="3"/>
      <c r="K101" s="3"/>
      <c r="L101" s="3"/>
      <c r="M101" s="3"/>
    </row>
    <row r="102" customFormat="false" ht="15" hidden="false" customHeight="false" outlineLevel="0" collapsed="false">
      <c r="A102" s="28" t="n">
        <v>46301.5236776736</v>
      </c>
      <c r="B102" s="31" t="n">
        <f aca="false">(A102-$A$5)*86400</f>
        <v>2.113000256</v>
      </c>
      <c r="C102" s="27" t="n">
        <v>0.9819</v>
      </c>
      <c r="D102" s="27" t="n">
        <v>1.7522</v>
      </c>
      <c r="E102" s="27" t="s">
        <v>603</v>
      </c>
      <c r="F102" s="27" t="s">
        <v>144</v>
      </c>
      <c r="G102" s="32" t="n">
        <f aca="false">(A102-A101)*86400000</f>
        <v>32.000429</v>
      </c>
      <c r="H102" s="3"/>
      <c r="I102" s="3"/>
      <c r="J102" s="3"/>
      <c r="K102" s="3"/>
      <c r="L102" s="3"/>
      <c r="M102" s="3"/>
    </row>
    <row r="103" customFormat="false" ht="15" hidden="false" customHeight="false" outlineLevel="0" collapsed="false">
      <c r="A103" s="28" t="n">
        <v>46301.5236778704</v>
      </c>
      <c r="B103" s="31" t="n">
        <f aca="false">(A103-$A$5)*86400</f>
        <v>2.130000013</v>
      </c>
      <c r="C103" s="27" t="n">
        <v>0.9814</v>
      </c>
      <c r="D103" s="27" t="n">
        <v>1.7517</v>
      </c>
      <c r="E103" s="27" t="s">
        <v>603</v>
      </c>
      <c r="F103" s="27" t="s">
        <v>144</v>
      </c>
      <c r="G103" s="32" t="n">
        <f aca="false">(A103-A102)*86400000</f>
        <v>16.999756</v>
      </c>
      <c r="H103" s="3"/>
      <c r="I103" s="3"/>
      <c r="J103" s="3"/>
      <c r="K103" s="3"/>
      <c r="L103" s="3"/>
      <c r="M103" s="3"/>
    </row>
    <row r="104" customFormat="false" ht="15" hidden="false" customHeight="false" outlineLevel="0" collapsed="false">
      <c r="A104" s="28" t="n">
        <v>46301.5236782523</v>
      </c>
      <c r="B104" s="31" t="n">
        <f aca="false">(A104-$A$5)*86400</f>
        <v>2.162999985</v>
      </c>
      <c r="C104" s="27" t="n">
        <v>0.9802</v>
      </c>
      <c r="D104" s="27" t="n">
        <v>1.7506</v>
      </c>
      <c r="E104" s="27" t="s">
        <v>603</v>
      </c>
      <c r="F104" s="27" t="s">
        <v>144</v>
      </c>
      <c r="G104" s="32" t="n">
        <f aca="false">(A104-A103)*86400000</f>
        <v>32.999971</v>
      </c>
      <c r="H104" s="3"/>
      <c r="I104" s="3"/>
      <c r="J104" s="3"/>
      <c r="K104" s="3"/>
      <c r="L104" s="3"/>
      <c r="M104" s="3"/>
    </row>
    <row r="105" customFormat="false" ht="15" hidden="false" customHeight="false" outlineLevel="0" collapsed="false">
      <c r="A105" s="28" t="n">
        <v>46301.5236786227</v>
      </c>
      <c r="B105" s="31" t="n">
        <f aca="false">(A105-$A$5)*86400</f>
        <v>2.195000415</v>
      </c>
      <c r="C105" s="27" t="n">
        <v>0.9791</v>
      </c>
      <c r="D105" s="27" t="n">
        <v>1.7495</v>
      </c>
      <c r="E105" s="27" t="s">
        <v>603</v>
      </c>
      <c r="F105" s="27" t="s">
        <v>144</v>
      </c>
      <c r="G105" s="32" t="n">
        <f aca="false">(A105-A104)*86400000</f>
        <v>32.000429</v>
      </c>
      <c r="H105" s="3"/>
      <c r="I105" s="3"/>
      <c r="J105" s="3"/>
      <c r="K105" s="3"/>
      <c r="L105" s="3"/>
      <c r="M105" s="3"/>
    </row>
    <row r="106" customFormat="false" ht="15" hidden="false" customHeight="false" outlineLevel="0" collapsed="false">
      <c r="A106" s="28" t="n">
        <v>46301.5236789931</v>
      </c>
      <c r="B106" s="31" t="n">
        <f aca="false">(A106-$A$5)*86400</f>
        <v>2.227000216</v>
      </c>
      <c r="C106" s="27" t="n">
        <v>0.9783</v>
      </c>
      <c r="D106" s="27" t="n">
        <v>1.7487</v>
      </c>
      <c r="E106" s="27" t="s">
        <v>603</v>
      </c>
      <c r="F106" s="27" t="s">
        <v>144</v>
      </c>
      <c r="G106" s="32" t="n">
        <f aca="false">(A106-A105)*86400000</f>
        <v>31.999801</v>
      </c>
      <c r="H106" s="3"/>
      <c r="I106" s="3"/>
      <c r="J106" s="3"/>
      <c r="K106" s="3"/>
      <c r="L106" s="3"/>
      <c r="M106" s="3"/>
    </row>
    <row r="107" customFormat="false" ht="15" hidden="false" customHeight="false" outlineLevel="0" collapsed="false">
      <c r="A107" s="28" t="n">
        <v>46301.5236793634</v>
      </c>
      <c r="B107" s="31" t="n">
        <f aca="false">(A107-$A$5)*86400</f>
        <v>2.258999389</v>
      </c>
      <c r="C107" s="27" t="n">
        <v>0.9767</v>
      </c>
      <c r="D107" s="27" t="n">
        <v>1.7471</v>
      </c>
      <c r="E107" s="27" t="s">
        <v>603</v>
      </c>
      <c r="F107" s="27" t="s">
        <v>144</v>
      </c>
      <c r="G107" s="32" t="n">
        <f aca="false">(A107-A106)*86400000</f>
        <v>31.999172</v>
      </c>
      <c r="H107" s="3"/>
      <c r="I107" s="3"/>
      <c r="J107" s="3"/>
      <c r="K107" s="3"/>
      <c r="L107" s="3"/>
      <c r="M107" s="3"/>
    </row>
    <row r="108" customFormat="false" ht="15" hidden="false" customHeight="false" outlineLevel="0" collapsed="false">
      <c r="A108" s="28" t="n">
        <v>46301.5236797338</v>
      </c>
      <c r="B108" s="31" t="n">
        <f aca="false">(A108-$A$5)*86400</f>
        <v>2.290999819</v>
      </c>
      <c r="C108" s="27" t="n">
        <v>0.9771</v>
      </c>
      <c r="D108" s="27" t="n">
        <v>1.7464</v>
      </c>
      <c r="E108" s="27" t="s">
        <v>603</v>
      </c>
      <c r="F108" s="27" t="s">
        <v>144</v>
      </c>
      <c r="G108" s="32" t="n">
        <f aca="false">(A108-A107)*86400000</f>
        <v>32.000429</v>
      </c>
      <c r="H108" s="3"/>
      <c r="I108" s="3"/>
      <c r="J108" s="3"/>
      <c r="K108" s="3"/>
      <c r="L108" s="3"/>
      <c r="M108" s="3"/>
    </row>
    <row r="109" customFormat="false" ht="15" hidden="false" customHeight="false" outlineLevel="0" collapsed="false">
      <c r="A109" s="28" t="n">
        <v>46301.523679919</v>
      </c>
      <c r="B109" s="31" t="n">
        <f aca="false">(A109-$A$5)*86400</f>
        <v>2.307000034</v>
      </c>
      <c r="C109" s="27" t="n">
        <v>0.978</v>
      </c>
      <c r="D109" s="27" t="n">
        <v>1.745</v>
      </c>
      <c r="E109" s="27" t="s">
        <v>603</v>
      </c>
      <c r="F109" s="27" t="s">
        <v>144</v>
      </c>
      <c r="G109" s="32" t="n">
        <f aca="false">(A109-A108)*86400000</f>
        <v>16.000214</v>
      </c>
      <c r="H109" s="3"/>
      <c r="I109" s="3"/>
      <c r="J109" s="3"/>
      <c r="K109" s="3"/>
      <c r="L109" s="3"/>
      <c r="M109" s="3"/>
    </row>
    <row r="110" customFormat="false" ht="15" hidden="false" customHeight="false" outlineLevel="0" collapsed="false">
      <c r="A110" s="28" t="n">
        <v>46301.5236808449</v>
      </c>
      <c r="B110" s="31" t="n">
        <f aca="false">(A110-$A$5)*86400</f>
        <v>2.386999223</v>
      </c>
      <c r="C110" s="27" t="n">
        <v>0.9783</v>
      </c>
      <c r="D110" s="27" t="n">
        <v>1.7457</v>
      </c>
      <c r="E110" s="27" t="s">
        <v>603</v>
      </c>
      <c r="F110" s="27" t="s">
        <v>144</v>
      </c>
      <c r="G110" s="32" t="n">
        <f aca="false">(A110-A109)*86400000</f>
        <v>79.999188</v>
      </c>
      <c r="H110" s="3"/>
      <c r="I110" s="3"/>
      <c r="J110" s="3"/>
      <c r="K110" s="3"/>
      <c r="L110" s="3"/>
      <c r="M110" s="3"/>
    </row>
    <row r="111" customFormat="false" ht="15" hidden="false" customHeight="false" outlineLevel="0" collapsed="false">
      <c r="A111" s="28" t="n">
        <v>46301.5236810301</v>
      </c>
      <c r="B111" s="31" t="n">
        <f aca="false">(A111-$A$5)*86400</f>
        <v>2.403000066</v>
      </c>
      <c r="C111" s="27" t="n">
        <v>0.9786</v>
      </c>
      <c r="D111" s="27" t="n">
        <v>1.7463</v>
      </c>
      <c r="E111" s="27" t="s">
        <v>603</v>
      </c>
      <c r="F111" s="27" t="s">
        <v>144</v>
      </c>
      <c r="G111" s="32" t="n">
        <f aca="false">(A111-A110)*86400000</f>
        <v>16.000843</v>
      </c>
      <c r="H111" s="3"/>
      <c r="I111" s="3"/>
      <c r="J111" s="3"/>
      <c r="K111" s="3"/>
      <c r="L111" s="3"/>
      <c r="M111" s="3"/>
    </row>
    <row r="112" customFormat="false" ht="15" hidden="false" customHeight="false" outlineLevel="0" collapsed="false">
      <c r="A112" s="28" t="n">
        <v>46301.5236815857</v>
      </c>
      <c r="B112" s="31" t="n">
        <f aca="false">(A112-$A$5)*86400</f>
        <v>2.451000083</v>
      </c>
      <c r="C112" s="27" t="n">
        <v>0.9792</v>
      </c>
      <c r="D112" s="27" t="n">
        <v>1.7476</v>
      </c>
      <c r="E112" s="27" t="s">
        <v>603</v>
      </c>
      <c r="F112" s="27" t="s">
        <v>144</v>
      </c>
      <c r="G112" s="32" t="n">
        <f aca="false">(A112-A111)*86400000</f>
        <v>48.000016</v>
      </c>
      <c r="H112" s="3"/>
      <c r="I112" s="3"/>
      <c r="J112" s="3"/>
      <c r="K112" s="3"/>
      <c r="L112" s="3"/>
      <c r="M112" s="3"/>
    </row>
    <row r="113" customFormat="false" ht="15" hidden="false" customHeight="false" outlineLevel="0" collapsed="false">
      <c r="A113" s="28" t="n">
        <v>46301.5236825116</v>
      </c>
      <c r="B113" s="31" t="n">
        <f aca="false">(A113-$A$5)*86400</f>
        <v>2.5309999</v>
      </c>
      <c r="C113" s="27" t="n">
        <v>0.9784</v>
      </c>
      <c r="D113" s="27" t="n">
        <v>1.7497</v>
      </c>
      <c r="E113" s="27" t="s">
        <v>603</v>
      </c>
      <c r="F113" s="27" t="s">
        <v>144</v>
      </c>
      <c r="G113" s="32" t="n">
        <f aca="false">(A113-A112)*86400000</f>
        <v>79.999817</v>
      </c>
      <c r="H113" s="3"/>
      <c r="I113" s="3"/>
      <c r="J113" s="3"/>
      <c r="K113" s="3"/>
      <c r="L113" s="3"/>
      <c r="M113" s="3"/>
    </row>
    <row r="114" customFormat="false" ht="15" hidden="false" customHeight="false" outlineLevel="0" collapsed="false">
      <c r="A114" s="28" t="n">
        <v>46301.5236826968</v>
      </c>
      <c r="B114" s="31" t="n">
        <f aca="false">(A114-$A$5)*86400</f>
        <v>2.547000115</v>
      </c>
      <c r="C114" s="27" t="n">
        <v>0.9781</v>
      </c>
      <c r="D114" s="27" t="n">
        <v>1.7498</v>
      </c>
      <c r="E114" s="27" t="s">
        <v>603</v>
      </c>
      <c r="F114" s="27" t="s">
        <v>144</v>
      </c>
      <c r="G114" s="32" t="n">
        <f aca="false">(A114-A113)*86400000</f>
        <v>16.000214</v>
      </c>
      <c r="H114" s="3"/>
      <c r="I114" s="3"/>
      <c r="J114" s="3"/>
      <c r="K114" s="3"/>
      <c r="L114" s="3"/>
      <c r="M114" s="3"/>
    </row>
    <row r="115" customFormat="false" ht="15" hidden="false" customHeight="false" outlineLevel="0" collapsed="false">
      <c r="A115" s="28" t="n">
        <v>46301.523682882</v>
      </c>
      <c r="B115" s="31" t="n">
        <f aca="false">(A115-$A$5)*86400</f>
        <v>2.56300033</v>
      </c>
      <c r="C115" s="27" t="n">
        <v>0.9765</v>
      </c>
      <c r="D115" s="27" t="n">
        <v>1.7502</v>
      </c>
      <c r="E115" s="27" t="s">
        <v>603</v>
      </c>
      <c r="F115" s="27" t="s">
        <v>144</v>
      </c>
      <c r="G115" s="32" t="n">
        <f aca="false">(A115-A114)*86400000</f>
        <v>16.000214</v>
      </c>
      <c r="H115" s="3"/>
      <c r="I115" s="3"/>
      <c r="J115" s="3"/>
      <c r="K115" s="3"/>
      <c r="L115" s="3"/>
      <c r="M115" s="3"/>
    </row>
    <row r="116" customFormat="false" ht="15" hidden="false" customHeight="false" outlineLevel="0" collapsed="false">
      <c r="A116" s="28" t="n">
        <v>46301.5236834491</v>
      </c>
      <c r="B116" s="31" t="n">
        <f aca="false">(A116-$A$5)*86400</f>
        <v>2.611999888</v>
      </c>
      <c r="C116" s="27" t="n">
        <v>0.9781</v>
      </c>
      <c r="D116" s="27" t="n">
        <v>1.749</v>
      </c>
      <c r="E116" s="27" t="s">
        <v>603</v>
      </c>
      <c r="F116" s="27" t="s">
        <v>144</v>
      </c>
      <c r="G116" s="32" t="n">
        <f aca="false">(A116-A115)*86400000</f>
        <v>48.999558</v>
      </c>
      <c r="H116" s="3"/>
      <c r="I116" s="3"/>
      <c r="J116" s="3"/>
      <c r="K116" s="3"/>
      <c r="L116" s="3"/>
      <c r="M116" s="3"/>
    </row>
    <row r="117" customFormat="false" ht="15" hidden="false" customHeight="false" outlineLevel="0" collapsed="false">
      <c r="A117" s="28" t="n">
        <v>46301.5236847454</v>
      </c>
      <c r="B117" s="31" t="n">
        <f aca="false">(A117-$A$5)*86400</f>
        <v>2.724000136</v>
      </c>
      <c r="C117" s="27" t="n">
        <v>0.9778</v>
      </c>
      <c r="D117" s="27" t="n">
        <v>1.7472</v>
      </c>
      <c r="E117" s="27" t="s">
        <v>603</v>
      </c>
      <c r="F117" s="27" t="s">
        <v>144</v>
      </c>
      <c r="G117" s="32" t="n">
        <f aca="false">(A117-A116)*86400000</f>
        <v>112.000247</v>
      </c>
      <c r="H117" s="3"/>
      <c r="I117" s="3"/>
      <c r="J117" s="3"/>
      <c r="K117" s="3"/>
      <c r="L117" s="3"/>
      <c r="M117" s="3"/>
    </row>
    <row r="118" customFormat="false" ht="15" hidden="false" customHeight="false" outlineLevel="0" collapsed="false">
      <c r="A118" s="28" t="n">
        <v>46301.5236854977</v>
      </c>
      <c r="B118" s="31" t="n">
        <f aca="false">(A118-$A$5)*86400</f>
        <v>2.788999909</v>
      </c>
      <c r="C118" s="27" t="n">
        <v>0.9775</v>
      </c>
      <c r="D118" s="27" t="n">
        <v>1.7451</v>
      </c>
      <c r="E118" s="27" t="s">
        <v>603</v>
      </c>
      <c r="F118" s="27" t="s">
        <v>144</v>
      </c>
      <c r="G118" s="32" t="n">
        <f aca="false">(A118-A117)*86400000</f>
        <v>64.999773</v>
      </c>
      <c r="H118" s="3"/>
      <c r="I118" s="3"/>
      <c r="J118" s="3"/>
      <c r="K118" s="3"/>
      <c r="L118" s="3"/>
      <c r="M118" s="3"/>
    </row>
    <row r="119" customFormat="false" ht="15" hidden="false" customHeight="false" outlineLevel="0" collapsed="false">
      <c r="A119" s="28" t="n">
        <v>46301.5236860532</v>
      </c>
      <c r="B119" s="31" t="n">
        <f aca="false">(A119-$A$5)*86400</f>
        <v>2.836999925</v>
      </c>
      <c r="C119" s="27" t="n">
        <v>0.9764</v>
      </c>
      <c r="D119" s="27" t="n">
        <v>1.7428</v>
      </c>
      <c r="E119" s="27" t="s">
        <v>603</v>
      </c>
      <c r="F119" s="27" t="s">
        <v>144</v>
      </c>
      <c r="G119" s="32" t="n">
        <f aca="false">(A119-A118)*86400000</f>
        <v>48.000016</v>
      </c>
      <c r="H119" s="3"/>
      <c r="I119" s="3"/>
      <c r="J119" s="3"/>
      <c r="K119" s="3"/>
      <c r="L119" s="3"/>
      <c r="M119" s="3"/>
    </row>
    <row r="120" customFormat="false" ht="15" hidden="false" customHeight="false" outlineLevel="0" collapsed="false">
      <c r="A120" s="28" t="n">
        <v>46301.5236864236</v>
      </c>
      <c r="B120" s="31" t="n">
        <f aca="false">(A120-$A$5)*86400</f>
        <v>2.868999727</v>
      </c>
      <c r="C120" s="27" t="n">
        <v>0.9752</v>
      </c>
      <c r="D120" s="27" t="n">
        <v>1.7419</v>
      </c>
      <c r="E120" s="27" t="s">
        <v>603</v>
      </c>
      <c r="F120" s="27" t="s">
        <v>144</v>
      </c>
      <c r="G120" s="32" t="n">
        <f aca="false">(A120-A119)*86400000</f>
        <v>31.999801</v>
      </c>
      <c r="H120" s="3"/>
      <c r="I120" s="3"/>
      <c r="J120" s="3"/>
      <c r="K120" s="3"/>
      <c r="L120" s="3"/>
      <c r="M120" s="3"/>
    </row>
    <row r="121" customFormat="false" ht="15" hidden="false" customHeight="false" outlineLevel="0" collapsed="false">
      <c r="A121" s="28" t="n">
        <v>46301.5236871644</v>
      </c>
      <c r="B121" s="31" t="n">
        <f aca="false">(A121-$A$5)*86400</f>
        <v>2.932999958</v>
      </c>
      <c r="C121" s="27" t="n">
        <v>0.9727</v>
      </c>
      <c r="D121" s="27" t="n">
        <v>1.7401</v>
      </c>
      <c r="E121" s="27" t="s">
        <v>603</v>
      </c>
      <c r="F121" s="27" t="s">
        <v>144</v>
      </c>
      <c r="G121" s="32" t="n">
        <f aca="false">(A121-A120)*86400000</f>
        <v>64.000231</v>
      </c>
      <c r="H121" s="3"/>
      <c r="I121" s="3"/>
      <c r="J121" s="3"/>
      <c r="K121" s="3"/>
      <c r="L121" s="3"/>
      <c r="M121" s="3"/>
    </row>
    <row r="122" customFormat="false" ht="15" hidden="false" customHeight="false" outlineLevel="0" collapsed="false">
      <c r="A122" s="28" t="n">
        <v>46301.5236875347</v>
      </c>
      <c r="B122" s="31" t="n">
        <f aca="false">(A122-$A$5)*86400</f>
        <v>2.965001016</v>
      </c>
      <c r="C122" s="27" t="n">
        <v>0.9713</v>
      </c>
      <c r="D122" s="27" t="n">
        <v>1.74</v>
      </c>
      <c r="E122" s="27" t="s">
        <v>603</v>
      </c>
      <c r="F122" s="27" t="s">
        <v>144</v>
      </c>
      <c r="G122" s="32" t="n">
        <f aca="false">(A122-A121)*86400000</f>
        <v>32.001058</v>
      </c>
      <c r="H122" s="3"/>
      <c r="I122" s="3"/>
      <c r="J122" s="3"/>
      <c r="K122" s="3"/>
      <c r="L122" s="3"/>
      <c r="M122" s="3"/>
    </row>
    <row r="123" customFormat="false" ht="15" hidden="false" customHeight="false" outlineLevel="0" collapsed="false">
      <c r="A123" s="28" t="n">
        <v>46301.5236881134</v>
      </c>
      <c r="B123" s="31" t="n">
        <f aca="false">(A123-$A$5)*86400</f>
        <v>3.015000745</v>
      </c>
      <c r="C123" s="27" t="n">
        <v>0.9684</v>
      </c>
      <c r="D123" s="27" t="n">
        <v>1.7399</v>
      </c>
      <c r="E123" s="27" t="s">
        <v>603</v>
      </c>
      <c r="F123" s="27" t="s">
        <v>144</v>
      </c>
      <c r="G123" s="32" t="n">
        <f aca="false">(A123-A122)*86400000</f>
        <v>49.999728</v>
      </c>
      <c r="H123" s="3"/>
      <c r="I123" s="3"/>
      <c r="J123" s="3"/>
      <c r="K123" s="3"/>
      <c r="L123" s="3"/>
      <c r="M123" s="3"/>
    </row>
    <row r="124" customFormat="false" ht="15" hidden="false" customHeight="false" outlineLevel="0" collapsed="false">
      <c r="A124" s="28" t="n">
        <v>46301.5236883102</v>
      </c>
      <c r="B124" s="31" t="n">
        <f aca="false">(A124-$A$5)*86400</f>
        <v>3.031999873</v>
      </c>
      <c r="C124" s="27" t="n">
        <v>0.9668</v>
      </c>
      <c r="D124" s="27" t="n">
        <v>1.7388</v>
      </c>
      <c r="E124" s="27" t="s">
        <v>603</v>
      </c>
      <c r="F124" s="27" t="s">
        <v>144</v>
      </c>
      <c r="G124" s="32" t="n">
        <f aca="false">(A124-A123)*86400000</f>
        <v>16.999128</v>
      </c>
      <c r="H124" s="3"/>
      <c r="I124" s="3"/>
      <c r="J124" s="3"/>
      <c r="K124" s="3"/>
      <c r="L124" s="3"/>
      <c r="M124" s="3"/>
    </row>
    <row r="125" customFormat="false" ht="15" hidden="false" customHeight="false" outlineLevel="0" collapsed="false">
      <c r="A125" s="28" t="n">
        <v>46301.5236896181</v>
      </c>
      <c r="B125" s="31" t="n">
        <f aca="false">(A125-$A$5)*86400</f>
        <v>3.145000291</v>
      </c>
      <c r="C125" s="27" t="n">
        <v>0.9678</v>
      </c>
      <c r="D125" s="27" t="n">
        <v>1.739</v>
      </c>
      <c r="E125" s="27" t="s">
        <v>603</v>
      </c>
      <c r="F125" s="27" t="s">
        <v>144</v>
      </c>
      <c r="G125" s="32" t="n">
        <f aca="false">(A125-A124)*86400000</f>
        <v>113.000418</v>
      </c>
      <c r="H125" s="3"/>
      <c r="I125" s="3"/>
      <c r="J125" s="3"/>
      <c r="K125" s="3"/>
      <c r="L125" s="3"/>
      <c r="M125" s="3"/>
    </row>
    <row r="126" customFormat="false" ht="15" hidden="false" customHeight="false" outlineLevel="0" collapsed="false">
      <c r="A126" s="28" t="n">
        <v>46301.5236898032</v>
      </c>
      <c r="B126" s="31" t="n">
        <f aca="false">(A126-$A$5)*86400</f>
        <v>3.160999878</v>
      </c>
      <c r="C126" s="27" t="n">
        <v>0.9687</v>
      </c>
      <c r="D126" s="27" t="n">
        <v>1.7391</v>
      </c>
      <c r="E126" s="27" t="s">
        <v>603</v>
      </c>
      <c r="F126" s="27" t="s">
        <v>144</v>
      </c>
      <c r="G126" s="32" t="n">
        <f aca="false">(A126-A125)*86400000</f>
        <v>15.999586</v>
      </c>
      <c r="H126" s="3"/>
      <c r="I126" s="3"/>
      <c r="J126" s="3"/>
      <c r="K126" s="3"/>
      <c r="L126" s="3"/>
      <c r="M126" s="3"/>
    </row>
    <row r="127" customFormat="false" ht="15" hidden="false" customHeight="false" outlineLevel="0" collapsed="false">
      <c r="A127" s="28" t="n">
        <v>46301.5236903704</v>
      </c>
      <c r="B127" s="31" t="n">
        <f aca="false">(A127-$A$5)*86400</f>
        <v>3.210000065</v>
      </c>
      <c r="C127" s="27" t="n">
        <v>0.9705</v>
      </c>
      <c r="D127" s="27" t="n">
        <v>1.7394</v>
      </c>
      <c r="E127" s="27" t="s">
        <v>603</v>
      </c>
      <c r="F127" s="27" t="s">
        <v>144</v>
      </c>
      <c r="G127" s="32" t="n">
        <f aca="false">(A127-A126)*86400000</f>
        <v>49.000186</v>
      </c>
      <c r="H127" s="3"/>
      <c r="I127" s="3"/>
      <c r="J127" s="3"/>
      <c r="K127" s="3"/>
      <c r="L127" s="3"/>
      <c r="M127" s="3"/>
    </row>
    <row r="128" customFormat="false" ht="15" hidden="false" customHeight="false" outlineLevel="0" collapsed="false">
      <c r="A128" s="28" t="n">
        <v>46301.5236911227</v>
      </c>
      <c r="B128" s="31" t="n">
        <f aca="false">(A128-$A$5)*86400</f>
        <v>3.274999838</v>
      </c>
      <c r="C128" s="27" t="n">
        <v>0.9731</v>
      </c>
      <c r="D128" s="27" t="n">
        <v>1.7412</v>
      </c>
      <c r="E128" s="27" t="s">
        <v>603</v>
      </c>
      <c r="F128" s="27" t="s">
        <v>144</v>
      </c>
      <c r="G128" s="32" t="n">
        <f aca="false">(A128-A127)*86400000</f>
        <v>64.999773</v>
      </c>
      <c r="H128" s="3"/>
      <c r="I128" s="3"/>
      <c r="J128" s="3"/>
      <c r="K128" s="3"/>
      <c r="L128" s="3"/>
      <c r="M128" s="3"/>
    </row>
    <row r="129" customFormat="false" ht="15" hidden="false" customHeight="false" outlineLevel="0" collapsed="false">
      <c r="A129" s="28" t="n">
        <v>46301.5236931945</v>
      </c>
      <c r="B129" s="31" t="n">
        <f aca="false">(A129-$A$5)*86400</f>
        <v>3.454000828</v>
      </c>
      <c r="C129" s="27" t="n">
        <v>0.9738</v>
      </c>
      <c r="D129" s="27" t="n">
        <v>1.7423</v>
      </c>
      <c r="E129" s="27" t="s">
        <v>603</v>
      </c>
      <c r="F129" s="27" t="s">
        <v>144</v>
      </c>
      <c r="G129" s="32" t="n">
        <f aca="false">(A129-A128)*86400000</f>
        <v>179.00099</v>
      </c>
      <c r="H129" s="3"/>
      <c r="I129" s="3"/>
      <c r="J129" s="3"/>
      <c r="K129" s="3"/>
      <c r="L129" s="3"/>
      <c r="M129" s="3"/>
    </row>
    <row r="130" customFormat="false" ht="15" hidden="false" customHeight="false" outlineLevel="0" collapsed="false">
      <c r="A130" s="28" t="n">
        <v>46301.52369375</v>
      </c>
      <c r="B130" s="31" t="n">
        <f aca="false">(A130-$A$5)*86400</f>
        <v>3.502000216</v>
      </c>
      <c r="C130" s="27" t="n">
        <v>0.9761</v>
      </c>
      <c r="D130" s="27" t="n">
        <v>1.743</v>
      </c>
      <c r="E130" s="27" t="s">
        <v>603</v>
      </c>
      <c r="F130" s="27" t="s">
        <v>144</v>
      </c>
      <c r="G130" s="32" t="n">
        <f aca="false">(A130-A129)*86400000</f>
        <v>47.999387</v>
      </c>
      <c r="H130" s="3"/>
      <c r="I130" s="3"/>
      <c r="J130" s="3"/>
      <c r="K130" s="3"/>
      <c r="L130" s="3"/>
      <c r="M130" s="3"/>
    </row>
    <row r="131" customFormat="false" ht="15" hidden="false" customHeight="false" outlineLevel="0" collapsed="false">
      <c r="A131" s="28" t="n">
        <v>46301.5236944907</v>
      </c>
      <c r="B131" s="31" t="n">
        <f aca="false">(A131-$A$5)*86400</f>
        <v>3.565999818</v>
      </c>
      <c r="C131" s="27" t="n">
        <v>0.9711</v>
      </c>
      <c r="D131" s="27" t="n">
        <v>1.7457</v>
      </c>
      <c r="E131" s="27" t="s">
        <v>603</v>
      </c>
      <c r="F131" s="27" t="s">
        <v>144</v>
      </c>
      <c r="G131" s="32" t="n">
        <f aca="false">(A131-A130)*86400000</f>
        <v>63.999602</v>
      </c>
      <c r="H131" s="3"/>
      <c r="I131" s="3"/>
      <c r="J131" s="3"/>
      <c r="K131" s="3"/>
      <c r="L131" s="3"/>
      <c r="M131" s="3"/>
    </row>
    <row r="132" customFormat="false" ht="15" hidden="false" customHeight="false" outlineLevel="0" collapsed="false">
      <c r="A132" s="28" t="n">
        <v>46301.5236946759</v>
      </c>
      <c r="B132" s="31" t="n">
        <f aca="false">(A132-$A$5)*86400</f>
        <v>3.582000662</v>
      </c>
      <c r="C132" s="27" t="n">
        <v>0.9666</v>
      </c>
      <c r="D132" s="27" t="n">
        <v>1.7481</v>
      </c>
      <c r="E132" s="27" t="s">
        <v>603</v>
      </c>
      <c r="F132" s="27" t="s">
        <v>144</v>
      </c>
      <c r="G132" s="32" t="n">
        <f aca="false">(A132-A131)*86400000</f>
        <v>16.000843</v>
      </c>
      <c r="H132" s="3"/>
      <c r="I132" s="3"/>
      <c r="J132" s="3"/>
      <c r="K132" s="3"/>
      <c r="L132" s="3"/>
      <c r="M132" s="3"/>
    </row>
    <row r="133" customFormat="false" ht="15" hidden="false" customHeight="false" outlineLevel="0" collapsed="false">
      <c r="A133" s="28" t="n">
        <v>46301.5236948611</v>
      </c>
      <c r="B133" s="31" t="n">
        <f aca="false">(A133-$A$5)*86400</f>
        <v>3.598000248</v>
      </c>
      <c r="C133" s="27" t="n">
        <v>0.9632</v>
      </c>
      <c r="D133" s="27" t="n">
        <v>1.75</v>
      </c>
      <c r="E133" s="27" t="s">
        <v>603</v>
      </c>
      <c r="F133" s="27" t="s">
        <v>144</v>
      </c>
      <c r="G133" s="32" t="n">
        <f aca="false">(A133-A132)*86400000</f>
        <v>15.999586</v>
      </c>
      <c r="H133" s="3"/>
      <c r="I133" s="3"/>
      <c r="J133" s="3"/>
      <c r="K133" s="3"/>
      <c r="L133" s="3"/>
      <c r="M133" s="3"/>
    </row>
    <row r="134" customFormat="false" ht="15" hidden="false" customHeight="false" outlineLevel="0" collapsed="false">
      <c r="A134" s="28" t="n">
        <v>46301.5236950463</v>
      </c>
      <c r="B134" s="31" t="n">
        <f aca="false">(A134-$A$5)*86400</f>
        <v>3.613999835</v>
      </c>
      <c r="C134" s="27" t="n">
        <v>0.9604</v>
      </c>
      <c r="D134" s="27" t="n">
        <v>1.7515</v>
      </c>
      <c r="E134" s="27" t="s">
        <v>603</v>
      </c>
      <c r="F134" s="27" t="s">
        <v>144</v>
      </c>
      <c r="G134" s="32" t="n">
        <f aca="false">(A134-A133)*86400000</f>
        <v>15.999586</v>
      </c>
      <c r="H134" s="3"/>
      <c r="I134" s="3"/>
      <c r="J134" s="3"/>
      <c r="K134" s="3"/>
      <c r="L134" s="3"/>
      <c r="M134" s="3"/>
    </row>
    <row r="135" customFormat="false" ht="15" hidden="false" customHeight="false" outlineLevel="0" collapsed="false">
      <c r="A135" s="28" t="n">
        <v>46301.5236952315</v>
      </c>
      <c r="B135" s="31" t="n">
        <f aca="false">(A135-$A$5)*86400</f>
        <v>3.63000005</v>
      </c>
      <c r="C135" s="27" t="n">
        <v>0.9581</v>
      </c>
      <c r="D135" s="27" t="n">
        <v>1.7527</v>
      </c>
      <c r="E135" s="27" t="s">
        <v>603</v>
      </c>
      <c r="F135" s="27" t="s">
        <v>144</v>
      </c>
      <c r="G135" s="32" t="n">
        <f aca="false">(A135-A134)*86400000</f>
        <v>16.000214</v>
      </c>
      <c r="H135" s="3"/>
      <c r="I135" s="3"/>
      <c r="J135" s="3"/>
      <c r="K135" s="3"/>
      <c r="L135" s="3"/>
      <c r="M135" s="3"/>
    </row>
    <row r="136" customFormat="false" ht="15" hidden="false" customHeight="false" outlineLevel="0" collapsed="false">
      <c r="A136" s="28" t="n">
        <v>46301.5236954167</v>
      </c>
      <c r="B136" s="31" t="n">
        <f aca="false">(A136-$A$5)*86400</f>
        <v>3.646000265</v>
      </c>
      <c r="C136" s="27" t="n">
        <v>0.9562</v>
      </c>
      <c r="D136" s="27" t="n">
        <v>1.7538</v>
      </c>
      <c r="E136" s="27" t="s">
        <v>603</v>
      </c>
      <c r="F136" s="27" t="s">
        <v>144</v>
      </c>
      <c r="G136" s="32" t="n">
        <f aca="false">(A136-A135)*86400000</f>
        <v>16.000214</v>
      </c>
      <c r="H136" s="3"/>
      <c r="I136" s="3"/>
      <c r="J136" s="3"/>
      <c r="K136" s="3"/>
      <c r="L136" s="3"/>
      <c r="M136" s="3"/>
    </row>
    <row r="137" customFormat="false" ht="15" hidden="false" customHeight="false" outlineLevel="0" collapsed="false">
      <c r="A137" s="28" t="n">
        <v>46301.5236956019</v>
      </c>
      <c r="B137" s="31" t="n">
        <f aca="false">(A137-$A$5)*86400</f>
        <v>3.661999851</v>
      </c>
      <c r="C137" s="27" t="n">
        <v>0.9546</v>
      </c>
      <c r="D137" s="27" t="n">
        <v>1.7546</v>
      </c>
      <c r="E137" s="27" t="s">
        <v>603</v>
      </c>
      <c r="F137" s="27" t="s">
        <v>144</v>
      </c>
      <c r="G137" s="32" t="n">
        <f aca="false">(A137-A136)*86400000</f>
        <v>15.999586</v>
      </c>
      <c r="H137" s="3"/>
      <c r="I137" s="3"/>
      <c r="J137" s="3"/>
      <c r="K137" s="3"/>
      <c r="L137" s="3"/>
      <c r="M137" s="3"/>
    </row>
    <row r="138" customFormat="false" ht="15" hidden="false" customHeight="false" outlineLevel="0" collapsed="false">
      <c r="A138" s="28" t="n">
        <v>46301.523695787</v>
      </c>
      <c r="B138" s="31" t="n">
        <f aca="false">(A138-$A$5)*86400</f>
        <v>3.678000066</v>
      </c>
      <c r="C138" s="27" t="n">
        <v>0.9512</v>
      </c>
      <c r="D138" s="27" t="n">
        <v>1.7562</v>
      </c>
      <c r="E138" s="27" t="s">
        <v>603</v>
      </c>
      <c r="F138" s="27" t="s">
        <v>144</v>
      </c>
      <c r="G138" s="32" t="n">
        <f aca="false">(A138-A137)*86400000</f>
        <v>16.000214</v>
      </c>
      <c r="H138" s="3"/>
      <c r="I138" s="3"/>
      <c r="J138" s="3"/>
      <c r="K138" s="3"/>
      <c r="L138" s="3"/>
      <c r="M138" s="3"/>
    </row>
    <row r="139" customFormat="false" ht="15" hidden="false" customHeight="false" outlineLevel="0" collapsed="false">
      <c r="A139" s="28" t="n">
        <v>46301.5236959722</v>
      </c>
      <c r="B139" s="31" t="n">
        <f aca="false">(A139-$A$5)*86400</f>
        <v>3.693999652</v>
      </c>
      <c r="C139" s="27" t="n">
        <v>0.9485</v>
      </c>
      <c r="D139" s="27" t="n">
        <v>1.7574</v>
      </c>
      <c r="E139" s="27" t="s">
        <v>603</v>
      </c>
      <c r="F139" s="27" t="s">
        <v>144</v>
      </c>
      <c r="G139" s="32" t="n">
        <f aca="false">(A139-A138)*86400000</f>
        <v>15.999586</v>
      </c>
      <c r="H139" s="3"/>
      <c r="I139" s="3"/>
      <c r="J139" s="3"/>
      <c r="K139" s="3"/>
      <c r="L139" s="3"/>
      <c r="M139" s="3"/>
    </row>
    <row r="140" customFormat="false" ht="15" hidden="false" customHeight="false" outlineLevel="0" collapsed="false">
      <c r="A140" s="28" t="n">
        <v>46301.5236961574</v>
      </c>
      <c r="B140" s="31" t="n">
        <f aca="false">(A140-$A$5)*86400</f>
        <v>3.709999239</v>
      </c>
      <c r="C140" s="27" t="n">
        <v>0.9462</v>
      </c>
      <c r="D140" s="27" t="n">
        <v>1.7585</v>
      </c>
      <c r="E140" s="27" t="s">
        <v>603</v>
      </c>
      <c r="F140" s="27" t="s">
        <v>144</v>
      </c>
      <c r="G140" s="32" t="n">
        <f aca="false">(A140-A139)*86400000</f>
        <v>15.999586</v>
      </c>
      <c r="H140" s="3"/>
      <c r="I140" s="3"/>
      <c r="J140" s="3"/>
      <c r="K140" s="3"/>
      <c r="L140" s="3"/>
      <c r="M140" s="3"/>
    </row>
    <row r="141" customFormat="false" ht="15" hidden="false" customHeight="false" outlineLevel="0" collapsed="false">
      <c r="A141" s="28" t="n">
        <v>46301.5236963426</v>
      </c>
      <c r="B141" s="31" t="n">
        <f aca="false">(A141-$A$5)*86400</f>
        <v>3.726000082</v>
      </c>
      <c r="C141" s="27" t="n">
        <v>0.9443</v>
      </c>
      <c r="D141" s="27" t="n">
        <v>1.7593</v>
      </c>
      <c r="E141" s="27" t="s">
        <v>603</v>
      </c>
      <c r="F141" s="27" t="s">
        <v>144</v>
      </c>
      <c r="G141" s="32" t="n">
        <f aca="false">(A141-A140)*86400000</f>
        <v>16.000843</v>
      </c>
      <c r="H141" s="3"/>
      <c r="I141" s="3"/>
      <c r="J141" s="3"/>
      <c r="K141" s="3"/>
      <c r="L141" s="3"/>
      <c r="M141" s="3"/>
    </row>
    <row r="142" customFormat="false" ht="15" hidden="false" customHeight="false" outlineLevel="0" collapsed="false">
      <c r="A142" s="28" t="n">
        <v>46301.5236965278</v>
      </c>
      <c r="B142" s="31" t="n">
        <f aca="false">(A142-$A$5)*86400</f>
        <v>3.742000297</v>
      </c>
      <c r="C142" s="27" t="n">
        <v>0.9428</v>
      </c>
      <c r="D142" s="27" t="n">
        <v>1.76</v>
      </c>
      <c r="E142" s="27" t="s">
        <v>603</v>
      </c>
      <c r="F142" s="27" t="s">
        <v>144</v>
      </c>
      <c r="G142" s="32" t="n">
        <f aca="false">(A142-A141)*86400000</f>
        <v>16.000214</v>
      </c>
      <c r="H142" s="3"/>
      <c r="I142" s="3"/>
      <c r="J142" s="3"/>
      <c r="K142" s="3"/>
      <c r="L142" s="3"/>
      <c r="M142" s="3"/>
    </row>
    <row r="143" customFormat="false" ht="15" hidden="false" customHeight="false" outlineLevel="0" collapsed="false">
      <c r="A143" s="28" t="n">
        <v>46301.5236967245</v>
      </c>
      <c r="B143" s="31" t="n">
        <f aca="false">(A143-$A$5)*86400</f>
        <v>3.759000054</v>
      </c>
      <c r="C143" s="27" t="n">
        <v>0.9414</v>
      </c>
      <c r="D143" s="27" t="n">
        <v>1.7606</v>
      </c>
      <c r="E143" s="27" t="s">
        <v>603</v>
      </c>
      <c r="F143" s="27" t="s">
        <v>144</v>
      </c>
      <c r="G143" s="32" t="n">
        <f aca="false">(A143-A142)*86400000</f>
        <v>16.999756</v>
      </c>
      <c r="H143" s="3"/>
      <c r="I143" s="3"/>
      <c r="J143" s="3"/>
      <c r="K143" s="3"/>
      <c r="L143" s="3"/>
      <c r="M143" s="3"/>
    </row>
    <row r="144" customFormat="false" ht="15" hidden="false" customHeight="false" outlineLevel="0" collapsed="false">
      <c r="A144" s="28" t="n">
        <v>46301.5236969097</v>
      </c>
      <c r="B144" s="31" t="n">
        <f aca="false">(A144-$A$5)*86400</f>
        <v>3.77499964</v>
      </c>
      <c r="C144" s="27" t="n">
        <v>0.9404</v>
      </c>
      <c r="D144" s="27" t="n">
        <v>1.7611</v>
      </c>
      <c r="E144" s="27" t="s">
        <v>603</v>
      </c>
      <c r="F144" s="27" t="s">
        <v>144</v>
      </c>
      <c r="G144" s="32" t="n">
        <f aca="false">(A144-A143)*86400000</f>
        <v>15.999586</v>
      </c>
      <c r="H144" s="3"/>
      <c r="I144" s="3"/>
      <c r="J144" s="3"/>
      <c r="K144" s="3"/>
      <c r="L144" s="3"/>
      <c r="M144" s="3"/>
    </row>
    <row r="145" customFormat="false" ht="15" hidden="false" customHeight="false" outlineLevel="0" collapsed="false">
      <c r="A145" s="28" t="n">
        <v>46301.5236971065</v>
      </c>
      <c r="B145" s="31" t="n">
        <f aca="false">(A145-$A$5)*86400</f>
        <v>3.792000026</v>
      </c>
      <c r="C145" s="27" t="n">
        <v>0.9387</v>
      </c>
      <c r="D145" s="27" t="n">
        <v>1.7618</v>
      </c>
      <c r="E145" s="27" t="s">
        <v>603</v>
      </c>
      <c r="F145" s="27" t="s">
        <v>144</v>
      </c>
      <c r="G145" s="32" t="n">
        <f aca="false">(A145-A144)*86400000</f>
        <v>17.000385</v>
      </c>
      <c r="H145" s="3"/>
      <c r="I145" s="3"/>
      <c r="J145" s="3"/>
      <c r="K145" s="3"/>
      <c r="L145" s="3"/>
      <c r="M145" s="3"/>
    </row>
    <row r="146" customFormat="false" ht="15" hidden="false" customHeight="false" outlineLevel="0" collapsed="false">
      <c r="A146" s="28" t="n">
        <v>46301.5236972801</v>
      </c>
      <c r="B146" s="31" t="n">
        <f aca="false">(A146-$A$5)*86400</f>
        <v>3.80700007</v>
      </c>
      <c r="C146" s="27" t="n">
        <v>0.9374</v>
      </c>
      <c r="D146" s="27" t="n">
        <v>1.7624</v>
      </c>
      <c r="E146" s="27" t="s">
        <v>603</v>
      </c>
      <c r="F146" s="27" t="s">
        <v>144</v>
      </c>
      <c r="G146" s="32" t="n">
        <f aca="false">(A146-A145)*86400000</f>
        <v>15.000044</v>
      </c>
      <c r="H146" s="3"/>
      <c r="I146" s="3"/>
      <c r="J146" s="3"/>
      <c r="K146" s="3"/>
      <c r="L146" s="3"/>
      <c r="M146" s="3"/>
    </row>
    <row r="147" customFormat="false" ht="15" hidden="false" customHeight="false" outlineLevel="0" collapsed="false">
      <c r="A147" s="28" t="n">
        <v>46301.5236974653</v>
      </c>
      <c r="B147" s="31" t="n">
        <f aca="false">(A147-$A$5)*86400</f>
        <v>3.823000285</v>
      </c>
      <c r="C147" s="27" t="n">
        <v>0.9362</v>
      </c>
      <c r="D147" s="27" t="n">
        <v>1.7629</v>
      </c>
      <c r="E147" s="27" t="s">
        <v>603</v>
      </c>
      <c r="F147" s="27" t="s">
        <v>144</v>
      </c>
      <c r="G147" s="32" t="n">
        <f aca="false">(A147-A146)*86400000</f>
        <v>16.000214</v>
      </c>
      <c r="H147" s="3"/>
      <c r="I147" s="3"/>
      <c r="J147" s="3"/>
      <c r="K147" s="3"/>
      <c r="L147" s="3"/>
      <c r="M147" s="3"/>
    </row>
    <row r="148" customFormat="false" ht="15" hidden="false" customHeight="false" outlineLevel="0" collapsed="false">
      <c r="A148" s="28" t="n">
        <v>46301.5236976505</v>
      </c>
      <c r="B148" s="31" t="n">
        <f aca="false">(A148-$A$5)*86400</f>
        <v>3.838999872</v>
      </c>
      <c r="C148" s="27" t="n">
        <v>0.9353</v>
      </c>
      <c r="D148" s="27" t="n">
        <v>1.7633</v>
      </c>
      <c r="E148" s="27" t="s">
        <v>603</v>
      </c>
      <c r="F148" s="27" t="s">
        <v>144</v>
      </c>
      <c r="G148" s="32" t="n">
        <f aca="false">(A148-A147)*86400000</f>
        <v>15.999586</v>
      </c>
      <c r="H148" s="3"/>
      <c r="I148" s="3"/>
      <c r="J148" s="3"/>
      <c r="K148" s="3"/>
      <c r="L148" s="3"/>
      <c r="M148" s="3"/>
    </row>
    <row r="149" customFormat="false" ht="15" hidden="false" customHeight="false" outlineLevel="0" collapsed="false">
      <c r="A149" s="28" t="n">
        <v>46301.5236978357</v>
      </c>
      <c r="B149" s="31" t="n">
        <f aca="false">(A149-$A$5)*86400</f>
        <v>3.855000087</v>
      </c>
      <c r="C149" s="27" t="n">
        <v>0.9345</v>
      </c>
      <c r="D149" s="27" t="n">
        <v>1.7636</v>
      </c>
      <c r="E149" s="27" t="s">
        <v>603</v>
      </c>
      <c r="F149" s="27" t="s">
        <v>144</v>
      </c>
      <c r="G149" s="32" t="n">
        <f aca="false">(A149-A148)*86400000</f>
        <v>16.000214</v>
      </c>
      <c r="H149" s="3"/>
      <c r="I149" s="3"/>
      <c r="J149" s="3"/>
      <c r="K149" s="3"/>
      <c r="L149" s="3"/>
      <c r="M149" s="3"/>
    </row>
    <row r="150" customFormat="false" ht="15" hidden="false" customHeight="false" outlineLevel="0" collapsed="false">
      <c r="A150" s="28" t="n">
        <v>46301.523698206</v>
      </c>
      <c r="B150" s="31" t="n">
        <f aca="false">(A150-$A$5)*86400</f>
        <v>3.887000516</v>
      </c>
      <c r="C150" s="27" t="n">
        <v>0.9333</v>
      </c>
      <c r="D150" s="27" t="n">
        <v>1.7642</v>
      </c>
      <c r="E150" s="27" t="s">
        <v>603</v>
      </c>
      <c r="F150" s="27" t="s">
        <v>144</v>
      </c>
      <c r="G150" s="32" t="n">
        <f aca="false">(A150-A149)*86400000</f>
        <v>32.000429</v>
      </c>
      <c r="H150" s="3"/>
      <c r="I150" s="3"/>
      <c r="J150" s="3"/>
      <c r="K150" s="3"/>
      <c r="L150" s="3"/>
      <c r="M150" s="3"/>
    </row>
    <row r="151" customFormat="false" ht="15" hidden="false" customHeight="false" outlineLevel="0" collapsed="false">
      <c r="A151" s="28" t="n">
        <v>46301.5236984144</v>
      </c>
      <c r="B151" s="31" t="n">
        <f aca="false">(A151-$A$5)*86400</f>
        <v>3.904999815</v>
      </c>
      <c r="C151" s="27" t="n">
        <v>0.938</v>
      </c>
      <c r="D151" s="27" t="n">
        <v>1.7617</v>
      </c>
      <c r="E151" s="27" t="s">
        <v>603</v>
      </c>
      <c r="F151" s="27" t="s">
        <v>144</v>
      </c>
      <c r="G151" s="32" t="n">
        <f aca="false">(A151-A150)*86400000</f>
        <v>17.999298</v>
      </c>
      <c r="H151" s="3"/>
      <c r="I151" s="3"/>
      <c r="J151" s="3"/>
      <c r="K151" s="3"/>
      <c r="L151" s="3"/>
      <c r="M151" s="3"/>
    </row>
    <row r="152" customFormat="false" ht="15" hidden="false" customHeight="false" outlineLevel="0" collapsed="false">
      <c r="A152" s="28" t="n">
        <v>46301.523698588</v>
      </c>
      <c r="B152" s="31" t="n">
        <f aca="false">(A152-$A$5)*86400</f>
        <v>3.91999986</v>
      </c>
      <c r="C152" s="27" t="n">
        <v>0.9419</v>
      </c>
      <c r="D152" s="27" t="n">
        <v>1.7597</v>
      </c>
      <c r="E152" s="27" t="s">
        <v>603</v>
      </c>
      <c r="F152" s="27" t="s">
        <v>144</v>
      </c>
      <c r="G152" s="32" t="n">
        <f aca="false">(A152-A151)*86400000</f>
        <v>15.000044</v>
      </c>
      <c r="H152" s="3"/>
      <c r="I152" s="3"/>
      <c r="J152" s="3"/>
      <c r="K152" s="3"/>
      <c r="L152" s="3"/>
      <c r="M152" s="3"/>
    </row>
    <row r="153" customFormat="false" ht="15" hidden="false" customHeight="false" outlineLevel="0" collapsed="false">
      <c r="A153" s="28" t="n">
        <v>46301.5236987732</v>
      </c>
      <c r="B153" s="31" t="n">
        <f aca="false">(A153-$A$5)*86400</f>
        <v>3.936000075</v>
      </c>
      <c r="C153" s="27" t="n">
        <v>0.9451</v>
      </c>
      <c r="D153" s="27" t="n">
        <v>1.7581</v>
      </c>
      <c r="E153" s="27" t="s">
        <v>603</v>
      </c>
      <c r="F153" s="27" t="s">
        <v>144</v>
      </c>
      <c r="G153" s="32" t="n">
        <f aca="false">(A153-A152)*86400000</f>
        <v>16.000214</v>
      </c>
      <c r="H153" s="3"/>
      <c r="I153" s="3"/>
      <c r="J153" s="3"/>
      <c r="K153" s="3"/>
      <c r="L153" s="3"/>
      <c r="M153" s="3"/>
    </row>
    <row r="154" customFormat="false" ht="15" hidden="false" customHeight="false" outlineLevel="0" collapsed="false">
      <c r="A154" s="28" t="n">
        <v>46301.5236989583</v>
      </c>
      <c r="B154" s="31" t="n">
        <f aca="false">(A154-$A$5)*86400</f>
        <v>3.952000918</v>
      </c>
      <c r="C154" s="27" t="n">
        <v>0.9477</v>
      </c>
      <c r="D154" s="27" t="n">
        <v>1.7567</v>
      </c>
      <c r="E154" s="27" t="s">
        <v>603</v>
      </c>
      <c r="F154" s="27" t="s">
        <v>144</v>
      </c>
      <c r="G154" s="32" t="n">
        <f aca="false">(A154-A153)*86400000</f>
        <v>16.000843</v>
      </c>
      <c r="H154" s="3"/>
      <c r="I154" s="3"/>
      <c r="J154" s="3"/>
      <c r="K154" s="3"/>
      <c r="L154" s="3"/>
      <c r="M154" s="3"/>
    </row>
    <row r="155" customFormat="false" ht="15" hidden="false" customHeight="false" outlineLevel="0" collapsed="false">
      <c r="A155" s="28" t="n">
        <v>46301.5236991435</v>
      </c>
      <c r="B155" s="31" t="n">
        <f aca="false">(A155-$A$5)*86400</f>
        <v>3.968000505</v>
      </c>
      <c r="C155" s="27" t="n">
        <v>0.9497</v>
      </c>
      <c r="D155" s="27" t="n">
        <v>1.7557</v>
      </c>
      <c r="E155" s="27" t="s">
        <v>603</v>
      </c>
      <c r="F155" s="27" t="s">
        <v>144</v>
      </c>
      <c r="G155" s="32" t="n">
        <f aca="false">(A155-A154)*86400000</f>
        <v>15.999586</v>
      </c>
      <c r="H155" s="3"/>
      <c r="I155" s="3"/>
      <c r="J155" s="3"/>
      <c r="K155" s="3"/>
      <c r="L155" s="3"/>
      <c r="M155" s="3"/>
    </row>
    <row r="156" customFormat="false" ht="15" hidden="false" customHeight="false" outlineLevel="0" collapsed="false">
      <c r="A156" s="28" t="n">
        <v>46301.5236993287</v>
      </c>
      <c r="B156" s="31" t="n">
        <f aca="false">(A156-$A$5)*86400</f>
        <v>3.984000091</v>
      </c>
      <c r="C156" s="27" t="n">
        <v>0.9515</v>
      </c>
      <c r="D156" s="27" t="n">
        <v>1.7548</v>
      </c>
      <c r="E156" s="27" t="s">
        <v>603</v>
      </c>
      <c r="F156" s="27" t="s">
        <v>144</v>
      </c>
      <c r="G156" s="32" t="n">
        <f aca="false">(A156-A155)*86400000</f>
        <v>15.999586</v>
      </c>
      <c r="H156" s="3"/>
      <c r="I156" s="3"/>
      <c r="J156" s="3"/>
      <c r="K156" s="3"/>
      <c r="L156" s="3"/>
      <c r="M156" s="3"/>
    </row>
    <row r="157" customFormat="false" ht="15" hidden="false" customHeight="false" outlineLevel="0" collapsed="false">
      <c r="A157" s="28" t="n">
        <v>46301.5236995139</v>
      </c>
      <c r="B157" s="31" t="n">
        <f aca="false">(A157-$A$5)*86400</f>
        <v>4</v>
      </c>
      <c r="C157" s="27" t="n">
        <v>0.953</v>
      </c>
      <c r="D157" s="27" t="n">
        <v>1.754</v>
      </c>
      <c r="E157" s="27" t="s">
        <v>603</v>
      </c>
      <c r="F157" s="27" t="s">
        <v>144</v>
      </c>
      <c r="G157" s="32" t="n">
        <f aca="false">(A157-A156)*86400000</f>
        <v>16.000214</v>
      </c>
      <c r="H157" s="3"/>
      <c r="I157" s="3"/>
      <c r="J157" s="3"/>
      <c r="K157" s="3"/>
      <c r="L157" s="3"/>
      <c r="M157" s="3"/>
    </row>
    <row r="158" customFormat="false" ht="15" hidden="false" customHeight="false" outlineLevel="0" collapsed="false">
      <c r="A158" s="28" t="n">
        <v>46301.5236996991</v>
      </c>
      <c r="B158" s="31" t="n">
        <f aca="false">(A158-$A$5)*86400</f>
        <v>4.015999892</v>
      </c>
      <c r="C158" s="27" t="n">
        <v>0.9562</v>
      </c>
      <c r="D158" s="27" t="n">
        <v>1.7521</v>
      </c>
      <c r="E158" s="27" t="s">
        <v>603</v>
      </c>
      <c r="F158" s="27" t="s">
        <v>144</v>
      </c>
      <c r="G158" s="32" t="n">
        <f aca="false">(A158-A157)*86400000</f>
        <v>15.999586</v>
      </c>
      <c r="H158" s="3"/>
      <c r="I158" s="3"/>
      <c r="J158" s="3"/>
      <c r="K158" s="3"/>
      <c r="L158" s="3"/>
      <c r="M158" s="3"/>
    </row>
    <row r="159" customFormat="false" ht="15" hidden="false" customHeight="false" outlineLevel="0" collapsed="false">
      <c r="A159" s="28" t="n">
        <v>46301.5236998843</v>
      </c>
      <c r="B159" s="31" t="n">
        <f aca="false">(A159-$A$5)*86400</f>
        <v>4.032000107</v>
      </c>
      <c r="C159" s="27" t="n">
        <v>0.9588</v>
      </c>
      <c r="D159" s="27" t="n">
        <v>1.7506</v>
      </c>
      <c r="E159" s="27" t="s">
        <v>603</v>
      </c>
      <c r="F159" s="27" t="s">
        <v>144</v>
      </c>
      <c r="G159" s="32" t="n">
        <f aca="false">(A159-A158)*86400000</f>
        <v>16.000214</v>
      </c>
      <c r="H159" s="3"/>
      <c r="I159" s="3"/>
      <c r="J159" s="3"/>
      <c r="K159" s="3"/>
      <c r="L159" s="3"/>
      <c r="M159" s="3"/>
    </row>
    <row r="160" customFormat="false" ht="15" hidden="false" customHeight="false" outlineLevel="0" collapsed="false">
      <c r="A160" s="28" t="n">
        <v>46301.5237000695</v>
      </c>
      <c r="B160" s="31" t="n">
        <f aca="false">(A160-$A$5)*86400</f>
        <v>4.048000322</v>
      </c>
      <c r="C160" s="27" t="n">
        <v>0.9609</v>
      </c>
      <c r="D160" s="27" t="n">
        <v>1.7493</v>
      </c>
      <c r="E160" s="27" t="s">
        <v>603</v>
      </c>
      <c r="F160" s="27" t="s">
        <v>144</v>
      </c>
      <c r="G160" s="32" t="n">
        <f aca="false">(A160-A159)*86400000</f>
        <v>16.000214</v>
      </c>
      <c r="H160" s="3"/>
      <c r="I160" s="3"/>
      <c r="J160" s="3"/>
      <c r="K160" s="3"/>
      <c r="L160" s="3"/>
      <c r="M160" s="3"/>
    </row>
    <row r="161" customFormat="false" ht="15" hidden="false" customHeight="false" outlineLevel="0" collapsed="false">
      <c r="A161" s="28" t="n">
        <v>46301.5237002546</v>
      </c>
      <c r="B161" s="31" t="n">
        <f aca="false">(A161-$A$5)*86400</f>
        <v>4.063999908</v>
      </c>
      <c r="C161" s="27" t="n">
        <v>0.9627</v>
      </c>
      <c r="D161" s="27" t="n">
        <v>1.7483</v>
      </c>
      <c r="E161" s="27" t="s">
        <v>603</v>
      </c>
      <c r="F161" s="27" t="s">
        <v>144</v>
      </c>
      <c r="G161" s="32" t="n">
        <f aca="false">(A161-A160)*86400000</f>
        <v>15.999586</v>
      </c>
      <c r="H161" s="3"/>
      <c r="I161" s="3"/>
      <c r="J161" s="3"/>
      <c r="K161" s="3"/>
      <c r="L161" s="3"/>
      <c r="M161" s="3"/>
    </row>
    <row r="162" customFormat="false" ht="15" hidden="false" customHeight="false" outlineLevel="0" collapsed="false">
      <c r="A162" s="28" t="n">
        <v>46301.5237004514</v>
      </c>
      <c r="B162" s="31" t="n">
        <f aca="false">(A162-$A$5)*86400</f>
        <v>4.081000294</v>
      </c>
      <c r="C162" s="27" t="n">
        <v>0.9643</v>
      </c>
      <c r="D162" s="27" t="n">
        <v>1.7474</v>
      </c>
      <c r="E162" s="27" t="s">
        <v>603</v>
      </c>
      <c r="F162" s="27" t="s">
        <v>144</v>
      </c>
      <c r="G162" s="32" t="n">
        <f aca="false">(A162-A161)*86400000</f>
        <v>17.000385</v>
      </c>
      <c r="H162" s="3"/>
      <c r="I162" s="3"/>
      <c r="J162" s="3"/>
      <c r="K162" s="3"/>
      <c r="L162" s="3"/>
      <c r="M162" s="3"/>
    </row>
    <row r="163" customFormat="false" ht="15" hidden="false" customHeight="false" outlineLevel="0" collapsed="false">
      <c r="A163" s="28" t="n">
        <v>46301.5237006366</v>
      </c>
      <c r="B163" s="31" t="n">
        <f aca="false">(A163-$A$5)*86400</f>
        <v>4.09699988</v>
      </c>
      <c r="C163" s="27" t="n">
        <v>0.9655</v>
      </c>
      <c r="D163" s="27" t="n">
        <v>1.7467</v>
      </c>
      <c r="E163" s="27" t="s">
        <v>603</v>
      </c>
      <c r="F163" s="27" t="s">
        <v>144</v>
      </c>
      <c r="G163" s="32" t="n">
        <f aca="false">(A163-A162)*86400000</f>
        <v>15.999586</v>
      </c>
      <c r="H163" s="3"/>
      <c r="I163" s="3"/>
      <c r="J163" s="3"/>
      <c r="K163" s="3"/>
      <c r="L163" s="3"/>
      <c r="M163" s="3"/>
    </row>
    <row r="164" customFormat="false" ht="15" hidden="false" customHeight="false" outlineLevel="0" collapsed="false">
      <c r="A164" s="28" t="n">
        <v>46301.523701007</v>
      </c>
      <c r="B164" s="31" t="n">
        <f aca="false">(A164-$A$5)*86400</f>
        <v>4.12900031</v>
      </c>
      <c r="C164" s="27" t="n">
        <v>0.9673</v>
      </c>
      <c r="D164" s="27" t="n">
        <v>1.7456</v>
      </c>
      <c r="E164" s="27" t="s">
        <v>603</v>
      </c>
      <c r="F164" s="27" t="s">
        <v>144</v>
      </c>
      <c r="G164" s="32" t="n">
        <f aca="false">(A164-A163)*86400000</f>
        <v>32.000429</v>
      </c>
      <c r="H164" s="3"/>
      <c r="I164" s="3"/>
      <c r="J164" s="3"/>
      <c r="K164" s="3"/>
      <c r="L164" s="3"/>
      <c r="M164" s="3"/>
    </row>
    <row r="165" customFormat="false" ht="15" hidden="false" customHeight="false" outlineLevel="0" collapsed="false">
      <c r="A165" s="28" t="n">
        <v>46301.5237011921</v>
      </c>
      <c r="B165" s="31" t="n">
        <f aca="false">(A165-$A$5)*86400</f>
        <v>4.144999897</v>
      </c>
      <c r="C165" s="27" t="n">
        <v>0.9673</v>
      </c>
      <c r="D165" s="27" t="n">
        <v>1.7445</v>
      </c>
      <c r="E165" s="27" t="s">
        <v>603</v>
      </c>
      <c r="F165" s="27" t="s">
        <v>144</v>
      </c>
      <c r="G165" s="32" t="n">
        <f aca="false">(A165-A164)*86400000</f>
        <v>15.999586</v>
      </c>
      <c r="H165" s="3"/>
      <c r="I165" s="3"/>
      <c r="J165" s="3"/>
      <c r="K165" s="3"/>
      <c r="L165" s="3"/>
      <c r="M165" s="3"/>
    </row>
    <row r="166" customFormat="false" ht="15" hidden="false" customHeight="false" outlineLevel="0" collapsed="false">
      <c r="A166" s="28" t="n">
        <v>46301.5237015625</v>
      </c>
      <c r="B166" s="31" t="n">
        <f aca="false">(A166-$A$5)*86400</f>
        <v>4.177000327</v>
      </c>
      <c r="C166" s="27" t="n">
        <v>0.9674</v>
      </c>
      <c r="D166" s="27" t="n">
        <v>1.7427</v>
      </c>
      <c r="E166" s="27" t="s">
        <v>603</v>
      </c>
      <c r="F166" s="27" t="s">
        <v>144</v>
      </c>
      <c r="G166" s="32" t="n">
        <f aca="false">(A166-A165)*86400000</f>
        <v>32.000429</v>
      </c>
      <c r="H166" s="3"/>
      <c r="I166" s="3"/>
      <c r="J166" s="3"/>
      <c r="K166" s="3"/>
      <c r="L166" s="3"/>
      <c r="M166" s="3"/>
    </row>
    <row r="167" customFormat="false" ht="15" hidden="false" customHeight="false" outlineLevel="0" collapsed="false">
      <c r="A167" s="28" t="n">
        <v>46301.5237023148</v>
      </c>
      <c r="B167" s="31" t="n">
        <f aca="false">(A167-$A$5)*86400</f>
        <v>4.241999471</v>
      </c>
      <c r="C167" s="27" t="n">
        <v>0.9641</v>
      </c>
      <c r="D167" s="27" t="n">
        <v>1.7419</v>
      </c>
      <c r="E167" s="27" t="s">
        <v>603</v>
      </c>
      <c r="F167" s="27" t="s">
        <v>144</v>
      </c>
      <c r="G167" s="32" t="n">
        <f aca="false">(A167-A166)*86400000</f>
        <v>64.999144</v>
      </c>
      <c r="H167" s="3"/>
      <c r="I167" s="3"/>
      <c r="J167" s="3"/>
      <c r="K167" s="3"/>
      <c r="L167" s="3"/>
      <c r="M167" s="3"/>
    </row>
    <row r="168" customFormat="false" ht="15" hidden="false" customHeight="false" outlineLevel="0" collapsed="false">
      <c r="A168" s="28" t="n">
        <v>46301.5237025</v>
      </c>
      <c r="B168" s="31" t="n">
        <f aca="false">(A168-$A$5)*86400</f>
        <v>4.258000315</v>
      </c>
      <c r="C168" s="27" t="n">
        <v>0.9614</v>
      </c>
      <c r="D168" s="27" t="n">
        <v>1.7427</v>
      </c>
      <c r="E168" s="27" t="s">
        <v>603</v>
      </c>
      <c r="F168" s="27" t="s">
        <v>144</v>
      </c>
      <c r="G168" s="32" t="n">
        <f aca="false">(A168-A167)*86400000</f>
        <v>16.000843</v>
      </c>
      <c r="H168" s="3"/>
      <c r="I168" s="3"/>
      <c r="J168" s="3"/>
      <c r="K168" s="3"/>
      <c r="L168" s="3"/>
      <c r="M168" s="3"/>
    </row>
    <row r="169" customFormat="false" ht="15" hidden="false" customHeight="false" outlineLevel="0" collapsed="false">
      <c r="A169" s="28" t="n">
        <v>46301.5237026852</v>
      </c>
      <c r="B169" s="31" t="n">
        <f aca="false">(A169-$A$5)*86400</f>
        <v>4.273999901</v>
      </c>
      <c r="C169" s="27" t="n">
        <v>0.9591</v>
      </c>
      <c r="D169" s="27" t="n">
        <v>1.7433</v>
      </c>
      <c r="E169" s="27" t="s">
        <v>603</v>
      </c>
      <c r="F169" s="27" t="s">
        <v>144</v>
      </c>
      <c r="G169" s="32" t="n">
        <f aca="false">(A169-A168)*86400000</f>
        <v>15.999586</v>
      </c>
      <c r="H169" s="3"/>
      <c r="I169" s="3"/>
      <c r="J169" s="3"/>
      <c r="K169" s="3"/>
      <c r="L169" s="3"/>
      <c r="M169" s="3"/>
    </row>
    <row r="170" customFormat="false" ht="15" hidden="false" customHeight="false" outlineLevel="0" collapsed="false">
      <c r="A170" s="28" t="n">
        <v>46301.5237028704</v>
      </c>
      <c r="B170" s="31" t="n">
        <f aca="false">(A170-$A$5)*86400</f>
        <v>4.290000116</v>
      </c>
      <c r="C170" s="27" t="n">
        <v>0.9572</v>
      </c>
      <c r="D170" s="27" t="n">
        <v>1.7439</v>
      </c>
      <c r="E170" s="27" t="s">
        <v>603</v>
      </c>
      <c r="F170" s="27" t="s">
        <v>144</v>
      </c>
      <c r="G170" s="32" t="n">
        <f aca="false">(A170-A169)*86400000</f>
        <v>16.000214</v>
      </c>
      <c r="H170" s="3"/>
      <c r="I170" s="3"/>
      <c r="J170" s="3"/>
      <c r="K170" s="3"/>
      <c r="L170" s="3"/>
      <c r="M170" s="3"/>
    </row>
    <row r="171" customFormat="false" ht="15" hidden="false" customHeight="false" outlineLevel="0" collapsed="false">
      <c r="A171" s="28" t="n">
        <v>46301.5237030556</v>
      </c>
      <c r="B171" s="31" t="n">
        <f aca="false">(A171-$A$5)*86400</f>
        <v>4.306000331</v>
      </c>
      <c r="C171" s="27" t="n">
        <v>0.9557</v>
      </c>
      <c r="D171" s="27" t="n">
        <v>1.7443</v>
      </c>
      <c r="E171" s="27" t="s">
        <v>603</v>
      </c>
      <c r="F171" s="27" t="s">
        <v>144</v>
      </c>
      <c r="G171" s="32" t="n">
        <f aca="false">(A171-A170)*86400000</f>
        <v>16.000214</v>
      </c>
      <c r="H171" s="3"/>
      <c r="I171" s="3"/>
      <c r="J171" s="3"/>
      <c r="K171" s="3"/>
      <c r="L171" s="3"/>
      <c r="M171" s="3"/>
    </row>
    <row r="172" customFormat="false" ht="15" hidden="false" customHeight="false" outlineLevel="0" collapsed="false">
      <c r="A172" s="28" t="n">
        <v>46301.5237032523</v>
      </c>
      <c r="B172" s="31" t="n">
        <f aca="false">(A172-$A$5)*86400</f>
        <v>4.322999459</v>
      </c>
      <c r="C172" s="27" t="n">
        <v>0.9543</v>
      </c>
      <c r="D172" s="27" t="n">
        <v>1.7447</v>
      </c>
      <c r="E172" s="27" t="s">
        <v>603</v>
      </c>
      <c r="F172" s="27" t="s">
        <v>144</v>
      </c>
      <c r="G172" s="32" t="n">
        <f aca="false">(A172-A171)*86400000</f>
        <v>16.999128</v>
      </c>
      <c r="H172" s="3"/>
      <c r="I172" s="3"/>
      <c r="J172" s="3"/>
      <c r="K172" s="3"/>
      <c r="L172" s="3"/>
      <c r="M172" s="3"/>
    </row>
    <row r="173" customFormat="false" ht="15" hidden="false" customHeight="false" outlineLevel="0" collapsed="false">
      <c r="A173" s="28" t="n">
        <v>46301.5237034491</v>
      </c>
      <c r="B173" s="31" t="n">
        <f aca="false">(A173-$A$5)*86400</f>
        <v>4.339999845</v>
      </c>
      <c r="C173" s="27" t="n">
        <v>0.9532</v>
      </c>
      <c r="D173" s="27" t="n">
        <v>1.745</v>
      </c>
      <c r="E173" s="27" t="s">
        <v>603</v>
      </c>
      <c r="F173" s="27" t="s">
        <v>144</v>
      </c>
      <c r="G173" s="32" t="n">
        <f aca="false">(A173-A172)*86400000</f>
        <v>17.000385</v>
      </c>
      <c r="H173" s="3"/>
      <c r="I173" s="3"/>
      <c r="J173" s="3"/>
      <c r="K173" s="3"/>
      <c r="L173" s="3"/>
      <c r="M173" s="3"/>
    </row>
    <row r="174" customFormat="false" ht="15" hidden="false" customHeight="false" outlineLevel="0" collapsed="false">
      <c r="A174" s="28" t="n">
        <v>46301.5237036458</v>
      </c>
      <c r="B174" s="31" t="n">
        <f aca="false">(A174-$A$5)*86400</f>
        <v>4.356999602</v>
      </c>
      <c r="C174" s="27" t="n">
        <v>0.9509</v>
      </c>
      <c r="D174" s="27" t="n">
        <v>1.7457</v>
      </c>
      <c r="E174" s="27" t="s">
        <v>603</v>
      </c>
      <c r="F174" s="27" t="s">
        <v>144</v>
      </c>
      <c r="G174" s="32" t="n">
        <f aca="false">(A174-A173)*86400000</f>
        <v>16.999756</v>
      </c>
      <c r="H174" s="3"/>
      <c r="I174" s="3"/>
      <c r="J174" s="3"/>
      <c r="K174" s="3"/>
      <c r="L174" s="3"/>
      <c r="M174" s="3"/>
    </row>
    <row r="175" customFormat="false" ht="15" hidden="false" customHeight="false" outlineLevel="0" collapsed="false">
      <c r="A175" s="28" t="n">
        <v>46301.5237038195</v>
      </c>
      <c r="B175" s="31" t="n">
        <f aca="false">(A175-$A$5)*86400</f>
        <v>4.372000275</v>
      </c>
      <c r="C175" s="27" t="n">
        <v>0.949</v>
      </c>
      <c r="D175" s="27" t="n">
        <v>1.7464</v>
      </c>
      <c r="E175" s="27" t="s">
        <v>603</v>
      </c>
      <c r="F175" s="27" t="s">
        <v>144</v>
      </c>
      <c r="G175" s="32" t="n">
        <f aca="false">(A175-A174)*86400000</f>
        <v>15.000673</v>
      </c>
      <c r="H175" s="3"/>
      <c r="I175" s="3"/>
      <c r="J175" s="3"/>
      <c r="K175" s="3"/>
      <c r="L175" s="3"/>
      <c r="M175" s="3"/>
    </row>
    <row r="176" customFormat="false" ht="15" hidden="false" customHeight="false" outlineLevel="0" collapsed="false">
      <c r="A176" s="28" t="n">
        <v>46301.5237040046</v>
      </c>
      <c r="B176" s="31" t="n">
        <f aca="false">(A176-$A$5)*86400</f>
        <v>4.387999861</v>
      </c>
      <c r="C176" s="27" t="n">
        <v>0.9475</v>
      </c>
      <c r="D176" s="27" t="n">
        <v>1.7469</v>
      </c>
      <c r="E176" s="27" t="s">
        <v>603</v>
      </c>
      <c r="F176" s="27" t="s">
        <v>144</v>
      </c>
      <c r="G176" s="32" t="n">
        <f aca="false">(A176-A175)*86400000</f>
        <v>15.999586</v>
      </c>
      <c r="H176" s="3"/>
      <c r="I176" s="3"/>
      <c r="J176" s="3"/>
      <c r="K176" s="3"/>
      <c r="L176" s="3"/>
      <c r="M176" s="3"/>
    </row>
    <row r="177" customFormat="false" ht="15" hidden="false" customHeight="false" outlineLevel="0" collapsed="false">
      <c r="A177" s="28" t="n">
        <v>46301.5237041898</v>
      </c>
      <c r="B177" s="31" t="n">
        <f aca="false">(A177-$A$5)*86400</f>
        <v>4.403999447</v>
      </c>
      <c r="C177" s="27" t="n">
        <v>0.9462</v>
      </c>
      <c r="D177" s="27" t="n">
        <v>1.7473</v>
      </c>
      <c r="E177" s="27" t="s">
        <v>603</v>
      </c>
      <c r="F177" s="27" t="s">
        <v>144</v>
      </c>
      <c r="G177" s="32" t="n">
        <f aca="false">(A177-A176)*86400000</f>
        <v>15.999586</v>
      </c>
      <c r="H177" s="3"/>
      <c r="I177" s="3"/>
      <c r="J177" s="3"/>
      <c r="K177" s="3"/>
      <c r="L177" s="3"/>
      <c r="M177" s="3"/>
    </row>
    <row r="178" customFormat="false" ht="15" hidden="false" customHeight="false" outlineLevel="0" collapsed="false">
      <c r="A178" s="28" t="n">
        <v>46301.523704375</v>
      </c>
      <c r="B178" s="31" t="n">
        <f aca="false">(A178-$A$5)*86400</f>
        <v>4.420000291</v>
      </c>
      <c r="C178" s="27" t="n">
        <v>0.9451</v>
      </c>
      <c r="D178" s="27" t="n">
        <v>1.7477</v>
      </c>
      <c r="E178" s="27" t="s">
        <v>603</v>
      </c>
      <c r="F178" s="27" t="s">
        <v>144</v>
      </c>
      <c r="G178" s="32" t="n">
        <f aca="false">(A178-A177)*86400000</f>
        <v>16.000843</v>
      </c>
      <c r="H178" s="3"/>
      <c r="I178" s="3"/>
      <c r="J178" s="3"/>
      <c r="K178" s="3"/>
      <c r="L178" s="3"/>
      <c r="M178" s="3"/>
    </row>
    <row r="179" customFormat="false" ht="15" hidden="false" customHeight="false" outlineLevel="0" collapsed="false">
      <c r="A179" s="28" t="n">
        <v>46301.5237047454</v>
      </c>
      <c r="B179" s="31" t="n">
        <f aca="false">(A179-$A$5)*86400</f>
        <v>4.452000092</v>
      </c>
      <c r="C179" s="27" t="n">
        <v>0.9435</v>
      </c>
      <c r="D179" s="27" t="n">
        <v>1.7482</v>
      </c>
      <c r="E179" s="27" t="s">
        <v>603</v>
      </c>
      <c r="F179" s="27" t="s">
        <v>144</v>
      </c>
      <c r="G179" s="32" t="n">
        <f aca="false">(A179-A178)*86400000</f>
        <v>31.999801</v>
      </c>
      <c r="H179" s="3"/>
      <c r="I179" s="3"/>
      <c r="J179" s="3"/>
      <c r="K179" s="3"/>
      <c r="L179" s="3"/>
      <c r="M179" s="3"/>
    </row>
    <row r="180" customFormat="false" ht="15" hidden="false" customHeight="false" outlineLevel="0" collapsed="false">
      <c r="A180" s="28" t="n">
        <v>46301.5237051157</v>
      </c>
      <c r="B180" s="31" t="n">
        <f aca="false">(A180-$A$5)*86400</f>
        <v>4.483999894</v>
      </c>
      <c r="C180" s="27" t="n">
        <v>0.9416</v>
      </c>
      <c r="D180" s="27" t="n">
        <v>1.749</v>
      </c>
      <c r="E180" s="27" t="s">
        <v>603</v>
      </c>
      <c r="F180" s="27" t="s">
        <v>144</v>
      </c>
      <c r="G180" s="32" t="n">
        <f aca="false">(A180-A179)*86400000</f>
        <v>31.999801</v>
      </c>
      <c r="H180" s="3"/>
      <c r="I180" s="3"/>
      <c r="J180" s="3"/>
      <c r="K180" s="3"/>
      <c r="L180" s="3"/>
      <c r="M180" s="3"/>
    </row>
    <row r="181" customFormat="false" ht="15" hidden="false" customHeight="false" outlineLevel="0" collapsed="false">
      <c r="A181" s="28" t="n">
        <v>46301.5237056713</v>
      </c>
      <c r="B181" s="31" t="n">
        <f aca="false">(A181-$A$5)*86400</f>
        <v>4.531999281</v>
      </c>
      <c r="C181" s="27" t="n">
        <v>0.9398</v>
      </c>
      <c r="D181" s="27" t="n">
        <v>1.7497</v>
      </c>
      <c r="E181" s="27" t="s">
        <v>603</v>
      </c>
      <c r="F181" s="27" t="s">
        <v>144</v>
      </c>
      <c r="G181" s="32" t="n">
        <f aca="false">(A181-A180)*86400000</f>
        <v>47.999387</v>
      </c>
      <c r="H181" s="3"/>
      <c r="I181" s="3"/>
      <c r="J181" s="3"/>
      <c r="K181" s="3"/>
      <c r="L181" s="3"/>
      <c r="M181" s="3"/>
    </row>
    <row r="182" customFormat="false" ht="15" hidden="false" customHeight="false" outlineLevel="0" collapsed="false">
      <c r="A182" s="28" t="n">
        <v>46301.5237058565</v>
      </c>
      <c r="B182" s="31" t="n">
        <f aca="false">(A182-$A$5)*86400</f>
        <v>4.548000125</v>
      </c>
      <c r="C182" s="27" t="n">
        <v>0.9394</v>
      </c>
      <c r="D182" s="27" t="n">
        <v>1.7499</v>
      </c>
      <c r="E182" s="27" t="s">
        <v>603</v>
      </c>
      <c r="F182" s="27" t="s">
        <v>144</v>
      </c>
      <c r="G182" s="32" t="n">
        <f aca="false">(A182-A181)*86400000</f>
        <v>16.000843</v>
      </c>
      <c r="H182" s="3"/>
      <c r="I182" s="3"/>
      <c r="J182" s="3"/>
      <c r="K182" s="3"/>
      <c r="L182" s="3"/>
      <c r="M182" s="3"/>
    </row>
    <row r="183" customFormat="false" ht="15" hidden="false" customHeight="false" outlineLevel="0" collapsed="false">
      <c r="A183" s="28" t="n">
        <v>46301.5237062269</v>
      </c>
      <c r="B183" s="31" t="n">
        <f aca="false">(A183-$A$5)*86400</f>
        <v>4.579999926</v>
      </c>
      <c r="C183" s="27" t="n">
        <v>0.9368</v>
      </c>
      <c r="D183" s="27" t="n">
        <v>1.751</v>
      </c>
      <c r="E183" s="27" t="s">
        <v>603</v>
      </c>
      <c r="F183" s="27" t="s">
        <v>144</v>
      </c>
      <c r="G183" s="32" t="n">
        <f aca="false">(A183-A182)*86400000</f>
        <v>31.999801</v>
      </c>
      <c r="H183" s="3"/>
      <c r="I183" s="3"/>
      <c r="J183" s="3"/>
      <c r="K183" s="3"/>
      <c r="L183" s="3"/>
      <c r="M183" s="3"/>
    </row>
    <row r="184" customFormat="false" ht="15" hidden="false" customHeight="false" outlineLevel="0" collapsed="false">
      <c r="A184" s="28" t="n">
        <v>46301.523706412</v>
      </c>
      <c r="B184" s="31" t="n">
        <f aca="false">(A184-$A$5)*86400</f>
        <v>4.596000141</v>
      </c>
      <c r="C184" s="27" t="n">
        <v>0.9351</v>
      </c>
      <c r="D184" s="27" t="n">
        <v>1.7518</v>
      </c>
      <c r="E184" s="27" t="s">
        <v>603</v>
      </c>
      <c r="F184" s="27" t="s">
        <v>144</v>
      </c>
      <c r="G184" s="32" t="n">
        <f aca="false">(A184-A183)*86400000</f>
        <v>16.000214</v>
      </c>
      <c r="H184" s="3"/>
      <c r="I184" s="3"/>
      <c r="J184" s="3"/>
      <c r="K184" s="3"/>
      <c r="L184" s="3"/>
      <c r="M184" s="3"/>
    </row>
    <row r="185" customFormat="false" ht="15" hidden="false" customHeight="false" outlineLevel="0" collapsed="false">
      <c r="A185" s="28" t="n">
        <v>46301.5237066088</v>
      </c>
      <c r="B185" s="31" t="n">
        <f aca="false">(A185-$A$5)*86400</f>
        <v>4.612999269</v>
      </c>
      <c r="C185" s="27" t="n">
        <v>0.9337</v>
      </c>
      <c r="D185" s="27" t="n">
        <v>1.7525</v>
      </c>
      <c r="E185" s="27" t="s">
        <v>603</v>
      </c>
      <c r="F185" s="27" t="s">
        <v>144</v>
      </c>
      <c r="G185" s="32" t="n">
        <f aca="false">(A185-A184)*86400000</f>
        <v>16.999128</v>
      </c>
      <c r="H185" s="3"/>
      <c r="I185" s="3"/>
      <c r="J185" s="3"/>
      <c r="K185" s="3"/>
      <c r="L185" s="3"/>
      <c r="M185" s="3"/>
    </row>
    <row r="186" customFormat="false" ht="15" hidden="false" customHeight="false" outlineLevel="0" collapsed="false">
      <c r="A186" s="28" t="n">
        <v>46301.523706794</v>
      </c>
      <c r="B186" s="31" t="n">
        <f aca="false">(A186-$A$5)*86400</f>
        <v>4.629000113</v>
      </c>
      <c r="C186" s="27" t="n">
        <v>0.9325</v>
      </c>
      <c r="D186" s="27" t="n">
        <v>1.7531</v>
      </c>
      <c r="E186" s="27" t="s">
        <v>603</v>
      </c>
      <c r="F186" s="27" t="s">
        <v>144</v>
      </c>
      <c r="G186" s="32" t="n">
        <f aca="false">(A186-A185)*86400000</f>
        <v>16.000843</v>
      </c>
      <c r="H186" s="3"/>
      <c r="I186" s="3"/>
      <c r="J186" s="3"/>
      <c r="K186" s="3"/>
      <c r="L186" s="3"/>
      <c r="M186" s="3"/>
    </row>
    <row r="187" customFormat="false" ht="15" hidden="false" customHeight="false" outlineLevel="0" collapsed="false">
      <c r="A187" s="28" t="n">
        <v>46301.5237069792</v>
      </c>
      <c r="B187" s="31" t="n">
        <f aca="false">(A187-$A$5)*86400</f>
        <v>4.645000328</v>
      </c>
      <c r="C187" s="27" t="n">
        <v>0.9316</v>
      </c>
      <c r="D187" s="27" t="n">
        <v>1.7535</v>
      </c>
      <c r="E187" s="27" t="s">
        <v>603</v>
      </c>
      <c r="F187" s="27" t="s">
        <v>144</v>
      </c>
      <c r="G187" s="32" t="n">
        <f aca="false">(A187-A186)*86400000</f>
        <v>16.000214</v>
      </c>
      <c r="H187" s="3"/>
      <c r="I187" s="3"/>
      <c r="J187" s="3"/>
      <c r="K187" s="3"/>
      <c r="L187" s="3"/>
      <c r="M187" s="3"/>
    </row>
    <row r="188" customFormat="false" ht="15" hidden="false" customHeight="false" outlineLevel="0" collapsed="false">
      <c r="A188" s="28" t="n">
        <v>46301.5237073495</v>
      </c>
      <c r="B188" s="31" t="n">
        <f aca="false">(A188-$A$5)*86400</f>
        <v>4.677000129</v>
      </c>
      <c r="C188" s="27" t="n">
        <v>0.9302</v>
      </c>
      <c r="D188" s="27" t="n">
        <v>1.7542</v>
      </c>
      <c r="E188" s="27" t="s">
        <v>603</v>
      </c>
      <c r="F188" s="27" t="s">
        <v>144</v>
      </c>
      <c r="G188" s="32" t="n">
        <f aca="false">(A188-A187)*86400000</f>
        <v>31.999801</v>
      </c>
      <c r="H188" s="3"/>
      <c r="I188" s="3"/>
      <c r="J188" s="3"/>
      <c r="K188" s="3"/>
      <c r="L188" s="3"/>
      <c r="M188" s="3"/>
    </row>
    <row r="189" customFormat="false" ht="15" hidden="false" customHeight="false" outlineLevel="0" collapsed="false">
      <c r="A189" s="28" t="n">
        <v>46301.5237080903</v>
      </c>
      <c r="B189" s="31" t="n">
        <f aca="false">(A189-$A$5)*86400</f>
        <v>4.74100036</v>
      </c>
      <c r="C189" s="27" t="n">
        <v>0.9271</v>
      </c>
      <c r="D189" s="27" t="n">
        <v>1.7556</v>
      </c>
      <c r="E189" s="27" t="s">
        <v>603</v>
      </c>
      <c r="F189" s="27" t="s">
        <v>144</v>
      </c>
      <c r="G189" s="32" t="n">
        <f aca="false">(A189-A188)*86400000</f>
        <v>64.000231</v>
      </c>
      <c r="H189" s="3"/>
      <c r="I189" s="3"/>
      <c r="J189" s="3"/>
      <c r="K189" s="3"/>
      <c r="L189" s="3"/>
      <c r="M189" s="3"/>
    </row>
    <row r="190" customFormat="false" ht="15" hidden="false" customHeight="false" outlineLevel="0" collapsed="false">
      <c r="A190" s="28" t="n">
        <v>46301.523718912</v>
      </c>
      <c r="B190" s="31" t="n">
        <f aca="false">(A190-$A$5)*86400</f>
        <v>5.676000192</v>
      </c>
      <c r="C190" s="27" t="n">
        <v>0.9268</v>
      </c>
      <c r="D190" s="27" t="n">
        <v>1.7531</v>
      </c>
      <c r="E190" s="27" t="s">
        <v>603</v>
      </c>
      <c r="F190" s="27" t="s">
        <v>144</v>
      </c>
      <c r="G190" s="32" t="n">
        <f aca="false">(A190-A189)*86400000</f>
        <v>934.999831</v>
      </c>
      <c r="H190" s="3"/>
      <c r="I190" s="3"/>
      <c r="J190" s="3"/>
      <c r="K190" s="3"/>
      <c r="L190" s="3"/>
      <c r="M190" s="3"/>
    </row>
    <row r="191" customFormat="false" ht="15" hidden="false" customHeight="false" outlineLevel="0" collapsed="false">
      <c r="A191" s="28" t="n">
        <v>46301.523719294</v>
      </c>
      <c r="B191" s="31" t="n">
        <f aca="false">(A191-$A$5)*86400</f>
        <v>5.709000164</v>
      </c>
      <c r="C191" s="27" t="n">
        <v>0.9265</v>
      </c>
      <c r="D191" s="27" t="n">
        <v>1.7514</v>
      </c>
      <c r="E191" s="27" t="s">
        <v>603</v>
      </c>
      <c r="F191" s="27" t="s">
        <v>144</v>
      </c>
      <c r="G191" s="32" t="n">
        <f aca="false">(A191-A190)*86400000</f>
        <v>32.999971</v>
      </c>
      <c r="H191" s="3"/>
      <c r="I191" s="3"/>
      <c r="J191" s="3"/>
      <c r="K191" s="3"/>
      <c r="L191" s="3"/>
      <c r="M191" s="3"/>
    </row>
    <row r="192" customFormat="false" ht="15" hidden="false" customHeight="false" outlineLevel="0" collapsed="false">
      <c r="A192" s="28" t="n">
        <v>46301.5237200232</v>
      </c>
      <c r="B192" s="31" t="n">
        <f aca="false">(A192-$A$5)*86400</f>
        <v>5.772000225</v>
      </c>
      <c r="C192" s="27" t="n">
        <v>0.9262</v>
      </c>
      <c r="D192" s="27" t="n">
        <v>1.7494</v>
      </c>
      <c r="E192" s="27" t="s">
        <v>603</v>
      </c>
      <c r="F192" s="27" t="s">
        <v>144</v>
      </c>
      <c r="G192" s="32" t="n">
        <f aca="false">(A192-A191)*86400000</f>
        <v>63.00006</v>
      </c>
      <c r="H192" s="3"/>
      <c r="I192" s="3"/>
      <c r="J192" s="3"/>
      <c r="K192" s="3"/>
      <c r="L192" s="3"/>
      <c r="M192" s="3"/>
    </row>
    <row r="193" customFormat="false" ht="15" hidden="false" customHeight="false" outlineLevel="0" collapsed="false">
      <c r="A193" s="28" t="n">
        <v>46301.5237222801</v>
      </c>
      <c r="B193" s="31" t="n">
        <f aca="false">(A193-$A$5)*86400</f>
        <v>5.967000173</v>
      </c>
      <c r="C193" s="27" t="n">
        <v>0.9231</v>
      </c>
      <c r="D193" s="27" t="n">
        <v>1.748</v>
      </c>
      <c r="E193" s="27" t="s">
        <v>603</v>
      </c>
      <c r="F193" s="27" t="s">
        <v>144</v>
      </c>
      <c r="G193" s="32" t="n">
        <f aca="false">(A193-A192)*86400000</f>
        <v>194.999948</v>
      </c>
      <c r="H193" s="3"/>
      <c r="I193" s="3"/>
      <c r="J193" s="3"/>
      <c r="K193" s="3"/>
      <c r="L193" s="3"/>
      <c r="M193" s="3"/>
    </row>
    <row r="194" customFormat="false" ht="15" hidden="false" customHeight="false" outlineLevel="0" collapsed="false">
      <c r="A194" s="28" t="n">
        <v>46301.5237224537</v>
      </c>
      <c r="B194" s="31" t="n">
        <f aca="false">(A194-$A$5)*86400</f>
        <v>5.981999589</v>
      </c>
      <c r="C194" s="27" t="n">
        <v>0.9205</v>
      </c>
      <c r="D194" s="27" t="n">
        <v>1.7484</v>
      </c>
      <c r="E194" s="27" t="s">
        <v>603</v>
      </c>
      <c r="F194" s="27" t="s">
        <v>144</v>
      </c>
      <c r="G194" s="32" t="n">
        <f aca="false">(A194-A193)*86400000</f>
        <v>14.999415</v>
      </c>
      <c r="H194" s="3"/>
      <c r="I194" s="3"/>
      <c r="J194" s="3"/>
      <c r="K194" s="3"/>
      <c r="L194" s="3"/>
      <c r="M194" s="3"/>
    </row>
    <row r="195" customFormat="false" ht="15" hidden="false" customHeight="false" outlineLevel="0" collapsed="false">
      <c r="A195" s="28" t="n">
        <v>46301.5237226389</v>
      </c>
      <c r="B195" s="31" t="n">
        <f aca="false">(A195-$A$5)*86400</f>
        <v>5.998000432</v>
      </c>
      <c r="C195" s="27" t="n">
        <v>0.9184</v>
      </c>
      <c r="D195" s="27" t="n">
        <v>1.7487</v>
      </c>
      <c r="E195" s="27" t="s">
        <v>603</v>
      </c>
      <c r="F195" s="27" t="s">
        <v>144</v>
      </c>
      <c r="G195" s="32" t="n">
        <f aca="false">(A195-A194)*86400000</f>
        <v>16.000843</v>
      </c>
      <c r="H195" s="3"/>
      <c r="I195" s="3"/>
      <c r="J195" s="3"/>
      <c r="K195" s="3"/>
      <c r="L195" s="3"/>
      <c r="M195" s="3"/>
    </row>
    <row r="196" customFormat="false" ht="15" hidden="false" customHeight="false" outlineLevel="0" collapsed="false">
      <c r="A196" s="28" t="n">
        <v>46301.5237228357</v>
      </c>
      <c r="B196" s="31" t="n">
        <f aca="false">(A196-$A$5)*86400</f>
        <v>6.015000189</v>
      </c>
      <c r="C196" s="27" t="n">
        <v>0.9167</v>
      </c>
      <c r="D196" s="27" t="n">
        <v>1.7489</v>
      </c>
      <c r="E196" s="27" t="s">
        <v>603</v>
      </c>
      <c r="F196" s="27" t="s">
        <v>144</v>
      </c>
      <c r="G196" s="32" t="n">
        <f aca="false">(A196-A195)*86400000</f>
        <v>16.999756</v>
      </c>
      <c r="H196" s="3"/>
      <c r="I196" s="3"/>
      <c r="J196" s="3"/>
      <c r="K196" s="3"/>
      <c r="L196" s="3"/>
      <c r="M196" s="3"/>
    </row>
    <row r="197" customFormat="false" ht="15" hidden="false" customHeight="false" outlineLevel="0" collapsed="false">
      <c r="A197" s="28" t="n">
        <v>46301.5237231944</v>
      </c>
      <c r="B197" s="31" t="n">
        <f aca="false">(A197-$A$5)*86400</f>
        <v>6.04599982</v>
      </c>
      <c r="C197" s="27" t="n">
        <v>0.914</v>
      </c>
      <c r="D197" s="27" t="n">
        <v>1.7492</v>
      </c>
      <c r="E197" s="27" t="s">
        <v>603</v>
      </c>
      <c r="F197" s="27" t="s">
        <v>144</v>
      </c>
      <c r="G197" s="32" t="n">
        <f aca="false">(A197-A196)*86400000</f>
        <v>30.99963</v>
      </c>
      <c r="H197" s="3"/>
      <c r="I197" s="3"/>
      <c r="J197" s="3"/>
      <c r="K197" s="3"/>
      <c r="L197" s="3"/>
      <c r="M197" s="3"/>
    </row>
    <row r="198" customFormat="false" ht="15" hidden="false" customHeight="false" outlineLevel="0" collapsed="false">
      <c r="A198" s="28" t="n">
        <v>46301.5237233796</v>
      </c>
      <c r="B198" s="31" t="n">
        <f aca="false">(A198-$A$5)*86400</f>
        <v>6.062000035</v>
      </c>
      <c r="C198" s="27" t="n">
        <v>0.913</v>
      </c>
      <c r="D198" s="27" t="n">
        <v>1.7494</v>
      </c>
      <c r="E198" s="27" t="s">
        <v>603</v>
      </c>
      <c r="F198" s="27" t="s">
        <v>144</v>
      </c>
      <c r="G198" s="32" t="n">
        <f aca="false">(A198-A197)*86400000</f>
        <v>16.000214</v>
      </c>
      <c r="H198" s="3"/>
      <c r="I198" s="3"/>
      <c r="J198" s="3"/>
      <c r="K198" s="3"/>
      <c r="L198" s="3"/>
      <c r="M198" s="3"/>
    </row>
    <row r="199" customFormat="false" ht="15" hidden="false" customHeight="false" outlineLevel="0" collapsed="false">
      <c r="A199" s="28" t="n">
        <v>46301.5237237616</v>
      </c>
      <c r="B199" s="31" t="n">
        <f aca="false">(A199-$A$5)*86400</f>
        <v>6.095000007</v>
      </c>
      <c r="C199" s="27" t="n">
        <v>0.9115</v>
      </c>
      <c r="D199" s="27" t="n">
        <v>1.7496</v>
      </c>
      <c r="E199" s="27" t="s">
        <v>603</v>
      </c>
      <c r="F199" s="27" t="s">
        <v>144</v>
      </c>
      <c r="G199" s="32" t="n">
        <f aca="false">(A199-A198)*86400000</f>
        <v>32.999971</v>
      </c>
      <c r="H199" s="3"/>
      <c r="I199" s="3"/>
      <c r="J199" s="3"/>
      <c r="K199" s="3"/>
      <c r="L199" s="3"/>
      <c r="M199" s="3"/>
    </row>
    <row r="200" customFormat="false" ht="15" hidden="false" customHeight="false" outlineLevel="0" collapsed="false">
      <c r="A200" s="28" t="n">
        <v>46301.5237241435</v>
      </c>
      <c r="B200" s="31" t="n">
        <f aca="false">(A200-$A$5)*86400</f>
        <v>6.127999979</v>
      </c>
      <c r="C200" s="27" t="n">
        <v>0.9177</v>
      </c>
      <c r="D200" s="27" t="n">
        <v>1.7515</v>
      </c>
      <c r="E200" s="27" t="s">
        <v>603</v>
      </c>
      <c r="F200" s="27" t="s">
        <v>144</v>
      </c>
      <c r="G200" s="32" t="n">
        <f aca="false">(A200-A199)*86400000</f>
        <v>32.999971</v>
      </c>
      <c r="H200" s="3"/>
      <c r="I200" s="3"/>
      <c r="J200" s="3"/>
      <c r="K200" s="3"/>
      <c r="L200" s="3"/>
      <c r="M200" s="3"/>
    </row>
    <row r="201" customFormat="false" ht="15" hidden="false" customHeight="false" outlineLevel="0" collapsed="false">
      <c r="A201" s="28" t="n">
        <v>46301.5237243403</v>
      </c>
      <c r="B201" s="31" t="n">
        <f aca="false">(A201-$A$5)*86400</f>
        <v>6.145000364</v>
      </c>
      <c r="C201" s="27" t="n">
        <v>0.9233</v>
      </c>
      <c r="D201" s="27" t="n">
        <v>1.7529</v>
      </c>
      <c r="E201" s="27" t="s">
        <v>603</v>
      </c>
      <c r="F201" s="27" t="s">
        <v>144</v>
      </c>
      <c r="G201" s="32" t="n">
        <f aca="false">(A201-A200)*86400000</f>
        <v>17.000385</v>
      </c>
      <c r="H201" s="3"/>
      <c r="I201" s="3"/>
      <c r="J201" s="3"/>
      <c r="K201" s="3"/>
      <c r="L201" s="3"/>
      <c r="M201" s="3"/>
    </row>
    <row r="202" customFormat="false" ht="15" hidden="false" customHeight="false" outlineLevel="0" collapsed="false">
      <c r="A202" s="28" t="n">
        <v>46301.5237245255</v>
      </c>
      <c r="B202" s="31" t="n">
        <f aca="false">(A202-$A$5)*86400</f>
        <v>6.16099995</v>
      </c>
      <c r="C202" s="27" t="n">
        <v>0.9275</v>
      </c>
      <c r="D202" s="27" t="n">
        <v>1.7541</v>
      </c>
      <c r="E202" s="27" t="s">
        <v>603</v>
      </c>
      <c r="F202" s="27" t="s">
        <v>144</v>
      </c>
      <c r="G202" s="32" t="n">
        <f aca="false">(A202-A201)*86400000</f>
        <v>15.999586</v>
      </c>
      <c r="H202" s="3"/>
      <c r="I202" s="3"/>
      <c r="J202" s="3"/>
      <c r="K202" s="3"/>
      <c r="L202" s="3"/>
      <c r="M202" s="3"/>
    </row>
    <row r="203" customFormat="false" ht="15" hidden="false" customHeight="false" outlineLevel="0" collapsed="false">
      <c r="A203" s="28" t="n">
        <v>46301.5237247107</v>
      </c>
      <c r="B203" s="31" t="n">
        <f aca="false">(A203-$A$5)*86400</f>
        <v>6.177000165</v>
      </c>
      <c r="C203" s="27" t="n">
        <v>0.9311</v>
      </c>
      <c r="D203" s="27" t="n">
        <v>1.755</v>
      </c>
      <c r="E203" s="27" t="s">
        <v>603</v>
      </c>
      <c r="F203" s="27" t="s">
        <v>144</v>
      </c>
      <c r="G203" s="32" t="n">
        <f aca="false">(A203-A202)*86400000</f>
        <v>16.000214</v>
      </c>
      <c r="H203" s="3"/>
      <c r="I203" s="3"/>
      <c r="J203" s="3"/>
      <c r="K203" s="3"/>
      <c r="L203" s="3"/>
      <c r="M203" s="3"/>
    </row>
    <row r="204" customFormat="false" ht="15" hidden="false" customHeight="false" outlineLevel="0" collapsed="false">
      <c r="A204" s="28" t="n">
        <v>46301.5237248958</v>
      </c>
      <c r="B204" s="31" t="n">
        <f aca="false">(A204-$A$5)*86400</f>
        <v>6.19300038</v>
      </c>
      <c r="C204" s="27" t="n">
        <v>0.934</v>
      </c>
      <c r="D204" s="27" t="n">
        <v>1.7558</v>
      </c>
      <c r="E204" s="27" t="s">
        <v>603</v>
      </c>
      <c r="F204" s="27" t="s">
        <v>144</v>
      </c>
      <c r="G204" s="32" t="n">
        <f aca="false">(A204-A203)*86400000</f>
        <v>16.000214</v>
      </c>
      <c r="H204" s="3"/>
      <c r="I204" s="3"/>
      <c r="J204" s="3"/>
      <c r="K204" s="3"/>
      <c r="L204" s="3"/>
      <c r="M204" s="3"/>
    </row>
    <row r="205" customFormat="false" ht="15" hidden="false" customHeight="false" outlineLevel="0" collapsed="false">
      <c r="A205" s="28" t="n">
        <v>46301.523725081</v>
      </c>
      <c r="B205" s="31" t="n">
        <f aca="false">(A205-$A$5)*86400</f>
        <v>6.208999967</v>
      </c>
      <c r="C205" s="27" t="n">
        <v>0.9364</v>
      </c>
      <c r="D205" s="27" t="n">
        <v>1.7565</v>
      </c>
      <c r="E205" s="27" t="s">
        <v>603</v>
      </c>
      <c r="F205" s="27" t="s">
        <v>144</v>
      </c>
      <c r="G205" s="32" t="n">
        <f aca="false">(A205-A204)*86400000</f>
        <v>15.999586</v>
      </c>
      <c r="H205" s="3"/>
      <c r="I205" s="3"/>
      <c r="J205" s="3"/>
      <c r="K205" s="3"/>
      <c r="L205" s="3"/>
      <c r="M205" s="3"/>
    </row>
    <row r="206" customFormat="false" ht="15" hidden="false" customHeight="false" outlineLevel="0" collapsed="false">
      <c r="A206" s="28" t="n">
        <v>46301.5237252662</v>
      </c>
      <c r="B206" s="31" t="n">
        <f aca="false">(A206-$A$5)*86400</f>
        <v>6.224999553</v>
      </c>
      <c r="C206" s="27" t="n">
        <v>0.9383</v>
      </c>
      <c r="D206" s="27" t="n">
        <v>1.757</v>
      </c>
      <c r="E206" s="27" t="s">
        <v>603</v>
      </c>
      <c r="F206" s="27" t="s">
        <v>144</v>
      </c>
      <c r="G206" s="32" t="n">
        <f aca="false">(A206-A205)*86400000</f>
        <v>15.999586</v>
      </c>
      <c r="H206" s="3"/>
      <c r="I206" s="3"/>
      <c r="J206" s="3"/>
      <c r="K206" s="3"/>
      <c r="L206" s="3"/>
      <c r="M206" s="3"/>
    </row>
    <row r="207" customFormat="false" ht="15" hidden="false" customHeight="false" outlineLevel="0" collapsed="false">
      <c r="A207" s="28" t="n">
        <v>46301.5237254514</v>
      </c>
      <c r="B207" s="31" t="n">
        <f aca="false">(A207-$A$5)*86400</f>
        <v>6.241000397</v>
      </c>
      <c r="C207" s="27" t="n">
        <v>0.94</v>
      </c>
      <c r="D207" s="27" t="n">
        <v>1.7574</v>
      </c>
      <c r="E207" s="27" t="s">
        <v>603</v>
      </c>
      <c r="F207" s="27" t="s">
        <v>144</v>
      </c>
      <c r="G207" s="32" t="n">
        <f aca="false">(A207-A206)*86400000</f>
        <v>16.000843</v>
      </c>
      <c r="H207" s="3"/>
      <c r="I207" s="3"/>
      <c r="J207" s="3"/>
      <c r="K207" s="3"/>
      <c r="L207" s="3"/>
      <c r="M207" s="3"/>
    </row>
    <row r="208" customFormat="false" ht="15" hidden="false" customHeight="false" outlineLevel="0" collapsed="false">
      <c r="A208" s="28" t="n">
        <v>46301.5237256482</v>
      </c>
      <c r="B208" s="31" t="n">
        <f aca="false">(A208-$A$5)*86400</f>
        <v>6.258000154</v>
      </c>
      <c r="C208" s="27" t="n">
        <v>0.9413</v>
      </c>
      <c r="D208" s="27" t="n">
        <v>1.7578</v>
      </c>
      <c r="E208" s="27" t="s">
        <v>603</v>
      </c>
      <c r="F208" s="27" t="s">
        <v>144</v>
      </c>
      <c r="G208" s="32" t="n">
        <f aca="false">(A208-A207)*86400000</f>
        <v>16.999756</v>
      </c>
      <c r="H208" s="3"/>
      <c r="I208" s="3"/>
      <c r="J208" s="3"/>
      <c r="K208" s="3"/>
      <c r="L208" s="3"/>
      <c r="M208" s="3"/>
    </row>
    <row r="209" customFormat="false" ht="15" hidden="false" customHeight="false" outlineLevel="0" collapsed="false">
      <c r="A209" s="28" t="n">
        <v>46301.5237258218</v>
      </c>
      <c r="B209" s="31" t="n">
        <f aca="false">(A209-$A$5)*86400</f>
        <v>6.273000198</v>
      </c>
      <c r="C209" s="27" t="n">
        <v>0.9424</v>
      </c>
      <c r="D209" s="27" t="n">
        <v>1.7581</v>
      </c>
      <c r="E209" s="27" t="s">
        <v>603</v>
      </c>
      <c r="F209" s="27" t="s">
        <v>144</v>
      </c>
      <c r="G209" s="32" t="n">
        <f aca="false">(A209-A208)*86400000</f>
        <v>15.000044</v>
      </c>
      <c r="H209" s="3"/>
      <c r="I209" s="3"/>
      <c r="J209" s="3"/>
      <c r="K209" s="3"/>
      <c r="L209" s="3"/>
      <c r="M209" s="3"/>
    </row>
    <row r="210" customFormat="false" ht="15" hidden="false" customHeight="false" outlineLevel="0" collapsed="false">
      <c r="A210" s="28" t="n">
        <v>46301.5237261921</v>
      </c>
      <c r="B210" s="31" t="n">
        <f aca="false">(A210-$A$5)*86400</f>
        <v>6.304999999</v>
      </c>
      <c r="C210" s="27" t="n">
        <v>0.9441</v>
      </c>
      <c r="D210" s="27" t="n">
        <v>1.7585</v>
      </c>
      <c r="E210" s="27" t="s">
        <v>603</v>
      </c>
      <c r="F210" s="27" t="s">
        <v>144</v>
      </c>
      <c r="G210" s="32" t="n">
        <f aca="false">(A210-A209)*86400000</f>
        <v>31.999801</v>
      </c>
      <c r="H210" s="3"/>
      <c r="I210" s="3"/>
      <c r="J210" s="3"/>
      <c r="K210" s="3"/>
      <c r="L210" s="3"/>
      <c r="M210" s="3"/>
    </row>
    <row r="211" customFormat="false" ht="15" hidden="false" customHeight="false" outlineLevel="0" collapsed="false">
      <c r="A211" s="28" t="n">
        <v>46301.5237263773</v>
      </c>
      <c r="B211" s="31" t="n">
        <f aca="false">(A211-$A$5)*86400</f>
        <v>6.321000843</v>
      </c>
      <c r="C211" s="27" t="n">
        <v>0.9447</v>
      </c>
      <c r="D211" s="27" t="n">
        <v>1.7587</v>
      </c>
      <c r="E211" s="27" t="s">
        <v>603</v>
      </c>
      <c r="F211" s="27" t="s">
        <v>144</v>
      </c>
      <c r="G211" s="32" t="n">
        <f aca="false">(A211-A210)*86400000</f>
        <v>16.000843</v>
      </c>
      <c r="H211" s="3"/>
      <c r="I211" s="3"/>
      <c r="J211" s="3"/>
      <c r="K211" s="3"/>
      <c r="L211" s="3"/>
      <c r="M211" s="3"/>
    </row>
    <row r="212" customFormat="false" ht="15" hidden="false" customHeight="false" outlineLevel="0" collapsed="false">
      <c r="A212" s="28" t="n">
        <v>46301.5237265625</v>
      </c>
      <c r="B212" s="31" t="n">
        <f aca="false">(A212-$A$5)*86400</f>
        <v>6.3369998</v>
      </c>
      <c r="C212" s="27" t="n">
        <v>0.9533</v>
      </c>
      <c r="D212" s="27" t="n">
        <v>1.7581</v>
      </c>
      <c r="E212" s="27" t="s">
        <v>603</v>
      </c>
      <c r="F212" s="27" t="s">
        <v>144</v>
      </c>
      <c r="G212" s="32" t="n">
        <f aca="false">(A212-A211)*86400000</f>
        <v>15.998957</v>
      </c>
      <c r="H212" s="3"/>
      <c r="I212" s="3"/>
      <c r="J212" s="3"/>
      <c r="K212" s="3"/>
      <c r="L212" s="3"/>
      <c r="M212" s="3"/>
    </row>
    <row r="213" customFormat="false" ht="15" hidden="false" customHeight="false" outlineLevel="0" collapsed="false">
      <c r="A213" s="28" t="n">
        <v>46301.5237267477</v>
      </c>
      <c r="B213" s="31" t="n">
        <f aca="false">(A213-$A$5)*86400</f>
        <v>6.352999387</v>
      </c>
      <c r="C213" s="27" t="n">
        <v>0.9603</v>
      </c>
      <c r="D213" s="27" t="n">
        <v>1.7576</v>
      </c>
      <c r="E213" s="27" t="s">
        <v>603</v>
      </c>
      <c r="F213" s="27" t="s">
        <v>144</v>
      </c>
      <c r="G213" s="32" t="n">
        <f aca="false">(A213-A212)*86400000</f>
        <v>15.999586</v>
      </c>
      <c r="H213" s="3"/>
      <c r="I213" s="3"/>
      <c r="J213" s="3"/>
      <c r="K213" s="3"/>
      <c r="L213" s="3"/>
      <c r="M213" s="3"/>
    </row>
    <row r="214" customFormat="false" ht="15" hidden="false" customHeight="false" outlineLevel="0" collapsed="false">
      <c r="A214" s="28" t="n">
        <v>46301.5237269329</v>
      </c>
      <c r="B214" s="31" t="n">
        <f aca="false">(A214-$A$5)*86400</f>
        <v>6.36900023</v>
      </c>
      <c r="C214" s="27" t="n">
        <v>0.9661</v>
      </c>
      <c r="D214" s="27" t="n">
        <v>1.7572</v>
      </c>
      <c r="E214" s="27" t="s">
        <v>603</v>
      </c>
      <c r="F214" s="27" t="s">
        <v>144</v>
      </c>
      <c r="G214" s="32" t="n">
        <f aca="false">(A214-A213)*86400000</f>
        <v>16.000843</v>
      </c>
      <c r="H214" s="3"/>
      <c r="I214" s="3"/>
      <c r="J214" s="3"/>
      <c r="K214" s="3"/>
      <c r="L214" s="3"/>
      <c r="M214" s="3"/>
    </row>
    <row r="215" customFormat="false" ht="15" hidden="false" customHeight="false" outlineLevel="0" collapsed="false">
      <c r="A215" s="28" t="n">
        <v>46301.5237271181</v>
      </c>
      <c r="B215" s="31" t="n">
        <f aca="false">(A215-$A$5)*86400</f>
        <v>6.384999817</v>
      </c>
      <c r="C215" s="27" t="n">
        <v>0.9709</v>
      </c>
      <c r="D215" s="27" t="n">
        <v>1.7568</v>
      </c>
      <c r="E215" s="27" t="s">
        <v>603</v>
      </c>
      <c r="F215" s="27" t="s">
        <v>144</v>
      </c>
      <c r="G215" s="32" t="n">
        <f aca="false">(A215-A214)*86400000</f>
        <v>15.999586</v>
      </c>
      <c r="H215" s="3"/>
      <c r="I215" s="3"/>
      <c r="J215" s="3"/>
      <c r="K215" s="3"/>
      <c r="L215" s="3"/>
      <c r="M215" s="3"/>
    </row>
    <row r="216" customFormat="false" ht="15" hidden="false" customHeight="false" outlineLevel="0" collapsed="false">
      <c r="A216" s="28" t="n">
        <v>46301.5237273032</v>
      </c>
      <c r="B216" s="31" t="n">
        <f aca="false">(A216-$A$5)*86400</f>
        <v>6.401000032</v>
      </c>
      <c r="C216" s="27" t="n">
        <v>0.9749</v>
      </c>
      <c r="D216" s="27" t="n">
        <v>1.7565</v>
      </c>
      <c r="E216" s="27" t="s">
        <v>603</v>
      </c>
      <c r="F216" s="27" t="s">
        <v>144</v>
      </c>
      <c r="G216" s="32" t="n">
        <f aca="false">(A216-A215)*86400000</f>
        <v>16.000214</v>
      </c>
      <c r="H216" s="3"/>
      <c r="I216" s="3"/>
      <c r="J216" s="3"/>
      <c r="K216" s="3"/>
      <c r="L216" s="3"/>
      <c r="M216" s="3"/>
    </row>
    <row r="217" customFormat="false" ht="15" hidden="false" customHeight="false" outlineLevel="0" collapsed="false">
      <c r="A217" s="28" t="n">
        <v>46301.5237274884</v>
      </c>
      <c r="B217" s="31" t="n">
        <f aca="false">(A217-$A$5)*86400</f>
        <v>6.417000247</v>
      </c>
      <c r="C217" s="27" t="n">
        <v>0.9782</v>
      </c>
      <c r="D217" s="27" t="n">
        <v>1.7563</v>
      </c>
      <c r="E217" s="27" t="s">
        <v>603</v>
      </c>
      <c r="F217" s="27" t="s">
        <v>144</v>
      </c>
      <c r="G217" s="32" t="n">
        <f aca="false">(A217-A216)*86400000</f>
        <v>16.000214</v>
      </c>
      <c r="H217" s="3"/>
      <c r="I217" s="3"/>
      <c r="J217" s="3"/>
      <c r="K217" s="3"/>
      <c r="L217" s="3"/>
      <c r="M217" s="3"/>
    </row>
    <row r="218" customFormat="false" ht="15" hidden="false" customHeight="false" outlineLevel="0" collapsed="false">
      <c r="A218" s="28" t="n">
        <v>46301.5237276736</v>
      </c>
      <c r="B218" s="31" t="n">
        <f aca="false">(A218-$A$5)*86400</f>
        <v>6.432999833</v>
      </c>
      <c r="C218" s="27" t="n">
        <v>0.9809</v>
      </c>
      <c r="D218" s="27" t="n">
        <v>1.7561</v>
      </c>
      <c r="E218" s="27" t="s">
        <v>603</v>
      </c>
      <c r="F218" s="27" t="s">
        <v>144</v>
      </c>
      <c r="G218" s="32" t="n">
        <f aca="false">(A218-A217)*86400000</f>
        <v>15.999586</v>
      </c>
      <c r="H218" s="3"/>
      <c r="I218" s="3"/>
      <c r="J218" s="3"/>
      <c r="K218" s="3"/>
      <c r="L218" s="3"/>
      <c r="M218" s="3"/>
    </row>
    <row r="219" customFormat="false" ht="15" hidden="false" customHeight="false" outlineLevel="0" collapsed="false">
      <c r="A219" s="28" t="n">
        <v>46301.5237278588</v>
      </c>
      <c r="B219" s="31" t="n">
        <f aca="false">(A219-$A$5)*86400</f>
        <v>6.449000677</v>
      </c>
      <c r="C219" s="27" t="n">
        <v>0.9831</v>
      </c>
      <c r="D219" s="27" t="n">
        <v>1.7559</v>
      </c>
      <c r="E219" s="27" t="s">
        <v>603</v>
      </c>
      <c r="F219" s="27" t="s">
        <v>144</v>
      </c>
      <c r="G219" s="32" t="n">
        <f aca="false">(A219-A218)*86400000</f>
        <v>16.000843</v>
      </c>
      <c r="H219" s="3"/>
      <c r="I219" s="3"/>
      <c r="J219" s="3"/>
      <c r="K219" s="3"/>
      <c r="L219" s="3"/>
      <c r="M219" s="3"/>
    </row>
    <row r="220" customFormat="false" ht="15" hidden="false" customHeight="false" outlineLevel="0" collapsed="false">
      <c r="A220" s="28" t="n">
        <v>46301.523728044</v>
      </c>
      <c r="B220" s="31" t="n">
        <f aca="false">(A220-$A$5)*86400</f>
        <v>6.465000263</v>
      </c>
      <c r="C220" s="27" t="n">
        <v>0.9849</v>
      </c>
      <c r="D220" s="27" t="n">
        <v>1.7558</v>
      </c>
      <c r="E220" s="27" t="s">
        <v>603</v>
      </c>
      <c r="F220" s="27" t="s">
        <v>144</v>
      </c>
      <c r="G220" s="32" t="n">
        <f aca="false">(A220-A219)*86400000</f>
        <v>15.999586</v>
      </c>
      <c r="H220" s="3"/>
      <c r="I220" s="3"/>
      <c r="J220" s="3"/>
      <c r="K220" s="3"/>
      <c r="L220" s="3"/>
      <c r="M220" s="3"/>
    </row>
    <row r="221" customFormat="false" ht="15" hidden="false" customHeight="false" outlineLevel="0" collapsed="false">
      <c r="A221" s="28" t="n">
        <v>46301.5237282292</v>
      </c>
      <c r="B221" s="31" t="n">
        <f aca="false">(A221-$A$5)*86400</f>
        <v>6.480999221</v>
      </c>
      <c r="C221" s="27" t="n">
        <v>0.9865</v>
      </c>
      <c r="D221" s="27" t="n">
        <v>1.7557</v>
      </c>
      <c r="E221" s="27" t="s">
        <v>603</v>
      </c>
      <c r="F221" s="27" t="s">
        <v>144</v>
      </c>
      <c r="G221" s="32" t="n">
        <f aca="false">(A221-A220)*86400000</f>
        <v>15.998957</v>
      </c>
      <c r="H221" s="3"/>
      <c r="I221" s="3"/>
      <c r="J221" s="3"/>
      <c r="K221" s="3"/>
      <c r="L221" s="3"/>
      <c r="M221" s="3"/>
    </row>
    <row r="222" customFormat="false" ht="15" hidden="false" customHeight="false" outlineLevel="0" collapsed="false">
      <c r="A222" s="28" t="n">
        <v>46301.5237284144</v>
      </c>
      <c r="B222" s="31" t="n">
        <f aca="false">(A222-$A$5)*86400</f>
        <v>6.497000064</v>
      </c>
      <c r="C222" s="27" t="n">
        <v>0.9877</v>
      </c>
      <c r="D222" s="27" t="n">
        <v>1.7556</v>
      </c>
      <c r="E222" s="27" t="s">
        <v>603</v>
      </c>
      <c r="F222" s="27" t="s">
        <v>144</v>
      </c>
      <c r="G222" s="32" t="n">
        <f aca="false">(A222-A221)*86400000</f>
        <v>16.000843</v>
      </c>
      <c r="H222" s="3"/>
      <c r="I222" s="3"/>
      <c r="J222" s="3"/>
      <c r="K222" s="3"/>
      <c r="L222" s="3"/>
      <c r="M222" s="3"/>
    </row>
    <row r="223" customFormat="false" ht="15" hidden="false" customHeight="false" outlineLevel="0" collapsed="false">
      <c r="A223" s="28" t="n">
        <v>46301.5237286111</v>
      </c>
      <c r="B223" s="31" t="n">
        <f aca="false">(A223-$A$5)*86400</f>
        <v>6.513999821</v>
      </c>
      <c r="C223" s="27" t="n">
        <v>0.9888</v>
      </c>
      <c r="D223" s="27" t="n">
        <v>1.7555</v>
      </c>
      <c r="E223" s="27" t="s">
        <v>603</v>
      </c>
      <c r="F223" s="27" t="s">
        <v>144</v>
      </c>
      <c r="G223" s="32" t="n">
        <f aca="false">(A223-A222)*86400000</f>
        <v>16.999756</v>
      </c>
      <c r="H223" s="3"/>
      <c r="I223" s="3"/>
      <c r="J223" s="3"/>
      <c r="K223" s="3"/>
      <c r="L223" s="3"/>
      <c r="M223" s="3"/>
    </row>
    <row r="224" customFormat="false" ht="15" hidden="false" customHeight="false" outlineLevel="0" collapsed="false">
      <c r="A224" s="28" t="n">
        <v>46301.5237289815</v>
      </c>
      <c r="B224" s="31" t="n">
        <f aca="false">(A224-$A$5)*86400</f>
        <v>6.546000251</v>
      </c>
      <c r="C224" s="27" t="n">
        <v>0.9903</v>
      </c>
      <c r="D224" s="27" t="n">
        <v>1.7554</v>
      </c>
      <c r="E224" s="27" t="s">
        <v>603</v>
      </c>
      <c r="F224" s="27" t="s">
        <v>144</v>
      </c>
      <c r="G224" s="32" t="n">
        <f aca="false">(A224-A223)*86400000</f>
        <v>32.000429</v>
      </c>
      <c r="H224" s="3"/>
      <c r="I224" s="3"/>
      <c r="J224" s="3"/>
      <c r="K224" s="3"/>
      <c r="L224" s="3"/>
      <c r="M224" s="3"/>
    </row>
    <row r="225" customFormat="false" ht="15" hidden="false" customHeight="false" outlineLevel="0" collapsed="false">
      <c r="A225" s="28" t="n">
        <v>46301.5237291667</v>
      </c>
      <c r="B225" s="31" t="n">
        <f aca="false">(A225-$A$5)*86400</f>
        <v>6.561999837</v>
      </c>
      <c r="C225" s="27" t="n">
        <v>0.9924</v>
      </c>
      <c r="D225" s="27" t="n">
        <v>1.7549</v>
      </c>
      <c r="E225" s="27" t="s">
        <v>603</v>
      </c>
      <c r="F225" s="27" t="s">
        <v>144</v>
      </c>
      <c r="G225" s="32" t="n">
        <f aca="false">(A225-A224)*86400000</f>
        <v>15.999586</v>
      </c>
      <c r="H225" s="3"/>
      <c r="I225" s="3"/>
      <c r="J225" s="3"/>
      <c r="K225" s="3"/>
      <c r="L225" s="3"/>
      <c r="M225" s="3"/>
    </row>
    <row r="226" customFormat="false" ht="15" hidden="false" customHeight="false" outlineLevel="0" collapsed="false">
      <c r="A226" s="28" t="n">
        <v>46301.5237293634</v>
      </c>
      <c r="B226" s="31" t="n">
        <f aca="false">(A226-$A$5)*86400</f>
        <v>6.579000223</v>
      </c>
      <c r="C226" s="27" t="n">
        <v>0.9943</v>
      </c>
      <c r="D226" s="27" t="n">
        <v>1.7545</v>
      </c>
      <c r="E226" s="27" t="s">
        <v>603</v>
      </c>
      <c r="F226" s="27" t="s">
        <v>144</v>
      </c>
      <c r="G226" s="32" t="n">
        <f aca="false">(A226-A225)*86400000</f>
        <v>17.000385</v>
      </c>
      <c r="H226" s="3"/>
      <c r="I226" s="3"/>
      <c r="J226" s="3"/>
      <c r="K226" s="3"/>
      <c r="L226" s="3"/>
      <c r="M226" s="3"/>
    </row>
    <row r="227" customFormat="false" ht="15" hidden="false" customHeight="false" outlineLevel="0" collapsed="false">
      <c r="A227" s="28" t="n">
        <v>46301.5237295486</v>
      </c>
      <c r="B227" s="31" t="n">
        <f aca="false">(A227-$A$5)*86400</f>
        <v>6.594999809</v>
      </c>
      <c r="C227" s="27" t="n">
        <v>0.9957</v>
      </c>
      <c r="D227" s="27" t="n">
        <v>1.7542</v>
      </c>
      <c r="E227" s="27" t="s">
        <v>603</v>
      </c>
      <c r="F227" s="27" t="s">
        <v>144</v>
      </c>
      <c r="G227" s="32" t="n">
        <f aca="false">(A227-A226)*86400000</f>
        <v>15.999586</v>
      </c>
      <c r="H227" s="3"/>
      <c r="I227" s="3"/>
      <c r="J227" s="3"/>
      <c r="K227" s="3"/>
      <c r="L227" s="3"/>
      <c r="M227" s="3"/>
    </row>
    <row r="228" customFormat="false" ht="15" hidden="false" customHeight="false" outlineLevel="0" collapsed="false">
      <c r="A228" s="28" t="n">
        <v>46301.5237297338</v>
      </c>
      <c r="B228" s="31" t="n">
        <f aca="false">(A228-$A$5)*86400</f>
        <v>6.611000653</v>
      </c>
      <c r="C228" s="27" t="n">
        <v>0.9969</v>
      </c>
      <c r="D228" s="27" t="n">
        <v>1.754</v>
      </c>
      <c r="E228" s="27" t="s">
        <v>603</v>
      </c>
      <c r="F228" s="27" t="s">
        <v>144</v>
      </c>
      <c r="G228" s="32" t="n">
        <f aca="false">(A228-A227)*86400000</f>
        <v>16.000843</v>
      </c>
      <c r="H228" s="3"/>
      <c r="I228" s="3"/>
      <c r="J228" s="3"/>
      <c r="K228" s="3"/>
      <c r="L228" s="3"/>
      <c r="M228" s="3"/>
    </row>
    <row r="229" customFormat="false" ht="15" hidden="false" customHeight="false" outlineLevel="0" collapsed="false">
      <c r="A229" s="28" t="n">
        <v>46301.5237299306</v>
      </c>
      <c r="B229" s="31" t="n">
        <f aca="false">(A229-$A$5)*86400</f>
        <v>6.62800041</v>
      </c>
      <c r="C229" s="27" t="n">
        <v>0.9979</v>
      </c>
      <c r="D229" s="27" t="n">
        <v>1.7537</v>
      </c>
      <c r="E229" s="27" t="s">
        <v>603</v>
      </c>
      <c r="F229" s="27" t="s">
        <v>144</v>
      </c>
      <c r="G229" s="32" t="n">
        <f aca="false">(A229-A228)*86400000</f>
        <v>16.999756</v>
      </c>
      <c r="H229" s="3"/>
      <c r="I229" s="3"/>
      <c r="J229" s="3"/>
      <c r="K229" s="3"/>
      <c r="L229" s="3"/>
      <c r="M229" s="3"/>
    </row>
    <row r="230" customFormat="false" ht="15" hidden="false" customHeight="false" outlineLevel="0" collapsed="false">
      <c r="A230" s="28" t="n">
        <v>46301.5237301157</v>
      </c>
      <c r="B230" s="31" t="n">
        <f aca="false">(A230-$A$5)*86400</f>
        <v>6.643999996</v>
      </c>
      <c r="C230" s="27" t="n">
        <v>0.9987</v>
      </c>
      <c r="D230" s="27" t="n">
        <v>1.7536</v>
      </c>
      <c r="E230" s="27" t="s">
        <v>603</v>
      </c>
      <c r="F230" s="27" t="s">
        <v>144</v>
      </c>
      <c r="G230" s="32" t="n">
        <f aca="false">(A230-A229)*86400000</f>
        <v>15.999586</v>
      </c>
      <c r="H230" s="3"/>
      <c r="I230" s="3"/>
      <c r="J230" s="3"/>
      <c r="K230" s="3"/>
      <c r="L230" s="3"/>
      <c r="M230" s="3"/>
    </row>
    <row r="231" customFormat="false" ht="15" hidden="false" customHeight="false" outlineLevel="0" collapsed="false">
      <c r="A231" s="28" t="n">
        <v>46301.5237303009</v>
      </c>
      <c r="B231" s="31" t="n">
        <f aca="false">(A231-$A$5)*86400</f>
        <v>6.660000211</v>
      </c>
      <c r="C231" s="27" t="n">
        <v>0.9999</v>
      </c>
      <c r="D231" s="27" t="n">
        <v>1.7548</v>
      </c>
      <c r="E231" s="27" t="s">
        <v>603</v>
      </c>
      <c r="F231" s="27" t="s">
        <v>144</v>
      </c>
      <c r="G231" s="32" t="n">
        <f aca="false">(A231-A230)*86400000</f>
        <v>16.000214</v>
      </c>
      <c r="H231" s="3"/>
      <c r="I231" s="3"/>
      <c r="J231" s="3"/>
      <c r="K231" s="3"/>
      <c r="L231" s="3"/>
      <c r="M231" s="3"/>
    </row>
    <row r="232" customFormat="false" ht="15" hidden="false" customHeight="false" outlineLevel="0" collapsed="false">
      <c r="A232" s="28" t="n">
        <v>46301.5237304977</v>
      </c>
      <c r="B232" s="31" t="n">
        <f aca="false">(A232-$A$5)*86400</f>
        <v>6.676999968</v>
      </c>
      <c r="C232" s="27" t="n">
        <v>1.0009</v>
      </c>
      <c r="D232" s="27" t="n">
        <v>1.7558</v>
      </c>
      <c r="E232" s="27" t="s">
        <v>603</v>
      </c>
      <c r="F232" s="27" t="s">
        <v>144</v>
      </c>
      <c r="G232" s="32" t="n">
        <f aca="false">(A232-A231)*86400000</f>
        <v>16.999756</v>
      </c>
      <c r="H232" s="3"/>
      <c r="I232" s="3"/>
      <c r="J232" s="3"/>
      <c r="K232" s="3"/>
      <c r="L232" s="3"/>
      <c r="M232" s="3"/>
    </row>
    <row r="233" customFormat="false" ht="15" hidden="false" customHeight="false" outlineLevel="0" collapsed="false">
      <c r="A233" s="28" t="n">
        <v>46301.5237306713</v>
      </c>
      <c r="B233" s="31" t="n">
        <f aca="false">(A233-$A$5)*86400</f>
        <v>6.692000641</v>
      </c>
      <c r="C233" s="27" t="n">
        <v>1.0017</v>
      </c>
      <c r="D233" s="27" t="n">
        <v>1.7566</v>
      </c>
      <c r="E233" s="27" t="s">
        <v>603</v>
      </c>
      <c r="F233" s="27" t="s">
        <v>144</v>
      </c>
      <c r="G233" s="32" t="n">
        <f aca="false">(A233-A232)*86400000</f>
        <v>15.000673</v>
      </c>
      <c r="H233" s="3"/>
      <c r="I233" s="3"/>
      <c r="J233" s="3"/>
      <c r="K233" s="3"/>
      <c r="L233" s="3"/>
      <c r="M233" s="3"/>
    </row>
    <row r="234" customFormat="false" ht="15" hidden="false" customHeight="false" outlineLevel="0" collapsed="false">
      <c r="A234" s="28" t="n">
        <v>46301.5237308565</v>
      </c>
      <c r="B234" s="31" t="n">
        <f aca="false">(A234-$A$5)*86400</f>
        <v>6.708000227</v>
      </c>
      <c r="C234" s="27" t="n">
        <v>1.0024</v>
      </c>
      <c r="D234" s="27" t="n">
        <v>1.7573</v>
      </c>
      <c r="E234" s="27" t="s">
        <v>603</v>
      </c>
      <c r="F234" s="27" t="s">
        <v>144</v>
      </c>
      <c r="G234" s="32" t="n">
        <f aca="false">(A234-A233)*86400000</f>
        <v>15.999586</v>
      </c>
      <c r="H234" s="3"/>
      <c r="I234" s="3"/>
      <c r="J234" s="3"/>
      <c r="K234" s="3"/>
      <c r="L234" s="3"/>
      <c r="M234" s="3"/>
    </row>
    <row r="235" customFormat="false" ht="15" hidden="false" customHeight="false" outlineLevel="0" collapsed="false">
      <c r="A235" s="28" t="n">
        <v>46301.5237314236</v>
      </c>
      <c r="B235" s="31" t="n">
        <f aca="false">(A235-$A$5)*86400</f>
        <v>6.756999786</v>
      </c>
      <c r="C235" s="27" t="n">
        <v>1.0038</v>
      </c>
      <c r="D235" s="27" t="n">
        <v>1.7587</v>
      </c>
      <c r="E235" s="27" t="s">
        <v>603</v>
      </c>
      <c r="F235" s="27" t="s">
        <v>144</v>
      </c>
      <c r="G235" s="32" t="n">
        <f aca="false">(A235-A234)*86400000</f>
        <v>48.999558</v>
      </c>
      <c r="H235" s="3"/>
      <c r="I235" s="3"/>
      <c r="J235" s="3"/>
      <c r="K235" s="3"/>
      <c r="L235" s="3"/>
      <c r="M235" s="3"/>
    </row>
    <row r="236" customFormat="false" ht="15" hidden="false" customHeight="false" outlineLevel="0" collapsed="false">
      <c r="A236" s="28" t="n">
        <v>46301.5237316088</v>
      </c>
      <c r="B236" s="31" t="n">
        <f aca="false">(A236-$A$5)*86400</f>
        <v>6.773000629</v>
      </c>
      <c r="C236" s="27" t="n">
        <v>1.0036</v>
      </c>
      <c r="D236" s="27" t="n">
        <v>1.7595</v>
      </c>
      <c r="E236" s="27" t="s">
        <v>603</v>
      </c>
      <c r="F236" s="27" t="s">
        <v>144</v>
      </c>
      <c r="G236" s="32" t="n">
        <f aca="false">(A236-A235)*86400000</f>
        <v>16.000843</v>
      </c>
      <c r="H236" s="3"/>
      <c r="I236" s="3"/>
      <c r="J236" s="3"/>
      <c r="K236" s="3"/>
      <c r="L236" s="3"/>
      <c r="M236" s="3"/>
    </row>
    <row r="237" customFormat="false" ht="15" hidden="false" customHeight="false" outlineLevel="0" collapsed="false">
      <c r="A237" s="28" t="n">
        <v>46301.5237321759</v>
      </c>
      <c r="B237" s="31" t="n">
        <f aca="false">(A237-$A$5)*86400</f>
        <v>6.822000187</v>
      </c>
      <c r="C237" s="27" t="n">
        <v>1.003</v>
      </c>
      <c r="D237" s="27" t="n">
        <v>1.7612</v>
      </c>
      <c r="E237" s="27" t="s">
        <v>603</v>
      </c>
      <c r="F237" s="27" t="s">
        <v>144</v>
      </c>
      <c r="G237" s="32" t="n">
        <f aca="false">(A237-A236)*86400000</f>
        <v>48.999558</v>
      </c>
      <c r="H237" s="3"/>
      <c r="I237" s="3"/>
      <c r="J237" s="3"/>
      <c r="K237" s="3"/>
      <c r="L237" s="3"/>
      <c r="M237" s="3"/>
    </row>
    <row r="238" customFormat="false" ht="15" hidden="false" customHeight="false" outlineLevel="0" collapsed="false">
      <c r="A238" s="28" t="n">
        <v>46301.5237325463</v>
      </c>
      <c r="B238" s="31" t="n">
        <f aca="false">(A238-$A$5)*86400</f>
        <v>6.85399936</v>
      </c>
      <c r="C238" s="27" t="n">
        <v>1.0024</v>
      </c>
      <c r="D238" s="27" t="n">
        <v>1.7633</v>
      </c>
      <c r="E238" s="27" t="s">
        <v>603</v>
      </c>
      <c r="F238" s="27" t="s">
        <v>144</v>
      </c>
      <c r="G238" s="32" t="n">
        <f aca="false">(A238-A237)*86400000</f>
        <v>31.999172</v>
      </c>
      <c r="H238" s="3"/>
      <c r="I238" s="3"/>
      <c r="J238" s="3"/>
      <c r="K238" s="3"/>
      <c r="L238" s="3"/>
      <c r="M238" s="3"/>
    </row>
    <row r="239" customFormat="false" ht="15" hidden="false" customHeight="false" outlineLevel="0" collapsed="false">
      <c r="A239" s="28" t="n">
        <v>46301.5237327315</v>
      </c>
      <c r="B239" s="31" t="n">
        <f aca="false">(A239-$A$5)*86400</f>
        <v>6.870000204</v>
      </c>
      <c r="C239" s="27" t="n">
        <v>1.0012</v>
      </c>
      <c r="D239" s="27" t="n">
        <v>1.7644</v>
      </c>
      <c r="E239" s="27" t="s">
        <v>603</v>
      </c>
      <c r="F239" s="27" t="s">
        <v>144</v>
      </c>
      <c r="G239" s="32" t="n">
        <f aca="false">(A239-A238)*86400000</f>
        <v>16.000843</v>
      </c>
      <c r="H239" s="3"/>
      <c r="I239" s="3"/>
      <c r="J239" s="3"/>
      <c r="K239" s="3"/>
      <c r="L239" s="3"/>
      <c r="M239" s="3"/>
    </row>
    <row r="240" customFormat="false" ht="15" hidden="false" customHeight="false" outlineLevel="0" collapsed="false">
      <c r="A240" s="28" t="n">
        <v>46301.5237340394</v>
      </c>
      <c r="B240" s="31" t="n">
        <f aca="false">(A240-$A$5)*86400</f>
        <v>6.982999993</v>
      </c>
      <c r="C240" s="27" t="n">
        <v>1.0004</v>
      </c>
      <c r="D240" s="27" t="n">
        <v>1.7623</v>
      </c>
      <c r="E240" s="27" t="s">
        <v>603</v>
      </c>
      <c r="F240" s="27" t="s">
        <v>144</v>
      </c>
      <c r="G240" s="32" t="n">
        <f aca="false">(A240-A239)*86400000</f>
        <v>112.999789</v>
      </c>
      <c r="H240" s="3"/>
      <c r="I240" s="3"/>
      <c r="J240" s="3"/>
      <c r="K240" s="3"/>
      <c r="L240" s="3"/>
      <c r="M240" s="3"/>
    </row>
    <row r="241" customFormat="false" ht="15" hidden="false" customHeight="false" outlineLevel="0" collapsed="false">
      <c r="A241" s="28" t="n">
        <v>46301.523734213</v>
      </c>
      <c r="B241" s="31" t="n">
        <f aca="false">(A241-$A$5)*86400</f>
        <v>6.998000037</v>
      </c>
      <c r="C241" s="27" t="n">
        <v>0.9998</v>
      </c>
      <c r="D241" s="27" t="n">
        <v>1.7606</v>
      </c>
      <c r="E241" s="27" t="s">
        <v>603</v>
      </c>
      <c r="F241" s="27" t="s">
        <v>144</v>
      </c>
      <c r="G241" s="32" t="n">
        <f aca="false">(A241-A240)*86400000</f>
        <v>15.000044</v>
      </c>
      <c r="H241" s="3"/>
      <c r="I241" s="3"/>
      <c r="J241" s="3"/>
      <c r="K241" s="3"/>
      <c r="L241" s="3"/>
      <c r="M241" s="3"/>
    </row>
    <row r="242" customFormat="false" ht="15" hidden="false" customHeight="false" outlineLevel="0" collapsed="false">
      <c r="A242" s="28" t="n">
        <v>46301.5237345949</v>
      </c>
      <c r="B242" s="31" t="n">
        <f aca="false">(A242-$A$5)*86400</f>
        <v>7.031000638</v>
      </c>
      <c r="C242" s="27" t="n">
        <v>0.9989</v>
      </c>
      <c r="D242" s="27" t="n">
        <v>1.758</v>
      </c>
      <c r="E242" s="27" t="s">
        <v>603</v>
      </c>
      <c r="F242" s="27" t="s">
        <v>144</v>
      </c>
      <c r="G242" s="32" t="n">
        <f aca="false">(A242-A241)*86400000</f>
        <v>33.0006</v>
      </c>
      <c r="H242" s="3"/>
      <c r="I242" s="3"/>
      <c r="J242" s="3"/>
      <c r="K242" s="3"/>
      <c r="L242" s="3"/>
      <c r="M242" s="3"/>
    </row>
    <row r="243" customFormat="false" ht="15" hidden="false" customHeight="false" outlineLevel="0" collapsed="false">
      <c r="A243" s="28" t="n">
        <v>46301.5237347801</v>
      </c>
      <c r="B243" s="31" t="n">
        <f aca="false">(A243-$A$5)*86400</f>
        <v>7.046999596</v>
      </c>
      <c r="C243" s="27" t="n">
        <v>0.9985</v>
      </c>
      <c r="D243" s="27" t="n">
        <v>1.7571</v>
      </c>
      <c r="E243" s="27" t="s">
        <v>603</v>
      </c>
      <c r="F243" s="27" t="s">
        <v>144</v>
      </c>
      <c r="G243" s="32" t="n">
        <f aca="false">(A243-A242)*86400000</f>
        <v>15.998957</v>
      </c>
      <c r="H243" s="3"/>
      <c r="I243" s="3"/>
      <c r="J243" s="3"/>
      <c r="K243" s="3"/>
      <c r="L243" s="3"/>
      <c r="M243" s="3"/>
    </row>
    <row r="244" customFormat="false" ht="15" hidden="false" customHeight="false" outlineLevel="0" collapsed="false">
      <c r="A244" s="28" t="n">
        <v>46301.5237349653</v>
      </c>
      <c r="B244" s="31" t="n">
        <f aca="false">(A244-$A$5)*86400</f>
        <v>7.062999182</v>
      </c>
      <c r="C244" s="27" t="n">
        <v>0.9983</v>
      </c>
      <c r="D244" s="27" t="n">
        <v>1.7563</v>
      </c>
      <c r="E244" s="27" t="s">
        <v>603</v>
      </c>
      <c r="F244" s="27" t="s">
        <v>144</v>
      </c>
      <c r="G244" s="32" t="n">
        <f aca="false">(A244-A243)*86400000</f>
        <v>15.999586</v>
      </c>
      <c r="H244" s="3"/>
      <c r="I244" s="3"/>
      <c r="J244" s="3"/>
      <c r="K244" s="3"/>
      <c r="L244" s="3"/>
      <c r="M244" s="3"/>
    </row>
    <row r="245" customFormat="false" ht="15" hidden="false" customHeight="false" outlineLevel="0" collapsed="false">
      <c r="A245" s="28" t="n">
        <v>46301.5237353357</v>
      </c>
      <c r="B245" s="31" t="n">
        <f aca="false">(A245-$A$5)*86400</f>
        <v>7.09500024</v>
      </c>
      <c r="C245" s="27" t="n">
        <v>0.9965</v>
      </c>
      <c r="D245" s="27" t="n">
        <v>1.7541</v>
      </c>
      <c r="E245" s="27" t="s">
        <v>603</v>
      </c>
      <c r="F245" s="27" t="s">
        <v>144</v>
      </c>
      <c r="G245" s="32" t="n">
        <f aca="false">(A245-A244)*86400000</f>
        <v>32.001058</v>
      </c>
      <c r="H245" s="3"/>
      <c r="I245" s="3"/>
      <c r="J245" s="3"/>
      <c r="K245" s="3"/>
      <c r="L245" s="3"/>
      <c r="M245" s="3"/>
    </row>
    <row r="246" customFormat="false" ht="15" hidden="false" customHeight="false" outlineLevel="0" collapsed="false">
      <c r="A246" s="28" t="n">
        <v>46301.5237355208</v>
      </c>
      <c r="B246" s="31" t="n">
        <f aca="false">(A246-$A$5)*86400</f>
        <v>7.110999827</v>
      </c>
      <c r="C246" s="27" t="n">
        <v>0.9952</v>
      </c>
      <c r="D246" s="27" t="n">
        <v>1.7529</v>
      </c>
      <c r="E246" s="27" t="s">
        <v>603</v>
      </c>
      <c r="F246" s="27" t="s">
        <v>144</v>
      </c>
      <c r="G246" s="32" t="n">
        <f aca="false">(A246-A245)*86400000</f>
        <v>15.999586</v>
      </c>
      <c r="H246" s="3"/>
      <c r="I246" s="3"/>
      <c r="J246" s="3"/>
      <c r="K246" s="3"/>
      <c r="L246" s="3"/>
      <c r="M246" s="3"/>
    </row>
    <row r="247" customFormat="false" ht="15" hidden="false" customHeight="false" outlineLevel="0" collapsed="false">
      <c r="A247" s="28" t="n">
        <v>46301.5237357176</v>
      </c>
      <c r="B247" s="31" t="n">
        <f aca="false">(A247-$A$5)*86400</f>
        <v>7.127999584</v>
      </c>
      <c r="C247" s="27" t="n">
        <v>0.9942</v>
      </c>
      <c r="D247" s="27" t="n">
        <v>1.7518</v>
      </c>
      <c r="E247" s="27" t="s">
        <v>603</v>
      </c>
      <c r="F247" s="27" t="s">
        <v>144</v>
      </c>
      <c r="G247" s="32" t="n">
        <f aca="false">(A247-A246)*86400000</f>
        <v>16.999756</v>
      </c>
      <c r="H247" s="3"/>
      <c r="I247" s="3"/>
      <c r="J247" s="3"/>
      <c r="K247" s="3"/>
      <c r="L247" s="3"/>
      <c r="M247" s="3"/>
    </row>
    <row r="248" customFormat="false" ht="15" hidden="false" customHeight="false" outlineLevel="0" collapsed="false">
      <c r="A248" s="28" t="n">
        <v>46301.5237358912</v>
      </c>
      <c r="B248" s="31" t="n">
        <f aca="false">(A248-$A$5)*86400</f>
        <v>7.143000885</v>
      </c>
      <c r="C248" s="27" t="n">
        <v>0.9933</v>
      </c>
      <c r="D248" s="27" t="n">
        <v>1.751</v>
      </c>
      <c r="E248" s="27" t="s">
        <v>603</v>
      </c>
      <c r="F248" s="27" t="s">
        <v>144</v>
      </c>
      <c r="G248" s="32" t="n">
        <f aca="false">(A248-A247)*86400000</f>
        <v>15.001301</v>
      </c>
      <c r="H248" s="3"/>
      <c r="I248" s="3"/>
      <c r="J248" s="3"/>
      <c r="K248" s="3"/>
      <c r="L248" s="3"/>
      <c r="M248" s="3"/>
    </row>
    <row r="249" customFormat="false" ht="15" hidden="false" customHeight="false" outlineLevel="0" collapsed="false">
      <c r="A249" s="28" t="n">
        <v>46301.5237362732</v>
      </c>
      <c r="B249" s="31" t="n">
        <f aca="false">(A249-$A$5)*86400</f>
        <v>7.176000229</v>
      </c>
      <c r="C249" s="27" t="n">
        <v>0.9921</v>
      </c>
      <c r="D249" s="27" t="n">
        <v>1.7497</v>
      </c>
      <c r="E249" s="27" t="s">
        <v>603</v>
      </c>
      <c r="F249" s="27" t="s">
        <v>144</v>
      </c>
      <c r="G249" s="32" t="n">
        <f aca="false">(A249-A248)*86400000</f>
        <v>32.999343</v>
      </c>
      <c r="H249" s="3"/>
      <c r="I249" s="3"/>
      <c r="J249" s="3"/>
      <c r="K249" s="3"/>
      <c r="L249" s="3"/>
      <c r="M249" s="3"/>
    </row>
    <row r="250" customFormat="false" ht="15" hidden="false" customHeight="false" outlineLevel="0" collapsed="false">
      <c r="A250" s="28" t="n">
        <v>46301.5237364583</v>
      </c>
      <c r="B250" s="31" t="n">
        <f aca="false">(A250-$A$5)*86400</f>
        <v>7.191999815</v>
      </c>
      <c r="C250" s="27" t="n">
        <v>0.9906</v>
      </c>
      <c r="D250" s="27" t="n">
        <v>1.7491</v>
      </c>
      <c r="E250" s="27" t="s">
        <v>603</v>
      </c>
      <c r="F250" s="27" t="s">
        <v>144</v>
      </c>
      <c r="G250" s="32" t="n">
        <f aca="false">(A250-A249)*86400000</f>
        <v>15.999586</v>
      </c>
      <c r="H250" s="3"/>
      <c r="I250" s="3"/>
      <c r="J250" s="3"/>
      <c r="K250" s="3"/>
      <c r="L250" s="3"/>
      <c r="M250" s="3"/>
    </row>
    <row r="251" customFormat="false" ht="15" hidden="false" customHeight="false" outlineLevel="0" collapsed="false">
      <c r="A251" s="28" t="n">
        <v>46301.5237366319</v>
      </c>
      <c r="B251" s="31" t="n">
        <f aca="false">(A251-$A$5)*86400</f>
        <v>7.206999859</v>
      </c>
      <c r="C251" s="27" t="n">
        <v>0.9894</v>
      </c>
      <c r="D251" s="27" t="n">
        <v>1.7486</v>
      </c>
      <c r="E251" s="27" t="s">
        <v>603</v>
      </c>
      <c r="F251" s="27" t="s">
        <v>144</v>
      </c>
      <c r="G251" s="32" t="n">
        <f aca="false">(A251-A250)*86400000</f>
        <v>15.000044</v>
      </c>
      <c r="H251" s="3"/>
      <c r="I251" s="3"/>
      <c r="J251" s="3"/>
      <c r="K251" s="3"/>
      <c r="L251" s="3"/>
      <c r="M251" s="3"/>
    </row>
    <row r="252" customFormat="false" ht="15" hidden="false" customHeight="false" outlineLevel="0" collapsed="false">
      <c r="A252" s="28" t="n">
        <v>46301.5237368171</v>
      </c>
      <c r="B252" s="31" t="n">
        <f aca="false">(A252-$A$5)*86400</f>
        <v>7.223000074</v>
      </c>
      <c r="C252" s="27" t="n">
        <v>0.9884</v>
      </c>
      <c r="D252" s="27" t="n">
        <v>1.7482</v>
      </c>
      <c r="E252" s="27" t="s">
        <v>603</v>
      </c>
      <c r="F252" s="27" t="s">
        <v>144</v>
      </c>
      <c r="G252" s="32" t="n">
        <f aca="false">(A252-A251)*86400000</f>
        <v>16.000214</v>
      </c>
      <c r="H252" s="3"/>
      <c r="I252" s="3"/>
      <c r="J252" s="3"/>
      <c r="K252" s="3"/>
      <c r="L252" s="3"/>
      <c r="M252" s="3"/>
    </row>
    <row r="253" customFormat="false" ht="15" hidden="false" customHeight="false" outlineLevel="0" collapsed="false">
      <c r="A253" s="28" t="n">
        <v>46301.5237371991</v>
      </c>
      <c r="B253" s="31" t="n">
        <f aca="false">(A253-$A$5)*86400</f>
        <v>7.256000046</v>
      </c>
      <c r="C253" s="27" t="n">
        <v>0.9868</v>
      </c>
      <c r="D253" s="27" t="n">
        <v>1.7475</v>
      </c>
      <c r="E253" s="27" t="s">
        <v>603</v>
      </c>
      <c r="F253" s="27" t="s">
        <v>144</v>
      </c>
      <c r="G253" s="32" t="n">
        <f aca="false">(A253-A252)*86400000</f>
        <v>32.999971</v>
      </c>
      <c r="H253" s="3"/>
      <c r="I253" s="3"/>
      <c r="J253" s="3"/>
      <c r="K253" s="3"/>
      <c r="L253" s="3"/>
      <c r="M253" s="3"/>
    </row>
    <row r="254" customFormat="false" ht="15" hidden="false" customHeight="false" outlineLevel="0" collapsed="false">
      <c r="A254" s="28" t="n">
        <v>46301.5237373958</v>
      </c>
      <c r="B254" s="31" t="n">
        <f aca="false">(A254-$A$5)*86400</f>
        <v>7.272999803</v>
      </c>
      <c r="C254" s="27" t="n">
        <v>0.9862</v>
      </c>
      <c r="D254" s="27" t="n">
        <v>1.7473</v>
      </c>
      <c r="E254" s="27" t="s">
        <v>603</v>
      </c>
      <c r="F254" s="27" t="s">
        <v>144</v>
      </c>
      <c r="G254" s="32" t="n">
        <f aca="false">(A254-A253)*86400000</f>
        <v>16.999756</v>
      </c>
      <c r="H254" s="3"/>
      <c r="I254" s="3"/>
      <c r="J254" s="3"/>
      <c r="K254" s="3"/>
      <c r="L254" s="3"/>
      <c r="M254" s="3"/>
    </row>
    <row r="255" customFormat="false" ht="15" hidden="false" customHeight="false" outlineLevel="0" collapsed="false">
      <c r="A255" s="28" t="n">
        <v>46301.5237379514</v>
      </c>
      <c r="B255" s="31" t="n">
        <f aca="false">(A255-$A$5)*86400</f>
        <v>7.321000448</v>
      </c>
      <c r="C255" s="27" t="n">
        <v>0.9849</v>
      </c>
      <c r="D255" s="27" t="n">
        <v>1.7477</v>
      </c>
      <c r="E255" s="27" t="s">
        <v>603</v>
      </c>
      <c r="F255" s="27" t="s">
        <v>144</v>
      </c>
      <c r="G255" s="32" t="n">
        <f aca="false">(A255-A254)*86400000</f>
        <v>48.000644</v>
      </c>
      <c r="H255" s="3"/>
      <c r="I255" s="3"/>
      <c r="J255" s="3"/>
      <c r="K255" s="3"/>
      <c r="L255" s="3"/>
      <c r="M255" s="3"/>
    </row>
    <row r="256" customFormat="false" ht="15" hidden="false" customHeight="false" outlineLevel="0" collapsed="false">
      <c r="A256" s="28" t="n">
        <v>46301.5237388773</v>
      </c>
      <c r="B256" s="31" t="n">
        <f aca="false">(A256-$A$5)*86400</f>
        <v>7.401000265</v>
      </c>
      <c r="C256" s="27" t="n">
        <v>0.9827</v>
      </c>
      <c r="D256" s="27" t="n">
        <v>1.7514</v>
      </c>
      <c r="E256" s="27" t="s">
        <v>603</v>
      </c>
      <c r="F256" s="27" t="s">
        <v>144</v>
      </c>
      <c r="G256" s="32" t="n">
        <f aca="false">(A256-A255)*86400000</f>
        <v>79.999817</v>
      </c>
      <c r="H256" s="3"/>
      <c r="I256" s="3"/>
      <c r="J256" s="3"/>
      <c r="K256" s="3"/>
      <c r="L256" s="3"/>
      <c r="M256" s="3"/>
    </row>
    <row r="257" customFormat="false" ht="15" hidden="false" customHeight="false" outlineLevel="0" collapsed="false">
      <c r="A257" s="28" t="n">
        <v>46301.5237414699</v>
      </c>
      <c r="B257" s="31" t="n">
        <f aca="false">(A257-$A$5)*86400</f>
        <v>7.625000132</v>
      </c>
      <c r="C257" s="27" t="n">
        <v>0.9738</v>
      </c>
      <c r="D257" s="27" t="n">
        <v>1.7562</v>
      </c>
      <c r="E257" s="27" t="s">
        <v>603</v>
      </c>
      <c r="F257" s="27" t="s">
        <v>144</v>
      </c>
      <c r="G257" s="32" t="n">
        <f aca="false">(A257-A256)*86400000</f>
        <v>223.999866</v>
      </c>
      <c r="H257" s="3"/>
      <c r="I257" s="3"/>
      <c r="J257" s="3"/>
      <c r="K257" s="3"/>
      <c r="L257" s="3"/>
      <c r="M257" s="3"/>
    </row>
    <row r="258" customFormat="false" ht="15" hidden="false" customHeight="false" outlineLevel="0" collapsed="false">
      <c r="A258" s="28" t="n">
        <v>46301.5237416667</v>
      </c>
      <c r="B258" s="31" t="n">
        <f aca="false">(A258-$A$5)*86400</f>
        <v>7.64199926</v>
      </c>
      <c r="C258" s="27" t="n">
        <v>0.9666</v>
      </c>
      <c r="D258" s="27" t="n">
        <v>1.7602</v>
      </c>
      <c r="E258" s="27" t="s">
        <v>603</v>
      </c>
      <c r="F258" s="27" t="s">
        <v>144</v>
      </c>
      <c r="G258" s="32" t="n">
        <f aca="false">(A258-A257)*86400000</f>
        <v>16.999128</v>
      </c>
      <c r="H258" s="3"/>
      <c r="I258" s="3"/>
      <c r="J258" s="3"/>
      <c r="K258" s="3"/>
      <c r="L258" s="3"/>
      <c r="M258" s="3"/>
    </row>
    <row r="259" customFormat="false" ht="15" hidden="false" customHeight="false" outlineLevel="0" collapsed="false">
      <c r="A259" s="28" t="n">
        <v>46301.5237418403</v>
      </c>
      <c r="B259" s="31" t="n">
        <f aca="false">(A259-$A$5)*86400</f>
        <v>7.657000562</v>
      </c>
      <c r="C259" s="27" t="n">
        <v>0.9606</v>
      </c>
      <c r="D259" s="27" t="n">
        <v>1.7635</v>
      </c>
      <c r="E259" s="27" t="s">
        <v>603</v>
      </c>
      <c r="F259" s="27" t="s">
        <v>144</v>
      </c>
      <c r="G259" s="32" t="n">
        <f aca="false">(A259-A258)*86400000</f>
        <v>15.001301</v>
      </c>
      <c r="H259" s="3"/>
      <c r="I259" s="3"/>
      <c r="J259" s="3"/>
      <c r="K259" s="3"/>
      <c r="L259" s="3"/>
      <c r="M259" s="3"/>
    </row>
    <row r="260" customFormat="false" ht="15" hidden="false" customHeight="false" outlineLevel="0" collapsed="false">
      <c r="A260" s="28" t="n">
        <v>46301.523742037</v>
      </c>
      <c r="B260" s="31" t="n">
        <f aca="false">(A260-$A$5)*86400</f>
        <v>7.674000319</v>
      </c>
      <c r="C260" s="27" t="n">
        <v>0.9553</v>
      </c>
      <c r="D260" s="27" t="n">
        <v>1.7664</v>
      </c>
      <c r="E260" s="27" t="s">
        <v>603</v>
      </c>
      <c r="F260" s="27" t="s">
        <v>144</v>
      </c>
      <c r="G260" s="32" t="n">
        <f aca="false">(A260-A259)*86400000</f>
        <v>16.999756</v>
      </c>
      <c r="H260" s="3"/>
      <c r="I260" s="3"/>
      <c r="J260" s="3"/>
      <c r="K260" s="3"/>
      <c r="L260" s="3"/>
      <c r="M260" s="3"/>
    </row>
    <row r="261" customFormat="false" ht="15" hidden="false" customHeight="false" outlineLevel="0" collapsed="false">
      <c r="A261" s="28" t="n">
        <v>46301.5237422222</v>
      </c>
      <c r="B261" s="31" t="n">
        <f aca="false">(A261-$A$5)*86400</f>
        <v>7.689999905</v>
      </c>
      <c r="C261" s="27" t="n">
        <v>0.9513</v>
      </c>
      <c r="D261" s="27" t="n">
        <v>1.7686</v>
      </c>
      <c r="E261" s="27" t="s">
        <v>603</v>
      </c>
      <c r="F261" s="27" t="s">
        <v>144</v>
      </c>
      <c r="G261" s="32" t="n">
        <f aca="false">(A261-A260)*86400000</f>
        <v>15.999586</v>
      </c>
      <c r="H261" s="3"/>
      <c r="I261" s="3"/>
      <c r="J261" s="3"/>
      <c r="K261" s="3"/>
      <c r="L261" s="3"/>
      <c r="M261" s="3"/>
    </row>
    <row r="262" customFormat="false" ht="15" hidden="false" customHeight="false" outlineLevel="0" collapsed="false">
      <c r="A262" s="28" t="n">
        <v>46301.523742419</v>
      </c>
      <c r="B262" s="31" t="n">
        <f aca="false">(A262-$A$5)*86400</f>
        <v>7.70700029</v>
      </c>
      <c r="C262" s="27" t="n">
        <v>0.948</v>
      </c>
      <c r="D262" s="27" t="n">
        <v>1.7704</v>
      </c>
      <c r="E262" s="27" t="s">
        <v>603</v>
      </c>
      <c r="F262" s="27" t="s">
        <v>144</v>
      </c>
      <c r="G262" s="32" t="n">
        <f aca="false">(A262-A261)*86400000</f>
        <v>17.000385</v>
      </c>
      <c r="H262" s="3"/>
      <c r="I262" s="3"/>
      <c r="J262" s="3"/>
      <c r="K262" s="3"/>
      <c r="L262" s="3"/>
      <c r="M262" s="3"/>
    </row>
    <row r="263" customFormat="false" ht="15" hidden="false" customHeight="false" outlineLevel="0" collapsed="false">
      <c r="A263" s="28" t="n">
        <v>46301.5237426042</v>
      </c>
      <c r="B263" s="31" t="n">
        <f aca="false">(A263-$A$5)*86400</f>
        <v>7.722999248</v>
      </c>
      <c r="C263" s="27" t="n">
        <v>0.9541</v>
      </c>
      <c r="D263" s="27" t="n">
        <v>1.7767</v>
      </c>
      <c r="E263" s="27" t="s">
        <v>603</v>
      </c>
      <c r="F263" s="27" t="s">
        <v>144</v>
      </c>
      <c r="G263" s="32" t="n">
        <f aca="false">(A263-A262)*86400000</f>
        <v>15.998957</v>
      </c>
      <c r="H263" s="3"/>
      <c r="I263" s="3"/>
      <c r="J263" s="3"/>
      <c r="K263" s="3"/>
      <c r="L263" s="3"/>
      <c r="M263" s="3"/>
    </row>
    <row r="264" customFormat="false" ht="15" hidden="false" customHeight="false" outlineLevel="0" collapsed="false">
      <c r="A264" s="28" t="n">
        <v>46301.5237427894</v>
      </c>
      <c r="B264" s="31" t="n">
        <f aca="false">(A264-$A$5)*86400</f>
        <v>7.739000092</v>
      </c>
      <c r="C264" s="27" t="n">
        <v>0.9588</v>
      </c>
      <c r="D264" s="27" t="n">
        <v>1.7816</v>
      </c>
      <c r="E264" s="27" t="s">
        <v>603</v>
      </c>
      <c r="F264" s="27" t="s">
        <v>144</v>
      </c>
      <c r="G264" s="32" t="n">
        <f aca="false">(A264-A263)*86400000</f>
        <v>16.000843</v>
      </c>
      <c r="H264" s="3"/>
      <c r="I264" s="3"/>
      <c r="J264" s="3"/>
      <c r="K264" s="3"/>
      <c r="L264" s="3"/>
      <c r="M264" s="3"/>
    </row>
    <row r="265" customFormat="false" ht="15" hidden="false" customHeight="false" outlineLevel="0" collapsed="false">
      <c r="A265" s="28" t="n">
        <v>46301.5237429861</v>
      </c>
      <c r="B265" s="31" t="n">
        <f aca="false">(A265-$A$5)*86400</f>
        <v>7.755999849</v>
      </c>
      <c r="C265" s="27" t="n">
        <v>0.9629</v>
      </c>
      <c r="D265" s="27" t="n">
        <v>1.7858</v>
      </c>
      <c r="E265" s="27" t="s">
        <v>603</v>
      </c>
      <c r="F265" s="27" t="s">
        <v>144</v>
      </c>
      <c r="G265" s="32" t="n">
        <f aca="false">(A265-A264)*86400000</f>
        <v>16.999756</v>
      </c>
      <c r="H265" s="3"/>
      <c r="I265" s="3"/>
      <c r="J265" s="3"/>
      <c r="K265" s="3"/>
      <c r="L265" s="3"/>
      <c r="M265" s="3"/>
    </row>
    <row r="266" customFormat="false" ht="15" hidden="false" customHeight="false" outlineLevel="0" collapsed="false">
      <c r="A266" s="28" t="n">
        <v>46301.5237431713</v>
      </c>
      <c r="B266" s="31" t="n">
        <f aca="false">(A266-$A$5)*86400</f>
        <v>7.772000692</v>
      </c>
      <c r="C266" s="27" t="n">
        <v>0.9661</v>
      </c>
      <c r="D266" s="27" t="n">
        <v>1.7891</v>
      </c>
      <c r="E266" s="27" t="s">
        <v>603</v>
      </c>
      <c r="F266" s="27" t="s">
        <v>144</v>
      </c>
      <c r="G266" s="32" t="n">
        <f aca="false">(A266-A265)*86400000</f>
        <v>16.000843</v>
      </c>
      <c r="H266" s="3"/>
      <c r="I266" s="3"/>
      <c r="J266" s="3"/>
      <c r="K266" s="3"/>
      <c r="L266" s="3"/>
      <c r="M266" s="3"/>
    </row>
    <row r="267" customFormat="false" ht="15" hidden="false" customHeight="false" outlineLevel="0" collapsed="false">
      <c r="A267" s="28" t="n">
        <v>46301.5237433681</v>
      </c>
      <c r="B267" s="31" t="n">
        <f aca="false">(A267-$A$5)*86400</f>
        <v>7.788999821</v>
      </c>
      <c r="C267" s="27" t="n">
        <v>0.9687</v>
      </c>
      <c r="D267" s="27" t="n">
        <v>1.7917</v>
      </c>
      <c r="E267" s="27" t="s">
        <v>603</v>
      </c>
      <c r="F267" s="27" t="s">
        <v>144</v>
      </c>
      <c r="G267" s="32" t="n">
        <f aca="false">(A267-A266)*86400000</f>
        <v>16.999128</v>
      </c>
      <c r="H267" s="3"/>
      <c r="I267" s="3"/>
      <c r="J267" s="3"/>
      <c r="K267" s="3"/>
      <c r="L267" s="3"/>
      <c r="M267" s="3"/>
    </row>
    <row r="268" customFormat="false" ht="15" hidden="false" customHeight="false" outlineLevel="0" collapsed="false">
      <c r="A268" s="28" t="n">
        <v>46301.5237435417</v>
      </c>
      <c r="B268" s="31" t="n">
        <f aca="false">(A268-$A$5)*86400</f>
        <v>7.803999236</v>
      </c>
      <c r="C268" s="27" t="n">
        <v>0.9709</v>
      </c>
      <c r="D268" s="27" t="n">
        <v>1.794</v>
      </c>
      <c r="E268" s="27" t="s">
        <v>603</v>
      </c>
      <c r="F268" s="27" t="s">
        <v>144</v>
      </c>
      <c r="G268" s="32" t="n">
        <f aca="false">(A268-A267)*86400000</f>
        <v>14.999415</v>
      </c>
      <c r="H268" s="3"/>
      <c r="I268" s="3"/>
      <c r="J268" s="3"/>
      <c r="K268" s="3"/>
      <c r="L268" s="3"/>
      <c r="M268" s="3"/>
    </row>
    <row r="269" customFormat="false" ht="15" hidden="false" customHeight="false" outlineLevel="0" collapsed="false">
      <c r="A269" s="28" t="n">
        <v>46301.5237437269</v>
      </c>
      <c r="B269" s="31" t="n">
        <f aca="false">(A269-$A$5)*86400</f>
        <v>7.82000008</v>
      </c>
      <c r="C269" s="27" t="n">
        <v>0.9727</v>
      </c>
      <c r="D269" s="27" t="n">
        <v>1.7958</v>
      </c>
      <c r="E269" s="27" t="s">
        <v>603</v>
      </c>
      <c r="F269" s="27" t="s">
        <v>144</v>
      </c>
      <c r="G269" s="32" t="n">
        <f aca="false">(A269-A268)*86400000</f>
        <v>16.000843</v>
      </c>
      <c r="H269" s="3"/>
      <c r="I269" s="3"/>
      <c r="J269" s="3"/>
      <c r="K269" s="3"/>
      <c r="L269" s="3"/>
      <c r="M269" s="3"/>
    </row>
    <row r="270" customFormat="false" ht="15" hidden="false" customHeight="false" outlineLevel="0" collapsed="false">
      <c r="A270" s="28" t="n">
        <v>46301.523743912</v>
      </c>
      <c r="B270" s="31" t="n">
        <f aca="false">(A270-$A$5)*86400</f>
        <v>7.836000295</v>
      </c>
      <c r="C270" s="27" t="n">
        <v>0.9741</v>
      </c>
      <c r="D270" s="27" t="n">
        <v>1.7973</v>
      </c>
      <c r="E270" s="27" t="s">
        <v>603</v>
      </c>
      <c r="F270" s="27" t="s">
        <v>144</v>
      </c>
      <c r="G270" s="32" t="n">
        <f aca="false">(A270-A269)*86400000</f>
        <v>16.000214</v>
      </c>
      <c r="H270" s="3"/>
      <c r="I270" s="3"/>
      <c r="J270" s="3"/>
      <c r="K270" s="3"/>
      <c r="L270" s="3"/>
      <c r="M270" s="3"/>
    </row>
    <row r="271" customFormat="false" ht="15" hidden="false" customHeight="false" outlineLevel="0" collapsed="false">
      <c r="A271" s="28" t="n">
        <v>46301.5237440972</v>
      </c>
      <c r="B271" s="31" t="n">
        <f aca="false">(A271-$A$5)*86400</f>
        <v>7.851999881</v>
      </c>
      <c r="C271" s="27" t="n">
        <v>0.9754</v>
      </c>
      <c r="D271" s="27" t="n">
        <v>1.7986</v>
      </c>
      <c r="E271" s="27" t="s">
        <v>603</v>
      </c>
      <c r="F271" s="27" t="s">
        <v>144</v>
      </c>
      <c r="G271" s="32" t="n">
        <f aca="false">(A271-A270)*86400000</f>
        <v>15.999586</v>
      </c>
      <c r="H271" s="3"/>
      <c r="I271" s="3"/>
      <c r="J271" s="3"/>
      <c r="K271" s="3"/>
      <c r="L271" s="3"/>
      <c r="M271" s="3"/>
    </row>
    <row r="272" customFormat="false" ht="15" hidden="false" customHeight="false" outlineLevel="0" collapsed="false">
      <c r="A272" s="28" t="n">
        <v>46301.5237442824</v>
      </c>
      <c r="B272" s="31" t="n">
        <f aca="false">(A272-$A$5)*86400</f>
        <v>7.868000096</v>
      </c>
      <c r="C272" s="27" t="n">
        <v>0.9764</v>
      </c>
      <c r="D272" s="27" t="n">
        <v>1.7996</v>
      </c>
      <c r="E272" s="27" t="s">
        <v>603</v>
      </c>
      <c r="F272" s="27" t="s">
        <v>144</v>
      </c>
      <c r="G272" s="32" t="n">
        <f aca="false">(A272-A271)*86400000</f>
        <v>16.000214</v>
      </c>
      <c r="H272" s="3"/>
      <c r="I272" s="3"/>
      <c r="J272" s="3"/>
      <c r="K272" s="3"/>
      <c r="L272" s="3"/>
      <c r="M272" s="3"/>
    </row>
    <row r="273" customFormat="false" ht="15" hidden="false" customHeight="false" outlineLevel="0" collapsed="false">
      <c r="A273" s="28" t="n">
        <v>46301.5237444676</v>
      </c>
      <c r="B273" s="31" t="n">
        <f aca="false">(A273-$A$5)*86400</f>
        <v>7.883999682</v>
      </c>
      <c r="C273" s="27" t="n">
        <v>0.9772</v>
      </c>
      <c r="D273" s="27" t="n">
        <v>1.8005</v>
      </c>
      <c r="E273" s="27" t="s">
        <v>603</v>
      </c>
      <c r="F273" s="27" t="s">
        <v>144</v>
      </c>
      <c r="G273" s="32" t="n">
        <f aca="false">(A273-A272)*86400000</f>
        <v>15.999586</v>
      </c>
      <c r="H273" s="3"/>
      <c r="I273" s="3"/>
      <c r="J273" s="3"/>
      <c r="K273" s="3"/>
      <c r="L273" s="3"/>
      <c r="M273" s="3"/>
    </row>
    <row r="274" customFormat="false" ht="15" hidden="false" customHeight="false" outlineLevel="0" collapsed="false">
      <c r="A274" s="28" t="n">
        <v>46301.5237446528</v>
      </c>
      <c r="B274" s="31" t="n">
        <f aca="false">(A274-$A$5)*86400</f>
        <v>7.900000526</v>
      </c>
      <c r="C274" s="27" t="n">
        <v>0.9779</v>
      </c>
      <c r="D274" s="27" t="n">
        <v>1.8012</v>
      </c>
      <c r="E274" s="27" t="s">
        <v>603</v>
      </c>
      <c r="F274" s="27" t="s">
        <v>144</v>
      </c>
      <c r="G274" s="32" t="n">
        <f aca="false">(A274-A273)*86400000</f>
        <v>16.000843</v>
      </c>
      <c r="H274" s="3"/>
      <c r="I274" s="3"/>
      <c r="J274" s="3"/>
      <c r="K274" s="3"/>
      <c r="L274" s="3"/>
      <c r="M274" s="3"/>
    </row>
    <row r="275" customFormat="false" ht="15" hidden="false" customHeight="false" outlineLevel="0" collapsed="false">
      <c r="A275" s="28" t="n">
        <v>46301.5237450232</v>
      </c>
      <c r="B275" s="31" t="n">
        <f aca="false">(A275-$A$5)*86400</f>
        <v>7.932000327</v>
      </c>
      <c r="C275" s="27" t="n">
        <v>0.9789</v>
      </c>
      <c r="D275" s="27" t="n">
        <v>1.8022</v>
      </c>
      <c r="E275" s="27" t="s">
        <v>603</v>
      </c>
      <c r="F275" s="27" t="s">
        <v>144</v>
      </c>
      <c r="G275" s="32" t="n">
        <f aca="false">(A275-A274)*86400000</f>
        <v>31.999801</v>
      </c>
      <c r="H275" s="3"/>
      <c r="I275" s="3"/>
      <c r="J275" s="3"/>
      <c r="K275" s="3"/>
      <c r="L275" s="3"/>
      <c r="M275" s="3"/>
    </row>
    <row r="276" customFormat="false" ht="15" hidden="false" customHeight="false" outlineLevel="0" collapsed="false">
      <c r="A276" s="28" t="n">
        <v>46301.5237455787</v>
      </c>
      <c r="B276" s="31" t="n">
        <f aca="false">(A276-$A$5)*86400</f>
        <v>7.980000344</v>
      </c>
      <c r="C276" s="27" t="n">
        <v>0.9799</v>
      </c>
      <c r="D276" s="27" t="n">
        <v>1.8032</v>
      </c>
      <c r="E276" s="27" t="s">
        <v>603</v>
      </c>
      <c r="F276" s="27" t="s">
        <v>144</v>
      </c>
      <c r="G276" s="32" t="n">
        <f aca="false">(A276-A275)*86400000</f>
        <v>48.000016</v>
      </c>
      <c r="H276" s="3"/>
      <c r="I276" s="3"/>
      <c r="J276" s="3"/>
      <c r="K276" s="3"/>
      <c r="L276" s="3"/>
      <c r="M276" s="3"/>
    </row>
    <row r="277" customFormat="false" ht="15" hidden="false" customHeight="false" outlineLevel="0" collapsed="false">
      <c r="A277" s="28" t="n">
        <v>46301.5237457639</v>
      </c>
      <c r="B277" s="31" t="n">
        <f aca="false">(A277-$A$5)*86400</f>
        <v>7.99599993</v>
      </c>
      <c r="C277" s="27" t="n">
        <v>0.9811</v>
      </c>
      <c r="D277" s="27" t="n">
        <v>1.8045</v>
      </c>
      <c r="E277" s="27" t="s">
        <v>603</v>
      </c>
      <c r="F277" s="27" t="s">
        <v>144</v>
      </c>
      <c r="G277" s="32" t="n">
        <f aca="false">(A277-A276)*86400000</f>
        <v>15.999586</v>
      </c>
      <c r="H277" s="3"/>
      <c r="I277" s="3"/>
      <c r="J277" s="3"/>
      <c r="K277" s="3"/>
      <c r="L277" s="3"/>
      <c r="M277" s="3"/>
    </row>
    <row r="278" customFormat="false" ht="15" hidden="false" customHeight="false" outlineLevel="0" collapsed="false">
      <c r="A278" s="28" t="n">
        <v>46301.523835081</v>
      </c>
      <c r="B278" s="31" t="n">
        <f aca="false">(A278-$A$5)*86400</f>
        <v>15.713000041</v>
      </c>
      <c r="C278" s="27" t="n">
        <v>0.9074</v>
      </c>
      <c r="D278" s="27" t="n">
        <v>1.7457</v>
      </c>
      <c r="E278" s="27" t="s">
        <v>603</v>
      </c>
      <c r="F278" s="27" t="s">
        <v>144</v>
      </c>
      <c r="G278" s="32" t="n">
        <f aca="false">(A278-A277)*86400000</f>
        <v>7717.000111</v>
      </c>
      <c r="H278" s="3"/>
      <c r="I278" s="3"/>
      <c r="J278" s="3"/>
      <c r="K278" s="3"/>
      <c r="L278" s="3"/>
      <c r="M278" s="3"/>
    </row>
    <row r="279" customFormat="false" ht="15" hidden="false" customHeight="false" outlineLevel="0" collapsed="false">
      <c r="A279" s="28" t="n">
        <v>46301.5238352662</v>
      </c>
      <c r="B279" s="31" t="n">
        <f aca="false">(A279-$A$5)*86400</f>
        <v>15.729000885</v>
      </c>
      <c r="C279" s="27" t="n">
        <v>0.8465</v>
      </c>
      <c r="D279" s="27" t="n">
        <v>1.6973</v>
      </c>
      <c r="E279" s="27" t="s">
        <v>603</v>
      </c>
      <c r="F279" s="27" t="s">
        <v>144</v>
      </c>
      <c r="G279" s="32" t="n">
        <f aca="false">(A279-A278)*86400000</f>
        <v>16.000843</v>
      </c>
      <c r="H279" s="3"/>
      <c r="I279" s="3"/>
      <c r="J279" s="3"/>
      <c r="K279" s="3"/>
      <c r="L279" s="3"/>
      <c r="M279" s="3"/>
    </row>
    <row r="280" customFormat="false" ht="15" hidden="false" customHeight="false" outlineLevel="0" collapsed="false">
      <c r="A280" s="28" t="n">
        <v>46301.5238354514</v>
      </c>
      <c r="B280" s="31" t="n">
        <f aca="false">(A280-$A$5)*86400</f>
        <v>15.745000471</v>
      </c>
      <c r="C280" s="27" t="n">
        <v>0.7963</v>
      </c>
      <c r="D280" s="27" t="n">
        <v>1.6572</v>
      </c>
      <c r="E280" s="27" t="s">
        <v>603</v>
      </c>
      <c r="F280" s="27" t="s">
        <v>144</v>
      </c>
      <c r="G280" s="32" t="n">
        <f aca="false">(A280-A279)*86400000</f>
        <v>15.999586</v>
      </c>
      <c r="H280" s="3"/>
      <c r="I280" s="3"/>
      <c r="J280" s="3"/>
      <c r="K280" s="3"/>
      <c r="L280" s="3"/>
      <c r="M280" s="3"/>
    </row>
    <row r="281" customFormat="false" ht="15" hidden="false" customHeight="false" outlineLevel="0" collapsed="false">
      <c r="A281" s="28" t="n">
        <v>46301.5238356366</v>
      </c>
      <c r="B281" s="31" t="n">
        <f aca="false">(A281-$A$5)*86400</f>
        <v>15.761000057</v>
      </c>
      <c r="C281" s="27" t="n">
        <v>0.7548</v>
      </c>
      <c r="D281" s="27" t="n">
        <v>1.6242</v>
      </c>
      <c r="E281" s="27" t="s">
        <v>603</v>
      </c>
      <c r="F281" s="27" t="s">
        <v>144</v>
      </c>
      <c r="G281" s="32" t="n">
        <f aca="false">(A281-A280)*86400000</f>
        <v>15.999586</v>
      </c>
      <c r="H281" s="3"/>
      <c r="I281" s="3"/>
      <c r="J281" s="3"/>
      <c r="K281" s="3"/>
      <c r="L281" s="3"/>
      <c r="M281" s="3"/>
    </row>
    <row r="282" customFormat="false" ht="15" hidden="false" customHeight="false" outlineLevel="0" collapsed="false">
      <c r="A282" s="28" t="n">
        <v>46301.5238358218</v>
      </c>
      <c r="B282" s="31" t="n">
        <f aca="false">(A282-$A$5)*86400</f>
        <v>15.777000272</v>
      </c>
      <c r="C282" s="27" t="n">
        <v>0.7206</v>
      </c>
      <c r="D282" s="27" t="n">
        <v>1.597</v>
      </c>
      <c r="E282" s="27" t="s">
        <v>603</v>
      </c>
      <c r="F282" s="27" t="s">
        <v>144</v>
      </c>
      <c r="G282" s="32" t="n">
        <f aca="false">(A282-A281)*86400000</f>
        <v>16.000214</v>
      </c>
      <c r="H282" s="3"/>
      <c r="I282" s="3"/>
      <c r="J282" s="3"/>
      <c r="K282" s="3"/>
      <c r="L282" s="3"/>
      <c r="M282" s="3"/>
    </row>
    <row r="283" customFormat="false" ht="15" hidden="false" customHeight="false" outlineLevel="0" collapsed="false">
      <c r="A283" s="28" t="n">
        <v>46301.5238360069</v>
      </c>
      <c r="B283" s="31" t="n">
        <f aca="false">(A283-$A$5)*86400</f>
        <v>15.792999858</v>
      </c>
      <c r="C283" s="27" t="n">
        <v>0.6924</v>
      </c>
      <c r="D283" s="27" t="n">
        <v>1.5745</v>
      </c>
      <c r="E283" s="27" t="s">
        <v>603</v>
      </c>
      <c r="F283" s="27" t="s">
        <v>144</v>
      </c>
      <c r="G283" s="32" t="n">
        <f aca="false">(A283-A282)*86400000</f>
        <v>15.999586</v>
      </c>
      <c r="H283" s="3"/>
      <c r="I283" s="3"/>
      <c r="J283" s="3"/>
      <c r="K283" s="3"/>
      <c r="L283" s="3"/>
      <c r="M283" s="3"/>
    </row>
    <row r="284" customFormat="false" ht="15" hidden="false" customHeight="false" outlineLevel="0" collapsed="false">
      <c r="A284" s="28" t="n">
        <v>46301.5238362037</v>
      </c>
      <c r="B284" s="31" t="n">
        <f aca="false">(A284-$A$5)*86400</f>
        <v>15.810000873</v>
      </c>
      <c r="C284" s="27" t="n">
        <v>0.6678</v>
      </c>
      <c r="D284" s="27" t="n">
        <v>1.5549</v>
      </c>
      <c r="E284" s="27" t="s">
        <v>603</v>
      </c>
      <c r="F284" s="27" t="s">
        <v>144</v>
      </c>
      <c r="G284" s="32" t="n">
        <f aca="false">(A284-A283)*86400000</f>
        <v>17.001014</v>
      </c>
      <c r="H284" s="3"/>
      <c r="I284" s="3"/>
      <c r="J284" s="3"/>
      <c r="K284" s="3"/>
      <c r="L284" s="3"/>
      <c r="M284" s="3"/>
    </row>
    <row r="285" customFormat="false" ht="15" hidden="false" customHeight="false" outlineLevel="0" collapsed="false">
      <c r="A285" s="28" t="n">
        <v>46301.5238363889</v>
      </c>
      <c r="B285" s="31" t="n">
        <f aca="false">(A285-$A$5)*86400</f>
        <v>15.826000459</v>
      </c>
      <c r="C285" s="27" t="n">
        <v>0.6477</v>
      </c>
      <c r="D285" s="27" t="n">
        <v>1.5389</v>
      </c>
      <c r="E285" s="27" t="s">
        <v>603</v>
      </c>
      <c r="F285" s="27" t="s">
        <v>144</v>
      </c>
      <c r="G285" s="32" t="n">
        <f aca="false">(A285-A284)*86400000</f>
        <v>15.999586</v>
      </c>
      <c r="H285" s="3"/>
      <c r="I285" s="3"/>
      <c r="J285" s="3"/>
      <c r="K285" s="3"/>
      <c r="L285" s="3"/>
      <c r="M285" s="3"/>
    </row>
    <row r="286" customFormat="false" ht="15" hidden="false" customHeight="false" outlineLevel="0" collapsed="false">
      <c r="A286" s="28" t="n">
        <v>46301.5238365857</v>
      </c>
      <c r="B286" s="31" t="n">
        <f aca="false">(A286-$A$5)*86400</f>
        <v>15.843000216</v>
      </c>
      <c r="C286" s="27" t="n">
        <v>0.6322</v>
      </c>
      <c r="D286" s="27" t="n">
        <v>1.5265</v>
      </c>
      <c r="E286" s="27" t="s">
        <v>603</v>
      </c>
      <c r="F286" s="27" t="s">
        <v>144</v>
      </c>
      <c r="G286" s="32" t="n">
        <f aca="false">(A286-A285)*86400000</f>
        <v>16.999756</v>
      </c>
      <c r="H286" s="3"/>
      <c r="I286" s="3"/>
      <c r="J286" s="3"/>
      <c r="K286" s="3"/>
      <c r="L286" s="3"/>
      <c r="M286" s="3"/>
    </row>
    <row r="287" customFormat="false" ht="15" hidden="false" customHeight="false" outlineLevel="0" collapsed="false">
      <c r="A287" s="28" t="n">
        <v>46301.5238367708</v>
      </c>
      <c r="B287" s="31" t="n">
        <f aca="false">(A287-$A$5)*86400</f>
        <v>15.858999802</v>
      </c>
      <c r="C287" s="27" t="n">
        <v>0.6194</v>
      </c>
      <c r="D287" s="27" t="n">
        <v>1.5163</v>
      </c>
      <c r="E287" s="27" t="s">
        <v>603</v>
      </c>
      <c r="F287" s="27" t="s">
        <v>144</v>
      </c>
      <c r="G287" s="32" t="n">
        <f aca="false">(A287-A286)*86400000</f>
        <v>15.999586</v>
      </c>
      <c r="H287" s="3"/>
      <c r="I287" s="3"/>
      <c r="J287" s="3"/>
      <c r="K287" s="3"/>
      <c r="L287" s="3"/>
      <c r="M287" s="3"/>
    </row>
    <row r="288" customFormat="false" ht="15" hidden="false" customHeight="false" outlineLevel="0" collapsed="false">
      <c r="A288" s="28" t="n">
        <v>46301.523836956</v>
      </c>
      <c r="B288" s="31" t="n">
        <f aca="false">(A288-$A$5)*86400</f>
        <v>15.875000017</v>
      </c>
      <c r="C288" s="27" t="n">
        <v>0.6089</v>
      </c>
      <c r="D288" s="27" t="n">
        <v>1.5079</v>
      </c>
      <c r="E288" s="27" t="s">
        <v>603</v>
      </c>
      <c r="F288" s="27" t="s">
        <v>144</v>
      </c>
      <c r="G288" s="32" t="n">
        <f aca="false">(A288-A287)*86400000</f>
        <v>16.000214</v>
      </c>
      <c r="H288" s="3"/>
      <c r="I288" s="3"/>
      <c r="J288" s="3"/>
      <c r="K288" s="3"/>
      <c r="L288" s="3"/>
      <c r="M288" s="3"/>
    </row>
    <row r="289" customFormat="false" ht="15" hidden="false" customHeight="false" outlineLevel="0" collapsed="false">
      <c r="A289" s="28" t="n">
        <v>46301.5238371412</v>
      </c>
      <c r="B289" s="31" t="n">
        <f aca="false">(A289-$A$5)*86400</f>
        <v>15.891000861</v>
      </c>
      <c r="C289" s="27" t="n">
        <v>0.6002</v>
      </c>
      <c r="D289" s="27" t="n">
        <v>1.501</v>
      </c>
      <c r="E289" s="27" t="s">
        <v>603</v>
      </c>
      <c r="F289" s="27" t="s">
        <v>144</v>
      </c>
      <c r="G289" s="32" t="n">
        <f aca="false">(A289-A288)*86400000</f>
        <v>16.000843</v>
      </c>
      <c r="H289" s="3"/>
      <c r="I289" s="3"/>
      <c r="J289" s="3"/>
      <c r="K289" s="3"/>
      <c r="L289" s="3"/>
      <c r="M289" s="3"/>
    </row>
    <row r="290" customFormat="false" ht="15" hidden="false" customHeight="false" outlineLevel="0" collapsed="false">
      <c r="A290" s="28" t="n">
        <v>46301.5238373264</v>
      </c>
      <c r="B290" s="31" t="n">
        <f aca="false">(A290-$A$5)*86400</f>
        <v>15.907000447</v>
      </c>
      <c r="C290" s="27" t="n">
        <v>0.5698</v>
      </c>
      <c r="D290" s="27" t="n">
        <v>1.5063</v>
      </c>
      <c r="E290" s="27" t="s">
        <v>603</v>
      </c>
      <c r="F290" s="27" t="s">
        <v>144</v>
      </c>
      <c r="G290" s="32" t="n">
        <f aca="false">(A290-A289)*86400000</f>
        <v>15.999586</v>
      </c>
      <c r="H290" s="3"/>
      <c r="I290" s="3"/>
      <c r="J290" s="3"/>
      <c r="K290" s="3"/>
      <c r="L290" s="3"/>
      <c r="M290" s="3"/>
    </row>
    <row r="291" customFormat="false" ht="15" hidden="false" customHeight="false" outlineLevel="0" collapsed="false">
      <c r="A291" s="28" t="n">
        <v>46301.5238375116</v>
      </c>
      <c r="B291" s="31" t="n">
        <f aca="false">(A291-$A$5)*86400</f>
        <v>15.923000033</v>
      </c>
      <c r="C291" s="27" t="n">
        <v>0.5448</v>
      </c>
      <c r="D291" s="27" t="n">
        <v>1.5107</v>
      </c>
      <c r="E291" s="27" t="s">
        <v>603</v>
      </c>
      <c r="F291" s="27" t="s">
        <v>144</v>
      </c>
      <c r="G291" s="32" t="n">
        <f aca="false">(A291-A290)*86400000</f>
        <v>15.999586</v>
      </c>
      <c r="H291" s="3"/>
      <c r="I291" s="3"/>
      <c r="J291" s="3"/>
      <c r="K291" s="3"/>
      <c r="L291" s="3"/>
      <c r="M291" s="3"/>
    </row>
    <row r="292" customFormat="false" ht="15" hidden="false" customHeight="false" outlineLevel="0" collapsed="false">
      <c r="A292" s="28" t="n">
        <v>46301.5238376968</v>
      </c>
      <c r="B292" s="31" t="n">
        <f aca="false">(A292-$A$5)*86400</f>
        <v>15.939000248</v>
      </c>
      <c r="C292" s="27" t="n">
        <v>0.5242</v>
      </c>
      <c r="D292" s="27" t="n">
        <v>1.5143</v>
      </c>
      <c r="E292" s="27" t="s">
        <v>603</v>
      </c>
      <c r="F292" s="27" t="s">
        <v>144</v>
      </c>
      <c r="G292" s="32" t="n">
        <f aca="false">(A292-A291)*86400000</f>
        <v>16.000214</v>
      </c>
      <c r="H292" s="3"/>
      <c r="I292" s="3"/>
      <c r="J292" s="3"/>
      <c r="K292" s="3"/>
      <c r="L292" s="3"/>
      <c r="M292" s="3"/>
    </row>
    <row r="293" customFormat="false" ht="15" hidden="false" customHeight="false" outlineLevel="0" collapsed="false">
      <c r="A293" s="28" t="n">
        <v>46301.5238378704</v>
      </c>
      <c r="B293" s="31" t="n">
        <f aca="false">(A293-$A$5)*86400</f>
        <v>15.954000293</v>
      </c>
      <c r="C293" s="27" t="n">
        <v>0.5072</v>
      </c>
      <c r="D293" s="27" t="n">
        <v>1.5173</v>
      </c>
      <c r="E293" s="27" t="s">
        <v>603</v>
      </c>
      <c r="F293" s="27" t="s">
        <v>144</v>
      </c>
      <c r="G293" s="32" t="n">
        <f aca="false">(A293-A292)*86400000</f>
        <v>15.000044</v>
      </c>
      <c r="H293" s="3"/>
      <c r="I293" s="3"/>
      <c r="J293" s="3"/>
      <c r="K293" s="3"/>
      <c r="L293" s="3"/>
      <c r="M293" s="3"/>
    </row>
    <row r="294" customFormat="false" ht="15" hidden="false" customHeight="false" outlineLevel="0" collapsed="false">
      <c r="A294" s="28" t="n">
        <v>46301.5238380671</v>
      </c>
      <c r="B294" s="31" t="n">
        <f aca="false">(A294-$A$5)*86400</f>
        <v>15.97100005</v>
      </c>
      <c r="C294" s="27" t="n">
        <v>0.4939</v>
      </c>
      <c r="D294" s="27" t="n">
        <v>1.5196</v>
      </c>
      <c r="E294" s="27" t="s">
        <v>603</v>
      </c>
      <c r="F294" s="27" t="s">
        <v>144</v>
      </c>
      <c r="G294" s="32" t="n">
        <f aca="false">(A294-A293)*86400000</f>
        <v>16.999756</v>
      </c>
      <c r="H294" s="3"/>
      <c r="I294" s="3"/>
      <c r="J294" s="3"/>
      <c r="K294" s="3"/>
      <c r="L294" s="3"/>
      <c r="M294" s="3"/>
    </row>
    <row r="295" customFormat="false" ht="15" hidden="false" customHeight="false" outlineLevel="0" collapsed="false">
      <c r="A295" s="28" t="n">
        <v>46301.5238382523</v>
      </c>
      <c r="B295" s="31" t="n">
        <f aca="false">(A295-$A$5)*86400</f>
        <v>15.987000265</v>
      </c>
      <c r="C295" s="27" t="n">
        <v>0.4822</v>
      </c>
      <c r="D295" s="27" t="n">
        <v>1.5216</v>
      </c>
      <c r="E295" s="27" t="s">
        <v>603</v>
      </c>
      <c r="F295" s="27" t="s">
        <v>144</v>
      </c>
      <c r="G295" s="32" t="n">
        <f aca="false">(A295-A294)*86400000</f>
        <v>16.000214</v>
      </c>
      <c r="H295" s="3"/>
      <c r="I295" s="3"/>
      <c r="J295" s="3"/>
      <c r="K295" s="3"/>
      <c r="L295" s="3"/>
      <c r="M295" s="3"/>
    </row>
    <row r="296" customFormat="false" ht="15" hidden="false" customHeight="false" outlineLevel="0" collapsed="false">
      <c r="A296" s="28" t="n">
        <v>46301.5238384375</v>
      </c>
      <c r="B296" s="31" t="n">
        <f aca="false">(A296-$A$5)*86400</f>
        <v>16.002999851</v>
      </c>
      <c r="C296" s="27" t="n">
        <v>0.4683</v>
      </c>
      <c r="D296" s="27" t="n">
        <v>1.523</v>
      </c>
      <c r="E296" s="27" t="s">
        <v>603</v>
      </c>
      <c r="F296" s="27" t="s">
        <v>144</v>
      </c>
      <c r="G296" s="32" t="n">
        <f aca="false">(A296-A295)*86400000</f>
        <v>15.999586</v>
      </c>
      <c r="H296" s="3"/>
      <c r="I296" s="3"/>
      <c r="J296" s="3"/>
      <c r="K296" s="3"/>
      <c r="L296" s="3"/>
      <c r="M296" s="3"/>
    </row>
    <row r="297" customFormat="false" ht="15" hidden="false" customHeight="false" outlineLevel="0" collapsed="false">
      <c r="A297" s="28" t="n">
        <v>46301.5238386227</v>
      </c>
      <c r="B297" s="31" t="n">
        <f aca="false">(A297-$A$5)*86400</f>
        <v>16.018999437</v>
      </c>
      <c r="C297" s="27" t="n">
        <v>0.4568</v>
      </c>
      <c r="D297" s="27" t="n">
        <v>1.5241</v>
      </c>
      <c r="E297" s="27" t="s">
        <v>603</v>
      </c>
      <c r="F297" s="27" t="s">
        <v>144</v>
      </c>
      <c r="G297" s="32" t="n">
        <f aca="false">(A297-A296)*86400000</f>
        <v>15.999586</v>
      </c>
      <c r="H297" s="3"/>
      <c r="I297" s="3"/>
      <c r="J297" s="3"/>
      <c r="K297" s="3"/>
      <c r="L297" s="3"/>
      <c r="M297" s="3"/>
    </row>
    <row r="298" customFormat="false" ht="15" hidden="false" customHeight="false" outlineLevel="0" collapsed="false">
      <c r="A298" s="28" t="n">
        <v>46301.5238388079</v>
      </c>
      <c r="B298" s="31" t="n">
        <f aca="false">(A298-$A$5)*86400</f>
        <v>16.035000281</v>
      </c>
      <c r="C298" s="27" t="n">
        <v>0.4474</v>
      </c>
      <c r="D298" s="27" t="n">
        <v>1.525</v>
      </c>
      <c r="E298" s="27" t="s">
        <v>603</v>
      </c>
      <c r="F298" s="27" t="s">
        <v>144</v>
      </c>
      <c r="G298" s="32" t="n">
        <f aca="false">(A298-A297)*86400000</f>
        <v>16.000843</v>
      </c>
      <c r="H298" s="3"/>
      <c r="I298" s="3"/>
      <c r="J298" s="3"/>
      <c r="K298" s="3"/>
      <c r="L298" s="3"/>
      <c r="M298" s="3"/>
    </row>
    <row r="299" customFormat="false" ht="15" hidden="false" customHeight="false" outlineLevel="0" collapsed="false">
      <c r="A299" s="28" t="n">
        <v>46301.5238389931</v>
      </c>
      <c r="B299" s="31" t="n">
        <f aca="false">(A299-$A$5)*86400</f>
        <v>16.050999867</v>
      </c>
      <c r="C299" s="27" t="n">
        <v>0.4396</v>
      </c>
      <c r="D299" s="27" t="n">
        <v>1.5258</v>
      </c>
      <c r="E299" s="27" t="s">
        <v>603</v>
      </c>
      <c r="F299" s="27" t="s">
        <v>144</v>
      </c>
      <c r="G299" s="32" t="n">
        <f aca="false">(A299-A298)*86400000</f>
        <v>15.999586</v>
      </c>
      <c r="H299" s="3"/>
      <c r="I299" s="3"/>
      <c r="J299" s="3"/>
      <c r="K299" s="3"/>
      <c r="L299" s="3"/>
      <c r="M299" s="3"/>
    </row>
    <row r="300" customFormat="false" ht="15" hidden="false" customHeight="false" outlineLevel="0" collapsed="false">
      <c r="A300" s="28" t="n">
        <v>46301.5238391782</v>
      </c>
      <c r="B300" s="31" t="n">
        <f aca="false">(A300-$A$5)*86400</f>
        <v>16.067000082</v>
      </c>
      <c r="C300" s="27" t="n">
        <v>0.4332</v>
      </c>
      <c r="D300" s="27" t="n">
        <v>1.5264</v>
      </c>
      <c r="E300" s="27" t="s">
        <v>603</v>
      </c>
      <c r="F300" s="27" t="s">
        <v>144</v>
      </c>
      <c r="G300" s="32" t="n">
        <f aca="false">(A300-A299)*86400000</f>
        <v>16.000214</v>
      </c>
      <c r="H300" s="3"/>
      <c r="I300" s="3"/>
      <c r="J300" s="3"/>
      <c r="K300" s="3"/>
      <c r="L300" s="3"/>
      <c r="M300" s="3"/>
    </row>
    <row r="301" customFormat="false" ht="15" hidden="false" customHeight="false" outlineLevel="0" collapsed="false">
      <c r="A301" s="28" t="n">
        <v>46301.5238393634</v>
      </c>
      <c r="B301" s="31" t="n">
        <f aca="false">(A301-$A$5)*86400</f>
        <v>16.083000297</v>
      </c>
      <c r="C301" s="27" t="n">
        <v>0.4278</v>
      </c>
      <c r="D301" s="27" t="n">
        <v>1.5269</v>
      </c>
      <c r="E301" s="27" t="s">
        <v>603</v>
      </c>
      <c r="F301" s="27" t="s">
        <v>144</v>
      </c>
      <c r="G301" s="32" t="n">
        <f aca="false">(A301-A300)*86400000</f>
        <v>16.000214</v>
      </c>
      <c r="H301" s="3"/>
      <c r="I301" s="3"/>
      <c r="J301" s="3"/>
      <c r="K301" s="3"/>
      <c r="L301" s="3"/>
      <c r="M301" s="3"/>
    </row>
    <row r="302" customFormat="false" ht="15" hidden="false" customHeight="false" outlineLevel="0" collapsed="false">
      <c r="A302" s="28" t="n">
        <v>46301.5238395486</v>
      </c>
      <c r="B302" s="31" t="n">
        <f aca="false">(A302-$A$5)*86400</f>
        <v>16.098999883</v>
      </c>
      <c r="C302" s="27" t="n">
        <v>0.4209</v>
      </c>
      <c r="D302" s="27" t="n">
        <v>1.529</v>
      </c>
      <c r="E302" s="27" t="s">
        <v>603</v>
      </c>
      <c r="F302" s="27" t="s">
        <v>144</v>
      </c>
      <c r="G302" s="32" t="n">
        <f aca="false">(A302-A301)*86400000</f>
        <v>15.999586</v>
      </c>
      <c r="H302" s="3"/>
      <c r="I302" s="3"/>
      <c r="J302" s="3"/>
      <c r="K302" s="3"/>
      <c r="L302" s="3"/>
      <c r="M302" s="3"/>
    </row>
    <row r="303" customFormat="false" ht="15" hidden="false" customHeight="false" outlineLevel="0" collapsed="false">
      <c r="A303" s="28" t="n">
        <v>46301.5238397338</v>
      </c>
      <c r="B303" s="31" t="n">
        <f aca="false">(A303-$A$5)*86400</f>
        <v>16.115000727</v>
      </c>
      <c r="C303" s="27" t="n">
        <v>0.4152</v>
      </c>
      <c r="D303" s="27" t="n">
        <v>1.5307</v>
      </c>
      <c r="E303" s="27" t="s">
        <v>603</v>
      </c>
      <c r="F303" s="27" t="s">
        <v>144</v>
      </c>
      <c r="G303" s="32" t="n">
        <f aca="false">(A303-A302)*86400000</f>
        <v>16.000843</v>
      </c>
      <c r="H303" s="3"/>
      <c r="I303" s="3"/>
      <c r="J303" s="3"/>
      <c r="K303" s="3"/>
      <c r="L303" s="3"/>
      <c r="M303" s="3"/>
    </row>
    <row r="304" customFormat="false" ht="15" hidden="false" customHeight="false" outlineLevel="0" collapsed="false">
      <c r="A304" s="28" t="n">
        <v>46301.523839919</v>
      </c>
      <c r="B304" s="31" t="n">
        <f aca="false">(A304-$A$5)*86400</f>
        <v>16.130999685</v>
      </c>
      <c r="C304" s="27" t="n">
        <v>0.4102</v>
      </c>
      <c r="D304" s="27" t="n">
        <v>1.5323</v>
      </c>
      <c r="E304" s="27" t="s">
        <v>603</v>
      </c>
      <c r="F304" s="27" t="s">
        <v>144</v>
      </c>
      <c r="G304" s="32" t="n">
        <f aca="false">(A304-A303)*86400000</f>
        <v>15.998957</v>
      </c>
      <c r="H304" s="3"/>
      <c r="I304" s="3"/>
      <c r="J304" s="3"/>
      <c r="K304" s="3"/>
      <c r="L304" s="3"/>
      <c r="M304" s="3"/>
    </row>
    <row r="305" customFormat="false" ht="15" hidden="false" customHeight="false" outlineLevel="0" collapsed="false">
      <c r="A305" s="28" t="n">
        <v>46301.5238401157</v>
      </c>
      <c r="B305" s="31" t="n">
        <f aca="false">(A305-$A$5)*86400</f>
        <v>16.14800007</v>
      </c>
      <c r="C305" s="27" t="n">
        <v>0.4061</v>
      </c>
      <c r="D305" s="27" t="n">
        <v>1.5335</v>
      </c>
      <c r="E305" s="27" t="s">
        <v>603</v>
      </c>
      <c r="F305" s="27" t="s">
        <v>144</v>
      </c>
      <c r="G305" s="32" t="n">
        <f aca="false">(A305-A304)*86400000</f>
        <v>17.000385</v>
      </c>
      <c r="H305" s="3"/>
      <c r="I305" s="3"/>
      <c r="J305" s="3"/>
      <c r="K305" s="3"/>
      <c r="L305" s="3"/>
      <c r="M305" s="3"/>
    </row>
    <row r="306" customFormat="false" ht="15" hidden="false" customHeight="false" outlineLevel="0" collapsed="false">
      <c r="A306" s="28" t="n">
        <v>46301.5238403125</v>
      </c>
      <c r="B306" s="31" t="n">
        <f aca="false">(A306-$A$5)*86400</f>
        <v>16.164999827</v>
      </c>
      <c r="C306" s="27" t="n">
        <v>0.403</v>
      </c>
      <c r="D306" s="27" t="n">
        <v>1.5344</v>
      </c>
      <c r="E306" s="27" t="s">
        <v>603</v>
      </c>
      <c r="F306" s="27" t="s">
        <v>144</v>
      </c>
      <c r="G306" s="32" t="n">
        <f aca="false">(A306-A305)*86400000</f>
        <v>16.999756</v>
      </c>
      <c r="H306" s="3"/>
      <c r="I306" s="3"/>
      <c r="J306" s="3"/>
      <c r="K306" s="3"/>
      <c r="L306" s="3"/>
      <c r="M306" s="3"/>
    </row>
    <row r="307" customFormat="false" ht="15" hidden="false" customHeight="false" outlineLevel="0" collapsed="false">
      <c r="A307" s="28" t="n">
        <v>46301.5238404977</v>
      </c>
      <c r="B307" s="31" t="n">
        <f aca="false">(A307-$A$5)*86400</f>
        <v>16.180999414</v>
      </c>
      <c r="C307" s="27" t="n">
        <v>0.4004</v>
      </c>
      <c r="D307" s="27" t="n">
        <v>1.5352</v>
      </c>
      <c r="E307" s="27" t="s">
        <v>603</v>
      </c>
      <c r="F307" s="27" t="s">
        <v>144</v>
      </c>
      <c r="G307" s="32" t="n">
        <f aca="false">(A307-A306)*86400000</f>
        <v>15.999586</v>
      </c>
      <c r="H307" s="3"/>
      <c r="I307" s="3"/>
      <c r="J307" s="3"/>
      <c r="K307" s="3"/>
      <c r="L307" s="3"/>
      <c r="M307" s="3"/>
    </row>
    <row r="308" customFormat="false" ht="15" hidden="false" customHeight="false" outlineLevel="0" collapsed="false">
      <c r="A308" s="28" t="n">
        <v>46301.5238406829</v>
      </c>
      <c r="B308" s="31" t="n">
        <f aca="false">(A308-$A$5)*86400</f>
        <v>16.197000257</v>
      </c>
      <c r="C308" s="27" t="n">
        <v>0.3982</v>
      </c>
      <c r="D308" s="27" t="n">
        <v>1.5359</v>
      </c>
      <c r="E308" s="27" t="s">
        <v>603</v>
      </c>
      <c r="F308" s="27" t="s">
        <v>144</v>
      </c>
      <c r="G308" s="32" t="n">
        <f aca="false">(A308-A307)*86400000</f>
        <v>16.000843</v>
      </c>
      <c r="H308" s="3"/>
      <c r="I308" s="3"/>
      <c r="J308" s="3"/>
      <c r="K308" s="3"/>
      <c r="L308" s="3"/>
      <c r="M308" s="3"/>
    </row>
    <row r="309" customFormat="false" ht="15" hidden="false" customHeight="false" outlineLevel="0" collapsed="false">
      <c r="A309" s="28" t="n">
        <v>46301.5238408796</v>
      </c>
      <c r="B309" s="31" t="n">
        <f aca="false">(A309-$A$5)*86400</f>
        <v>16.214000014</v>
      </c>
      <c r="C309" s="27" t="n">
        <v>0.3939</v>
      </c>
      <c r="D309" s="27" t="n">
        <v>1.5362</v>
      </c>
      <c r="E309" s="27" t="s">
        <v>603</v>
      </c>
      <c r="F309" s="27" t="s">
        <v>144</v>
      </c>
      <c r="G309" s="32" t="n">
        <f aca="false">(A309-A308)*86400000</f>
        <v>16.999756</v>
      </c>
      <c r="H309" s="3"/>
      <c r="I309" s="3"/>
      <c r="J309" s="3"/>
      <c r="K309" s="3"/>
      <c r="L309" s="3"/>
      <c r="M309" s="3"/>
    </row>
    <row r="310" customFormat="false" ht="15" hidden="false" customHeight="false" outlineLevel="0" collapsed="false">
      <c r="A310" s="28" t="n">
        <v>46301.5238410648</v>
      </c>
      <c r="B310" s="31" t="n">
        <f aca="false">(A310-$A$5)*86400</f>
        <v>16.230000858</v>
      </c>
      <c r="C310" s="27" t="n">
        <v>0.3904</v>
      </c>
      <c r="D310" s="27" t="n">
        <v>1.5364</v>
      </c>
      <c r="E310" s="27" t="s">
        <v>603</v>
      </c>
      <c r="F310" s="27" t="s">
        <v>144</v>
      </c>
      <c r="G310" s="32" t="n">
        <f aca="false">(A310-A309)*86400000</f>
        <v>16.000843</v>
      </c>
      <c r="H310" s="3"/>
      <c r="I310" s="3"/>
      <c r="J310" s="3"/>
      <c r="K310" s="3"/>
      <c r="L310" s="3"/>
      <c r="M310" s="3"/>
    </row>
    <row r="311" customFormat="false" ht="15" hidden="false" customHeight="false" outlineLevel="0" collapsed="false">
      <c r="A311" s="28" t="n">
        <v>46301.52384125</v>
      </c>
      <c r="B311" s="31" t="n">
        <f aca="false">(A311-$A$5)*86400</f>
        <v>16.245999815</v>
      </c>
      <c r="C311" s="27" t="n">
        <v>0.3875</v>
      </c>
      <c r="D311" s="27" t="n">
        <v>1.5366</v>
      </c>
      <c r="E311" s="27" t="s">
        <v>603</v>
      </c>
      <c r="F311" s="27" t="s">
        <v>144</v>
      </c>
      <c r="G311" s="32" t="n">
        <f aca="false">(A311-A310)*86400000</f>
        <v>15.998957</v>
      </c>
      <c r="H311" s="3"/>
      <c r="I311" s="3"/>
      <c r="J311" s="3"/>
      <c r="K311" s="3"/>
      <c r="L311" s="3"/>
      <c r="M311" s="3"/>
    </row>
    <row r="312" customFormat="false" ht="15" hidden="false" customHeight="false" outlineLevel="0" collapsed="false">
      <c r="A312" s="28" t="n">
        <v>46301.5238414352</v>
      </c>
      <c r="B312" s="31" t="n">
        <f aca="false">(A312-$A$5)*86400</f>
        <v>16.261999402</v>
      </c>
      <c r="C312" s="27" t="n">
        <v>0.3851</v>
      </c>
      <c r="D312" s="27" t="n">
        <v>1.5368</v>
      </c>
      <c r="E312" s="27" t="s">
        <v>603</v>
      </c>
      <c r="F312" s="27" t="s">
        <v>144</v>
      </c>
      <c r="G312" s="32" t="n">
        <f aca="false">(A312-A311)*86400000</f>
        <v>15.999586</v>
      </c>
      <c r="H312" s="3"/>
      <c r="I312" s="3"/>
      <c r="J312" s="3"/>
      <c r="K312" s="3"/>
      <c r="L312" s="3"/>
      <c r="M312" s="3"/>
    </row>
    <row r="313" customFormat="false" ht="15" hidden="false" customHeight="false" outlineLevel="0" collapsed="false">
      <c r="A313" s="28" t="n">
        <v>46301.5238416204</v>
      </c>
      <c r="B313" s="31" t="n">
        <f aca="false">(A313-$A$5)*86400</f>
        <v>16.278000245</v>
      </c>
      <c r="C313" s="27" t="n">
        <v>0.3831</v>
      </c>
      <c r="D313" s="27" t="n">
        <v>1.5369</v>
      </c>
      <c r="E313" s="27" t="s">
        <v>603</v>
      </c>
      <c r="F313" s="27" t="s">
        <v>144</v>
      </c>
      <c r="G313" s="32" t="n">
        <f aca="false">(A313-A312)*86400000</f>
        <v>16.000843</v>
      </c>
      <c r="H313" s="3"/>
      <c r="I313" s="3"/>
      <c r="J313" s="3"/>
      <c r="K313" s="3"/>
      <c r="L313" s="3"/>
      <c r="M313" s="3"/>
    </row>
    <row r="314" customFormat="false" ht="15" hidden="false" customHeight="false" outlineLevel="0" collapsed="false">
      <c r="A314" s="28" t="n">
        <v>46301.5238418056</v>
      </c>
      <c r="B314" s="31" t="n">
        <f aca="false">(A314-$A$5)*86400</f>
        <v>16.293999832</v>
      </c>
      <c r="C314" s="27" t="n">
        <v>0.3815</v>
      </c>
      <c r="D314" s="27" t="n">
        <v>1.537</v>
      </c>
      <c r="E314" s="27" t="s">
        <v>603</v>
      </c>
      <c r="F314" s="27" t="s">
        <v>144</v>
      </c>
      <c r="G314" s="32" t="n">
        <f aca="false">(A314-A313)*86400000</f>
        <v>15.999586</v>
      </c>
      <c r="H314" s="3"/>
      <c r="I314" s="3"/>
      <c r="J314" s="3"/>
      <c r="K314" s="3"/>
      <c r="L314" s="3"/>
      <c r="M314" s="3"/>
    </row>
    <row r="315" customFormat="false" ht="15" hidden="false" customHeight="false" outlineLevel="0" collapsed="false">
      <c r="A315" s="28" t="n">
        <v>46301.5238419907</v>
      </c>
      <c r="B315" s="31" t="n">
        <f aca="false">(A315-$A$5)*86400</f>
        <v>16.310000047</v>
      </c>
      <c r="C315" s="27" t="n">
        <v>0.3802</v>
      </c>
      <c r="D315" s="27" t="n">
        <v>1.5371</v>
      </c>
      <c r="E315" s="27" t="s">
        <v>603</v>
      </c>
      <c r="F315" s="27" t="s">
        <v>144</v>
      </c>
      <c r="G315" s="32" t="n">
        <f aca="false">(A315-A314)*86400000</f>
        <v>16.000214</v>
      </c>
      <c r="H315" s="3"/>
      <c r="I315" s="3"/>
      <c r="J315" s="3"/>
      <c r="K315" s="3"/>
      <c r="L315" s="3"/>
      <c r="M315" s="3"/>
    </row>
    <row r="316" customFormat="false" ht="15" hidden="false" customHeight="false" outlineLevel="0" collapsed="false">
      <c r="A316" s="28" t="n">
        <v>46301.5238421759</v>
      </c>
      <c r="B316" s="31" t="n">
        <f aca="false">(A316-$A$5)*86400</f>
        <v>16.326000262</v>
      </c>
      <c r="C316" s="27" t="n">
        <v>0.3773</v>
      </c>
      <c r="D316" s="27" t="n">
        <v>1.5365</v>
      </c>
      <c r="E316" s="27" t="s">
        <v>603</v>
      </c>
      <c r="F316" s="27" t="s">
        <v>144</v>
      </c>
      <c r="G316" s="32" t="n">
        <f aca="false">(A316-A315)*86400000</f>
        <v>16.000214</v>
      </c>
      <c r="H316" s="3"/>
      <c r="I316" s="3"/>
      <c r="J316" s="3"/>
      <c r="K316" s="3"/>
      <c r="L316" s="3"/>
      <c r="M316" s="3"/>
    </row>
    <row r="317" customFormat="false" ht="15" hidden="false" customHeight="false" outlineLevel="0" collapsed="false">
      <c r="A317" s="28" t="n">
        <v>46301.5238423611</v>
      </c>
      <c r="B317" s="31" t="n">
        <f aca="false">(A317-$A$5)*86400</f>
        <v>16.341999848</v>
      </c>
      <c r="C317" s="27" t="n">
        <v>0.3749</v>
      </c>
      <c r="D317" s="27" t="n">
        <v>1.5361</v>
      </c>
      <c r="E317" s="27" t="s">
        <v>603</v>
      </c>
      <c r="F317" s="27" t="s">
        <v>144</v>
      </c>
      <c r="G317" s="32" t="n">
        <f aca="false">(A317-A316)*86400000</f>
        <v>15.999586</v>
      </c>
      <c r="H317" s="3"/>
      <c r="I317" s="3"/>
      <c r="J317" s="3"/>
      <c r="K317" s="3"/>
      <c r="L317" s="3"/>
      <c r="M317" s="3"/>
    </row>
    <row r="318" customFormat="false" ht="15" hidden="false" customHeight="false" outlineLevel="0" collapsed="false">
      <c r="A318" s="28" t="n">
        <v>46301.5238425463</v>
      </c>
      <c r="B318" s="31" t="n">
        <f aca="false">(A318-$A$5)*86400</f>
        <v>16.358000691</v>
      </c>
      <c r="C318" s="27" t="n">
        <v>0.373</v>
      </c>
      <c r="D318" s="27" t="n">
        <v>1.5357</v>
      </c>
      <c r="E318" s="27" t="s">
        <v>603</v>
      </c>
      <c r="F318" s="27" t="s">
        <v>144</v>
      </c>
      <c r="G318" s="32" t="n">
        <f aca="false">(A318-A317)*86400000</f>
        <v>16.000843</v>
      </c>
      <c r="H318" s="3"/>
      <c r="I318" s="3"/>
      <c r="J318" s="3"/>
      <c r="K318" s="3"/>
      <c r="L318" s="3"/>
      <c r="M318" s="3"/>
    </row>
    <row r="319" customFormat="false" ht="15" hidden="false" customHeight="false" outlineLevel="0" collapsed="false">
      <c r="A319" s="28" t="n">
        <v>46301.5238427315</v>
      </c>
      <c r="B319" s="31" t="n">
        <f aca="false">(A319-$A$5)*86400</f>
        <v>16.374000278</v>
      </c>
      <c r="C319" s="27" t="n">
        <v>0.3713</v>
      </c>
      <c r="D319" s="27" t="n">
        <v>1.5353</v>
      </c>
      <c r="E319" s="27" t="s">
        <v>603</v>
      </c>
      <c r="F319" s="27" t="s">
        <v>144</v>
      </c>
      <c r="G319" s="32" t="n">
        <f aca="false">(A319-A318)*86400000</f>
        <v>15.999586</v>
      </c>
      <c r="H319" s="3"/>
      <c r="I319" s="3"/>
      <c r="J319" s="3"/>
      <c r="K319" s="3"/>
      <c r="L319" s="3"/>
      <c r="M319" s="3"/>
    </row>
    <row r="320" customFormat="false" ht="15" hidden="false" customHeight="false" outlineLevel="0" collapsed="false">
      <c r="A320" s="28" t="n">
        <v>46301.5238429167</v>
      </c>
      <c r="B320" s="31" t="n">
        <f aca="false">(A320-$A$5)*86400</f>
        <v>16.389999235</v>
      </c>
      <c r="C320" s="27" t="n">
        <v>0.37</v>
      </c>
      <c r="D320" s="27" t="n">
        <v>1.5351</v>
      </c>
      <c r="E320" s="27" t="s">
        <v>603</v>
      </c>
      <c r="F320" s="27" t="s">
        <v>144</v>
      </c>
      <c r="G320" s="32" t="n">
        <f aca="false">(A320-A319)*86400000</f>
        <v>15.998957</v>
      </c>
      <c r="H320" s="3"/>
      <c r="I320" s="3"/>
      <c r="J320" s="3"/>
      <c r="K320" s="3"/>
      <c r="L320" s="3"/>
      <c r="M320" s="3"/>
    </row>
    <row r="321" customFormat="false" ht="15" hidden="false" customHeight="false" outlineLevel="0" collapsed="false">
      <c r="A321" s="28" t="n">
        <v>46301.5238431019</v>
      </c>
      <c r="B321" s="31" t="n">
        <f aca="false">(A321-$A$5)*86400</f>
        <v>16.406000079</v>
      </c>
      <c r="C321" s="27" t="n">
        <v>0.3689</v>
      </c>
      <c r="D321" s="27" t="n">
        <v>1.5349</v>
      </c>
      <c r="E321" s="27" t="s">
        <v>603</v>
      </c>
      <c r="F321" s="27" t="s">
        <v>144</v>
      </c>
      <c r="G321" s="32" t="n">
        <f aca="false">(A321-A320)*86400000</f>
        <v>16.000843</v>
      </c>
      <c r="H321" s="3"/>
      <c r="I321" s="3"/>
      <c r="J321" s="3"/>
      <c r="K321" s="3"/>
      <c r="L321" s="3"/>
      <c r="M321" s="3"/>
    </row>
    <row r="322" customFormat="false" ht="15" hidden="false" customHeight="false" outlineLevel="0" collapsed="false">
      <c r="A322" s="28" t="n">
        <v>46301.5238434722</v>
      </c>
      <c r="B322" s="31" t="n">
        <f aca="false">(A322-$A$5)*86400</f>
        <v>16.43799988</v>
      </c>
      <c r="C322" s="27" t="n">
        <v>0.3673</v>
      </c>
      <c r="D322" s="27" t="n">
        <v>1.5341</v>
      </c>
      <c r="E322" s="27" t="s">
        <v>603</v>
      </c>
      <c r="F322" s="27" t="s">
        <v>144</v>
      </c>
      <c r="G322" s="32" t="n">
        <f aca="false">(A322-A321)*86400000</f>
        <v>31.999801</v>
      </c>
      <c r="H322" s="3"/>
      <c r="I322" s="3"/>
      <c r="J322" s="3"/>
      <c r="K322" s="3"/>
      <c r="L322" s="3"/>
      <c r="M322" s="3"/>
    </row>
    <row r="323" customFormat="false" ht="15" hidden="false" customHeight="false" outlineLevel="0" collapsed="false">
      <c r="A323" s="28" t="n">
        <v>46301.5238436574</v>
      </c>
      <c r="B323" s="31" t="n">
        <f aca="false">(A323-$A$5)*86400</f>
        <v>16.454000095</v>
      </c>
      <c r="C323" s="27" t="n">
        <v>0.3667</v>
      </c>
      <c r="D323" s="27" t="n">
        <v>1.5336</v>
      </c>
      <c r="E323" s="27" t="s">
        <v>603</v>
      </c>
      <c r="F323" s="27" t="s">
        <v>144</v>
      </c>
      <c r="G323" s="32" t="n">
        <f aca="false">(A323-A322)*86400000</f>
        <v>16.000214</v>
      </c>
      <c r="H323" s="3"/>
      <c r="I323" s="3"/>
      <c r="J323" s="3"/>
      <c r="K323" s="3"/>
      <c r="L323" s="3"/>
      <c r="M323" s="3"/>
    </row>
    <row r="324" customFormat="false" ht="15" hidden="false" customHeight="false" outlineLevel="0" collapsed="false">
      <c r="A324" s="28" t="n">
        <v>46301.5238440278</v>
      </c>
      <c r="B324" s="31" t="n">
        <f aca="false">(A324-$A$5)*86400</f>
        <v>16.486000525</v>
      </c>
      <c r="C324" s="27" t="n">
        <v>0.3658</v>
      </c>
      <c r="D324" s="27" t="n">
        <v>1.5328</v>
      </c>
      <c r="E324" s="27" t="s">
        <v>603</v>
      </c>
      <c r="F324" s="27" t="s">
        <v>144</v>
      </c>
      <c r="G324" s="32" t="n">
        <f aca="false">(A324-A323)*86400000</f>
        <v>32.000429</v>
      </c>
      <c r="H324" s="3"/>
      <c r="I324" s="3"/>
      <c r="J324" s="3"/>
      <c r="K324" s="3"/>
      <c r="L324" s="3"/>
      <c r="M324" s="3"/>
    </row>
    <row r="325" customFormat="false" ht="15" hidden="false" customHeight="false" outlineLevel="0" collapsed="false">
      <c r="A325" s="28" t="n">
        <v>46301.5238445833</v>
      </c>
      <c r="B325" s="31" t="n">
        <f aca="false">(A325-$A$5)*86400</f>
        <v>16.533999913</v>
      </c>
      <c r="C325" s="27" t="n">
        <v>0.364</v>
      </c>
      <c r="D325" s="27" t="n">
        <v>1.5312</v>
      </c>
      <c r="E325" s="27" t="s">
        <v>603</v>
      </c>
      <c r="F325" s="27" t="s">
        <v>144</v>
      </c>
      <c r="G325" s="32" t="n">
        <f aca="false">(A325-A324)*86400000</f>
        <v>47.999387</v>
      </c>
      <c r="H325" s="3"/>
      <c r="I325" s="3"/>
      <c r="J325" s="3"/>
      <c r="K325" s="3"/>
      <c r="L325" s="3"/>
      <c r="M325" s="3"/>
    </row>
    <row r="326" customFormat="false" ht="15" hidden="false" customHeight="false" outlineLevel="0" collapsed="false">
      <c r="A326" s="28" t="n">
        <v>46301.5238458912</v>
      </c>
      <c r="B326" s="31" t="n">
        <f aca="false">(A326-$A$5)*86400</f>
        <v>16.64700096</v>
      </c>
      <c r="C326" s="27" t="n">
        <v>0.3629</v>
      </c>
      <c r="D326" s="27" t="n">
        <v>1.5297</v>
      </c>
      <c r="E326" s="27" t="s">
        <v>603</v>
      </c>
      <c r="F326" s="27" t="s">
        <v>144</v>
      </c>
      <c r="G326" s="32" t="n">
        <f aca="false">(A326-A325)*86400000</f>
        <v>113.001046</v>
      </c>
      <c r="H326" s="3"/>
      <c r="I326" s="3"/>
      <c r="J326" s="3"/>
      <c r="K326" s="3"/>
      <c r="L326" s="3"/>
      <c r="M326" s="3"/>
    </row>
    <row r="327" customFormat="false" ht="15" hidden="false" customHeight="false" outlineLevel="0" collapsed="false">
      <c r="A327" s="28" t="n">
        <v>46301.5238460764</v>
      </c>
      <c r="B327" s="31" t="n">
        <f aca="false">(A327-$A$5)*86400</f>
        <v>16.662999917</v>
      </c>
      <c r="C327" s="27" t="n">
        <v>0.3621</v>
      </c>
      <c r="D327" s="27" t="n">
        <v>1.5286</v>
      </c>
      <c r="E327" s="27" t="s">
        <v>603</v>
      </c>
      <c r="F327" s="27" t="s">
        <v>144</v>
      </c>
      <c r="G327" s="32" t="n">
        <f aca="false">(A327-A326)*86400000</f>
        <v>15.998957</v>
      </c>
      <c r="H327" s="3"/>
      <c r="I327" s="3"/>
      <c r="J327" s="3"/>
      <c r="K327" s="3"/>
      <c r="L327" s="3"/>
      <c r="M327" s="3"/>
    </row>
    <row r="328" customFormat="false" ht="15" hidden="false" customHeight="false" outlineLevel="0" collapsed="false">
      <c r="A328" s="28" t="n">
        <v>46301.5238464468</v>
      </c>
      <c r="B328" s="31" t="n">
        <f aca="false">(A328-$A$5)*86400</f>
        <v>16.695000347</v>
      </c>
      <c r="C328" s="27" t="n">
        <v>0.3608</v>
      </c>
      <c r="D328" s="27" t="n">
        <v>1.5268</v>
      </c>
      <c r="E328" s="27" t="s">
        <v>603</v>
      </c>
      <c r="F328" s="27" t="s">
        <v>144</v>
      </c>
      <c r="G328" s="32" t="n">
        <f aca="false">(A328-A327)*86400000</f>
        <v>32.000429</v>
      </c>
      <c r="H328" s="3"/>
      <c r="I328" s="3"/>
      <c r="J328" s="3"/>
      <c r="K328" s="3"/>
      <c r="L328" s="3"/>
      <c r="M328" s="3"/>
    </row>
    <row r="329" customFormat="false" ht="15" hidden="false" customHeight="false" outlineLevel="0" collapsed="false">
      <c r="A329" s="28" t="n">
        <v>46301.5238471875</v>
      </c>
      <c r="B329" s="31" t="n">
        <f aca="false">(A329-$A$5)*86400</f>
        <v>16.75899995</v>
      </c>
      <c r="C329" s="27" t="n">
        <v>0.3634</v>
      </c>
      <c r="D329" s="27" t="n">
        <v>1.5231</v>
      </c>
      <c r="E329" s="27" t="s">
        <v>603</v>
      </c>
      <c r="F329" s="27" t="s">
        <v>144</v>
      </c>
      <c r="G329" s="32" t="n">
        <f aca="false">(A329-A328)*86400000</f>
        <v>63.999602</v>
      </c>
      <c r="H329" s="3"/>
      <c r="I329" s="3"/>
      <c r="J329" s="3"/>
      <c r="K329" s="3"/>
      <c r="L329" s="3"/>
      <c r="M329" s="3"/>
    </row>
    <row r="330" customFormat="false" ht="15" hidden="false" customHeight="false" outlineLevel="0" collapsed="false">
      <c r="A330" s="28" t="n">
        <v>46301.5238473727</v>
      </c>
      <c r="B330" s="31" t="n">
        <f aca="false">(A330-$A$5)*86400</f>
        <v>16.775000793</v>
      </c>
      <c r="C330" s="27" t="n">
        <v>0.3665</v>
      </c>
      <c r="D330" s="27" t="n">
        <v>1.5214</v>
      </c>
      <c r="E330" s="27" t="s">
        <v>603</v>
      </c>
      <c r="F330" s="27" t="s">
        <v>144</v>
      </c>
      <c r="G330" s="32" t="n">
        <f aca="false">(A330-A329)*86400000</f>
        <v>16.000843</v>
      </c>
      <c r="H330" s="3"/>
      <c r="I330" s="3"/>
      <c r="J330" s="3"/>
      <c r="K330" s="3"/>
      <c r="L330" s="3"/>
      <c r="M330" s="3"/>
    </row>
    <row r="331" customFormat="false" ht="15" hidden="false" customHeight="false" outlineLevel="0" collapsed="false">
      <c r="A331" s="28" t="n">
        <v>46301.5238475579</v>
      </c>
      <c r="B331" s="31" t="n">
        <f aca="false">(A331-$A$5)*86400</f>
        <v>16.79100038</v>
      </c>
      <c r="C331" s="27" t="n">
        <v>0.3691</v>
      </c>
      <c r="D331" s="27" t="n">
        <v>1.52</v>
      </c>
      <c r="E331" s="27" t="s">
        <v>603</v>
      </c>
      <c r="F331" s="27" t="s">
        <v>144</v>
      </c>
      <c r="G331" s="32" t="n">
        <f aca="false">(A331-A330)*86400000</f>
        <v>15.999586</v>
      </c>
      <c r="H331" s="3"/>
      <c r="I331" s="3"/>
      <c r="J331" s="3"/>
      <c r="K331" s="3"/>
      <c r="L331" s="3"/>
      <c r="M331" s="3"/>
    </row>
    <row r="332" customFormat="false" ht="15" hidden="false" customHeight="false" outlineLevel="0" collapsed="false">
      <c r="A332" s="28" t="n">
        <v>46301.5238477431</v>
      </c>
      <c r="B332" s="31" t="n">
        <f aca="false">(A332-$A$5)*86400</f>
        <v>16.806999337</v>
      </c>
      <c r="C332" s="27" t="n">
        <v>0.3712</v>
      </c>
      <c r="D332" s="27" t="n">
        <v>1.5188</v>
      </c>
      <c r="E332" s="27" t="s">
        <v>603</v>
      </c>
      <c r="F332" s="27" t="s">
        <v>144</v>
      </c>
      <c r="G332" s="32" t="n">
        <f aca="false">(A332-A331)*86400000</f>
        <v>15.998957</v>
      </c>
      <c r="H332" s="3"/>
      <c r="I332" s="3"/>
      <c r="J332" s="3"/>
      <c r="K332" s="3"/>
      <c r="L332" s="3"/>
      <c r="M332" s="3"/>
    </row>
    <row r="333" customFormat="false" ht="15" hidden="false" customHeight="false" outlineLevel="0" collapsed="false">
      <c r="A333" s="28" t="n">
        <v>46301.5238479282</v>
      </c>
      <c r="B333" s="31" t="n">
        <f aca="false">(A333-$A$5)*86400</f>
        <v>16.823000181</v>
      </c>
      <c r="C333" s="27" t="n">
        <v>0.3729</v>
      </c>
      <c r="D333" s="27" t="n">
        <v>1.5179</v>
      </c>
      <c r="E333" s="27" t="s">
        <v>603</v>
      </c>
      <c r="F333" s="27" t="s">
        <v>144</v>
      </c>
      <c r="G333" s="32" t="n">
        <f aca="false">(A333-A332)*86400000</f>
        <v>16.000843</v>
      </c>
      <c r="H333" s="3"/>
      <c r="I333" s="3"/>
      <c r="J333" s="3"/>
      <c r="K333" s="3"/>
      <c r="L333" s="3"/>
      <c r="M333" s="3"/>
    </row>
    <row r="334" customFormat="false" ht="15" hidden="false" customHeight="false" outlineLevel="0" collapsed="false">
      <c r="A334" s="28" t="n">
        <v>46301.5238482986</v>
      </c>
      <c r="B334" s="31" t="n">
        <f aca="false">(A334-$A$5)*86400</f>
        <v>16.854999982</v>
      </c>
      <c r="C334" s="27" t="n">
        <v>0.3756</v>
      </c>
      <c r="D334" s="27" t="n">
        <v>1.5164</v>
      </c>
      <c r="E334" s="27" t="s">
        <v>603</v>
      </c>
      <c r="F334" s="27" t="s">
        <v>144</v>
      </c>
      <c r="G334" s="32" t="n">
        <f aca="false">(A334-A333)*86400000</f>
        <v>31.999801</v>
      </c>
      <c r="H334" s="3"/>
      <c r="I334" s="3"/>
      <c r="J334" s="3"/>
      <c r="K334" s="3"/>
      <c r="L334" s="3"/>
      <c r="M334" s="3"/>
    </row>
    <row r="335" customFormat="false" ht="15" hidden="false" customHeight="false" outlineLevel="0" collapsed="false">
      <c r="A335" s="28" t="n">
        <v>46301.5238484838</v>
      </c>
      <c r="B335" s="31" t="n">
        <f aca="false">(A335-$A$5)*86400</f>
        <v>16.871000197</v>
      </c>
      <c r="C335" s="27" t="n">
        <v>0.3766</v>
      </c>
      <c r="D335" s="27" t="n">
        <v>1.5158</v>
      </c>
      <c r="E335" s="27" t="s">
        <v>603</v>
      </c>
      <c r="F335" s="27" t="s">
        <v>144</v>
      </c>
      <c r="G335" s="32" t="n">
        <f aca="false">(A335-A334)*86400000</f>
        <v>16.000214</v>
      </c>
      <c r="H335" s="3"/>
      <c r="I335" s="3"/>
      <c r="J335" s="3"/>
      <c r="K335" s="3"/>
      <c r="L335" s="3"/>
      <c r="M335" s="3"/>
    </row>
    <row r="336" customFormat="false" ht="15" hidden="false" customHeight="false" outlineLevel="0" collapsed="false">
      <c r="A336" s="28" t="n">
        <v>46301.5238488657</v>
      </c>
      <c r="B336" s="31" t="n">
        <f aca="false">(A336-$A$5)*86400</f>
        <v>16.904000169</v>
      </c>
      <c r="C336" s="27" t="n">
        <v>0.3802</v>
      </c>
      <c r="D336" s="27" t="n">
        <v>1.5134</v>
      </c>
      <c r="E336" s="27" t="s">
        <v>603</v>
      </c>
      <c r="F336" s="27" t="s">
        <v>144</v>
      </c>
      <c r="G336" s="32" t="n">
        <f aca="false">(A336-A335)*86400000</f>
        <v>32.999971</v>
      </c>
      <c r="H336" s="3"/>
      <c r="I336" s="3"/>
      <c r="J336" s="3"/>
      <c r="K336" s="3"/>
      <c r="L336" s="3"/>
      <c r="M336" s="3"/>
    </row>
    <row r="337" customFormat="false" ht="15" hidden="false" customHeight="false" outlineLevel="0" collapsed="false">
      <c r="A337" s="28" t="n">
        <v>46301.5238490509</v>
      </c>
      <c r="B337" s="31" t="n">
        <f aca="false">(A337-$A$5)*86400</f>
        <v>16.920000384</v>
      </c>
      <c r="C337" s="27" t="n">
        <v>0.3826</v>
      </c>
      <c r="D337" s="27" t="n">
        <v>1.5118</v>
      </c>
      <c r="E337" s="27" t="s">
        <v>603</v>
      </c>
      <c r="F337" s="27" t="s">
        <v>144</v>
      </c>
      <c r="G337" s="32" t="n">
        <f aca="false">(A337-A336)*86400000</f>
        <v>16.000214</v>
      </c>
      <c r="H337" s="3"/>
      <c r="I337" s="3"/>
      <c r="J337" s="3"/>
      <c r="K337" s="3"/>
      <c r="L337" s="3"/>
      <c r="M337" s="3"/>
    </row>
    <row r="338" customFormat="false" ht="15" hidden="false" customHeight="false" outlineLevel="0" collapsed="false">
      <c r="A338" s="28" t="n">
        <v>46301.5238492477</v>
      </c>
      <c r="B338" s="31" t="n">
        <f aca="false">(A338-$A$5)*86400</f>
        <v>16.93700077</v>
      </c>
      <c r="C338" s="27" t="n">
        <v>0.3845</v>
      </c>
      <c r="D338" s="27" t="n">
        <v>1.5105</v>
      </c>
      <c r="E338" s="27" t="s">
        <v>603</v>
      </c>
      <c r="F338" s="27" t="s">
        <v>144</v>
      </c>
      <c r="G338" s="32" t="n">
        <f aca="false">(A338-A337)*86400000</f>
        <v>17.000385</v>
      </c>
      <c r="H338" s="3"/>
      <c r="I338" s="3"/>
      <c r="J338" s="3"/>
      <c r="K338" s="3"/>
      <c r="L338" s="3"/>
      <c r="M338" s="3"/>
    </row>
    <row r="339" customFormat="false" ht="15" hidden="false" customHeight="false" outlineLevel="0" collapsed="false">
      <c r="A339" s="28" t="n">
        <v>46301.5238494329</v>
      </c>
      <c r="B339" s="31" t="n">
        <f aca="false">(A339-$A$5)*86400</f>
        <v>16.953000356</v>
      </c>
      <c r="C339" s="27" t="n">
        <v>0.3861</v>
      </c>
      <c r="D339" s="27" t="n">
        <v>1.5094</v>
      </c>
      <c r="E339" s="27" t="s">
        <v>603</v>
      </c>
      <c r="F339" s="27" t="s">
        <v>144</v>
      </c>
      <c r="G339" s="32" t="n">
        <f aca="false">(A339-A338)*86400000</f>
        <v>15.999586</v>
      </c>
      <c r="H339" s="3"/>
      <c r="I339" s="3"/>
      <c r="J339" s="3"/>
      <c r="K339" s="3"/>
      <c r="L339" s="3"/>
      <c r="M339" s="3"/>
    </row>
    <row r="340" customFormat="false" ht="15" hidden="false" customHeight="false" outlineLevel="0" collapsed="false">
      <c r="A340" s="28" t="n">
        <v>46301.5238496181</v>
      </c>
      <c r="B340" s="31" t="n">
        <f aca="false">(A340-$A$5)*86400</f>
        <v>16.968999314</v>
      </c>
      <c r="C340" s="27" t="n">
        <v>0.3873</v>
      </c>
      <c r="D340" s="27" t="n">
        <v>1.5086</v>
      </c>
      <c r="E340" s="27" t="s">
        <v>603</v>
      </c>
      <c r="F340" s="27" t="s">
        <v>144</v>
      </c>
      <c r="G340" s="32" t="n">
        <f aca="false">(A340-A339)*86400000</f>
        <v>15.998957</v>
      </c>
      <c r="H340" s="3"/>
      <c r="I340" s="3"/>
      <c r="J340" s="3"/>
      <c r="K340" s="3"/>
      <c r="L340" s="3"/>
      <c r="M340" s="3"/>
    </row>
    <row r="341" customFormat="false" ht="15" hidden="false" customHeight="false" outlineLevel="0" collapsed="false">
      <c r="A341" s="28" t="n">
        <v>46301.5238498032</v>
      </c>
      <c r="B341" s="31" t="n">
        <f aca="false">(A341-$A$5)*86400</f>
        <v>16.985000157</v>
      </c>
      <c r="C341" s="27" t="n">
        <v>0.3884</v>
      </c>
      <c r="D341" s="27" t="n">
        <v>1.5078</v>
      </c>
      <c r="E341" s="27" t="s">
        <v>603</v>
      </c>
      <c r="F341" s="27" t="s">
        <v>144</v>
      </c>
      <c r="G341" s="32" t="n">
        <f aca="false">(A341-A340)*86400000</f>
        <v>16.000843</v>
      </c>
      <c r="H341" s="3"/>
      <c r="I341" s="3"/>
      <c r="J341" s="3"/>
      <c r="K341" s="3"/>
      <c r="L341" s="3"/>
      <c r="M341" s="3"/>
    </row>
    <row r="342" customFormat="false" ht="15" hidden="false" customHeight="false" outlineLevel="0" collapsed="false">
      <c r="A342" s="28" t="n">
        <v>46301.5238499884</v>
      </c>
      <c r="B342" s="31" t="n">
        <f aca="false">(A342-$A$5)*86400</f>
        <v>17.001000372</v>
      </c>
      <c r="C342" s="27" t="n">
        <v>0.3892</v>
      </c>
      <c r="D342" s="27" t="n">
        <v>1.5072</v>
      </c>
      <c r="E342" s="27" t="s">
        <v>603</v>
      </c>
      <c r="F342" s="27" t="s">
        <v>144</v>
      </c>
      <c r="G342" s="32" t="n">
        <f aca="false">(A342-A341)*86400000</f>
        <v>16.000214</v>
      </c>
      <c r="H342" s="3"/>
      <c r="I342" s="3"/>
      <c r="J342" s="3"/>
      <c r="K342" s="3"/>
      <c r="L342" s="3"/>
      <c r="M342" s="3"/>
    </row>
    <row r="343" customFormat="false" ht="15" hidden="false" customHeight="false" outlineLevel="0" collapsed="false">
      <c r="A343" s="28" t="n">
        <v>46301.5238503588</v>
      </c>
      <c r="B343" s="31" t="n">
        <f aca="false">(A343-$A$5)*86400</f>
        <v>17.033000173</v>
      </c>
      <c r="C343" s="27" t="n">
        <v>0.3899</v>
      </c>
      <c r="D343" s="27" t="n">
        <v>1.5039</v>
      </c>
      <c r="E343" s="27" t="s">
        <v>603</v>
      </c>
      <c r="F343" s="27" t="s">
        <v>144</v>
      </c>
      <c r="G343" s="32" t="n">
        <f aca="false">(A343-A342)*86400000</f>
        <v>31.999801</v>
      </c>
      <c r="H343" s="3"/>
      <c r="I343" s="3"/>
      <c r="J343" s="3"/>
      <c r="K343" s="3"/>
      <c r="L343" s="3"/>
      <c r="M343" s="3"/>
    </row>
    <row r="344" customFormat="false" ht="15" hidden="false" customHeight="false" outlineLevel="0" collapsed="false">
      <c r="A344" s="28" t="n">
        <v>46301.523850544</v>
      </c>
      <c r="B344" s="31" t="n">
        <f aca="false">(A344-$A$5)*86400</f>
        <v>17.04899976</v>
      </c>
      <c r="C344" s="27" t="n">
        <v>0.3901</v>
      </c>
      <c r="D344" s="27" t="n">
        <v>1.5026</v>
      </c>
      <c r="E344" s="27" t="s">
        <v>603</v>
      </c>
      <c r="F344" s="27" t="s">
        <v>144</v>
      </c>
      <c r="G344" s="32" t="n">
        <f aca="false">(A344-A343)*86400000</f>
        <v>15.999586</v>
      </c>
      <c r="H344" s="3"/>
      <c r="I344" s="3"/>
      <c r="J344" s="3"/>
      <c r="K344" s="3"/>
      <c r="L344" s="3"/>
      <c r="M344" s="3"/>
    </row>
    <row r="345" customFormat="false" ht="15" hidden="false" customHeight="false" outlineLevel="0" collapsed="false">
      <c r="A345" s="28" t="n">
        <v>46301.5238511111</v>
      </c>
      <c r="B345" s="31" t="n">
        <f aca="false">(A345-$A$5)*86400</f>
        <v>17.097999947</v>
      </c>
      <c r="C345" s="27" t="n">
        <v>0.3906</v>
      </c>
      <c r="D345" s="27" t="n">
        <v>1.5</v>
      </c>
      <c r="E345" s="27" t="s">
        <v>603</v>
      </c>
      <c r="F345" s="27" t="s">
        <v>144</v>
      </c>
      <c r="G345" s="32" t="n">
        <f aca="false">(A345-A344)*86400000</f>
        <v>49.000186</v>
      </c>
      <c r="H345" s="3"/>
      <c r="I345" s="3"/>
      <c r="J345" s="3"/>
      <c r="K345" s="3"/>
      <c r="L345" s="3"/>
      <c r="M345" s="3"/>
    </row>
    <row r="346" customFormat="false" ht="15" hidden="false" customHeight="false" outlineLevel="0" collapsed="false">
      <c r="A346" s="28" t="n">
        <v>46301.5238518403</v>
      </c>
      <c r="B346" s="31" t="n">
        <f aca="false">(A346-$A$5)*86400</f>
        <v>17.161000007</v>
      </c>
      <c r="C346" s="27" t="n">
        <v>0.3912</v>
      </c>
      <c r="D346" s="27" t="n">
        <v>1.4966</v>
      </c>
      <c r="E346" s="27" t="s">
        <v>603</v>
      </c>
      <c r="F346" s="27" t="s">
        <v>144</v>
      </c>
      <c r="G346" s="32" t="n">
        <f aca="false">(A346-A345)*86400000</f>
        <v>63.00006</v>
      </c>
      <c r="H346" s="3"/>
      <c r="I346" s="3"/>
      <c r="J346" s="3"/>
      <c r="K346" s="3"/>
      <c r="L346" s="3"/>
      <c r="M346" s="3"/>
    </row>
    <row r="347" customFormat="false" ht="15" hidden="false" customHeight="false" outlineLevel="0" collapsed="false">
      <c r="A347" s="28" t="n">
        <v>46301.5238527778</v>
      </c>
      <c r="B347" s="31" t="n">
        <f aca="false">(A347-$A$5)*86400</f>
        <v>17.241999995</v>
      </c>
      <c r="C347" s="27" t="n">
        <v>0.3913</v>
      </c>
      <c r="D347" s="27" t="n">
        <v>1.4954</v>
      </c>
      <c r="E347" s="27" t="s">
        <v>603</v>
      </c>
      <c r="F347" s="27" t="s">
        <v>144</v>
      </c>
      <c r="G347" s="32" t="n">
        <f aca="false">(A347-A346)*86400000</f>
        <v>80.999988</v>
      </c>
      <c r="H347" s="3"/>
      <c r="I347" s="3"/>
      <c r="J347" s="3"/>
      <c r="K347" s="3"/>
      <c r="L347" s="3"/>
      <c r="M347" s="3"/>
    </row>
    <row r="348" customFormat="false" ht="15" hidden="false" customHeight="false" outlineLevel="0" collapsed="false">
      <c r="A348" s="28" t="n">
        <v>46301.5238531481</v>
      </c>
      <c r="B348" s="31" t="n">
        <f aca="false">(A348-$A$5)*86400</f>
        <v>17.273999168</v>
      </c>
      <c r="C348" s="27" t="n">
        <v>0.3915</v>
      </c>
      <c r="D348" s="27" t="n">
        <v>1.4937</v>
      </c>
      <c r="E348" s="27" t="s">
        <v>603</v>
      </c>
      <c r="F348" s="27" t="s">
        <v>144</v>
      </c>
      <c r="G348" s="32" t="n">
        <f aca="false">(A348-A347)*86400000</f>
        <v>31.999172</v>
      </c>
      <c r="H348" s="3"/>
      <c r="I348" s="3"/>
      <c r="J348" s="3"/>
      <c r="K348" s="3"/>
      <c r="L348" s="3"/>
      <c r="M348" s="3"/>
    </row>
    <row r="349" customFormat="false" ht="15" hidden="false" customHeight="false" outlineLevel="0" collapsed="false">
      <c r="A349" s="28" t="n">
        <v>46301.5238538889</v>
      </c>
      <c r="B349" s="31" t="n">
        <f aca="false">(A349-$A$5)*86400</f>
        <v>17.338000028</v>
      </c>
      <c r="C349" s="27" t="n">
        <v>0.3916</v>
      </c>
      <c r="D349" s="27" t="n">
        <v>1.4916</v>
      </c>
      <c r="E349" s="27" t="s">
        <v>603</v>
      </c>
      <c r="F349" s="27" t="s">
        <v>144</v>
      </c>
      <c r="G349" s="32" t="n">
        <f aca="false">(A349-A348)*86400000</f>
        <v>64.000859</v>
      </c>
      <c r="H349" s="3"/>
      <c r="I349" s="3"/>
      <c r="J349" s="3"/>
      <c r="K349" s="3"/>
      <c r="L349" s="3"/>
      <c r="M349" s="3"/>
    </row>
    <row r="350" customFormat="false" ht="15" hidden="false" customHeight="false" outlineLevel="0" collapsed="false">
      <c r="A350" s="28" t="n">
        <v>46301.5238540741</v>
      </c>
      <c r="B350" s="31" t="n">
        <f aca="false">(A350-$A$5)*86400</f>
        <v>17.354000872</v>
      </c>
      <c r="C350" s="27" t="n">
        <v>0.3982</v>
      </c>
      <c r="D350" s="27" t="n">
        <v>1.492</v>
      </c>
      <c r="E350" s="27" t="s">
        <v>603</v>
      </c>
      <c r="F350" s="27" t="s">
        <v>144</v>
      </c>
      <c r="G350" s="32" t="n">
        <f aca="false">(A350-A349)*86400000</f>
        <v>16.000843</v>
      </c>
      <c r="H350" s="3"/>
      <c r="I350" s="3"/>
      <c r="J350" s="3"/>
      <c r="K350" s="3"/>
      <c r="L350" s="3"/>
      <c r="M350" s="3"/>
    </row>
    <row r="351" customFormat="false" ht="15" hidden="false" customHeight="false" outlineLevel="0" collapsed="false">
      <c r="A351" s="28" t="n">
        <v>46301.5238542593</v>
      </c>
      <c r="B351" s="31" t="n">
        <f aca="false">(A351-$A$5)*86400</f>
        <v>17.370000458</v>
      </c>
      <c r="C351" s="27" t="n">
        <v>0.4037</v>
      </c>
      <c r="D351" s="27" t="n">
        <v>1.4923</v>
      </c>
      <c r="E351" s="27" t="s">
        <v>603</v>
      </c>
      <c r="F351" s="27" t="s">
        <v>144</v>
      </c>
      <c r="G351" s="32" t="n">
        <f aca="false">(A351-A350)*86400000</f>
        <v>15.999586</v>
      </c>
      <c r="H351" s="3"/>
      <c r="I351" s="3"/>
      <c r="J351" s="3"/>
      <c r="K351" s="3"/>
      <c r="L351" s="3"/>
      <c r="M351" s="3"/>
    </row>
    <row r="352" customFormat="false" ht="15" hidden="false" customHeight="false" outlineLevel="0" collapsed="false">
      <c r="A352" s="28" t="n">
        <v>46301.5238544444</v>
      </c>
      <c r="B352" s="31" t="n">
        <f aca="false">(A352-$A$5)*86400</f>
        <v>17.385999416</v>
      </c>
      <c r="C352" s="27" t="n">
        <v>0.4081</v>
      </c>
      <c r="D352" s="27" t="n">
        <v>1.4926</v>
      </c>
      <c r="E352" s="27" t="s">
        <v>603</v>
      </c>
      <c r="F352" s="27" t="s">
        <v>144</v>
      </c>
      <c r="G352" s="32" t="n">
        <f aca="false">(A352-A351)*86400000</f>
        <v>15.998957</v>
      </c>
      <c r="H352" s="3"/>
      <c r="I352" s="3"/>
      <c r="J352" s="3"/>
      <c r="K352" s="3"/>
      <c r="L352" s="3"/>
      <c r="M352" s="3"/>
    </row>
    <row r="353" customFormat="false" ht="15" hidden="false" customHeight="false" outlineLevel="0" collapsed="false">
      <c r="A353" s="28" t="n">
        <v>46301.5238546296</v>
      </c>
      <c r="B353" s="31" t="n">
        <f aca="false">(A353-$A$5)*86400</f>
        <v>17.402000259</v>
      </c>
      <c r="C353" s="27" t="n">
        <v>0.4118</v>
      </c>
      <c r="D353" s="27" t="n">
        <v>1.4928</v>
      </c>
      <c r="E353" s="27" t="s">
        <v>603</v>
      </c>
      <c r="F353" s="27" t="s">
        <v>144</v>
      </c>
      <c r="G353" s="32" t="n">
        <f aca="false">(A353-A352)*86400000</f>
        <v>16.000843</v>
      </c>
      <c r="H353" s="3"/>
      <c r="I353" s="3"/>
      <c r="J353" s="3"/>
      <c r="K353" s="3"/>
      <c r="L353" s="3"/>
      <c r="M353" s="3"/>
    </row>
    <row r="354" customFormat="false" ht="15" hidden="false" customHeight="false" outlineLevel="0" collapsed="false">
      <c r="A354" s="28" t="n">
        <v>46301.5238548148</v>
      </c>
      <c r="B354" s="31" t="n">
        <f aca="false">(A354-$A$5)*86400</f>
        <v>17.417999845</v>
      </c>
      <c r="C354" s="27" t="n">
        <v>0.4149</v>
      </c>
      <c r="D354" s="27" t="n">
        <v>1.493</v>
      </c>
      <c r="E354" s="27" t="s">
        <v>603</v>
      </c>
      <c r="F354" s="27" t="s">
        <v>144</v>
      </c>
      <c r="G354" s="32" t="n">
        <f aca="false">(A354-A353)*86400000</f>
        <v>15.999586</v>
      </c>
      <c r="H354" s="3"/>
      <c r="I354" s="3"/>
      <c r="J354" s="3"/>
      <c r="K354" s="3"/>
      <c r="L354" s="3"/>
      <c r="M354" s="3"/>
    </row>
    <row r="355" customFormat="false" ht="15" hidden="false" customHeight="false" outlineLevel="0" collapsed="false">
      <c r="A355" s="28" t="n">
        <v>46301.523855</v>
      </c>
      <c r="B355" s="31" t="n">
        <f aca="false">(A355-$A$5)*86400</f>
        <v>17.43400006</v>
      </c>
      <c r="C355" s="27" t="n">
        <v>0.4174</v>
      </c>
      <c r="D355" s="27" t="n">
        <v>1.4931</v>
      </c>
      <c r="E355" s="27" t="s">
        <v>603</v>
      </c>
      <c r="F355" s="27" t="s">
        <v>144</v>
      </c>
      <c r="G355" s="32" t="n">
        <f aca="false">(A355-A354)*86400000</f>
        <v>16.000214</v>
      </c>
      <c r="H355" s="3"/>
      <c r="I355" s="3"/>
      <c r="J355" s="3"/>
      <c r="K355" s="3"/>
      <c r="L355" s="3"/>
      <c r="M355" s="3"/>
    </row>
    <row r="356" customFormat="false" ht="15" hidden="false" customHeight="false" outlineLevel="0" collapsed="false">
      <c r="A356" s="28" t="n">
        <v>46301.5238551852</v>
      </c>
      <c r="B356" s="31" t="n">
        <f aca="false">(A356-$A$5)*86400</f>
        <v>17.450000275</v>
      </c>
      <c r="C356" s="27" t="n">
        <v>0.4195</v>
      </c>
      <c r="D356" s="27" t="n">
        <v>1.4932</v>
      </c>
      <c r="E356" s="27" t="s">
        <v>603</v>
      </c>
      <c r="F356" s="27" t="s">
        <v>144</v>
      </c>
      <c r="G356" s="32" t="n">
        <f aca="false">(A356-A355)*86400000</f>
        <v>16.000214</v>
      </c>
      <c r="H356" s="3"/>
      <c r="I356" s="3"/>
      <c r="J356" s="3"/>
      <c r="K356" s="3"/>
      <c r="L356" s="3"/>
      <c r="M356" s="3"/>
    </row>
    <row r="357" customFormat="false" ht="15" hidden="false" customHeight="false" outlineLevel="0" collapsed="false">
      <c r="A357" s="28" t="n">
        <v>46301.5238553704</v>
      </c>
      <c r="B357" s="31" t="n">
        <f aca="false">(A357-$A$5)*86400</f>
        <v>17.465999862</v>
      </c>
      <c r="C357" s="27" t="n">
        <v>0.4163</v>
      </c>
      <c r="D357" s="27" t="n">
        <v>1.4949</v>
      </c>
      <c r="E357" s="27" t="s">
        <v>603</v>
      </c>
      <c r="F357" s="27" t="s">
        <v>144</v>
      </c>
      <c r="G357" s="32" t="n">
        <f aca="false">(A357-A356)*86400000</f>
        <v>15.999586</v>
      </c>
      <c r="H357" s="3"/>
      <c r="I357" s="3"/>
      <c r="J357" s="3"/>
      <c r="K357" s="3"/>
      <c r="L357" s="3"/>
      <c r="M357" s="3"/>
    </row>
    <row r="358" customFormat="false" ht="15" hidden="false" customHeight="false" outlineLevel="0" collapsed="false">
      <c r="A358" s="28" t="n">
        <v>46301.5238555556</v>
      </c>
      <c r="B358" s="31" t="n">
        <f aca="false">(A358-$A$5)*86400</f>
        <v>17.482000705</v>
      </c>
      <c r="C358" s="27" t="n">
        <v>0.4137</v>
      </c>
      <c r="D358" s="27" t="n">
        <v>1.4962</v>
      </c>
      <c r="E358" s="27" t="s">
        <v>603</v>
      </c>
      <c r="F358" s="27" t="s">
        <v>144</v>
      </c>
      <c r="G358" s="32" t="n">
        <f aca="false">(A358-A357)*86400000</f>
        <v>16.000843</v>
      </c>
      <c r="H358" s="3"/>
      <c r="I358" s="3"/>
      <c r="J358" s="3"/>
      <c r="K358" s="3"/>
      <c r="L358" s="3"/>
      <c r="M358" s="3"/>
    </row>
    <row r="359" customFormat="false" ht="15" hidden="false" customHeight="false" outlineLevel="0" collapsed="false">
      <c r="A359" s="28" t="n">
        <v>46301.5238557407</v>
      </c>
      <c r="B359" s="31" t="n">
        <f aca="false">(A359-$A$5)*86400</f>
        <v>17.498000292</v>
      </c>
      <c r="C359" s="27" t="n">
        <v>0.4116</v>
      </c>
      <c r="D359" s="27" t="n">
        <v>1.4974</v>
      </c>
      <c r="E359" s="27" t="s">
        <v>603</v>
      </c>
      <c r="F359" s="27" t="s">
        <v>144</v>
      </c>
      <c r="G359" s="32" t="n">
        <f aca="false">(A359-A358)*86400000</f>
        <v>15.999586</v>
      </c>
      <c r="H359" s="3"/>
      <c r="I359" s="3"/>
      <c r="J359" s="3"/>
      <c r="K359" s="3"/>
      <c r="L359" s="3"/>
      <c r="M359" s="3"/>
    </row>
    <row r="360" customFormat="false" ht="15" hidden="false" customHeight="false" outlineLevel="0" collapsed="false">
      <c r="A360" s="28" t="n">
        <v>46301.5238559259</v>
      </c>
      <c r="B360" s="31" t="n">
        <f aca="false">(A360-$A$5)*86400</f>
        <v>17.513999878</v>
      </c>
      <c r="C360" s="27" t="n">
        <v>0.4098</v>
      </c>
      <c r="D360" s="27" t="n">
        <v>1.4983</v>
      </c>
      <c r="E360" s="27" t="s">
        <v>603</v>
      </c>
      <c r="F360" s="27" t="s">
        <v>144</v>
      </c>
      <c r="G360" s="32" t="n">
        <f aca="false">(A360-A359)*86400000</f>
        <v>15.999586</v>
      </c>
      <c r="H360" s="3"/>
      <c r="I360" s="3"/>
      <c r="J360" s="3"/>
      <c r="K360" s="3"/>
      <c r="L360" s="3"/>
      <c r="M360" s="3"/>
    </row>
    <row r="361" customFormat="false" ht="15" hidden="false" customHeight="false" outlineLevel="0" collapsed="false">
      <c r="A361" s="28" t="n">
        <v>46301.5238561111</v>
      </c>
      <c r="B361" s="31" t="n">
        <f aca="false">(A361-$A$5)*86400</f>
        <v>17.530000093</v>
      </c>
      <c r="C361" s="27" t="n">
        <v>0.4083</v>
      </c>
      <c r="D361" s="27" t="n">
        <v>1.4991</v>
      </c>
      <c r="E361" s="27" t="s">
        <v>603</v>
      </c>
      <c r="F361" s="27" t="s">
        <v>144</v>
      </c>
      <c r="G361" s="32" t="n">
        <f aca="false">(A361-A360)*86400000</f>
        <v>16.000214</v>
      </c>
      <c r="H361" s="3"/>
      <c r="I361" s="3"/>
      <c r="J361" s="3"/>
      <c r="K361" s="3"/>
      <c r="L361" s="3"/>
      <c r="M361" s="3"/>
    </row>
    <row r="362" customFormat="false" ht="15" hidden="false" customHeight="false" outlineLevel="0" collapsed="false">
      <c r="A362" s="28" t="n">
        <v>46301.5238562963</v>
      </c>
      <c r="B362" s="31" t="n">
        <f aca="false">(A362-$A$5)*86400</f>
        <v>17.546000308</v>
      </c>
      <c r="C362" s="27" t="n">
        <v>0.4071</v>
      </c>
      <c r="D362" s="27" t="n">
        <v>1.4997</v>
      </c>
      <c r="E362" s="27" t="s">
        <v>603</v>
      </c>
      <c r="F362" s="27" t="s">
        <v>144</v>
      </c>
      <c r="G362" s="32" t="n">
        <f aca="false">(A362-A361)*86400000</f>
        <v>16.000214</v>
      </c>
      <c r="H362" s="3"/>
      <c r="I362" s="3"/>
      <c r="J362" s="3"/>
      <c r="K362" s="3"/>
      <c r="L362" s="3"/>
      <c r="M362" s="3"/>
    </row>
    <row r="363" customFormat="false" ht="15" hidden="false" customHeight="false" outlineLevel="0" collapsed="false">
      <c r="A363" s="28" t="n">
        <v>46301.5238564815</v>
      </c>
      <c r="B363" s="31" t="n">
        <f aca="false">(A363-$A$5)*86400</f>
        <v>17.561999894</v>
      </c>
      <c r="C363" s="27" t="n">
        <v>0.4061</v>
      </c>
      <c r="D363" s="27" t="n">
        <v>1.5002</v>
      </c>
      <c r="E363" s="27" t="s">
        <v>603</v>
      </c>
      <c r="F363" s="27" t="s">
        <v>144</v>
      </c>
      <c r="G363" s="32" t="n">
        <f aca="false">(A363-A362)*86400000</f>
        <v>15.999586</v>
      </c>
      <c r="H363" s="3"/>
      <c r="I363" s="3"/>
      <c r="J363" s="3"/>
      <c r="K363" s="3"/>
      <c r="L363" s="3"/>
      <c r="M363" s="3"/>
    </row>
    <row r="364" customFormat="false" ht="15" hidden="false" customHeight="false" outlineLevel="0" collapsed="false">
      <c r="A364" s="28" t="n">
        <v>46301.5238566667</v>
      </c>
      <c r="B364" s="31" t="n">
        <f aca="false">(A364-$A$5)*86400</f>
        <v>17.578000109</v>
      </c>
      <c r="C364" s="27" t="n">
        <v>0.4031</v>
      </c>
      <c r="D364" s="27" t="n">
        <v>1.5014</v>
      </c>
      <c r="E364" s="27" t="s">
        <v>603</v>
      </c>
      <c r="F364" s="27" t="s">
        <v>144</v>
      </c>
      <c r="G364" s="32" t="n">
        <f aca="false">(A364-A363)*86400000</f>
        <v>16.000214</v>
      </c>
      <c r="H364" s="3"/>
      <c r="I364" s="3"/>
      <c r="J364" s="3"/>
      <c r="K364" s="3"/>
      <c r="L364" s="3"/>
      <c r="M364" s="3"/>
    </row>
    <row r="365" customFormat="false" ht="15" hidden="false" customHeight="false" outlineLevel="0" collapsed="false">
      <c r="A365" s="28" t="n">
        <v>46301.5238568519</v>
      </c>
      <c r="B365" s="31" t="n">
        <f aca="false">(A365-$A$5)*86400</f>
        <v>17.593999695</v>
      </c>
      <c r="C365" s="27" t="n">
        <v>0.4008</v>
      </c>
      <c r="D365" s="27" t="n">
        <v>1.5023</v>
      </c>
      <c r="E365" s="27" t="s">
        <v>603</v>
      </c>
      <c r="F365" s="27" t="s">
        <v>144</v>
      </c>
      <c r="G365" s="32" t="n">
        <f aca="false">(A365-A364)*86400000</f>
        <v>15.999586</v>
      </c>
      <c r="H365" s="3"/>
      <c r="I365" s="3"/>
      <c r="J365" s="3"/>
      <c r="K365" s="3"/>
      <c r="L365" s="3"/>
      <c r="M365" s="3"/>
    </row>
    <row r="366" customFormat="false" ht="15" hidden="false" customHeight="false" outlineLevel="0" collapsed="false">
      <c r="A366" s="28" t="n">
        <v>46301.523857037</v>
      </c>
      <c r="B366" s="31" t="n">
        <f aca="false">(A366-$A$5)*86400</f>
        <v>17.609999282</v>
      </c>
      <c r="C366" s="27" t="n">
        <v>0.3989</v>
      </c>
      <c r="D366" s="27" t="n">
        <v>1.503</v>
      </c>
      <c r="E366" s="27" t="s">
        <v>603</v>
      </c>
      <c r="F366" s="27" t="s">
        <v>144</v>
      </c>
      <c r="G366" s="32" t="n">
        <f aca="false">(A366-A365)*86400000</f>
        <v>15.999586</v>
      </c>
      <c r="H366" s="3"/>
      <c r="I366" s="3"/>
      <c r="J366" s="3"/>
      <c r="K366" s="3"/>
      <c r="L366" s="3"/>
      <c r="M366" s="3"/>
    </row>
    <row r="367" customFormat="false" ht="15" hidden="false" customHeight="false" outlineLevel="0" collapsed="false">
      <c r="A367" s="28" t="n">
        <v>46301.5238572222</v>
      </c>
      <c r="B367" s="31" t="n">
        <f aca="false">(A367-$A$5)*86400</f>
        <v>17.626000125</v>
      </c>
      <c r="C367" s="27" t="n">
        <v>0.3974</v>
      </c>
      <c r="D367" s="27" t="n">
        <v>1.5036</v>
      </c>
      <c r="E367" s="27" t="s">
        <v>603</v>
      </c>
      <c r="F367" s="27" t="s">
        <v>144</v>
      </c>
      <c r="G367" s="32" t="n">
        <f aca="false">(A367-A366)*86400000</f>
        <v>16.000843</v>
      </c>
      <c r="H367" s="3"/>
      <c r="I367" s="3"/>
      <c r="J367" s="3"/>
      <c r="K367" s="3"/>
      <c r="L367" s="3"/>
      <c r="M367" s="3"/>
    </row>
    <row r="368" customFormat="false" ht="15" hidden="false" customHeight="false" outlineLevel="0" collapsed="false">
      <c r="A368" s="28" t="n">
        <v>46301.5238574074</v>
      </c>
      <c r="B368" s="31" t="n">
        <f aca="false">(A368-$A$5)*86400</f>
        <v>17.64200034</v>
      </c>
      <c r="C368" s="27" t="n">
        <v>0.3961</v>
      </c>
      <c r="D368" s="27" t="n">
        <v>1.5041</v>
      </c>
      <c r="E368" s="27" t="s">
        <v>603</v>
      </c>
      <c r="F368" s="27" t="s">
        <v>144</v>
      </c>
      <c r="G368" s="32" t="n">
        <f aca="false">(A368-A367)*86400000</f>
        <v>16.000214</v>
      </c>
      <c r="H368" s="3"/>
      <c r="I368" s="3"/>
      <c r="J368" s="3"/>
      <c r="K368" s="3"/>
      <c r="L368" s="3"/>
      <c r="M368" s="3"/>
    </row>
    <row r="369" customFormat="false" ht="15" hidden="false" customHeight="false" outlineLevel="0" collapsed="false">
      <c r="A369" s="28" t="n">
        <v>46301.5238577778</v>
      </c>
      <c r="B369" s="31" t="n">
        <f aca="false">(A369-$A$5)*86400</f>
        <v>17.674000142</v>
      </c>
      <c r="C369" s="27" t="n">
        <v>0.3941</v>
      </c>
      <c r="D369" s="27" t="n">
        <v>1.5049</v>
      </c>
      <c r="E369" s="27" t="s">
        <v>603</v>
      </c>
      <c r="F369" s="27" t="s">
        <v>144</v>
      </c>
      <c r="G369" s="32" t="n">
        <f aca="false">(A369-A368)*86400000</f>
        <v>31.999801</v>
      </c>
      <c r="H369" s="3"/>
      <c r="I369" s="3"/>
      <c r="J369" s="3"/>
      <c r="K369" s="3"/>
      <c r="L369" s="3"/>
      <c r="M369" s="3"/>
    </row>
    <row r="370" customFormat="false" ht="15" hidden="false" customHeight="false" outlineLevel="0" collapsed="false">
      <c r="A370" s="28" t="n">
        <v>46301.523857963</v>
      </c>
      <c r="B370" s="31" t="n">
        <f aca="false">(A370-$A$5)*86400</f>
        <v>17.690000985</v>
      </c>
      <c r="C370" s="27" t="n">
        <v>0.3888</v>
      </c>
      <c r="D370" s="27" t="n">
        <v>1.5024</v>
      </c>
      <c r="E370" s="27" t="s">
        <v>603</v>
      </c>
      <c r="F370" s="27" t="s">
        <v>144</v>
      </c>
      <c r="G370" s="32" t="n">
        <f aca="false">(A370-A369)*86400000</f>
        <v>16.000843</v>
      </c>
      <c r="H370" s="3"/>
      <c r="I370" s="3"/>
      <c r="J370" s="3"/>
      <c r="K370" s="3"/>
      <c r="L370" s="3"/>
      <c r="M370" s="3"/>
    </row>
    <row r="371" customFormat="false" ht="15" hidden="false" customHeight="false" outlineLevel="0" collapsed="false">
      <c r="A371" s="28" t="n">
        <v>46301.5238581597</v>
      </c>
      <c r="B371" s="31" t="n">
        <f aca="false">(A371-$A$5)*86400</f>
        <v>17.707000114</v>
      </c>
      <c r="C371" s="27" t="n">
        <v>0.3843</v>
      </c>
      <c r="D371" s="27" t="n">
        <v>1.5004</v>
      </c>
      <c r="E371" s="27" t="s">
        <v>603</v>
      </c>
      <c r="F371" s="27" t="s">
        <v>144</v>
      </c>
      <c r="G371" s="32" t="n">
        <f aca="false">(A371-A370)*86400000</f>
        <v>16.999128</v>
      </c>
      <c r="H371" s="3"/>
      <c r="I371" s="3"/>
      <c r="J371" s="3"/>
      <c r="K371" s="3"/>
      <c r="L371" s="3"/>
      <c r="M371" s="3"/>
    </row>
    <row r="372" customFormat="false" ht="15" hidden="false" customHeight="false" outlineLevel="0" collapsed="false">
      <c r="A372" s="28" t="n">
        <v>46301.5238583333</v>
      </c>
      <c r="B372" s="31" t="n">
        <f aca="false">(A372-$A$5)*86400</f>
        <v>17.721999529</v>
      </c>
      <c r="C372" s="27" t="n">
        <v>0.3806</v>
      </c>
      <c r="D372" s="27" t="n">
        <v>1.4987</v>
      </c>
      <c r="E372" s="27" t="s">
        <v>603</v>
      </c>
      <c r="F372" s="27" t="s">
        <v>144</v>
      </c>
      <c r="G372" s="32" t="n">
        <f aca="false">(A372-A371)*86400000</f>
        <v>14.999415</v>
      </c>
      <c r="H372" s="3"/>
      <c r="I372" s="3"/>
      <c r="J372" s="3"/>
      <c r="K372" s="3"/>
      <c r="L372" s="3"/>
      <c r="M372" s="3"/>
    </row>
    <row r="373" customFormat="false" ht="15" hidden="false" customHeight="false" outlineLevel="0" collapsed="false">
      <c r="A373" s="28" t="n">
        <v>46301.5238585301</v>
      </c>
      <c r="B373" s="31" t="n">
        <f aca="false">(A373-$A$5)*86400</f>
        <v>17.738999915</v>
      </c>
      <c r="C373" s="27" t="n">
        <v>0.3774</v>
      </c>
      <c r="D373" s="27" t="n">
        <v>1.4972</v>
      </c>
      <c r="E373" s="27" t="s">
        <v>603</v>
      </c>
      <c r="F373" s="27" t="s">
        <v>144</v>
      </c>
      <c r="G373" s="32" t="n">
        <f aca="false">(A373-A372)*86400000</f>
        <v>17.000385</v>
      </c>
      <c r="H373" s="3"/>
      <c r="I373" s="3"/>
      <c r="J373" s="3"/>
      <c r="K373" s="3"/>
      <c r="L373" s="3"/>
      <c r="M373" s="3"/>
    </row>
    <row r="374" customFormat="false" ht="15" hidden="false" customHeight="false" outlineLevel="0" collapsed="false">
      <c r="A374" s="28" t="n">
        <v>46301.5238587153</v>
      </c>
      <c r="B374" s="31" t="n">
        <f aca="false">(A374-$A$5)*86400</f>
        <v>17.75500013</v>
      </c>
      <c r="C374" s="27" t="n">
        <v>0.375</v>
      </c>
      <c r="D374" s="27" t="n">
        <v>1.4961</v>
      </c>
      <c r="E374" s="27" t="s">
        <v>603</v>
      </c>
      <c r="F374" s="27" t="s">
        <v>144</v>
      </c>
      <c r="G374" s="32" t="n">
        <f aca="false">(A374-A373)*86400000</f>
        <v>16.000214</v>
      </c>
      <c r="H374" s="3"/>
      <c r="I374" s="3"/>
      <c r="J374" s="3"/>
      <c r="K374" s="3"/>
      <c r="L374" s="3"/>
      <c r="M374" s="3"/>
    </row>
    <row r="375" customFormat="false" ht="15" hidden="false" customHeight="false" outlineLevel="0" collapsed="false">
      <c r="A375" s="28" t="n">
        <v>46301.5238589005</v>
      </c>
      <c r="B375" s="31" t="n">
        <f aca="false">(A375-$A$5)*86400</f>
        <v>17.771000973</v>
      </c>
      <c r="C375" s="27" t="n">
        <v>0.3729</v>
      </c>
      <c r="D375" s="27" t="n">
        <v>1.4952</v>
      </c>
      <c r="E375" s="27" t="s">
        <v>603</v>
      </c>
      <c r="F375" s="27" t="s">
        <v>144</v>
      </c>
      <c r="G375" s="32" t="n">
        <f aca="false">(A375-A374)*86400000</f>
        <v>16.000843</v>
      </c>
      <c r="H375" s="3"/>
      <c r="I375" s="3"/>
      <c r="J375" s="3"/>
      <c r="K375" s="3"/>
      <c r="L375" s="3"/>
      <c r="M375" s="3"/>
    </row>
    <row r="376" customFormat="false" ht="15" hidden="false" customHeight="false" outlineLevel="0" collapsed="false">
      <c r="A376" s="28" t="n">
        <v>46301.5238590857</v>
      </c>
      <c r="B376" s="31" t="n">
        <f aca="false">(A376-$A$5)*86400</f>
        <v>17.78700056</v>
      </c>
      <c r="C376" s="27" t="n">
        <v>0.3712</v>
      </c>
      <c r="D376" s="27" t="n">
        <v>1.4944</v>
      </c>
      <c r="E376" s="27" t="s">
        <v>603</v>
      </c>
      <c r="F376" s="27" t="s">
        <v>144</v>
      </c>
      <c r="G376" s="32" t="n">
        <f aca="false">(A376-A375)*86400000</f>
        <v>15.999586</v>
      </c>
      <c r="H376" s="3"/>
      <c r="I376" s="3"/>
      <c r="J376" s="3"/>
      <c r="K376" s="3"/>
      <c r="L376" s="3"/>
      <c r="M376" s="3"/>
    </row>
    <row r="377" customFormat="false" ht="15" hidden="false" customHeight="false" outlineLevel="0" collapsed="false">
      <c r="A377" s="28" t="n">
        <v>46301.5238592708</v>
      </c>
      <c r="B377" s="31" t="n">
        <f aca="false">(A377-$A$5)*86400</f>
        <v>17.802999517</v>
      </c>
      <c r="C377" s="27" t="n">
        <v>0.3699</v>
      </c>
      <c r="D377" s="27" t="n">
        <v>1.4938</v>
      </c>
      <c r="E377" s="27" t="s">
        <v>603</v>
      </c>
      <c r="F377" s="27" t="s">
        <v>144</v>
      </c>
      <c r="G377" s="32" t="n">
        <f aca="false">(A377-A376)*86400000</f>
        <v>15.998957</v>
      </c>
      <c r="H377" s="3"/>
      <c r="I377" s="3"/>
      <c r="J377" s="3"/>
      <c r="K377" s="3"/>
      <c r="L377" s="3"/>
      <c r="M377" s="3"/>
    </row>
    <row r="378" customFormat="false" ht="15" hidden="false" customHeight="false" outlineLevel="0" collapsed="false">
      <c r="A378" s="28" t="n">
        <v>46301.5238594676</v>
      </c>
      <c r="B378" s="31" t="n">
        <f aca="false">(A378-$A$5)*86400</f>
        <v>17.819999903</v>
      </c>
      <c r="C378" s="27" t="n">
        <v>0.3686</v>
      </c>
      <c r="D378" s="27" t="n">
        <v>1.4932</v>
      </c>
      <c r="E378" s="27" t="s">
        <v>603</v>
      </c>
      <c r="F378" s="27" t="s">
        <v>144</v>
      </c>
      <c r="G378" s="32" t="n">
        <f aca="false">(A378-A377)*86400000</f>
        <v>17.000385</v>
      </c>
      <c r="H378" s="3"/>
      <c r="I378" s="3"/>
      <c r="J378" s="3"/>
      <c r="K378" s="3"/>
      <c r="L378" s="3"/>
      <c r="M378" s="3"/>
    </row>
    <row r="379" customFormat="false" ht="15" hidden="false" customHeight="false" outlineLevel="0" collapsed="false">
      <c r="A379" s="28" t="n">
        <v>46301.5238596644</v>
      </c>
      <c r="B379" s="31" t="n">
        <f aca="false">(A379-$A$5)*86400</f>
        <v>17.83699966</v>
      </c>
      <c r="C379" s="27" t="n">
        <v>0.3677</v>
      </c>
      <c r="D379" s="27" t="n">
        <v>1.4928</v>
      </c>
      <c r="E379" s="27" t="s">
        <v>603</v>
      </c>
      <c r="F379" s="27" t="s">
        <v>144</v>
      </c>
      <c r="G379" s="32" t="n">
        <f aca="false">(A379-A378)*86400000</f>
        <v>16.999756</v>
      </c>
      <c r="H379" s="3"/>
      <c r="I379" s="3"/>
      <c r="J379" s="3"/>
      <c r="K379" s="3"/>
      <c r="L379" s="3"/>
      <c r="M379" s="3"/>
    </row>
    <row r="380" customFormat="false" ht="15" hidden="false" customHeight="false" outlineLevel="0" collapsed="false">
      <c r="A380" s="28" t="n">
        <v>46301.5238602199</v>
      </c>
      <c r="B380" s="31" t="n">
        <f aca="false">(A380-$A$5)*86400</f>
        <v>17.885000305</v>
      </c>
      <c r="C380" s="27" t="n">
        <v>0.3657</v>
      </c>
      <c r="D380" s="27" t="n">
        <v>1.4919</v>
      </c>
      <c r="E380" s="27" t="s">
        <v>603</v>
      </c>
      <c r="F380" s="27" t="s">
        <v>144</v>
      </c>
      <c r="G380" s="32" t="n">
        <f aca="false">(A380-A379)*86400000</f>
        <v>48.000644</v>
      </c>
      <c r="H380" s="3"/>
      <c r="I380" s="3"/>
      <c r="J380" s="3"/>
      <c r="K380" s="3"/>
      <c r="L380" s="3"/>
      <c r="M380" s="3"/>
    </row>
    <row r="381" customFormat="false" ht="15" hidden="false" customHeight="false" outlineLevel="0" collapsed="false">
      <c r="A381" s="28" t="n">
        <v>46301.5238604051</v>
      </c>
      <c r="B381" s="31" t="n">
        <f aca="false">(A381-$A$5)*86400</f>
        <v>17.900999891</v>
      </c>
      <c r="C381" s="27" t="n">
        <v>0.3651</v>
      </c>
      <c r="D381" s="27" t="n">
        <v>1.4864</v>
      </c>
      <c r="E381" s="27" t="s">
        <v>603</v>
      </c>
      <c r="F381" s="27" t="s">
        <v>144</v>
      </c>
      <c r="G381" s="32" t="n">
        <f aca="false">(A381-A380)*86400000</f>
        <v>15.999586</v>
      </c>
      <c r="H381" s="3"/>
      <c r="I381" s="3"/>
      <c r="J381" s="3"/>
      <c r="K381" s="3"/>
      <c r="L381" s="3"/>
      <c r="M381" s="3"/>
    </row>
    <row r="382" customFormat="false" ht="15" hidden="false" customHeight="false" outlineLevel="0" collapsed="false">
      <c r="A382" s="28" t="n">
        <v>46301.5238605903</v>
      </c>
      <c r="B382" s="31" t="n">
        <f aca="false">(A382-$A$5)*86400</f>
        <v>17.917000106</v>
      </c>
      <c r="C382" s="27" t="n">
        <v>0.3645</v>
      </c>
      <c r="D382" s="27" t="n">
        <v>1.4819</v>
      </c>
      <c r="E382" s="27" t="s">
        <v>603</v>
      </c>
      <c r="F382" s="27" t="s">
        <v>144</v>
      </c>
      <c r="G382" s="32" t="n">
        <f aca="false">(A382-A381)*86400000</f>
        <v>16.000214</v>
      </c>
      <c r="H382" s="3"/>
      <c r="I382" s="3"/>
      <c r="J382" s="3"/>
      <c r="K382" s="3"/>
      <c r="L382" s="3"/>
      <c r="M382" s="3"/>
    </row>
    <row r="383" customFormat="false" ht="15" hidden="false" customHeight="false" outlineLevel="0" collapsed="false">
      <c r="A383" s="28" t="n">
        <v>46301.523860787</v>
      </c>
      <c r="B383" s="31" t="n">
        <f aca="false">(A383-$A$5)*86400</f>
        <v>17.933999234</v>
      </c>
      <c r="C383" s="27" t="n">
        <v>0.364</v>
      </c>
      <c r="D383" s="27" t="n">
        <v>1.4779</v>
      </c>
      <c r="E383" s="27" t="s">
        <v>603</v>
      </c>
      <c r="F383" s="27" t="s">
        <v>144</v>
      </c>
      <c r="G383" s="32" t="n">
        <f aca="false">(A383-A382)*86400000</f>
        <v>16.999128</v>
      </c>
      <c r="H383" s="3"/>
      <c r="I383" s="3"/>
      <c r="J383" s="3"/>
      <c r="K383" s="3"/>
      <c r="L383" s="3"/>
      <c r="M383" s="3"/>
    </row>
    <row r="384" customFormat="false" ht="15" hidden="false" customHeight="false" outlineLevel="0" collapsed="false">
      <c r="A384" s="28" t="n">
        <v>46301.5238609838</v>
      </c>
      <c r="B384" s="31" t="n">
        <f aca="false">(A384-$A$5)*86400</f>
        <v>17.951000249</v>
      </c>
      <c r="C384" s="27" t="n">
        <v>0.3636</v>
      </c>
      <c r="D384" s="27" t="n">
        <v>1.4747</v>
      </c>
      <c r="E384" s="27" t="s">
        <v>603</v>
      </c>
      <c r="F384" s="27" t="s">
        <v>144</v>
      </c>
      <c r="G384" s="32" t="n">
        <f aca="false">(A384-A383)*86400000</f>
        <v>17.001014</v>
      </c>
      <c r="H384" s="3"/>
      <c r="I384" s="3"/>
      <c r="J384" s="3"/>
      <c r="K384" s="3"/>
      <c r="L384" s="3"/>
      <c r="M384" s="3"/>
    </row>
    <row r="385" customFormat="false" ht="15" hidden="false" customHeight="false" outlineLevel="0" collapsed="false">
      <c r="A385" s="28" t="n">
        <v>46301.523861169</v>
      </c>
      <c r="B385" s="31" t="n">
        <f aca="false">(A385-$A$5)*86400</f>
        <v>17.966999835</v>
      </c>
      <c r="C385" s="27" t="n">
        <v>0.3633</v>
      </c>
      <c r="D385" s="27" t="n">
        <v>1.4724</v>
      </c>
      <c r="E385" s="27" t="s">
        <v>603</v>
      </c>
      <c r="F385" s="27" t="s">
        <v>144</v>
      </c>
      <c r="G385" s="32" t="n">
        <f aca="false">(A385-A384)*86400000</f>
        <v>15.999586</v>
      </c>
      <c r="H385" s="3"/>
      <c r="I385" s="3"/>
      <c r="J385" s="3"/>
      <c r="K385" s="3"/>
      <c r="L385" s="3"/>
      <c r="M385" s="3"/>
    </row>
    <row r="386" customFormat="false" ht="15" hidden="false" customHeight="false" outlineLevel="0" collapsed="false">
      <c r="A386" s="28" t="n">
        <v>46301.5238613542</v>
      </c>
      <c r="B386" s="31" t="n">
        <f aca="false">(A386-$A$5)*86400</f>
        <v>17.983000678</v>
      </c>
      <c r="C386" s="27" t="n">
        <v>0.363</v>
      </c>
      <c r="D386" s="27" t="n">
        <v>1.4703</v>
      </c>
      <c r="E386" s="27" t="s">
        <v>603</v>
      </c>
      <c r="F386" s="27" t="s">
        <v>144</v>
      </c>
      <c r="G386" s="32" t="n">
        <f aca="false">(A386-A385)*86400000</f>
        <v>16.000843</v>
      </c>
      <c r="H386" s="3"/>
      <c r="I386" s="3"/>
      <c r="J386" s="3"/>
      <c r="K386" s="3"/>
      <c r="L386" s="3"/>
      <c r="M386" s="3"/>
    </row>
    <row r="387" customFormat="false" ht="15" hidden="false" customHeight="false" outlineLevel="0" collapsed="false">
      <c r="A387" s="28" t="n">
        <v>46301.5238615394</v>
      </c>
      <c r="B387" s="31" t="n">
        <f aca="false">(A387-$A$5)*86400</f>
        <v>17.998999636</v>
      </c>
      <c r="C387" s="27" t="n">
        <v>0.3628</v>
      </c>
      <c r="D387" s="27" t="n">
        <v>1.4686</v>
      </c>
      <c r="E387" s="27" t="s">
        <v>603</v>
      </c>
      <c r="F387" s="27" t="s">
        <v>144</v>
      </c>
      <c r="G387" s="32" t="n">
        <f aca="false">(A387-A386)*86400000</f>
        <v>15.998957</v>
      </c>
      <c r="H387" s="3"/>
      <c r="I387" s="3"/>
      <c r="J387" s="3"/>
      <c r="K387" s="3"/>
      <c r="L387" s="3"/>
      <c r="M387" s="3"/>
    </row>
    <row r="388" customFormat="false" ht="15" hidden="false" customHeight="false" outlineLevel="0" collapsed="false">
      <c r="A388" s="28" t="n">
        <v>46301.5238619097</v>
      </c>
      <c r="B388" s="31" t="n">
        <f aca="false">(A388-$A$5)*86400</f>
        <v>18.031000066</v>
      </c>
      <c r="C388" s="27" t="n">
        <v>0.3625</v>
      </c>
      <c r="D388" s="27" t="n">
        <v>1.466</v>
      </c>
      <c r="E388" s="27" t="s">
        <v>603</v>
      </c>
      <c r="F388" s="27" t="s">
        <v>144</v>
      </c>
      <c r="G388" s="32" t="n">
        <f aca="false">(A388-A387)*86400000</f>
        <v>32.000429</v>
      </c>
      <c r="H388" s="3"/>
      <c r="I388" s="3"/>
      <c r="J388" s="3"/>
      <c r="K388" s="3"/>
      <c r="L388" s="3"/>
      <c r="M388" s="3"/>
    </row>
    <row r="389" customFormat="false" ht="15" hidden="false" customHeight="false" outlineLevel="0" collapsed="false">
      <c r="A389" s="28" t="n">
        <v>46301.5238622917</v>
      </c>
      <c r="B389" s="31" t="n">
        <f aca="false">(A389-$A$5)*86400</f>
        <v>18.064000667</v>
      </c>
      <c r="C389" s="27" t="n">
        <v>0.3623</v>
      </c>
      <c r="D389" s="27" t="n">
        <v>1.4642</v>
      </c>
      <c r="E389" s="27" t="s">
        <v>603</v>
      </c>
      <c r="F389" s="27" t="s">
        <v>144</v>
      </c>
      <c r="G389" s="32" t="n">
        <f aca="false">(A389-A388)*86400000</f>
        <v>33.0006</v>
      </c>
      <c r="H389" s="3"/>
      <c r="I389" s="3"/>
      <c r="J389" s="3"/>
      <c r="K389" s="3"/>
      <c r="L389" s="3"/>
      <c r="M389" s="3"/>
    </row>
    <row r="390" customFormat="false" ht="15" hidden="false" customHeight="false" outlineLevel="0" collapsed="false">
      <c r="A390" s="28" t="n">
        <v>46301.5238628472</v>
      </c>
      <c r="B390" s="31" t="n">
        <f aca="false">(A390-$A$5)*86400</f>
        <v>18.112000054</v>
      </c>
      <c r="C390" s="27" t="n">
        <v>0.3621</v>
      </c>
      <c r="D390" s="27" t="n">
        <v>1.4626</v>
      </c>
      <c r="E390" s="27" t="s">
        <v>603</v>
      </c>
      <c r="F390" s="27" t="s">
        <v>144</v>
      </c>
      <c r="G390" s="32" t="n">
        <f aca="false">(A390-A389)*86400000</f>
        <v>47.999387</v>
      </c>
      <c r="H390" s="3"/>
      <c r="I390" s="3"/>
      <c r="J390" s="3"/>
      <c r="K390" s="3"/>
      <c r="L390" s="3"/>
      <c r="M390" s="3"/>
    </row>
    <row r="391" customFormat="false" ht="15" hidden="false" customHeight="false" outlineLevel="0" collapsed="false">
      <c r="A391" s="28" t="n">
        <v>46301.5238637732</v>
      </c>
      <c r="B391" s="31" t="n">
        <f aca="false">(A391-$A$5)*86400</f>
        <v>18.1920005</v>
      </c>
      <c r="C391" s="27" t="n">
        <v>0.3831</v>
      </c>
      <c r="D391" s="27" t="n">
        <v>1.4549</v>
      </c>
      <c r="E391" s="27" t="s">
        <v>603</v>
      </c>
      <c r="F391" s="27" t="s">
        <v>144</v>
      </c>
      <c r="G391" s="32" t="n">
        <f aca="false">(A391-A390)*86400000</f>
        <v>80.000446</v>
      </c>
      <c r="H391" s="3"/>
      <c r="I391" s="3"/>
      <c r="J391" s="3"/>
      <c r="K391" s="3"/>
      <c r="L391" s="3"/>
      <c r="M391" s="3"/>
    </row>
    <row r="392" customFormat="false" ht="15" hidden="false" customHeight="false" outlineLevel="0" collapsed="false">
      <c r="A392" s="28" t="n">
        <v>46301.5238639583</v>
      </c>
      <c r="B392" s="31" t="n">
        <f aca="false">(A392-$A$5)*86400</f>
        <v>18.208000087</v>
      </c>
      <c r="C392" s="27" t="n">
        <v>0.4006</v>
      </c>
      <c r="D392" s="27" t="n">
        <v>1.4503</v>
      </c>
      <c r="E392" s="27" t="s">
        <v>603</v>
      </c>
      <c r="F392" s="27" t="s">
        <v>144</v>
      </c>
      <c r="G392" s="32" t="n">
        <f aca="false">(A392-A391)*86400000</f>
        <v>15.999586</v>
      </c>
      <c r="H392" s="3"/>
      <c r="I392" s="3"/>
      <c r="J392" s="3"/>
      <c r="K392" s="3"/>
      <c r="L392" s="3"/>
      <c r="M392" s="3"/>
    </row>
    <row r="393" customFormat="false" ht="15" hidden="false" customHeight="false" outlineLevel="0" collapsed="false">
      <c r="A393" s="28" t="n">
        <v>46301.5238641435</v>
      </c>
      <c r="B393" s="31" t="n">
        <f aca="false">(A393-$A$5)*86400</f>
        <v>18.224000302</v>
      </c>
      <c r="C393" s="27" t="n">
        <v>0.415</v>
      </c>
      <c r="D393" s="27" t="n">
        <v>1.4465</v>
      </c>
      <c r="E393" s="27" t="s">
        <v>603</v>
      </c>
      <c r="F393" s="27" t="s">
        <v>144</v>
      </c>
      <c r="G393" s="32" t="n">
        <f aca="false">(A393-A392)*86400000</f>
        <v>16.000214</v>
      </c>
      <c r="H393" s="3"/>
      <c r="I393" s="3"/>
      <c r="J393" s="3"/>
      <c r="K393" s="3"/>
      <c r="L393" s="3"/>
      <c r="M393" s="3"/>
    </row>
    <row r="394" customFormat="false" ht="15" hidden="false" customHeight="false" outlineLevel="0" collapsed="false">
      <c r="A394" s="28" t="n">
        <v>46301.5238643403</v>
      </c>
      <c r="B394" s="31" t="n">
        <f aca="false">(A394-$A$5)*86400</f>
        <v>18.241000059</v>
      </c>
      <c r="C394" s="27" t="n">
        <v>0.4277</v>
      </c>
      <c r="D394" s="27" t="n">
        <v>1.4432</v>
      </c>
      <c r="E394" s="27" t="s">
        <v>603</v>
      </c>
      <c r="F394" s="27" t="s">
        <v>144</v>
      </c>
      <c r="G394" s="32" t="n">
        <f aca="false">(A394-A393)*86400000</f>
        <v>16.999756</v>
      </c>
      <c r="H394" s="3"/>
      <c r="I394" s="3"/>
      <c r="J394" s="3"/>
      <c r="K394" s="3"/>
      <c r="L394" s="3"/>
      <c r="M394" s="3"/>
    </row>
    <row r="395" customFormat="false" ht="15" hidden="false" customHeight="false" outlineLevel="0" collapsed="false">
      <c r="A395" s="28" t="n">
        <v>46301.523864537</v>
      </c>
      <c r="B395" s="31" t="n">
        <f aca="false">(A395-$A$5)*86400</f>
        <v>18.257999187</v>
      </c>
      <c r="C395" s="27" t="n">
        <v>0.4374</v>
      </c>
      <c r="D395" s="27" t="n">
        <v>1.4406</v>
      </c>
      <c r="E395" s="27" t="s">
        <v>603</v>
      </c>
      <c r="F395" s="27" t="s">
        <v>144</v>
      </c>
      <c r="G395" s="32" t="n">
        <f aca="false">(A395-A394)*86400000</f>
        <v>16.999128</v>
      </c>
      <c r="H395" s="3"/>
      <c r="I395" s="3"/>
      <c r="J395" s="3"/>
      <c r="K395" s="3"/>
      <c r="L395" s="3"/>
      <c r="M395" s="3"/>
    </row>
    <row r="396" customFormat="false" ht="15" hidden="false" customHeight="false" outlineLevel="0" collapsed="false">
      <c r="A396" s="28" t="n">
        <v>46301.5238647107</v>
      </c>
      <c r="B396" s="31" t="n">
        <f aca="false">(A396-$A$5)*86400</f>
        <v>18.273000488</v>
      </c>
      <c r="C396" s="27" t="n">
        <v>0.4454</v>
      </c>
      <c r="D396" s="27" t="n">
        <v>1.4385</v>
      </c>
      <c r="E396" s="27" t="s">
        <v>603</v>
      </c>
      <c r="F396" s="27" t="s">
        <v>144</v>
      </c>
      <c r="G396" s="32" t="n">
        <f aca="false">(A396-A395)*86400000</f>
        <v>15.001301</v>
      </c>
      <c r="H396" s="3"/>
      <c r="I396" s="3"/>
      <c r="J396" s="3"/>
      <c r="K396" s="3"/>
      <c r="L396" s="3"/>
      <c r="M396" s="3"/>
    </row>
    <row r="397" customFormat="false" ht="15" hidden="false" customHeight="false" outlineLevel="0" collapsed="false">
      <c r="A397" s="28" t="n">
        <v>46301.5238649074</v>
      </c>
      <c r="B397" s="31" t="n">
        <f aca="false">(A397-$A$5)*86400</f>
        <v>18.290000245</v>
      </c>
      <c r="C397" s="27" t="n">
        <v>0.4521</v>
      </c>
      <c r="D397" s="27" t="n">
        <v>1.4368</v>
      </c>
      <c r="E397" s="27" t="s">
        <v>603</v>
      </c>
      <c r="F397" s="27" t="s">
        <v>144</v>
      </c>
      <c r="G397" s="32" t="n">
        <f aca="false">(A397-A396)*86400000</f>
        <v>16.999756</v>
      </c>
      <c r="H397" s="3"/>
      <c r="I397" s="3"/>
      <c r="J397" s="3"/>
      <c r="K397" s="3"/>
      <c r="L397" s="3"/>
      <c r="M397" s="3"/>
    </row>
    <row r="398" customFormat="false" ht="15" hidden="false" customHeight="false" outlineLevel="0" collapsed="false">
      <c r="A398" s="28" t="n">
        <v>46301.5238650926</v>
      </c>
      <c r="B398" s="31" t="n">
        <f aca="false">(A398-$A$5)*86400</f>
        <v>18.305999832</v>
      </c>
      <c r="C398" s="27" t="n">
        <v>0.4578</v>
      </c>
      <c r="D398" s="27" t="n">
        <v>1.4353</v>
      </c>
      <c r="E398" s="27" t="s">
        <v>603</v>
      </c>
      <c r="F398" s="27" t="s">
        <v>144</v>
      </c>
      <c r="G398" s="32" t="n">
        <f aca="false">(A398-A397)*86400000</f>
        <v>15.999586</v>
      </c>
      <c r="H398" s="3"/>
      <c r="I398" s="3"/>
      <c r="J398" s="3"/>
      <c r="K398" s="3"/>
      <c r="L398" s="3"/>
      <c r="M398" s="3"/>
    </row>
    <row r="399" customFormat="false" ht="15" hidden="false" customHeight="false" outlineLevel="0" collapsed="false">
      <c r="A399" s="28" t="n">
        <v>46301.5238652778</v>
      </c>
      <c r="B399" s="31" t="n">
        <f aca="false">(A399-$A$5)*86400</f>
        <v>18.322000047</v>
      </c>
      <c r="C399" s="27" t="n">
        <v>0.4623</v>
      </c>
      <c r="D399" s="27" t="n">
        <v>1.4341</v>
      </c>
      <c r="E399" s="27" t="s">
        <v>603</v>
      </c>
      <c r="F399" s="27" t="s">
        <v>144</v>
      </c>
      <c r="G399" s="32" t="n">
        <f aca="false">(A399-A398)*86400000</f>
        <v>16.000214</v>
      </c>
      <c r="H399" s="3"/>
      <c r="I399" s="3"/>
      <c r="J399" s="3"/>
      <c r="K399" s="3"/>
      <c r="L399" s="3"/>
      <c r="M399" s="3"/>
    </row>
    <row r="400" customFormat="false" ht="15" hidden="false" customHeight="false" outlineLevel="0" collapsed="false">
      <c r="A400" s="28" t="n">
        <v>46301.523865463</v>
      </c>
      <c r="B400" s="31" t="n">
        <f aca="false">(A400-$A$5)*86400</f>
        <v>18.337999633</v>
      </c>
      <c r="C400" s="27" t="n">
        <v>0.466</v>
      </c>
      <c r="D400" s="27" t="n">
        <v>1.4331</v>
      </c>
      <c r="E400" s="27" t="s">
        <v>603</v>
      </c>
      <c r="F400" s="27" t="s">
        <v>144</v>
      </c>
      <c r="G400" s="32" t="n">
        <f aca="false">(A400-A399)*86400000</f>
        <v>15.999586</v>
      </c>
      <c r="H400" s="3"/>
      <c r="I400" s="3"/>
      <c r="J400" s="3"/>
      <c r="K400" s="3"/>
      <c r="L400" s="3"/>
      <c r="M400" s="3"/>
    </row>
    <row r="401" customFormat="false" ht="15" hidden="false" customHeight="false" outlineLevel="0" collapsed="false">
      <c r="A401" s="28" t="n">
        <v>46301.5238656597</v>
      </c>
      <c r="B401" s="31" t="n">
        <f aca="false">(A401-$A$5)*86400</f>
        <v>18.355000019</v>
      </c>
      <c r="C401" s="27" t="n">
        <v>0.4692</v>
      </c>
      <c r="D401" s="27" t="n">
        <v>1.4323</v>
      </c>
      <c r="E401" s="27" t="s">
        <v>603</v>
      </c>
      <c r="F401" s="27" t="s">
        <v>144</v>
      </c>
      <c r="G401" s="32" t="n">
        <f aca="false">(A401-A400)*86400000</f>
        <v>17.000385</v>
      </c>
      <c r="H401" s="3"/>
      <c r="I401" s="3"/>
      <c r="J401" s="3"/>
      <c r="K401" s="3"/>
      <c r="L401" s="3"/>
      <c r="M401" s="3"/>
    </row>
    <row r="402" customFormat="false" ht="15" hidden="false" customHeight="false" outlineLevel="0" collapsed="false">
      <c r="A402" s="28" t="n">
        <v>46301.5238658333</v>
      </c>
      <c r="B402" s="31" t="n">
        <f aca="false">(A402-$A$5)*86400</f>
        <v>18.370000063</v>
      </c>
      <c r="C402" s="27" t="n">
        <v>0.4715</v>
      </c>
      <c r="D402" s="27" t="n">
        <v>1.4317</v>
      </c>
      <c r="E402" s="27" t="s">
        <v>603</v>
      </c>
      <c r="F402" s="27" t="s">
        <v>144</v>
      </c>
      <c r="G402" s="32" t="n">
        <f aca="false">(A402-A401)*86400000</f>
        <v>15.000044</v>
      </c>
      <c r="H402" s="3"/>
      <c r="I402" s="3"/>
      <c r="J402" s="3"/>
      <c r="K402" s="3"/>
      <c r="L402" s="3"/>
      <c r="M402" s="3"/>
    </row>
    <row r="403" customFormat="false" ht="15" hidden="false" customHeight="false" outlineLevel="0" collapsed="false">
      <c r="A403" s="28" t="n">
        <v>46301.5238660185</v>
      </c>
      <c r="B403" s="31" t="n">
        <f aca="false">(A403-$A$5)*86400</f>
        <v>18.386000278</v>
      </c>
      <c r="C403" s="27" t="n">
        <v>0.4736</v>
      </c>
      <c r="D403" s="27" t="n">
        <v>1.4311</v>
      </c>
      <c r="E403" s="27" t="s">
        <v>603</v>
      </c>
      <c r="F403" s="27" t="s">
        <v>144</v>
      </c>
      <c r="G403" s="32" t="n">
        <f aca="false">(A403-A402)*86400000</f>
        <v>16.000214</v>
      </c>
      <c r="H403" s="3"/>
      <c r="I403" s="3"/>
      <c r="J403" s="3"/>
      <c r="K403" s="3"/>
      <c r="L403" s="3"/>
      <c r="M403" s="3"/>
    </row>
    <row r="404" customFormat="false" ht="15" hidden="false" customHeight="false" outlineLevel="0" collapsed="false">
      <c r="A404" s="28" t="n">
        <v>46301.5238662037</v>
      </c>
      <c r="B404" s="31" t="n">
        <f aca="false">(A404-$A$5)*86400</f>
        <v>18.401999864</v>
      </c>
      <c r="C404" s="27" t="n">
        <v>0.4753</v>
      </c>
      <c r="D404" s="27" t="n">
        <v>1.4307</v>
      </c>
      <c r="E404" s="27" t="s">
        <v>603</v>
      </c>
      <c r="F404" s="27" t="s">
        <v>144</v>
      </c>
      <c r="G404" s="32" t="n">
        <f aca="false">(A404-A403)*86400000</f>
        <v>15.999586</v>
      </c>
      <c r="H404" s="3"/>
      <c r="I404" s="3"/>
      <c r="J404" s="3"/>
      <c r="K404" s="3"/>
      <c r="L404" s="3"/>
      <c r="M404" s="3"/>
    </row>
    <row r="405" customFormat="false" ht="15" hidden="false" customHeight="false" outlineLevel="0" collapsed="false">
      <c r="A405" s="28" t="n">
        <v>46301.5238663889</v>
      </c>
      <c r="B405" s="31" t="n">
        <f aca="false">(A405-$A$5)*86400</f>
        <v>18.418000079</v>
      </c>
      <c r="C405" s="27" t="n">
        <v>0.4767</v>
      </c>
      <c r="D405" s="27" t="n">
        <v>1.4303</v>
      </c>
      <c r="E405" s="27" t="s">
        <v>603</v>
      </c>
      <c r="F405" s="27" t="s">
        <v>144</v>
      </c>
      <c r="G405" s="32" t="n">
        <f aca="false">(A405-A404)*86400000</f>
        <v>16.000214</v>
      </c>
      <c r="H405" s="3"/>
      <c r="I405" s="3"/>
      <c r="J405" s="3"/>
      <c r="K405" s="3"/>
      <c r="L405" s="3"/>
      <c r="M405" s="3"/>
    </row>
    <row r="406" customFormat="false" ht="15" hidden="false" customHeight="false" outlineLevel="0" collapsed="false">
      <c r="A406" s="28" t="n">
        <v>46301.5238667593</v>
      </c>
      <c r="B406" s="31" t="n">
        <f aca="false">(A406-$A$5)*86400</f>
        <v>18.44999988</v>
      </c>
      <c r="C406" s="27" t="n">
        <v>0.4788</v>
      </c>
      <c r="D406" s="27" t="n">
        <v>1.4297</v>
      </c>
      <c r="E406" s="27" t="s">
        <v>603</v>
      </c>
      <c r="F406" s="27" t="s">
        <v>144</v>
      </c>
      <c r="G406" s="32" t="n">
        <f aca="false">(A406-A405)*86400000</f>
        <v>31.999801</v>
      </c>
      <c r="H406" s="3"/>
      <c r="I406" s="3"/>
      <c r="J406" s="3"/>
      <c r="K406" s="3"/>
      <c r="L406" s="3"/>
      <c r="M406" s="3"/>
    </row>
    <row r="407" customFormat="false" ht="15" hidden="false" customHeight="false" outlineLevel="0" collapsed="false">
      <c r="A407" s="28" t="n">
        <v>46301.5238671296</v>
      </c>
      <c r="B407" s="31" t="n">
        <f aca="false">(A407-$A$5)*86400</f>
        <v>18.48200031</v>
      </c>
      <c r="C407" s="27" t="n">
        <v>0.4803</v>
      </c>
      <c r="D407" s="27" t="n">
        <v>1.4294</v>
      </c>
      <c r="E407" s="27" t="s">
        <v>603</v>
      </c>
      <c r="F407" s="27" t="s">
        <v>144</v>
      </c>
      <c r="G407" s="32" t="n">
        <f aca="false">(A407-A406)*86400000</f>
        <v>32.000429</v>
      </c>
      <c r="H407" s="3"/>
      <c r="I407" s="3"/>
      <c r="J407" s="3"/>
      <c r="K407" s="3"/>
      <c r="L407" s="3"/>
      <c r="M407" s="3"/>
    </row>
    <row r="408" customFormat="false" ht="15" hidden="false" customHeight="false" outlineLevel="0" collapsed="false">
      <c r="A408" s="28" t="n">
        <v>46301.5238676968</v>
      </c>
      <c r="B408" s="31" t="n">
        <f aca="false">(A408-$A$5)*86400</f>
        <v>18.530999869</v>
      </c>
      <c r="C408" s="27" t="n">
        <v>0.4817</v>
      </c>
      <c r="D408" s="27" t="n">
        <v>1.429</v>
      </c>
      <c r="E408" s="27" t="s">
        <v>603</v>
      </c>
      <c r="F408" s="27" t="s">
        <v>144</v>
      </c>
      <c r="G408" s="32" t="n">
        <f aca="false">(A408-A407)*86400000</f>
        <v>48.999558</v>
      </c>
      <c r="H408" s="3"/>
      <c r="I408" s="3"/>
      <c r="J408" s="3"/>
      <c r="K408" s="3"/>
      <c r="L408" s="3"/>
      <c r="M408" s="3"/>
    </row>
    <row r="409" customFormat="false" ht="15" hidden="false" customHeight="false" outlineLevel="0" collapsed="false">
      <c r="A409" s="28" t="n">
        <v>46301.5238678819</v>
      </c>
      <c r="B409" s="31" t="n">
        <f aca="false">(A409-$A$5)*86400</f>
        <v>18.546999455</v>
      </c>
      <c r="C409" s="27" t="n">
        <v>0.4835</v>
      </c>
      <c r="D409" s="27" t="n">
        <v>1.4235</v>
      </c>
      <c r="E409" s="27" t="s">
        <v>603</v>
      </c>
      <c r="F409" s="27" t="s">
        <v>144</v>
      </c>
      <c r="G409" s="32" t="n">
        <f aca="false">(A409-A408)*86400000</f>
        <v>15.999586</v>
      </c>
      <c r="H409" s="3"/>
      <c r="I409" s="3"/>
      <c r="J409" s="3"/>
      <c r="K409" s="3"/>
      <c r="L409" s="3"/>
      <c r="M409" s="3"/>
    </row>
    <row r="410" customFormat="false" ht="15" hidden="false" customHeight="false" outlineLevel="0" collapsed="false">
      <c r="A410" s="28" t="n">
        <v>46301.5238680671</v>
      </c>
      <c r="B410" s="31" t="n">
        <f aca="false">(A410-$A$5)*86400</f>
        <v>18.563000299</v>
      </c>
      <c r="C410" s="27" t="n">
        <v>0.485</v>
      </c>
      <c r="D410" s="27" t="n">
        <v>1.4191</v>
      </c>
      <c r="E410" s="27" t="s">
        <v>603</v>
      </c>
      <c r="F410" s="27" t="s">
        <v>144</v>
      </c>
      <c r="G410" s="32" t="n">
        <f aca="false">(A410-A409)*86400000</f>
        <v>16.000843</v>
      </c>
      <c r="H410" s="3"/>
      <c r="I410" s="3"/>
      <c r="J410" s="3"/>
      <c r="K410" s="3"/>
      <c r="L410" s="3"/>
      <c r="M410" s="3"/>
    </row>
    <row r="411" customFormat="false" ht="15" hidden="false" customHeight="false" outlineLevel="0" collapsed="false">
      <c r="A411" s="28" t="n">
        <v>46301.5238682523</v>
      </c>
      <c r="B411" s="31" t="n">
        <f aca="false">(A411-$A$5)*86400</f>
        <v>18.578999885</v>
      </c>
      <c r="C411" s="27" t="n">
        <v>0.4863</v>
      </c>
      <c r="D411" s="27" t="n">
        <v>1.4151</v>
      </c>
      <c r="E411" s="27" t="s">
        <v>603</v>
      </c>
      <c r="F411" s="27" t="s">
        <v>144</v>
      </c>
      <c r="G411" s="32" t="n">
        <f aca="false">(A411-A410)*86400000</f>
        <v>15.999586</v>
      </c>
      <c r="H411" s="3"/>
      <c r="I411" s="3"/>
      <c r="J411" s="3"/>
      <c r="K411" s="3"/>
      <c r="L411" s="3"/>
      <c r="M411" s="3"/>
    </row>
    <row r="412" customFormat="false" ht="15" hidden="false" customHeight="false" outlineLevel="0" collapsed="false">
      <c r="A412" s="28" t="n">
        <v>46301.5238684375</v>
      </c>
      <c r="B412" s="31" t="n">
        <f aca="false">(A412-$A$5)*86400</f>
        <v>18.5950001</v>
      </c>
      <c r="C412" s="27" t="n">
        <v>0.4874</v>
      </c>
      <c r="D412" s="27" t="n">
        <v>1.4121</v>
      </c>
      <c r="E412" s="27" t="s">
        <v>603</v>
      </c>
      <c r="F412" s="27" t="s">
        <v>144</v>
      </c>
      <c r="G412" s="32" t="n">
        <f aca="false">(A412-A411)*86400000</f>
        <v>16.000214</v>
      </c>
      <c r="H412" s="3"/>
      <c r="I412" s="3"/>
      <c r="J412" s="3"/>
      <c r="K412" s="3"/>
      <c r="L412" s="3"/>
      <c r="M412" s="3"/>
    </row>
    <row r="413" customFormat="false" ht="15" hidden="false" customHeight="false" outlineLevel="0" collapsed="false">
      <c r="A413" s="28" t="n">
        <v>46301.5238686227</v>
      </c>
      <c r="B413" s="31" t="n">
        <f aca="false">(A413-$A$5)*86400</f>
        <v>18.611000315</v>
      </c>
      <c r="C413" s="27" t="n">
        <v>0.4882</v>
      </c>
      <c r="D413" s="27" t="n">
        <v>1.4096</v>
      </c>
      <c r="E413" s="27" t="s">
        <v>603</v>
      </c>
      <c r="F413" s="27" t="s">
        <v>144</v>
      </c>
      <c r="G413" s="32" t="n">
        <f aca="false">(A413-A412)*86400000</f>
        <v>16.000214</v>
      </c>
      <c r="H413" s="3"/>
      <c r="I413" s="3"/>
      <c r="J413" s="3"/>
      <c r="K413" s="3"/>
      <c r="L413" s="3"/>
      <c r="M413" s="3"/>
    </row>
    <row r="414" customFormat="false" ht="15" hidden="false" customHeight="false" outlineLevel="0" collapsed="false">
      <c r="A414" s="28" t="n">
        <v>46301.5238688079</v>
      </c>
      <c r="B414" s="31" t="n">
        <f aca="false">(A414-$A$5)*86400</f>
        <v>18.626999901</v>
      </c>
      <c r="C414" s="27" t="n">
        <v>0.4889</v>
      </c>
      <c r="D414" s="27" t="n">
        <v>1.4075</v>
      </c>
      <c r="E414" s="27" t="s">
        <v>603</v>
      </c>
      <c r="F414" s="27" t="s">
        <v>144</v>
      </c>
      <c r="G414" s="32" t="n">
        <f aca="false">(A414-A413)*86400000</f>
        <v>15.999586</v>
      </c>
      <c r="H414" s="3"/>
      <c r="I414" s="3"/>
      <c r="J414" s="3"/>
      <c r="K414" s="3"/>
      <c r="L414" s="3"/>
      <c r="M414" s="3"/>
    </row>
    <row r="415" customFormat="false" ht="15" hidden="false" customHeight="false" outlineLevel="0" collapsed="false">
      <c r="A415" s="28" t="n">
        <v>46301.5238690046</v>
      </c>
      <c r="B415" s="31" t="n">
        <f aca="false">(A415-$A$5)*86400</f>
        <v>18.644000287</v>
      </c>
      <c r="C415" s="27" t="n">
        <v>0.4895</v>
      </c>
      <c r="D415" s="27" t="n">
        <v>1.4057</v>
      </c>
      <c r="E415" s="27" t="s">
        <v>603</v>
      </c>
      <c r="F415" s="27" t="s">
        <v>144</v>
      </c>
      <c r="G415" s="32" t="n">
        <f aca="false">(A415-A414)*86400000</f>
        <v>17.000385</v>
      </c>
      <c r="H415" s="3"/>
      <c r="I415" s="3"/>
      <c r="J415" s="3"/>
      <c r="K415" s="3"/>
      <c r="L415" s="3"/>
      <c r="M415" s="3"/>
    </row>
    <row r="416" customFormat="false" ht="15" hidden="false" customHeight="false" outlineLevel="0" collapsed="false">
      <c r="A416" s="28" t="n">
        <v>46301.5238692014</v>
      </c>
      <c r="B416" s="31" t="n">
        <f aca="false">(A416-$A$5)*86400</f>
        <v>18.661000044</v>
      </c>
      <c r="C416" s="27" t="n">
        <v>0.5395</v>
      </c>
      <c r="D416" s="27" t="n">
        <v>1.4014</v>
      </c>
      <c r="E416" s="27" t="s">
        <v>603</v>
      </c>
      <c r="F416" s="27" t="s">
        <v>144</v>
      </c>
      <c r="G416" s="32" t="n">
        <f aca="false">(A416-A415)*86400000</f>
        <v>16.999756</v>
      </c>
      <c r="H416" s="3"/>
      <c r="I416" s="3"/>
      <c r="J416" s="3"/>
      <c r="K416" s="3"/>
      <c r="L416" s="3"/>
      <c r="M416" s="3"/>
    </row>
    <row r="417" customFormat="false" ht="15" hidden="false" customHeight="false" outlineLevel="0" collapsed="false">
      <c r="A417" s="28" t="n">
        <v>46301.523869375</v>
      </c>
      <c r="B417" s="31" t="n">
        <f aca="false">(A417-$A$5)*86400</f>
        <v>18.676000088</v>
      </c>
      <c r="C417" s="27" t="n">
        <v>0.5808</v>
      </c>
      <c r="D417" s="27" t="n">
        <v>1.3979</v>
      </c>
      <c r="E417" s="27" t="s">
        <v>603</v>
      </c>
      <c r="F417" s="27" t="s">
        <v>144</v>
      </c>
      <c r="G417" s="32" t="n">
        <f aca="false">(A417-A416)*86400000</f>
        <v>15.000044</v>
      </c>
      <c r="H417" s="3"/>
      <c r="I417" s="3"/>
      <c r="J417" s="3"/>
      <c r="K417" s="3"/>
      <c r="L417" s="3"/>
      <c r="M417" s="3"/>
    </row>
    <row r="418" customFormat="false" ht="15" hidden="false" customHeight="false" outlineLevel="0" collapsed="false">
      <c r="A418" s="28" t="n">
        <v>46301.5238695602</v>
      </c>
      <c r="B418" s="31" t="n">
        <f aca="false">(A418-$A$5)*86400</f>
        <v>18.692000303</v>
      </c>
      <c r="C418" s="27" t="n">
        <v>0.6148</v>
      </c>
      <c r="D418" s="27" t="n">
        <v>1.395</v>
      </c>
      <c r="E418" s="27" t="s">
        <v>603</v>
      </c>
      <c r="F418" s="27" t="s">
        <v>144</v>
      </c>
      <c r="G418" s="32" t="n">
        <f aca="false">(A418-A417)*86400000</f>
        <v>16.000214</v>
      </c>
      <c r="H418" s="3"/>
      <c r="I418" s="3"/>
      <c r="J418" s="3"/>
      <c r="K418" s="3"/>
      <c r="L418" s="3"/>
      <c r="M418" s="3"/>
    </row>
    <row r="419" customFormat="false" ht="15" hidden="false" customHeight="false" outlineLevel="0" collapsed="false">
      <c r="A419" s="28" t="n">
        <v>46301.5238697454</v>
      </c>
      <c r="B419" s="31" t="n">
        <f aca="false">(A419-$A$5)*86400</f>
        <v>18.707999889</v>
      </c>
      <c r="C419" s="27" t="n">
        <v>0.643</v>
      </c>
      <c r="D419" s="27" t="n">
        <v>1.3925</v>
      </c>
      <c r="E419" s="27" t="s">
        <v>603</v>
      </c>
      <c r="F419" s="27" t="s">
        <v>144</v>
      </c>
      <c r="G419" s="32" t="n">
        <f aca="false">(A419-A418)*86400000</f>
        <v>15.999586</v>
      </c>
      <c r="H419" s="3"/>
      <c r="I419" s="3"/>
      <c r="J419" s="3"/>
      <c r="K419" s="3"/>
      <c r="L419" s="3"/>
      <c r="M419" s="3"/>
    </row>
    <row r="420" customFormat="false" ht="15" hidden="false" customHeight="false" outlineLevel="0" collapsed="false">
      <c r="A420" s="28" t="n">
        <v>46301.5238699306</v>
      </c>
      <c r="B420" s="31" t="n">
        <f aca="false">(A420-$A$5)*86400</f>
        <v>18.724000733</v>
      </c>
      <c r="C420" s="27" t="n">
        <v>0.6661</v>
      </c>
      <c r="D420" s="27" t="n">
        <v>1.3905</v>
      </c>
      <c r="E420" s="27" t="s">
        <v>603</v>
      </c>
      <c r="F420" s="27" t="s">
        <v>144</v>
      </c>
      <c r="G420" s="32" t="n">
        <f aca="false">(A420-A419)*86400000</f>
        <v>16.000843</v>
      </c>
      <c r="H420" s="3"/>
      <c r="I420" s="3"/>
      <c r="J420" s="3"/>
      <c r="K420" s="3"/>
      <c r="L420" s="3"/>
      <c r="M420" s="3"/>
    </row>
    <row r="421" customFormat="false" ht="15" hidden="false" customHeight="false" outlineLevel="0" collapsed="false">
      <c r="A421" s="28" t="n">
        <v>46301.5238701157</v>
      </c>
      <c r="B421" s="31" t="n">
        <f aca="false">(A421-$A$5)*86400</f>
        <v>18.740000319</v>
      </c>
      <c r="C421" s="27" t="n">
        <v>0.6853</v>
      </c>
      <c r="D421" s="27" t="n">
        <v>1.3889</v>
      </c>
      <c r="E421" s="27" t="s">
        <v>603</v>
      </c>
      <c r="F421" s="27" t="s">
        <v>144</v>
      </c>
      <c r="G421" s="32" t="n">
        <f aca="false">(A421-A420)*86400000</f>
        <v>15.999586</v>
      </c>
      <c r="H421" s="3"/>
      <c r="I421" s="3"/>
      <c r="J421" s="3"/>
      <c r="K421" s="3"/>
      <c r="L421" s="3"/>
      <c r="M421" s="3"/>
    </row>
    <row r="422" customFormat="false" ht="15" hidden="false" customHeight="false" outlineLevel="0" collapsed="false">
      <c r="A422" s="28" t="n">
        <v>46301.5238703009</v>
      </c>
      <c r="B422" s="31" t="n">
        <f aca="false">(A422-$A$5)*86400</f>
        <v>18.755999905</v>
      </c>
      <c r="C422" s="27" t="n">
        <v>0.7011</v>
      </c>
      <c r="D422" s="27" t="n">
        <v>1.3875</v>
      </c>
      <c r="E422" s="27" t="s">
        <v>603</v>
      </c>
      <c r="F422" s="27" t="s">
        <v>144</v>
      </c>
      <c r="G422" s="32" t="n">
        <f aca="false">(A422-A421)*86400000</f>
        <v>15.999586</v>
      </c>
      <c r="H422" s="3"/>
      <c r="I422" s="3"/>
      <c r="J422" s="3"/>
      <c r="K422" s="3"/>
      <c r="L422" s="3"/>
      <c r="M422" s="3"/>
    </row>
    <row r="423" customFormat="false" ht="15" hidden="false" customHeight="false" outlineLevel="0" collapsed="false">
      <c r="A423" s="28" t="n">
        <v>46301.5238704977</v>
      </c>
      <c r="B423" s="31" t="n">
        <f aca="false">(A423-$A$5)*86400</f>
        <v>18.773000291</v>
      </c>
      <c r="C423" s="27" t="n">
        <v>0.7149</v>
      </c>
      <c r="D423" s="27" t="n">
        <v>1.3864</v>
      </c>
      <c r="E423" s="27" t="s">
        <v>603</v>
      </c>
      <c r="F423" s="27" t="s">
        <v>144</v>
      </c>
      <c r="G423" s="32" t="n">
        <f aca="false">(A423-A422)*86400000</f>
        <v>17.000385</v>
      </c>
      <c r="H423" s="3"/>
      <c r="I423" s="3"/>
      <c r="J423" s="3"/>
      <c r="K423" s="3"/>
      <c r="L423" s="3"/>
      <c r="M423" s="3"/>
    </row>
    <row r="424" customFormat="false" ht="15" hidden="false" customHeight="false" outlineLevel="0" collapsed="false">
      <c r="A424" s="28" t="n">
        <v>46301.5238706829</v>
      </c>
      <c r="B424" s="31" t="n">
        <f aca="false">(A424-$A$5)*86400</f>
        <v>18.788999877</v>
      </c>
      <c r="C424" s="27" t="n">
        <v>0.7255</v>
      </c>
      <c r="D424" s="27" t="n">
        <v>1.3854</v>
      </c>
      <c r="E424" s="27" t="s">
        <v>603</v>
      </c>
      <c r="F424" s="27" t="s">
        <v>144</v>
      </c>
      <c r="G424" s="32" t="n">
        <f aca="false">(A424-A423)*86400000</f>
        <v>15.999586</v>
      </c>
      <c r="H424" s="3"/>
      <c r="I424" s="3"/>
      <c r="J424" s="3"/>
      <c r="K424" s="3"/>
      <c r="L424" s="3"/>
      <c r="M424" s="3"/>
    </row>
    <row r="425" customFormat="false" ht="15" hidden="false" customHeight="false" outlineLevel="0" collapsed="false">
      <c r="A425" s="28" t="n">
        <v>46301.5238708681</v>
      </c>
      <c r="B425" s="31" t="n">
        <f aca="false">(A425-$A$5)*86400</f>
        <v>18.805000721</v>
      </c>
      <c r="C425" s="27" t="n">
        <v>0.7343</v>
      </c>
      <c r="D425" s="27" t="n">
        <v>1.3847</v>
      </c>
      <c r="E425" s="27" t="s">
        <v>603</v>
      </c>
      <c r="F425" s="27" t="s">
        <v>144</v>
      </c>
      <c r="G425" s="32" t="n">
        <f aca="false">(A425-A424)*86400000</f>
        <v>16.000843</v>
      </c>
      <c r="H425" s="3"/>
      <c r="I425" s="3"/>
      <c r="J425" s="3"/>
      <c r="K425" s="3"/>
      <c r="L425" s="3"/>
      <c r="M425" s="3"/>
    </row>
    <row r="426" customFormat="false" ht="15" hidden="false" customHeight="false" outlineLevel="0" collapsed="false">
      <c r="A426" s="28" t="n">
        <v>46301.5238710532</v>
      </c>
      <c r="B426" s="31" t="n">
        <f aca="false">(A426-$A$5)*86400</f>
        <v>18.821000307</v>
      </c>
      <c r="C426" s="27" t="n">
        <v>0.7415</v>
      </c>
      <c r="D426" s="27" t="n">
        <v>1.3841</v>
      </c>
      <c r="E426" s="27" t="s">
        <v>603</v>
      </c>
      <c r="F426" s="27" t="s">
        <v>144</v>
      </c>
      <c r="G426" s="32" t="n">
        <f aca="false">(A426-A425)*86400000</f>
        <v>15.999586</v>
      </c>
      <c r="H426" s="3"/>
      <c r="I426" s="3"/>
      <c r="J426" s="3"/>
      <c r="K426" s="3"/>
      <c r="L426" s="3"/>
      <c r="M426" s="3"/>
    </row>
    <row r="427" customFormat="false" ht="15" hidden="false" customHeight="false" outlineLevel="0" collapsed="false">
      <c r="A427" s="28" t="n">
        <v>46301.5238712384</v>
      </c>
      <c r="B427" s="31" t="n">
        <f aca="false">(A427-$A$5)*86400</f>
        <v>18.836999894</v>
      </c>
      <c r="C427" s="27" t="n">
        <v>0.7475</v>
      </c>
      <c r="D427" s="27" t="n">
        <v>1.3835</v>
      </c>
      <c r="E427" s="27" t="s">
        <v>603</v>
      </c>
      <c r="F427" s="27" t="s">
        <v>144</v>
      </c>
      <c r="G427" s="32" t="n">
        <f aca="false">(A427-A426)*86400000</f>
        <v>15.999586</v>
      </c>
      <c r="H427" s="3"/>
      <c r="I427" s="3"/>
      <c r="J427" s="3"/>
      <c r="K427" s="3"/>
      <c r="L427" s="3"/>
      <c r="M427" s="3"/>
    </row>
    <row r="428" customFormat="false" ht="15" hidden="false" customHeight="false" outlineLevel="0" collapsed="false">
      <c r="A428" s="28" t="n">
        <v>46301.5238714352</v>
      </c>
      <c r="B428" s="31" t="n">
        <f aca="false">(A428-$A$5)*86400</f>
        <v>18.854000279</v>
      </c>
      <c r="C428" s="27" t="n">
        <v>0.7527</v>
      </c>
      <c r="D428" s="27" t="n">
        <v>1.3831</v>
      </c>
      <c r="E428" s="27" t="s">
        <v>603</v>
      </c>
      <c r="F428" s="27" t="s">
        <v>144</v>
      </c>
      <c r="G428" s="32" t="n">
        <f aca="false">(A428-A427)*86400000</f>
        <v>17.000385</v>
      </c>
      <c r="H428" s="3"/>
      <c r="I428" s="3"/>
      <c r="J428" s="3"/>
      <c r="K428" s="3"/>
      <c r="L428" s="3"/>
      <c r="M428" s="3"/>
    </row>
    <row r="429" customFormat="false" ht="15" hidden="false" customHeight="false" outlineLevel="0" collapsed="false">
      <c r="A429" s="28" t="n">
        <v>46301.5238716204</v>
      </c>
      <c r="B429" s="31" t="n">
        <f aca="false">(A429-$A$5)*86400</f>
        <v>18.869999866</v>
      </c>
      <c r="C429" s="27" t="n">
        <v>0.7567</v>
      </c>
      <c r="D429" s="27" t="n">
        <v>1.3828</v>
      </c>
      <c r="E429" s="27" t="s">
        <v>603</v>
      </c>
      <c r="F429" s="27" t="s">
        <v>144</v>
      </c>
      <c r="G429" s="32" t="n">
        <f aca="false">(A429-A428)*86400000</f>
        <v>15.999586</v>
      </c>
      <c r="H429" s="3"/>
      <c r="I429" s="3"/>
      <c r="J429" s="3"/>
      <c r="K429" s="3"/>
      <c r="L429" s="3"/>
      <c r="M429" s="3"/>
    </row>
    <row r="430" customFormat="false" ht="15" hidden="false" customHeight="false" outlineLevel="0" collapsed="false">
      <c r="A430" s="28" t="n">
        <v>46301.5238718056</v>
      </c>
      <c r="B430" s="31" t="n">
        <f aca="false">(A430-$A$5)*86400</f>
        <v>18.886000709</v>
      </c>
      <c r="C430" s="27" t="n">
        <v>0.7601</v>
      </c>
      <c r="D430" s="27" t="n">
        <v>1.3825</v>
      </c>
      <c r="E430" s="27" t="s">
        <v>603</v>
      </c>
      <c r="F430" s="27" t="s">
        <v>144</v>
      </c>
      <c r="G430" s="32" t="n">
        <f aca="false">(A430-A429)*86400000</f>
        <v>16.000843</v>
      </c>
      <c r="H430" s="3"/>
      <c r="I430" s="3"/>
      <c r="J430" s="3"/>
      <c r="K430" s="3"/>
      <c r="L430" s="3"/>
      <c r="M430" s="3"/>
    </row>
    <row r="431" customFormat="false" ht="15" hidden="false" customHeight="false" outlineLevel="0" collapsed="false">
      <c r="A431" s="28" t="n">
        <v>46301.5238719907</v>
      </c>
      <c r="B431" s="31" t="n">
        <f aca="false">(A431-$A$5)*86400</f>
        <v>18.902000295</v>
      </c>
      <c r="C431" s="27" t="n">
        <v>0.7628</v>
      </c>
      <c r="D431" s="27" t="n">
        <v>1.3822</v>
      </c>
      <c r="E431" s="27" t="s">
        <v>603</v>
      </c>
      <c r="F431" s="27" t="s">
        <v>144</v>
      </c>
      <c r="G431" s="32" t="n">
        <f aca="false">(A431-A430)*86400000</f>
        <v>15.999586</v>
      </c>
      <c r="H431" s="3"/>
      <c r="I431" s="3"/>
      <c r="J431" s="3"/>
      <c r="K431" s="3"/>
      <c r="L431" s="3"/>
      <c r="M431" s="3"/>
    </row>
    <row r="432" customFormat="false" ht="15" hidden="false" customHeight="false" outlineLevel="0" collapsed="false">
      <c r="A432" s="28" t="n">
        <v>46301.5238721759</v>
      </c>
      <c r="B432" s="31" t="n">
        <f aca="false">(A432-$A$5)*86400</f>
        <v>18.917999882</v>
      </c>
      <c r="C432" s="27" t="n">
        <v>0.7651</v>
      </c>
      <c r="D432" s="27" t="n">
        <v>1.382</v>
      </c>
      <c r="E432" s="27" t="s">
        <v>603</v>
      </c>
      <c r="F432" s="27" t="s">
        <v>144</v>
      </c>
      <c r="G432" s="32" t="n">
        <f aca="false">(A432-A431)*86400000</f>
        <v>15.999586</v>
      </c>
      <c r="H432" s="3"/>
      <c r="I432" s="3"/>
      <c r="J432" s="3"/>
      <c r="K432" s="3"/>
      <c r="L432" s="3"/>
      <c r="M432" s="3"/>
    </row>
    <row r="433" customFormat="false" ht="15" hidden="false" customHeight="false" outlineLevel="0" collapsed="false">
      <c r="A433" s="28" t="n">
        <v>46301.5238723611</v>
      </c>
      <c r="B433" s="31" t="n">
        <f aca="false">(A433-$A$5)*86400</f>
        <v>18.934000097</v>
      </c>
      <c r="C433" s="27" t="n">
        <v>0.7669</v>
      </c>
      <c r="D433" s="27" t="n">
        <v>1.3819</v>
      </c>
      <c r="E433" s="27" t="s">
        <v>603</v>
      </c>
      <c r="F433" s="27" t="s">
        <v>144</v>
      </c>
      <c r="G433" s="32" t="n">
        <f aca="false">(A433-A432)*86400000</f>
        <v>16.000214</v>
      </c>
      <c r="H433" s="3"/>
      <c r="I433" s="3"/>
      <c r="J433" s="3"/>
      <c r="K433" s="3"/>
      <c r="L433" s="3"/>
      <c r="M433" s="3"/>
    </row>
    <row r="434" customFormat="false" ht="15" hidden="false" customHeight="false" outlineLevel="0" collapsed="false">
      <c r="A434" s="28" t="n">
        <v>46301.5238725579</v>
      </c>
      <c r="B434" s="31" t="n">
        <f aca="false">(A434-$A$5)*86400</f>
        <v>18.950999854</v>
      </c>
      <c r="C434" s="27" t="n">
        <v>0.7686</v>
      </c>
      <c r="D434" s="27" t="n">
        <v>1.3817</v>
      </c>
      <c r="E434" s="27" t="s">
        <v>603</v>
      </c>
      <c r="F434" s="27" t="s">
        <v>144</v>
      </c>
      <c r="G434" s="32" t="n">
        <f aca="false">(A434-A433)*86400000</f>
        <v>16.999756</v>
      </c>
      <c r="H434" s="3"/>
      <c r="I434" s="3"/>
      <c r="J434" s="3"/>
      <c r="K434" s="3"/>
      <c r="L434" s="3"/>
      <c r="M434" s="3"/>
    </row>
    <row r="435" customFormat="false" ht="15" hidden="false" customHeight="false" outlineLevel="0" collapsed="false">
      <c r="A435" s="28" t="n">
        <v>46301.5238729282</v>
      </c>
      <c r="B435" s="31" t="n">
        <f aca="false">(A435-$A$5)*86400</f>
        <v>18.983000284</v>
      </c>
      <c r="C435" s="27" t="n">
        <v>0.7708</v>
      </c>
      <c r="D435" s="27" t="n">
        <v>1.3815</v>
      </c>
      <c r="E435" s="27" t="s">
        <v>603</v>
      </c>
      <c r="F435" s="27" t="s">
        <v>144</v>
      </c>
      <c r="G435" s="32" t="n">
        <f aca="false">(A435-A434)*86400000</f>
        <v>32.000429</v>
      </c>
      <c r="H435" s="3"/>
      <c r="I435" s="3"/>
      <c r="J435" s="3"/>
      <c r="K435" s="3"/>
      <c r="L435" s="3"/>
      <c r="M435" s="3"/>
    </row>
    <row r="436" customFormat="false" ht="15" hidden="false" customHeight="false" outlineLevel="0" collapsed="false">
      <c r="A436" s="28" t="n">
        <v>46301.5238732986</v>
      </c>
      <c r="B436" s="31" t="n">
        <f aca="false">(A436-$A$5)*86400</f>
        <v>19.015000085</v>
      </c>
      <c r="C436" s="27" t="n">
        <v>0.7724</v>
      </c>
      <c r="D436" s="27" t="n">
        <v>1.3814</v>
      </c>
      <c r="E436" s="27" t="s">
        <v>603</v>
      </c>
      <c r="F436" s="27" t="s">
        <v>144</v>
      </c>
      <c r="G436" s="32" t="n">
        <f aca="false">(A436-A435)*86400000</f>
        <v>31.999801</v>
      </c>
      <c r="H436" s="3"/>
      <c r="I436" s="3"/>
      <c r="J436" s="3"/>
      <c r="K436" s="3"/>
      <c r="L436" s="3"/>
      <c r="M436" s="3"/>
    </row>
    <row r="437" customFormat="false" ht="15" hidden="false" customHeight="false" outlineLevel="0" collapsed="false">
      <c r="A437" s="28" t="n">
        <v>46301.523873669</v>
      </c>
      <c r="B437" s="31" t="n">
        <f aca="false">(A437-$A$5)*86400</f>
        <v>19.046999886</v>
      </c>
      <c r="C437" s="27" t="n">
        <v>0.7734</v>
      </c>
      <c r="D437" s="27" t="n">
        <v>1.3813</v>
      </c>
      <c r="E437" s="27" t="s">
        <v>603</v>
      </c>
      <c r="F437" s="27" t="s">
        <v>144</v>
      </c>
      <c r="G437" s="32" t="n">
        <f aca="false">(A437-A436)*86400000</f>
        <v>31.999801</v>
      </c>
      <c r="H437" s="3"/>
      <c r="I437" s="3"/>
      <c r="J437" s="3"/>
      <c r="K437" s="3"/>
      <c r="L437" s="3"/>
      <c r="M437" s="3"/>
    </row>
    <row r="438" customFormat="false" ht="15" hidden="false" customHeight="false" outlineLevel="0" collapsed="false">
      <c r="A438" s="28" t="n">
        <v>46301.5238740509</v>
      </c>
      <c r="B438" s="31" t="n">
        <f aca="false">(A438-$A$5)*86400</f>
        <v>19.079999858</v>
      </c>
      <c r="C438" s="27" t="n">
        <v>0.7757</v>
      </c>
      <c r="D438" s="27" t="n">
        <v>1.3811</v>
      </c>
      <c r="E438" s="27" t="s">
        <v>603</v>
      </c>
      <c r="F438" s="27" t="s">
        <v>144</v>
      </c>
      <c r="G438" s="32" t="n">
        <f aca="false">(A438-A437)*86400000</f>
        <v>32.999971</v>
      </c>
      <c r="H438" s="3"/>
      <c r="I438" s="3"/>
      <c r="J438" s="3"/>
      <c r="K438" s="3"/>
      <c r="L438" s="3"/>
      <c r="M438" s="3"/>
    </row>
    <row r="439" customFormat="false" ht="15" hidden="false" customHeight="false" outlineLevel="0" collapsed="false">
      <c r="A439" s="28" t="n">
        <v>46301.5238770255</v>
      </c>
      <c r="B439" s="31" t="n">
        <f aca="false">(A439-$A$5)*86400</f>
        <v>19.337000953</v>
      </c>
      <c r="C439" s="27" t="n">
        <v>0.8137</v>
      </c>
      <c r="D439" s="27" t="n">
        <v>1.3349</v>
      </c>
      <c r="E439" s="27" t="s">
        <v>603</v>
      </c>
      <c r="F439" s="27" t="s">
        <v>144</v>
      </c>
      <c r="G439" s="32" t="n">
        <f aca="false">(A439-A438)*86400000</f>
        <v>257.001095</v>
      </c>
      <c r="H439" s="3"/>
      <c r="I439" s="3"/>
      <c r="J439" s="3"/>
      <c r="K439" s="3"/>
      <c r="L439" s="3"/>
      <c r="M439" s="3"/>
    </row>
    <row r="440" customFormat="false" ht="15" hidden="false" customHeight="false" outlineLevel="0" collapsed="false">
      <c r="A440" s="28" t="n">
        <v>46301.5238771991</v>
      </c>
      <c r="B440" s="31" t="n">
        <f aca="false">(A440-$A$5)*86400</f>
        <v>19.352000369</v>
      </c>
      <c r="C440" s="27" t="n">
        <v>0.8451</v>
      </c>
      <c r="D440" s="27" t="n">
        <v>1.2967</v>
      </c>
      <c r="E440" s="27" t="s">
        <v>603</v>
      </c>
      <c r="F440" s="27" t="s">
        <v>144</v>
      </c>
      <c r="G440" s="32" t="n">
        <f aca="false">(A440-A439)*86400000</f>
        <v>14.999415</v>
      </c>
      <c r="H440" s="3"/>
      <c r="I440" s="3"/>
      <c r="J440" s="3"/>
      <c r="K440" s="3"/>
      <c r="L440" s="3"/>
      <c r="M440" s="3"/>
    </row>
    <row r="441" customFormat="false" ht="15" hidden="false" customHeight="false" outlineLevel="0" collapsed="false">
      <c r="A441" s="28" t="n">
        <v>46301.5238773958</v>
      </c>
      <c r="B441" s="31" t="n">
        <f aca="false">(A441-$A$5)*86400</f>
        <v>19.369000126</v>
      </c>
      <c r="C441" s="27" t="n">
        <v>0.871</v>
      </c>
      <c r="D441" s="27" t="n">
        <v>1.2652</v>
      </c>
      <c r="E441" s="27" t="s">
        <v>603</v>
      </c>
      <c r="F441" s="27" t="s">
        <v>144</v>
      </c>
      <c r="G441" s="32" t="n">
        <f aca="false">(A441-A440)*86400000</f>
        <v>16.999756</v>
      </c>
      <c r="H441" s="3"/>
      <c r="I441" s="3"/>
      <c r="J441" s="3"/>
      <c r="K441" s="3"/>
      <c r="L441" s="3"/>
      <c r="M441" s="3"/>
    </row>
    <row r="442" customFormat="false" ht="15" hidden="false" customHeight="false" outlineLevel="0" collapsed="false">
      <c r="A442" s="28" t="n">
        <v>46301.5238775695</v>
      </c>
      <c r="B442" s="31" t="n">
        <f aca="false">(A442-$A$5)*86400</f>
        <v>19.384000799</v>
      </c>
      <c r="C442" s="27" t="n">
        <v>0.8924</v>
      </c>
      <c r="D442" s="27" t="n">
        <v>1.2393</v>
      </c>
      <c r="E442" s="27" t="s">
        <v>603</v>
      </c>
      <c r="F442" s="27" t="s">
        <v>144</v>
      </c>
      <c r="G442" s="32" t="n">
        <f aca="false">(A442-A441)*86400000</f>
        <v>15.000673</v>
      </c>
      <c r="H442" s="3"/>
      <c r="I442" s="3"/>
      <c r="J442" s="3"/>
      <c r="K442" s="3"/>
      <c r="L442" s="3"/>
      <c r="M442" s="3"/>
    </row>
    <row r="443" customFormat="false" ht="15" hidden="false" customHeight="false" outlineLevel="0" collapsed="false">
      <c r="A443" s="28" t="n">
        <v>46301.5238777546</v>
      </c>
      <c r="B443" s="31" t="n">
        <f aca="false">(A443-$A$5)*86400</f>
        <v>19.400000385</v>
      </c>
      <c r="C443" s="27" t="n">
        <v>0.91</v>
      </c>
      <c r="D443" s="27" t="n">
        <v>1.2178</v>
      </c>
      <c r="E443" s="27" t="s">
        <v>603</v>
      </c>
      <c r="F443" s="27" t="s">
        <v>144</v>
      </c>
      <c r="G443" s="32" t="n">
        <f aca="false">(A443-A442)*86400000</f>
        <v>15.999586</v>
      </c>
      <c r="H443" s="3"/>
      <c r="I443" s="3"/>
      <c r="J443" s="3"/>
      <c r="K443" s="3"/>
      <c r="L443" s="3"/>
      <c r="M443" s="3"/>
    </row>
    <row r="444" customFormat="false" ht="15" hidden="false" customHeight="false" outlineLevel="0" collapsed="false">
      <c r="A444" s="28" t="n">
        <v>46301.5238779398</v>
      </c>
      <c r="B444" s="31" t="n">
        <f aca="false">(A444-$A$5)*86400</f>
        <v>19.415999972</v>
      </c>
      <c r="C444" s="27" t="n">
        <v>0.9245</v>
      </c>
      <c r="D444" s="27" t="n">
        <v>1.2001</v>
      </c>
      <c r="E444" s="27" t="s">
        <v>603</v>
      </c>
      <c r="F444" s="27" t="s">
        <v>144</v>
      </c>
      <c r="G444" s="32" t="n">
        <f aca="false">(A444-A443)*86400000</f>
        <v>15.999586</v>
      </c>
      <c r="H444" s="3"/>
      <c r="I444" s="3"/>
      <c r="J444" s="3"/>
      <c r="K444" s="3"/>
      <c r="L444" s="3"/>
      <c r="M444" s="3"/>
    </row>
    <row r="445" customFormat="false" ht="15" hidden="false" customHeight="false" outlineLevel="0" collapsed="false">
      <c r="A445" s="28" t="n">
        <v>46301.5238781366</v>
      </c>
      <c r="B445" s="31" t="n">
        <f aca="false">(A445-$A$5)*86400</f>
        <v>19.433000357</v>
      </c>
      <c r="C445" s="27" t="n">
        <v>0.9372</v>
      </c>
      <c r="D445" s="27" t="n">
        <v>1.1847</v>
      </c>
      <c r="E445" s="27" t="s">
        <v>603</v>
      </c>
      <c r="F445" s="27" t="s">
        <v>144</v>
      </c>
      <c r="G445" s="32" t="n">
        <f aca="false">(A445-A444)*86400000</f>
        <v>17.000385</v>
      </c>
      <c r="H445" s="3"/>
      <c r="I445" s="3"/>
      <c r="J445" s="3"/>
      <c r="K445" s="3"/>
      <c r="L445" s="3"/>
      <c r="M445" s="3"/>
    </row>
    <row r="446" customFormat="false" ht="15" hidden="false" customHeight="false" outlineLevel="0" collapsed="false">
      <c r="A446" s="28" t="n">
        <v>46301.5238783218</v>
      </c>
      <c r="B446" s="31" t="n">
        <f aca="false">(A446-$A$5)*86400</f>
        <v>19.448999944</v>
      </c>
      <c r="C446" s="27" t="n">
        <v>0.9258</v>
      </c>
      <c r="D446" s="27" t="n">
        <v>1.1687</v>
      </c>
      <c r="E446" s="27" t="s">
        <v>603</v>
      </c>
      <c r="F446" s="27" t="s">
        <v>144</v>
      </c>
      <c r="G446" s="32" t="n">
        <f aca="false">(A446-A445)*86400000</f>
        <v>15.999586</v>
      </c>
      <c r="H446" s="3"/>
      <c r="I446" s="3"/>
      <c r="J446" s="3"/>
      <c r="K446" s="3"/>
      <c r="L446" s="3"/>
      <c r="M446" s="3"/>
    </row>
    <row r="447" customFormat="false" ht="15" hidden="false" customHeight="false" outlineLevel="0" collapsed="false">
      <c r="A447" s="28" t="n">
        <v>46301.523878507</v>
      </c>
      <c r="B447" s="31" t="n">
        <f aca="false">(A447-$A$5)*86400</f>
        <v>19.465000787</v>
      </c>
      <c r="C447" s="27" t="n">
        <v>0.9164</v>
      </c>
      <c r="D447" s="27" t="n">
        <v>1.1556</v>
      </c>
      <c r="E447" s="27" t="s">
        <v>603</v>
      </c>
      <c r="F447" s="27" t="s">
        <v>144</v>
      </c>
      <c r="G447" s="32" t="n">
        <f aca="false">(A447-A446)*86400000</f>
        <v>16.000843</v>
      </c>
      <c r="H447" s="3"/>
      <c r="I447" s="3"/>
      <c r="J447" s="3"/>
      <c r="K447" s="3"/>
      <c r="L447" s="3"/>
      <c r="M447" s="3"/>
    </row>
    <row r="448" customFormat="false" ht="15" hidden="false" customHeight="false" outlineLevel="0" collapsed="false">
      <c r="A448" s="28" t="n">
        <v>46301.5238786921</v>
      </c>
      <c r="B448" s="31" t="n">
        <f aca="false">(A448-$A$5)*86400</f>
        <v>19.481000374</v>
      </c>
      <c r="C448" s="27" t="n">
        <v>0.9086</v>
      </c>
      <c r="D448" s="27" t="n">
        <v>1.1448</v>
      </c>
      <c r="E448" s="27" t="s">
        <v>603</v>
      </c>
      <c r="F448" s="27" t="s">
        <v>144</v>
      </c>
      <c r="G448" s="32" t="n">
        <f aca="false">(A448-A447)*86400000</f>
        <v>15.999586</v>
      </c>
      <c r="H448" s="3"/>
      <c r="I448" s="3"/>
      <c r="J448" s="3"/>
      <c r="K448" s="3"/>
      <c r="L448" s="3"/>
      <c r="M448" s="3"/>
    </row>
    <row r="449" customFormat="false" ht="15" hidden="false" customHeight="false" outlineLevel="0" collapsed="false">
      <c r="A449" s="28" t="n">
        <v>46301.5238788773</v>
      </c>
      <c r="B449" s="31" t="n">
        <f aca="false">(A449-$A$5)*86400</f>
        <v>19.49699996</v>
      </c>
      <c r="C449" s="27" t="n">
        <v>0.9022</v>
      </c>
      <c r="D449" s="27" t="n">
        <v>1.1358</v>
      </c>
      <c r="E449" s="27" t="s">
        <v>603</v>
      </c>
      <c r="F449" s="27" t="s">
        <v>144</v>
      </c>
      <c r="G449" s="32" t="n">
        <f aca="false">(A449-A448)*86400000</f>
        <v>15.999586</v>
      </c>
      <c r="H449" s="3"/>
      <c r="I449" s="3"/>
      <c r="J449" s="3"/>
      <c r="K449" s="3"/>
      <c r="L449" s="3"/>
      <c r="M449" s="3"/>
    </row>
    <row r="450" customFormat="false" ht="15" hidden="false" customHeight="false" outlineLevel="0" collapsed="false">
      <c r="A450" s="28" t="n">
        <v>46301.5238790625</v>
      </c>
      <c r="B450" s="31" t="n">
        <f aca="false">(A450-$A$5)*86400</f>
        <v>19.513000175</v>
      </c>
      <c r="C450" s="27" t="n">
        <v>0.8969</v>
      </c>
      <c r="D450" s="27" t="n">
        <v>1.1284</v>
      </c>
      <c r="E450" s="27" t="s">
        <v>603</v>
      </c>
      <c r="F450" s="27" t="s">
        <v>144</v>
      </c>
      <c r="G450" s="32" t="n">
        <f aca="false">(A450-A449)*86400000</f>
        <v>16.000214</v>
      </c>
      <c r="H450" s="3"/>
      <c r="I450" s="3"/>
      <c r="J450" s="3"/>
      <c r="K450" s="3"/>
      <c r="L450" s="3"/>
      <c r="M450" s="3"/>
    </row>
    <row r="451" customFormat="false" ht="15" hidden="false" customHeight="false" outlineLevel="0" collapsed="false">
      <c r="A451" s="28" t="n">
        <v>46301.5238792477</v>
      </c>
      <c r="B451" s="31" t="n">
        <f aca="false">(A451-$A$5)*86400</f>
        <v>19.52900039</v>
      </c>
      <c r="C451" s="27" t="n">
        <v>0.8926</v>
      </c>
      <c r="D451" s="27" t="n">
        <v>1.1223</v>
      </c>
      <c r="E451" s="27" t="s">
        <v>603</v>
      </c>
      <c r="F451" s="27" t="s">
        <v>144</v>
      </c>
      <c r="G451" s="32" t="n">
        <f aca="false">(A451-A450)*86400000</f>
        <v>16.000214</v>
      </c>
      <c r="H451" s="3"/>
      <c r="I451" s="3"/>
      <c r="J451" s="3"/>
      <c r="K451" s="3"/>
      <c r="L451" s="3"/>
      <c r="M451" s="3"/>
    </row>
    <row r="452" customFormat="false" ht="15" hidden="false" customHeight="false" outlineLevel="0" collapsed="false">
      <c r="A452" s="28" t="n">
        <v>46301.5238794329</v>
      </c>
      <c r="B452" s="31" t="n">
        <f aca="false">(A452-$A$5)*86400</f>
        <v>19.544999976</v>
      </c>
      <c r="C452" s="27" t="n">
        <v>0.889</v>
      </c>
      <c r="D452" s="27" t="n">
        <v>1.1173</v>
      </c>
      <c r="E452" s="27" t="s">
        <v>603</v>
      </c>
      <c r="F452" s="27" t="s">
        <v>144</v>
      </c>
      <c r="G452" s="32" t="n">
        <f aca="false">(A452-A451)*86400000</f>
        <v>15.999586</v>
      </c>
      <c r="H452" s="3"/>
      <c r="I452" s="3"/>
      <c r="J452" s="3"/>
      <c r="K452" s="3"/>
      <c r="L452" s="3"/>
      <c r="M452" s="3"/>
    </row>
    <row r="453" customFormat="false" ht="15" hidden="false" customHeight="false" outlineLevel="0" collapsed="false">
      <c r="A453" s="28" t="n">
        <v>46301.5238796181</v>
      </c>
      <c r="B453" s="31" t="n">
        <f aca="false">(A453-$A$5)*86400</f>
        <v>19.561000191</v>
      </c>
      <c r="C453" s="27" t="n">
        <v>0.886</v>
      </c>
      <c r="D453" s="27" t="n">
        <v>1.1132</v>
      </c>
      <c r="E453" s="27" t="s">
        <v>603</v>
      </c>
      <c r="F453" s="27" t="s">
        <v>144</v>
      </c>
      <c r="G453" s="32" t="n">
        <f aca="false">(A453-A452)*86400000</f>
        <v>16.000214</v>
      </c>
      <c r="H453" s="3"/>
      <c r="I453" s="3"/>
      <c r="J453" s="3"/>
      <c r="K453" s="3"/>
      <c r="L453" s="3"/>
      <c r="M453" s="3"/>
    </row>
    <row r="454" customFormat="false" ht="15" hidden="false" customHeight="false" outlineLevel="0" collapsed="false">
      <c r="A454" s="28" t="n">
        <v>46301.5238798032</v>
      </c>
      <c r="B454" s="31" t="n">
        <f aca="false">(A454-$A$5)*86400</f>
        <v>19.576999777</v>
      </c>
      <c r="C454" s="27" t="n">
        <v>0.8834</v>
      </c>
      <c r="D454" s="27" t="n">
        <v>1.1095</v>
      </c>
      <c r="E454" s="27" t="s">
        <v>603</v>
      </c>
      <c r="F454" s="27" t="s">
        <v>144</v>
      </c>
      <c r="G454" s="32" t="n">
        <f aca="false">(A454-A453)*86400000</f>
        <v>15.999586</v>
      </c>
      <c r="H454" s="3"/>
      <c r="I454" s="3"/>
      <c r="J454" s="3"/>
      <c r="K454" s="3"/>
      <c r="L454" s="3"/>
      <c r="M454" s="3"/>
    </row>
    <row r="455" customFormat="false" ht="15" hidden="false" customHeight="false" outlineLevel="0" collapsed="false">
      <c r="A455" s="28" t="n">
        <v>46301.52388</v>
      </c>
      <c r="B455" s="31" t="n">
        <f aca="false">(A455-$A$5)*86400</f>
        <v>19.594000163</v>
      </c>
      <c r="C455" s="27" t="n">
        <v>0.8814</v>
      </c>
      <c r="D455" s="27" t="n">
        <v>1.1067</v>
      </c>
      <c r="E455" s="27" t="s">
        <v>603</v>
      </c>
      <c r="F455" s="27" t="s">
        <v>144</v>
      </c>
      <c r="G455" s="32" t="n">
        <f aca="false">(A455-A454)*86400000</f>
        <v>17.000385</v>
      </c>
      <c r="H455" s="3"/>
      <c r="I455" s="3"/>
      <c r="J455" s="3"/>
      <c r="K455" s="3"/>
      <c r="L455" s="3"/>
      <c r="M455" s="3"/>
    </row>
    <row r="456" customFormat="false" ht="15" hidden="false" customHeight="false" outlineLevel="0" collapsed="false">
      <c r="A456" s="28" t="n">
        <v>46301.5238801736</v>
      </c>
      <c r="B456" s="31" t="n">
        <f aca="false">(A456-$A$5)*86400</f>
        <v>19.609000207</v>
      </c>
      <c r="C456" s="27" t="n">
        <v>0.8797</v>
      </c>
      <c r="D456" s="27" t="n">
        <v>1.1044</v>
      </c>
      <c r="E456" s="27" t="s">
        <v>603</v>
      </c>
      <c r="F456" s="27" t="s">
        <v>144</v>
      </c>
      <c r="G456" s="32" t="n">
        <f aca="false">(A456-A455)*86400000</f>
        <v>15.000044</v>
      </c>
      <c r="H456" s="3"/>
      <c r="I456" s="3"/>
      <c r="J456" s="3"/>
      <c r="K456" s="3"/>
      <c r="L456" s="3"/>
      <c r="M456" s="3"/>
    </row>
    <row r="457" customFormat="false" ht="15" hidden="false" customHeight="false" outlineLevel="0" collapsed="false">
      <c r="A457" s="28" t="n">
        <v>46301.5238803588</v>
      </c>
      <c r="B457" s="31" t="n">
        <f aca="false">(A457-$A$5)*86400</f>
        <v>19.624999794</v>
      </c>
      <c r="C457" s="27" t="n">
        <v>0.8784</v>
      </c>
      <c r="D457" s="27" t="n">
        <v>1.1025</v>
      </c>
      <c r="E457" s="27" t="s">
        <v>603</v>
      </c>
      <c r="F457" s="27" t="s">
        <v>144</v>
      </c>
      <c r="G457" s="32" t="n">
        <f aca="false">(A457-A456)*86400000</f>
        <v>15.999586</v>
      </c>
      <c r="H457" s="3"/>
      <c r="I457" s="3"/>
      <c r="J457" s="3"/>
      <c r="K457" s="3"/>
      <c r="L457" s="3"/>
      <c r="M457" s="3"/>
    </row>
    <row r="458" customFormat="false" ht="15" hidden="false" customHeight="false" outlineLevel="0" collapsed="false">
      <c r="A458" s="28" t="n">
        <v>46301.523880544</v>
      </c>
      <c r="B458" s="31" t="n">
        <f aca="false">(A458-$A$5)*86400</f>
        <v>19.641000009</v>
      </c>
      <c r="C458" s="27" t="n">
        <v>0.8773</v>
      </c>
      <c r="D458" s="27" t="n">
        <v>1.101</v>
      </c>
      <c r="E458" s="27" t="s">
        <v>603</v>
      </c>
      <c r="F458" s="27" t="s">
        <v>144</v>
      </c>
      <c r="G458" s="32" t="n">
        <f aca="false">(A458-A457)*86400000</f>
        <v>16.000214</v>
      </c>
      <c r="H458" s="3"/>
      <c r="I458" s="3"/>
      <c r="J458" s="3"/>
      <c r="K458" s="3"/>
      <c r="L458" s="3"/>
      <c r="M458" s="3"/>
    </row>
    <row r="459" customFormat="false" ht="15" hidden="false" customHeight="false" outlineLevel="0" collapsed="false">
      <c r="A459" s="28" t="n">
        <v>46301.5238807292</v>
      </c>
      <c r="B459" s="31" t="n">
        <f aca="false">(A459-$A$5)*86400</f>
        <v>19.657000224</v>
      </c>
      <c r="C459" s="27" t="n">
        <v>0.8763</v>
      </c>
      <c r="D459" s="27" t="n">
        <v>1.0997</v>
      </c>
      <c r="E459" s="27" t="s">
        <v>603</v>
      </c>
      <c r="F459" s="27" t="s">
        <v>144</v>
      </c>
      <c r="G459" s="32" t="n">
        <f aca="false">(A459-A458)*86400000</f>
        <v>16.000214</v>
      </c>
      <c r="H459" s="3"/>
      <c r="I459" s="3"/>
      <c r="J459" s="3"/>
      <c r="K459" s="3"/>
      <c r="L459" s="3"/>
      <c r="M459" s="3"/>
    </row>
    <row r="460" customFormat="false" ht="15" hidden="false" customHeight="false" outlineLevel="0" collapsed="false">
      <c r="A460" s="28" t="n">
        <v>46301.5238810995</v>
      </c>
      <c r="B460" s="31" t="n">
        <f aca="false">(A460-$A$5)*86400</f>
        <v>19.689000654</v>
      </c>
      <c r="C460" s="27" t="n">
        <v>0.8749</v>
      </c>
      <c r="D460" s="27" t="n">
        <v>1.0977</v>
      </c>
      <c r="E460" s="27" t="s">
        <v>603</v>
      </c>
      <c r="F460" s="27" t="s">
        <v>144</v>
      </c>
      <c r="G460" s="32" t="n">
        <f aca="false">(A460-A459)*86400000</f>
        <v>32.000429</v>
      </c>
      <c r="H460" s="3"/>
      <c r="I460" s="3"/>
      <c r="J460" s="3"/>
      <c r="K460" s="3"/>
      <c r="L460" s="3"/>
      <c r="M460" s="3"/>
    </row>
    <row r="461" customFormat="false" ht="15" hidden="false" customHeight="false" outlineLevel="0" collapsed="false">
      <c r="A461" s="28" t="n">
        <v>46301.5238818403</v>
      </c>
      <c r="B461" s="31" t="n">
        <f aca="false">(A461-$A$5)*86400</f>
        <v>19.753000256</v>
      </c>
      <c r="C461" s="27" t="n">
        <v>0.8733</v>
      </c>
      <c r="D461" s="27" t="n">
        <v>1.0955</v>
      </c>
      <c r="E461" s="27" t="s">
        <v>603</v>
      </c>
      <c r="F461" s="27" t="s">
        <v>144</v>
      </c>
      <c r="G461" s="32" t="n">
        <f aca="false">(A461-A460)*86400000</f>
        <v>63.999602</v>
      </c>
      <c r="H461" s="3"/>
      <c r="I461" s="3"/>
      <c r="J461" s="3"/>
      <c r="K461" s="3"/>
      <c r="L461" s="3"/>
      <c r="M461" s="3"/>
    </row>
    <row r="462" customFormat="false" ht="15" hidden="false" customHeight="false" outlineLevel="0" collapsed="false">
      <c r="A462" s="28" t="n">
        <v>46301.5238859259</v>
      </c>
      <c r="B462" s="31" t="n">
        <f aca="false">(A462-$A$5)*86400</f>
        <v>20.106000755</v>
      </c>
      <c r="C462" s="27" t="n">
        <v>0.8696</v>
      </c>
      <c r="D462" s="27" t="n">
        <v>1.0821</v>
      </c>
      <c r="E462" s="27" t="s">
        <v>603</v>
      </c>
      <c r="F462" s="27" t="s">
        <v>144</v>
      </c>
      <c r="G462" s="32" t="n">
        <f aca="false">(A462-A461)*86400000</f>
        <v>353.000499</v>
      </c>
      <c r="H462" s="3"/>
      <c r="I462" s="3"/>
      <c r="J462" s="3"/>
      <c r="K462" s="3"/>
      <c r="L462" s="3"/>
      <c r="M462" s="3"/>
    </row>
    <row r="463" customFormat="false" ht="15" hidden="false" customHeight="false" outlineLevel="0" collapsed="false">
      <c r="A463" s="28" t="n">
        <v>46301.5238861111</v>
      </c>
      <c r="B463" s="31" t="n">
        <f aca="false">(A463-$A$5)*86400</f>
        <v>20.121999713</v>
      </c>
      <c r="C463" s="27" t="n">
        <v>0.8676</v>
      </c>
      <c r="D463" s="27" t="n">
        <v>1.0726</v>
      </c>
      <c r="E463" s="27" t="s">
        <v>603</v>
      </c>
      <c r="F463" s="27" t="s">
        <v>144</v>
      </c>
      <c r="G463" s="32" t="n">
        <f aca="false">(A463-A462)*86400000</f>
        <v>15.998957</v>
      </c>
      <c r="H463" s="3"/>
      <c r="I463" s="3"/>
      <c r="J463" s="3"/>
      <c r="K463" s="3"/>
      <c r="L463" s="3"/>
      <c r="M463" s="3"/>
    </row>
    <row r="464" customFormat="false" ht="15" hidden="false" customHeight="false" outlineLevel="0" collapsed="false">
      <c r="A464" s="28" t="n">
        <v>46301.5238862963</v>
      </c>
      <c r="B464" s="31" t="n">
        <f aca="false">(A464-$A$5)*86400</f>
        <v>20.137999299</v>
      </c>
      <c r="C464" s="27" t="n">
        <v>0.866</v>
      </c>
      <c r="D464" s="27" t="n">
        <v>1.0648</v>
      </c>
      <c r="E464" s="27" t="s">
        <v>603</v>
      </c>
      <c r="F464" s="27" t="s">
        <v>144</v>
      </c>
      <c r="G464" s="32" t="n">
        <f aca="false">(A464-A463)*86400000</f>
        <v>15.999586</v>
      </c>
      <c r="H464" s="3"/>
      <c r="I464" s="3"/>
      <c r="J464" s="3"/>
      <c r="K464" s="3"/>
      <c r="L464" s="3"/>
      <c r="M464" s="3"/>
    </row>
    <row r="465" customFormat="false" ht="15" hidden="false" customHeight="false" outlineLevel="0" collapsed="false">
      <c r="A465" s="28" t="n">
        <v>46301.5238864931</v>
      </c>
      <c r="B465" s="31" t="n">
        <f aca="false">(A465-$A$5)*86400</f>
        <v>20.155000314</v>
      </c>
      <c r="C465" s="27" t="n">
        <v>0.8647</v>
      </c>
      <c r="D465" s="27" t="n">
        <v>1.0584</v>
      </c>
      <c r="E465" s="27" t="s">
        <v>603</v>
      </c>
      <c r="F465" s="27" t="s">
        <v>144</v>
      </c>
      <c r="G465" s="32" t="n">
        <f aca="false">(A465-A464)*86400000</f>
        <v>17.001014</v>
      </c>
      <c r="H465" s="3"/>
      <c r="I465" s="3"/>
      <c r="J465" s="3"/>
      <c r="K465" s="3"/>
      <c r="L465" s="3"/>
      <c r="M465" s="3"/>
    </row>
    <row r="466" customFormat="false" ht="15" hidden="false" customHeight="false" outlineLevel="0" collapsed="false">
      <c r="A466" s="28" t="n">
        <v>46301.5238866667</v>
      </c>
      <c r="B466" s="31" t="n">
        <f aca="false">(A466-$A$5)*86400</f>
        <v>20.170000358</v>
      </c>
      <c r="C466" s="27" t="n">
        <v>0.8636</v>
      </c>
      <c r="D466" s="27" t="n">
        <v>1.0531</v>
      </c>
      <c r="E466" s="27" t="s">
        <v>603</v>
      </c>
      <c r="F466" s="27" t="s">
        <v>144</v>
      </c>
      <c r="G466" s="32" t="n">
        <f aca="false">(A466-A465)*86400000</f>
        <v>15.000044</v>
      </c>
      <c r="H466" s="3"/>
      <c r="I466" s="3"/>
      <c r="J466" s="3"/>
      <c r="K466" s="3"/>
      <c r="L466" s="3"/>
      <c r="M466" s="3"/>
    </row>
    <row r="467" customFormat="false" ht="15" hidden="false" customHeight="false" outlineLevel="0" collapsed="false">
      <c r="A467" s="28" t="n">
        <v>46301.5238868519</v>
      </c>
      <c r="B467" s="31" t="n">
        <f aca="false">(A467-$A$5)*86400</f>
        <v>20.185999944</v>
      </c>
      <c r="C467" s="27" t="n">
        <v>0.8627</v>
      </c>
      <c r="D467" s="27" t="n">
        <v>1.0487</v>
      </c>
      <c r="E467" s="27" t="s">
        <v>603</v>
      </c>
      <c r="F467" s="27" t="s">
        <v>144</v>
      </c>
      <c r="G467" s="32" t="n">
        <f aca="false">(A467-A466)*86400000</f>
        <v>15.999586</v>
      </c>
      <c r="H467" s="3"/>
      <c r="I467" s="3"/>
      <c r="J467" s="3"/>
      <c r="K467" s="3"/>
      <c r="L467" s="3"/>
      <c r="M467" s="3"/>
    </row>
    <row r="468" customFormat="false" ht="15" hidden="false" customHeight="false" outlineLevel="0" collapsed="false">
      <c r="A468" s="28" t="n">
        <v>46301.5238870486</v>
      </c>
      <c r="B468" s="31" t="n">
        <f aca="false">(A468-$A$5)*86400</f>
        <v>20.202999701</v>
      </c>
      <c r="C468" s="27" t="n">
        <v>0.8619</v>
      </c>
      <c r="D468" s="27" t="n">
        <v>1.0449</v>
      </c>
      <c r="E468" s="27" t="s">
        <v>603</v>
      </c>
      <c r="F468" s="27" t="s">
        <v>144</v>
      </c>
      <c r="G468" s="32" t="n">
        <f aca="false">(A468-A467)*86400000</f>
        <v>16.999756</v>
      </c>
      <c r="H468" s="3"/>
      <c r="I468" s="3"/>
      <c r="J468" s="3"/>
      <c r="K468" s="3"/>
      <c r="L468" s="3"/>
      <c r="M468" s="3"/>
    </row>
    <row r="469" customFormat="false" ht="15" hidden="false" customHeight="false" outlineLevel="0" collapsed="false">
      <c r="A469" s="28" t="n">
        <v>46301.5238872338</v>
      </c>
      <c r="B469" s="31" t="n">
        <f aca="false">(A469-$A$5)*86400</f>
        <v>20.218999288</v>
      </c>
      <c r="C469" s="27" t="n">
        <v>0.8613</v>
      </c>
      <c r="D469" s="27" t="n">
        <v>1.0419</v>
      </c>
      <c r="E469" s="27" t="s">
        <v>603</v>
      </c>
      <c r="F469" s="27" t="s">
        <v>144</v>
      </c>
      <c r="G469" s="32" t="n">
        <f aca="false">(A469-A468)*86400000</f>
        <v>15.999586</v>
      </c>
      <c r="H469" s="3"/>
      <c r="I469" s="3"/>
      <c r="J469" s="3"/>
      <c r="K469" s="3"/>
      <c r="L469" s="3"/>
      <c r="M469" s="3"/>
    </row>
    <row r="470" customFormat="false" ht="15" hidden="false" customHeight="false" outlineLevel="0" collapsed="false">
      <c r="A470" s="28" t="n">
        <v>46301.523887419</v>
      </c>
      <c r="B470" s="31" t="n">
        <f aca="false">(A470-$A$5)*86400</f>
        <v>20.235000131</v>
      </c>
      <c r="C470" s="27" t="n">
        <v>0.8608</v>
      </c>
      <c r="D470" s="27" t="n">
        <v>1.0395</v>
      </c>
      <c r="E470" s="27" t="s">
        <v>603</v>
      </c>
      <c r="F470" s="27" t="s">
        <v>144</v>
      </c>
      <c r="G470" s="32" t="n">
        <f aca="false">(A470-A469)*86400000</f>
        <v>16.000843</v>
      </c>
      <c r="H470" s="3"/>
      <c r="I470" s="3"/>
      <c r="J470" s="3"/>
      <c r="K470" s="3"/>
      <c r="L470" s="3"/>
      <c r="M470" s="3"/>
    </row>
    <row r="471" customFormat="false" ht="15" hidden="false" customHeight="false" outlineLevel="0" collapsed="false">
      <c r="A471" s="28" t="n">
        <v>46301.5238876157</v>
      </c>
      <c r="B471" s="31" t="n">
        <f aca="false">(A471-$A$5)*86400</f>
        <v>20.251999888</v>
      </c>
      <c r="C471" s="27" t="n">
        <v>0.8604</v>
      </c>
      <c r="D471" s="27" t="n">
        <v>1.0375</v>
      </c>
      <c r="E471" s="27" t="s">
        <v>603</v>
      </c>
      <c r="F471" s="27" t="s">
        <v>144</v>
      </c>
      <c r="G471" s="32" t="n">
        <f aca="false">(A471-A470)*86400000</f>
        <v>16.999756</v>
      </c>
      <c r="H471" s="3"/>
      <c r="I471" s="3"/>
      <c r="J471" s="3"/>
      <c r="K471" s="3"/>
      <c r="L471" s="3"/>
      <c r="M471" s="3"/>
    </row>
    <row r="472" customFormat="false" ht="15" hidden="false" customHeight="false" outlineLevel="0" collapsed="false">
      <c r="A472" s="28" t="n">
        <v>46301.5238877894</v>
      </c>
      <c r="B472" s="31" t="n">
        <f aca="false">(A472-$A$5)*86400</f>
        <v>20.266999932</v>
      </c>
      <c r="C472" s="27" t="n">
        <v>0.8601</v>
      </c>
      <c r="D472" s="27" t="n">
        <v>1.0358</v>
      </c>
      <c r="E472" s="27" t="s">
        <v>603</v>
      </c>
      <c r="F472" s="27" t="s">
        <v>144</v>
      </c>
      <c r="G472" s="32" t="n">
        <f aca="false">(A472-A471)*86400000</f>
        <v>15.000044</v>
      </c>
      <c r="H472" s="3"/>
      <c r="I472" s="3"/>
      <c r="J472" s="3"/>
      <c r="K472" s="3"/>
      <c r="L472" s="3"/>
      <c r="M472" s="3"/>
    </row>
    <row r="473" customFormat="false" ht="15" hidden="false" customHeight="false" outlineLevel="0" collapsed="false">
      <c r="A473" s="28" t="n">
        <v>46301.5238879861</v>
      </c>
      <c r="B473" s="31" t="n">
        <f aca="false">(A473-$A$5)*86400</f>
        <v>20.284000318</v>
      </c>
      <c r="C473" s="27" t="n">
        <v>0.8598</v>
      </c>
      <c r="D473" s="27" t="n">
        <v>1.0344</v>
      </c>
      <c r="E473" s="27" t="s">
        <v>603</v>
      </c>
      <c r="F473" s="27" t="s">
        <v>144</v>
      </c>
      <c r="G473" s="32" t="n">
        <f aca="false">(A473-A472)*86400000</f>
        <v>17.000385</v>
      </c>
      <c r="H473" s="3"/>
      <c r="I473" s="3"/>
      <c r="J473" s="3"/>
      <c r="K473" s="3"/>
      <c r="L473" s="3"/>
      <c r="M473" s="3"/>
    </row>
    <row r="474" customFormat="false" ht="15" hidden="false" customHeight="false" outlineLevel="0" collapsed="false">
      <c r="A474" s="28" t="n">
        <v>46301.5238881713</v>
      </c>
      <c r="B474" s="31" t="n">
        <f aca="false">(A474-$A$5)*86400</f>
        <v>20.299999276</v>
      </c>
      <c r="C474" s="27" t="n">
        <v>0.8596</v>
      </c>
      <c r="D474" s="27" t="n">
        <v>1.0333</v>
      </c>
      <c r="E474" s="27" t="s">
        <v>603</v>
      </c>
      <c r="F474" s="27" t="s">
        <v>144</v>
      </c>
      <c r="G474" s="32" t="n">
        <f aca="false">(A474-A473)*86400000</f>
        <v>15.998957</v>
      </c>
      <c r="H474" s="3"/>
      <c r="I474" s="3"/>
      <c r="J474" s="3"/>
      <c r="K474" s="3"/>
      <c r="L474" s="3"/>
      <c r="M474" s="3"/>
    </row>
    <row r="475" customFormat="false" ht="15" hidden="false" customHeight="false" outlineLevel="0" collapsed="false">
      <c r="A475" s="28" t="n">
        <v>46301.5238887153</v>
      </c>
      <c r="B475" s="31" t="n">
        <f aca="false">(A475-$A$5)*86400</f>
        <v>20.347000379</v>
      </c>
      <c r="C475" s="27" t="n">
        <v>0.8591</v>
      </c>
      <c r="D475" s="27" t="n">
        <v>1.031</v>
      </c>
      <c r="E475" s="27" t="s">
        <v>603</v>
      </c>
      <c r="F475" s="27" t="s">
        <v>144</v>
      </c>
      <c r="G475" s="32" t="n">
        <f aca="false">(A475-A474)*86400000</f>
        <v>47.001102</v>
      </c>
      <c r="H475" s="3"/>
      <c r="I475" s="3"/>
      <c r="J475" s="3"/>
      <c r="K475" s="3"/>
      <c r="L475" s="3"/>
      <c r="M475" s="3"/>
    </row>
    <row r="476" customFormat="false" ht="15" hidden="false" customHeight="false" outlineLevel="0" collapsed="false">
      <c r="A476" s="28" t="n">
        <v>46301.5238894907</v>
      </c>
      <c r="B476" s="31" t="n">
        <f aca="false">(A476-$A$5)*86400</f>
        <v>20.413999864</v>
      </c>
      <c r="C476" s="27" t="n">
        <v>0.8502</v>
      </c>
      <c r="D476" s="27" t="n">
        <v>1.026</v>
      </c>
      <c r="E476" s="27" t="s">
        <v>603</v>
      </c>
      <c r="F476" s="27" t="s">
        <v>144</v>
      </c>
      <c r="G476" s="32" t="n">
        <f aca="false">(A476-A475)*86400000</f>
        <v>66.999485</v>
      </c>
      <c r="H476" s="3"/>
      <c r="I476" s="3"/>
      <c r="J476" s="3"/>
      <c r="K476" s="3"/>
      <c r="L476" s="3"/>
      <c r="M476" s="3"/>
    </row>
    <row r="477" customFormat="false" ht="15" hidden="false" customHeight="false" outlineLevel="0" collapsed="false">
      <c r="A477" s="28" t="n">
        <v>46301.5238896644</v>
      </c>
      <c r="B477" s="31" t="n">
        <f aca="false">(A477-$A$5)*86400</f>
        <v>20.428999909</v>
      </c>
      <c r="C477" s="27" t="n">
        <v>0.8431</v>
      </c>
      <c r="D477" s="27" t="n">
        <v>1.0229</v>
      </c>
      <c r="E477" s="27" t="s">
        <v>603</v>
      </c>
      <c r="F477" s="27" t="s">
        <v>144</v>
      </c>
      <c r="G477" s="32" t="n">
        <f aca="false">(A477-A476)*86400000</f>
        <v>15.000044</v>
      </c>
      <c r="H477" s="3"/>
      <c r="I477" s="3"/>
      <c r="J477" s="3"/>
      <c r="K477" s="3"/>
      <c r="L477" s="3"/>
      <c r="M477" s="3"/>
    </row>
    <row r="478" customFormat="false" ht="15" hidden="false" customHeight="false" outlineLevel="0" collapsed="false">
      <c r="A478" s="28" t="n">
        <v>46301.5238898495</v>
      </c>
      <c r="B478" s="31" t="n">
        <f aca="false">(A478-$A$5)*86400</f>
        <v>20.445000124</v>
      </c>
      <c r="C478" s="27" t="n">
        <v>0.8373</v>
      </c>
      <c r="D478" s="27" t="n">
        <v>1.0204</v>
      </c>
      <c r="E478" s="27" t="s">
        <v>603</v>
      </c>
      <c r="F478" s="27" t="s">
        <v>144</v>
      </c>
      <c r="G478" s="32" t="n">
        <f aca="false">(A478-A477)*86400000</f>
        <v>16.000214</v>
      </c>
      <c r="H478" s="3"/>
      <c r="I478" s="3"/>
      <c r="J478" s="3"/>
      <c r="K478" s="3"/>
      <c r="L478" s="3"/>
      <c r="M478" s="3"/>
    </row>
    <row r="479" customFormat="false" ht="15" hidden="false" customHeight="false" outlineLevel="0" collapsed="false">
      <c r="A479" s="28" t="n">
        <v>46301.5238900347</v>
      </c>
      <c r="B479" s="31" t="n">
        <f aca="false">(A479-$A$5)*86400</f>
        <v>20.46099971</v>
      </c>
      <c r="C479" s="27" t="n">
        <v>0.8325</v>
      </c>
      <c r="D479" s="27" t="n">
        <v>1.0184</v>
      </c>
      <c r="E479" s="27" t="s">
        <v>603</v>
      </c>
      <c r="F479" s="27" t="s">
        <v>144</v>
      </c>
      <c r="G479" s="32" t="n">
        <f aca="false">(A479-A478)*86400000</f>
        <v>15.999586</v>
      </c>
      <c r="H479" s="3"/>
      <c r="I479" s="3"/>
      <c r="J479" s="3"/>
      <c r="K479" s="3"/>
      <c r="L479" s="3"/>
      <c r="M479" s="3"/>
    </row>
    <row r="480" customFormat="false" ht="15" hidden="false" customHeight="false" outlineLevel="0" collapsed="false">
      <c r="A480" s="28" t="n">
        <v>46301.5238902315</v>
      </c>
      <c r="B480" s="31" t="n">
        <f aca="false">(A480-$A$5)*86400</f>
        <v>20.478000096</v>
      </c>
      <c r="C480" s="27" t="n">
        <v>0.8283</v>
      </c>
      <c r="D480" s="27" t="n">
        <v>1.0166</v>
      </c>
      <c r="E480" s="27" t="s">
        <v>603</v>
      </c>
      <c r="F480" s="27" t="s">
        <v>144</v>
      </c>
      <c r="G480" s="32" t="n">
        <f aca="false">(A480-A479)*86400000</f>
        <v>17.000385</v>
      </c>
      <c r="H480" s="3"/>
      <c r="I480" s="3"/>
      <c r="J480" s="3"/>
      <c r="K480" s="3"/>
      <c r="L480" s="3"/>
      <c r="M480" s="3"/>
    </row>
    <row r="481" customFormat="false" ht="15" hidden="false" customHeight="false" outlineLevel="0" collapsed="false">
      <c r="A481" s="28" t="n">
        <v>46301.5238904167</v>
      </c>
      <c r="B481" s="31" t="n">
        <f aca="false">(A481-$A$5)*86400</f>
        <v>20.494000311</v>
      </c>
      <c r="C481" s="27" t="n">
        <v>0.825</v>
      </c>
      <c r="D481" s="27" t="n">
        <v>1.0152</v>
      </c>
      <c r="E481" s="27" t="s">
        <v>603</v>
      </c>
      <c r="F481" s="27" t="s">
        <v>144</v>
      </c>
      <c r="G481" s="32" t="n">
        <f aca="false">(A481-A480)*86400000</f>
        <v>16.000214</v>
      </c>
      <c r="H481" s="3"/>
      <c r="I481" s="3"/>
      <c r="J481" s="3"/>
      <c r="K481" s="3"/>
      <c r="L481" s="3"/>
      <c r="M481" s="3"/>
    </row>
    <row r="482" customFormat="false" ht="15" hidden="false" customHeight="false" outlineLevel="0" collapsed="false">
      <c r="A482" s="28" t="n">
        <v>46301.5238906019</v>
      </c>
      <c r="B482" s="31" t="n">
        <f aca="false">(A482-$A$5)*86400</f>
        <v>20.509999897</v>
      </c>
      <c r="C482" s="27" t="n">
        <v>0.8223</v>
      </c>
      <c r="D482" s="27" t="n">
        <v>1.014</v>
      </c>
      <c r="E482" s="27" t="s">
        <v>603</v>
      </c>
      <c r="F482" s="27" t="s">
        <v>144</v>
      </c>
      <c r="G482" s="32" t="n">
        <f aca="false">(A482-A481)*86400000</f>
        <v>15.999586</v>
      </c>
      <c r="H482" s="3"/>
      <c r="I482" s="3"/>
      <c r="J482" s="3"/>
      <c r="K482" s="3"/>
      <c r="L482" s="3"/>
      <c r="M482" s="3"/>
    </row>
    <row r="483" customFormat="false" ht="15" hidden="false" customHeight="false" outlineLevel="0" collapsed="false">
      <c r="A483" s="28" t="n">
        <v>46301.523890787</v>
      </c>
      <c r="B483" s="31" t="n">
        <f aca="false">(A483-$A$5)*86400</f>
        <v>20.526000112</v>
      </c>
      <c r="C483" s="27" t="n">
        <v>0.8201</v>
      </c>
      <c r="D483" s="27" t="n">
        <v>1.0131</v>
      </c>
      <c r="E483" s="27" t="s">
        <v>603</v>
      </c>
      <c r="F483" s="27" t="s">
        <v>144</v>
      </c>
      <c r="G483" s="32" t="n">
        <f aca="false">(A483-A482)*86400000</f>
        <v>16.000214</v>
      </c>
      <c r="H483" s="3"/>
      <c r="I483" s="3"/>
      <c r="J483" s="3"/>
      <c r="K483" s="3"/>
      <c r="L483" s="3"/>
      <c r="M483" s="3"/>
    </row>
    <row r="484" customFormat="false" ht="15" hidden="false" customHeight="false" outlineLevel="0" collapsed="false">
      <c r="A484" s="28" t="n">
        <v>46301.5238909722</v>
      </c>
      <c r="B484" s="31" t="n">
        <f aca="false">(A484-$A$5)*86400</f>
        <v>20.541999698</v>
      </c>
      <c r="C484" s="27" t="n">
        <v>0.8183</v>
      </c>
      <c r="D484" s="27" t="n">
        <v>1.0123</v>
      </c>
      <c r="E484" s="27" t="s">
        <v>603</v>
      </c>
      <c r="F484" s="27" t="s">
        <v>144</v>
      </c>
      <c r="G484" s="32" t="n">
        <f aca="false">(A484-A483)*86400000</f>
        <v>15.999586</v>
      </c>
      <c r="H484" s="3"/>
      <c r="I484" s="3"/>
      <c r="J484" s="3"/>
      <c r="K484" s="3"/>
      <c r="L484" s="3"/>
      <c r="M484" s="3"/>
    </row>
    <row r="485" customFormat="false" ht="15" hidden="false" customHeight="false" outlineLevel="0" collapsed="false">
      <c r="A485" s="28" t="n">
        <v>46301.5238913542</v>
      </c>
      <c r="B485" s="31" t="n">
        <f aca="false">(A485-$A$5)*86400</f>
        <v>20.575000299</v>
      </c>
      <c r="C485" s="27" t="n">
        <v>0.8155</v>
      </c>
      <c r="D485" s="27" t="n">
        <v>1.0111</v>
      </c>
      <c r="E485" s="27" t="s">
        <v>603</v>
      </c>
      <c r="F485" s="27" t="s">
        <v>144</v>
      </c>
      <c r="G485" s="32" t="n">
        <f aca="false">(A485-A484)*86400000</f>
        <v>33.0006</v>
      </c>
      <c r="H485" s="3"/>
      <c r="I485" s="3"/>
      <c r="J485" s="3"/>
      <c r="K485" s="3"/>
      <c r="L485" s="3"/>
      <c r="M485" s="3"/>
    </row>
    <row r="486" customFormat="false" ht="15" hidden="false" customHeight="false" outlineLevel="0" collapsed="false">
      <c r="A486" s="28" t="n">
        <v>46301.5238915394</v>
      </c>
      <c r="B486" s="31" t="n">
        <f aca="false">(A486-$A$5)*86400</f>
        <v>20.590999885</v>
      </c>
      <c r="C486" s="27" t="n">
        <v>0.8145</v>
      </c>
      <c r="D486" s="27" t="n">
        <v>1.0107</v>
      </c>
      <c r="E486" s="27" t="s">
        <v>603</v>
      </c>
      <c r="F486" s="27" t="s">
        <v>144</v>
      </c>
      <c r="G486" s="32" t="n">
        <f aca="false">(A486-A485)*86400000</f>
        <v>15.999586</v>
      </c>
      <c r="H486" s="3"/>
      <c r="I486" s="3"/>
      <c r="J486" s="3"/>
      <c r="K486" s="3"/>
      <c r="L486" s="3"/>
      <c r="M486" s="3"/>
    </row>
    <row r="487" customFormat="false" ht="15" hidden="false" customHeight="false" outlineLevel="0" collapsed="false">
      <c r="A487" s="28" t="n">
        <v>46301.5238919097</v>
      </c>
      <c r="B487" s="31" t="n">
        <f aca="false">(A487-$A$5)*86400</f>
        <v>20.622999686</v>
      </c>
      <c r="C487" s="27" t="n">
        <v>0.8129</v>
      </c>
      <c r="D487" s="27" t="n">
        <v>1.01</v>
      </c>
      <c r="E487" s="27" t="s">
        <v>603</v>
      </c>
      <c r="F487" s="27" t="s">
        <v>144</v>
      </c>
      <c r="G487" s="32" t="n">
        <f aca="false">(A487-A486)*86400000</f>
        <v>31.999801</v>
      </c>
      <c r="H487" s="3"/>
      <c r="I487" s="3"/>
      <c r="J487" s="3"/>
      <c r="K487" s="3"/>
      <c r="L487" s="3"/>
      <c r="M487" s="3"/>
    </row>
    <row r="488" customFormat="false" ht="15" hidden="false" customHeight="false" outlineLevel="0" collapsed="false">
      <c r="A488" s="28" t="n">
        <v>46301.5238924537</v>
      </c>
      <c r="B488" s="31" t="n">
        <f aca="false">(A488-$A$5)*86400</f>
        <v>20.669999532</v>
      </c>
      <c r="C488" s="27" t="n">
        <v>0.8115</v>
      </c>
      <c r="D488" s="27" t="n">
        <v>1.0094</v>
      </c>
      <c r="E488" s="27" t="s">
        <v>603</v>
      </c>
      <c r="F488" s="27" t="s">
        <v>144</v>
      </c>
      <c r="G488" s="32" t="n">
        <f aca="false">(A488-A487)*86400000</f>
        <v>46.999845</v>
      </c>
      <c r="H488" s="3"/>
      <c r="I488" s="3"/>
      <c r="J488" s="3"/>
      <c r="K488" s="3"/>
      <c r="L488" s="3"/>
      <c r="M488" s="3"/>
    </row>
    <row r="489" customFormat="false" ht="15" hidden="false" customHeight="false" outlineLevel="0" collapsed="false">
      <c r="A489" s="28" t="n">
        <v>46301.5238926389</v>
      </c>
      <c r="B489" s="31" t="n">
        <f aca="false">(A489-$A$5)*86400</f>
        <v>20.686000376</v>
      </c>
      <c r="C489" s="27" t="n">
        <v>0.8097</v>
      </c>
      <c r="D489" s="27" t="n">
        <v>1.0086</v>
      </c>
      <c r="E489" s="27" t="s">
        <v>603</v>
      </c>
      <c r="F489" s="27" t="s">
        <v>144</v>
      </c>
      <c r="G489" s="32" t="n">
        <f aca="false">(A489-A488)*86400000</f>
        <v>16.000843</v>
      </c>
      <c r="H489" s="3"/>
      <c r="I489" s="3"/>
      <c r="J489" s="3"/>
      <c r="K489" s="3"/>
      <c r="L489" s="3"/>
      <c r="M489" s="3"/>
    </row>
    <row r="490" customFormat="false" ht="15" hidden="false" customHeight="false" outlineLevel="0" collapsed="false">
      <c r="A490" s="28" t="n">
        <v>46301.5238930093</v>
      </c>
      <c r="B490" s="31" t="n">
        <f aca="false">(A490-$A$5)*86400</f>
        <v>20.718000177</v>
      </c>
      <c r="C490" s="27" t="n">
        <v>0.8093</v>
      </c>
      <c r="D490" s="27" t="n">
        <v>1.0053</v>
      </c>
      <c r="E490" s="27" t="s">
        <v>603</v>
      </c>
      <c r="F490" s="27" t="s">
        <v>144</v>
      </c>
      <c r="G490" s="32" t="n">
        <f aca="false">(A490-A489)*86400000</f>
        <v>31.999801</v>
      </c>
      <c r="H490" s="3"/>
      <c r="I490" s="3"/>
      <c r="J490" s="3"/>
      <c r="K490" s="3"/>
      <c r="L490" s="3"/>
      <c r="M490" s="3"/>
    </row>
    <row r="491" customFormat="false" ht="15" hidden="false" customHeight="false" outlineLevel="0" collapsed="false">
      <c r="A491" s="28" t="n">
        <v>46301.5238931945</v>
      </c>
      <c r="B491" s="31" t="n">
        <f aca="false">(A491-$A$5)*86400</f>
        <v>20.734000392</v>
      </c>
      <c r="C491" s="27" t="n">
        <v>0.8089</v>
      </c>
      <c r="D491" s="27" t="n">
        <v>1.0025</v>
      </c>
      <c r="E491" s="27" t="s">
        <v>603</v>
      </c>
      <c r="F491" s="27" t="s">
        <v>144</v>
      </c>
      <c r="G491" s="32" t="n">
        <f aca="false">(A491-A490)*86400000</f>
        <v>16.000214</v>
      </c>
      <c r="H491" s="3"/>
      <c r="I491" s="3"/>
      <c r="J491" s="3"/>
      <c r="K491" s="3"/>
      <c r="L491" s="3"/>
      <c r="M491" s="3"/>
    </row>
    <row r="492" customFormat="false" ht="15" hidden="false" customHeight="false" outlineLevel="0" collapsed="false">
      <c r="A492" s="28" t="n">
        <v>46301.5238933796</v>
      </c>
      <c r="B492" s="31" t="n">
        <f aca="false">(A492-$A$5)*86400</f>
        <v>20.749999978</v>
      </c>
      <c r="C492" s="27" t="n">
        <v>0.8087</v>
      </c>
      <c r="D492" s="27" t="n">
        <v>1.0002</v>
      </c>
      <c r="E492" s="27" t="s">
        <v>603</v>
      </c>
      <c r="F492" s="27" t="s">
        <v>144</v>
      </c>
      <c r="G492" s="32" t="n">
        <f aca="false">(A492-A491)*86400000</f>
        <v>15.999586</v>
      </c>
      <c r="H492" s="3"/>
      <c r="I492" s="3"/>
      <c r="J492" s="3"/>
      <c r="K492" s="3"/>
      <c r="L492" s="3"/>
      <c r="M492" s="3"/>
    </row>
    <row r="493" customFormat="false" ht="15" hidden="false" customHeight="false" outlineLevel="0" collapsed="false">
      <c r="A493" s="28" t="n">
        <v>46301.5238935764</v>
      </c>
      <c r="B493" s="31" t="n">
        <f aca="false">(A493-$A$5)*86400</f>
        <v>20.767000364</v>
      </c>
      <c r="C493" s="27" t="n">
        <v>0.8084</v>
      </c>
      <c r="D493" s="27" t="n">
        <v>0.9982</v>
      </c>
      <c r="E493" s="27" t="s">
        <v>603</v>
      </c>
      <c r="F493" s="27" t="s">
        <v>144</v>
      </c>
      <c r="G493" s="32" t="n">
        <f aca="false">(A493-A492)*86400000</f>
        <v>17.000385</v>
      </c>
      <c r="H493" s="3"/>
      <c r="I493" s="3"/>
      <c r="J493" s="3"/>
      <c r="K493" s="3"/>
      <c r="L493" s="3"/>
      <c r="M493" s="3"/>
    </row>
    <row r="494" customFormat="false" ht="15" hidden="false" customHeight="false" outlineLevel="0" collapsed="false">
      <c r="A494" s="28" t="n">
        <v>46301.5238937732</v>
      </c>
      <c r="B494" s="31" t="n">
        <f aca="false">(A494-$A$5)*86400</f>
        <v>20.784000121</v>
      </c>
      <c r="C494" s="27" t="n">
        <v>0.8083</v>
      </c>
      <c r="D494" s="27" t="n">
        <v>0.9967</v>
      </c>
      <c r="E494" s="27" t="s">
        <v>603</v>
      </c>
      <c r="F494" s="27" t="s">
        <v>144</v>
      </c>
      <c r="G494" s="32" t="n">
        <f aca="false">(A494-A493)*86400000</f>
        <v>16.999756</v>
      </c>
      <c r="H494" s="3"/>
      <c r="I494" s="3"/>
      <c r="J494" s="3"/>
      <c r="K494" s="3"/>
      <c r="L494" s="3"/>
      <c r="M494" s="3"/>
    </row>
    <row r="495" customFormat="false" ht="15" hidden="false" customHeight="false" outlineLevel="0" collapsed="false">
      <c r="A495" s="28" t="n">
        <v>46301.5238939468</v>
      </c>
      <c r="B495" s="31" t="n">
        <f aca="false">(A495-$A$5)*86400</f>
        <v>20.799000165</v>
      </c>
      <c r="C495" s="27" t="n">
        <v>0.8081</v>
      </c>
      <c r="D495" s="27" t="n">
        <v>0.9954</v>
      </c>
      <c r="E495" s="27" t="s">
        <v>603</v>
      </c>
      <c r="F495" s="27" t="s">
        <v>144</v>
      </c>
      <c r="G495" s="32" t="n">
        <f aca="false">(A495-A494)*86400000</f>
        <v>15.000044</v>
      </c>
      <c r="H495" s="3"/>
      <c r="I495" s="3"/>
      <c r="J495" s="3"/>
      <c r="K495" s="3"/>
      <c r="L495" s="3"/>
      <c r="M495" s="3"/>
    </row>
    <row r="496" customFormat="false" ht="15" hidden="false" customHeight="false" outlineLevel="0" collapsed="false">
      <c r="A496" s="28" t="n">
        <v>46301.5238945023</v>
      </c>
      <c r="B496" s="31" t="n">
        <f aca="false">(A496-$A$5)*86400</f>
        <v>20.84700081</v>
      </c>
      <c r="C496" s="27" t="n">
        <v>0.8078</v>
      </c>
      <c r="D496" s="27" t="n">
        <v>0.9927</v>
      </c>
      <c r="E496" s="27" t="s">
        <v>603</v>
      </c>
      <c r="F496" s="27" t="s">
        <v>144</v>
      </c>
      <c r="G496" s="32" t="n">
        <f aca="false">(A496-A495)*86400000</f>
        <v>48.000644</v>
      </c>
      <c r="H496" s="3"/>
      <c r="I496" s="3"/>
      <c r="J496" s="3"/>
      <c r="K496" s="3"/>
      <c r="L496" s="3"/>
      <c r="M496" s="3"/>
    </row>
    <row r="497" customFormat="false" ht="15" hidden="false" customHeight="false" outlineLevel="0" collapsed="false">
      <c r="A497" s="28" t="n">
        <v>46301.5238952662</v>
      </c>
      <c r="B497" s="31" t="n">
        <f aca="false">(A497-$A$5)*86400</f>
        <v>20.912999496</v>
      </c>
      <c r="C497" s="27" t="n">
        <v>0.8074</v>
      </c>
      <c r="D497" s="27" t="n">
        <v>0.9894</v>
      </c>
      <c r="E497" s="27" t="s">
        <v>603</v>
      </c>
      <c r="F497" s="27" t="s">
        <v>144</v>
      </c>
      <c r="G497" s="32" t="n">
        <f aca="false">(A497-A496)*86400000</f>
        <v>65.998686</v>
      </c>
      <c r="H497" s="3"/>
      <c r="I497" s="3"/>
      <c r="J497" s="3"/>
      <c r="K497" s="3"/>
      <c r="L497" s="3"/>
      <c r="M497" s="3"/>
    </row>
    <row r="498" customFormat="false" ht="15" hidden="false" customHeight="false" outlineLevel="0" collapsed="false">
      <c r="A498" s="28" t="n">
        <v>46301.5238965741</v>
      </c>
      <c r="B498" s="31" t="n">
        <f aca="false">(A498-$A$5)*86400</f>
        <v>21.025999914</v>
      </c>
      <c r="C498" s="27" t="n">
        <v>0.8065</v>
      </c>
      <c r="D498" s="27" t="n">
        <v>0.982</v>
      </c>
      <c r="E498" s="27" t="s">
        <v>603</v>
      </c>
      <c r="F498" s="27" t="s">
        <v>144</v>
      </c>
      <c r="G498" s="32" t="n">
        <f aca="false">(A498-A497)*86400000</f>
        <v>113.000418</v>
      </c>
      <c r="H498" s="3"/>
      <c r="I498" s="3"/>
      <c r="J498" s="3"/>
      <c r="K498" s="3"/>
      <c r="L498" s="3"/>
      <c r="M498" s="3"/>
    </row>
    <row r="499" customFormat="false" ht="15" hidden="false" customHeight="false" outlineLevel="0" collapsed="false">
      <c r="A499" s="28" t="n">
        <v>46301.5238967593</v>
      </c>
      <c r="B499" s="31" t="n">
        <f aca="false">(A499-$A$5)*86400</f>
        <v>21.042000129</v>
      </c>
      <c r="C499" s="27" t="n">
        <v>0.8058</v>
      </c>
      <c r="D499" s="27" t="n">
        <v>0.9759</v>
      </c>
      <c r="E499" s="27" t="s">
        <v>603</v>
      </c>
      <c r="F499" s="27" t="s">
        <v>144</v>
      </c>
      <c r="G499" s="32" t="n">
        <f aca="false">(A499-A498)*86400000</f>
        <v>16.000214</v>
      </c>
      <c r="H499" s="3"/>
      <c r="I499" s="3"/>
      <c r="J499" s="3"/>
      <c r="K499" s="3"/>
      <c r="L499" s="3"/>
      <c r="M499" s="3"/>
    </row>
    <row r="500" customFormat="false" ht="15" hidden="false" customHeight="false" outlineLevel="0" collapsed="false">
      <c r="A500" s="28" t="n">
        <v>46301.5238969445</v>
      </c>
      <c r="B500" s="31" t="n">
        <f aca="false">(A500-$A$5)*86400</f>
        <v>21.058000344</v>
      </c>
      <c r="C500" s="27" t="n">
        <v>0.8052</v>
      </c>
      <c r="D500" s="27" t="n">
        <v>0.9708</v>
      </c>
      <c r="E500" s="27" t="s">
        <v>603</v>
      </c>
      <c r="F500" s="27" t="s">
        <v>144</v>
      </c>
      <c r="G500" s="32" t="n">
        <f aca="false">(A500-A499)*86400000</f>
        <v>16.000214</v>
      </c>
      <c r="H500" s="3"/>
      <c r="I500" s="3"/>
      <c r="J500" s="3"/>
      <c r="K500" s="3"/>
      <c r="L500" s="3"/>
      <c r="M500" s="3"/>
    </row>
    <row r="501" customFormat="false" ht="15" hidden="false" customHeight="false" outlineLevel="0" collapsed="false">
      <c r="A501" s="28" t="n">
        <v>46301.5238971412</v>
      </c>
      <c r="B501" s="31" t="n">
        <f aca="false">(A501-$A$5)*86400</f>
        <v>21.075000101</v>
      </c>
      <c r="C501" s="27" t="n">
        <v>0.8047</v>
      </c>
      <c r="D501" s="27" t="n">
        <v>0.9667</v>
      </c>
      <c r="E501" s="27" t="s">
        <v>603</v>
      </c>
      <c r="F501" s="27" t="s">
        <v>144</v>
      </c>
      <c r="G501" s="32" t="n">
        <f aca="false">(A501-A500)*86400000</f>
        <v>16.999756</v>
      </c>
      <c r="H501" s="3"/>
      <c r="I501" s="3"/>
      <c r="J501" s="3"/>
      <c r="K501" s="3"/>
      <c r="L501" s="3"/>
      <c r="M501" s="3"/>
    </row>
    <row r="502" customFormat="false" ht="15" hidden="false" customHeight="false" outlineLevel="0" collapsed="false">
      <c r="A502" s="28" t="n">
        <v>46301.5238973264</v>
      </c>
      <c r="B502" s="31" t="n">
        <f aca="false">(A502-$A$5)*86400</f>
        <v>21.091000316</v>
      </c>
      <c r="C502" s="27" t="n">
        <v>0.8043</v>
      </c>
      <c r="D502" s="27" t="n">
        <v>0.9632</v>
      </c>
      <c r="E502" s="27" t="s">
        <v>603</v>
      </c>
      <c r="F502" s="27" t="s">
        <v>144</v>
      </c>
      <c r="G502" s="32" t="n">
        <f aca="false">(A502-A501)*86400000</f>
        <v>16.000214</v>
      </c>
      <c r="H502" s="3"/>
      <c r="I502" s="3"/>
      <c r="J502" s="3"/>
      <c r="K502" s="3"/>
      <c r="L502" s="3"/>
      <c r="M502" s="3"/>
    </row>
    <row r="503" customFormat="false" ht="15" hidden="false" customHeight="false" outlineLevel="0" collapsed="false">
      <c r="A503" s="28" t="n">
        <v>46301.5238975116</v>
      </c>
      <c r="B503" s="31" t="n">
        <f aca="false">(A503-$A$5)*86400</f>
        <v>21.106999902</v>
      </c>
      <c r="C503" s="27" t="n">
        <v>0.804</v>
      </c>
      <c r="D503" s="27" t="n">
        <v>0.9604</v>
      </c>
      <c r="E503" s="27" t="s">
        <v>603</v>
      </c>
      <c r="F503" s="27" t="s">
        <v>144</v>
      </c>
      <c r="G503" s="32" t="n">
        <f aca="false">(A503-A502)*86400000</f>
        <v>15.999586</v>
      </c>
      <c r="H503" s="3"/>
      <c r="I503" s="3"/>
      <c r="J503" s="3"/>
      <c r="K503" s="3"/>
      <c r="L503" s="3"/>
      <c r="M503" s="3"/>
    </row>
    <row r="504" customFormat="false" ht="15" hidden="false" customHeight="false" outlineLevel="0" collapsed="false">
      <c r="A504" s="28" t="n">
        <v>46301.5238976852</v>
      </c>
      <c r="B504" s="31" t="n">
        <f aca="false">(A504-$A$5)*86400</f>
        <v>21.121999947</v>
      </c>
      <c r="C504" s="27" t="n">
        <v>0.8037</v>
      </c>
      <c r="D504" s="27" t="n">
        <v>0.9581</v>
      </c>
      <c r="E504" s="27" t="s">
        <v>603</v>
      </c>
      <c r="F504" s="27" t="s">
        <v>144</v>
      </c>
      <c r="G504" s="32" t="n">
        <f aca="false">(A504-A503)*86400000</f>
        <v>15.000044</v>
      </c>
      <c r="H504" s="3"/>
      <c r="I504" s="3"/>
      <c r="J504" s="3"/>
      <c r="K504" s="3"/>
      <c r="L504" s="3"/>
      <c r="M504" s="3"/>
    </row>
    <row r="505" customFormat="false" ht="15" hidden="false" customHeight="false" outlineLevel="0" collapsed="false">
      <c r="A505" s="28" t="n">
        <v>46301.5238978704</v>
      </c>
      <c r="B505" s="31" t="n">
        <f aca="false">(A505-$A$5)*86400</f>
        <v>21.138000162</v>
      </c>
      <c r="C505" s="27" t="n">
        <v>0.8035</v>
      </c>
      <c r="D505" s="27" t="n">
        <v>0.9561</v>
      </c>
      <c r="E505" s="27" t="s">
        <v>603</v>
      </c>
      <c r="F505" s="27" t="s">
        <v>144</v>
      </c>
      <c r="G505" s="32" t="n">
        <f aca="false">(A505-A504)*86400000</f>
        <v>16.000214</v>
      </c>
      <c r="H505" s="3"/>
      <c r="I505" s="3"/>
      <c r="J505" s="3"/>
      <c r="K505" s="3"/>
      <c r="L505" s="3"/>
      <c r="M505" s="3"/>
    </row>
    <row r="506" customFormat="false" ht="15" hidden="false" customHeight="false" outlineLevel="0" collapsed="false">
      <c r="A506" s="28" t="n">
        <v>46301.5238980556</v>
      </c>
      <c r="B506" s="31" t="n">
        <f aca="false">(A506-$A$5)*86400</f>
        <v>21.154000377</v>
      </c>
      <c r="C506" s="27" t="n">
        <v>0.8033</v>
      </c>
      <c r="D506" s="27" t="n">
        <v>0.9545</v>
      </c>
      <c r="E506" s="27" t="s">
        <v>603</v>
      </c>
      <c r="F506" s="27" t="s">
        <v>144</v>
      </c>
      <c r="G506" s="32" t="n">
        <f aca="false">(A506-A505)*86400000</f>
        <v>16.000214</v>
      </c>
      <c r="H506" s="3"/>
      <c r="I506" s="3"/>
      <c r="J506" s="3"/>
      <c r="K506" s="3"/>
      <c r="L506" s="3"/>
      <c r="M506" s="3"/>
    </row>
    <row r="507" customFormat="false" ht="15" hidden="false" customHeight="false" outlineLevel="0" collapsed="false">
      <c r="A507" s="28" t="n">
        <v>46301.5238982407</v>
      </c>
      <c r="B507" s="31" t="n">
        <f aca="false">(A507-$A$5)*86400</f>
        <v>21.169999963</v>
      </c>
      <c r="C507" s="27" t="n">
        <v>0.8032</v>
      </c>
      <c r="D507" s="27" t="n">
        <v>0.9532</v>
      </c>
      <c r="E507" s="27" t="s">
        <v>603</v>
      </c>
      <c r="F507" s="27" t="s">
        <v>144</v>
      </c>
      <c r="G507" s="32" t="n">
        <f aca="false">(A507-A506)*86400000</f>
        <v>15.999586</v>
      </c>
      <c r="H507" s="3"/>
      <c r="I507" s="3"/>
      <c r="J507" s="3"/>
      <c r="K507" s="3"/>
      <c r="L507" s="3"/>
      <c r="M507" s="3"/>
    </row>
    <row r="508" customFormat="false" ht="15" hidden="false" customHeight="false" outlineLevel="0" collapsed="false">
      <c r="A508" s="28" t="n">
        <v>46301.5238987963</v>
      </c>
      <c r="B508" s="31" t="n">
        <f aca="false">(A508-$A$5)*86400</f>
        <v>21.217999351</v>
      </c>
      <c r="C508" s="27" t="n">
        <v>0.8028</v>
      </c>
      <c r="D508" s="27" t="n">
        <v>0.9505</v>
      </c>
      <c r="E508" s="27" t="s">
        <v>603</v>
      </c>
      <c r="F508" s="27" t="s">
        <v>144</v>
      </c>
      <c r="G508" s="32" t="n">
        <f aca="false">(A508-A507)*86400000</f>
        <v>47.999387</v>
      </c>
      <c r="H508" s="3"/>
      <c r="I508" s="3"/>
      <c r="J508" s="3"/>
      <c r="K508" s="3"/>
      <c r="L508" s="3"/>
      <c r="M508" s="3"/>
    </row>
    <row r="509" customFormat="false" ht="15" hidden="false" customHeight="false" outlineLevel="0" collapsed="false">
      <c r="A509" s="28" t="n">
        <v>46301.523899537</v>
      </c>
      <c r="B509" s="31" t="n">
        <f aca="false">(A509-$A$5)*86400</f>
        <v>21.282000211</v>
      </c>
      <c r="C509" s="27" t="n">
        <v>0.8024</v>
      </c>
      <c r="D509" s="27" t="n">
        <v>0.947</v>
      </c>
      <c r="E509" s="27" t="s">
        <v>603</v>
      </c>
      <c r="F509" s="27" t="s">
        <v>144</v>
      </c>
      <c r="G509" s="32" t="n">
        <f aca="false">(A509-A508)*86400000</f>
        <v>64.000859</v>
      </c>
      <c r="H509" s="3"/>
      <c r="I509" s="3"/>
      <c r="J509" s="3"/>
      <c r="K509" s="3"/>
      <c r="L509" s="3"/>
      <c r="M509" s="3"/>
    </row>
    <row r="510" customFormat="false" ht="15" hidden="false" customHeight="false" outlineLevel="0" collapsed="false">
      <c r="A510" s="28" t="n">
        <v>46301.523901412</v>
      </c>
      <c r="B510" s="31" t="n">
        <f aca="false">(A510-$A$5)*86400</f>
        <v>21.444000187</v>
      </c>
      <c r="C510" s="27" t="n">
        <v>0.775</v>
      </c>
      <c r="D510" s="27" t="n">
        <v>0.9428</v>
      </c>
      <c r="E510" s="27" t="s">
        <v>603</v>
      </c>
      <c r="F510" s="27" t="s">
        <v>144</v>
      </c>
      <c r="G510" s="32" t="n">
        <f aca="false">(A510-A509)*86400000</f>
        <v>161.999976</v>
      </c>
      <c r="H510" s="3"/>
      <c r="I510" s="3"/>
      <c r="J510" s="3"/>
      <c r="K510" s="3"/>
      <c r="L510" s="3"/>
      <c r="M510" s="3"/>
    </row>
    <row r="511" customFormat="false" ht="15" hidden="false" customHeight="false" outlineLevel="0" collapsed="false">
      <c r="A511" s="28" t="n">
        <v>46301.5239015972</v>
      </c>
      <c r="B511" s="31" t="n">
        <f aca="false">(A511-$A$5)*86400</f>
        <v>21.46000103</v>
      </c>
      <c r="C511" s="27" t="n">
        <v>0.7511</v>
      </c>
      <c r="D511" s="27" t="n">
        <v>0.939</v>
      </c>
      <c r="E511" s="27" t="s">
        <v>603</v>
      </c>
      <c r="F511" s="27" t="s">
        <v>144</v>
      </c>
      <c r="G511" s="32" t="n">
        <f aca="false">(A511-A510)*86400000</f>
        <v>16.000843</v>
      </c>
      <c r="H511" s="3"/>
      <c r="I511" s="3"/>
      <c r="J511" s="3"/>
      <c r="K511" s="3"/>
      <c r="L511" s="3"/>
      <c r="M511" s="3"/>
    </row>
    <row r="512" customFormat="false" ht="15" hidden="false" customHeight="false" outlineLevel="0" collapsed="false">
      <c r="A512" s="28" t="n">
        <v>46301.523901794</v>
      </c>
      <c r="B512" s="31" t="n">
        <f aca="false">(A512-$A$5)*86400</f>
        <v>21.477000159</v>
      </c>
      <c r="C512" s="27" t="n">
        <v>0.7326</v>
      </c>
      <c r="D512" s="27" t="n">
        <v>0.9362</v>
      </c>
      <c r="E512" s="27" t="s">
        <v>603</v>
      </c>
      <c r="F512" s="27" t="s">
        <v>144</v>
      </c>
      <c r="G512" s="32" t="n">
        <f aca="false">(A512-A511)*86400000</f>
        <v>16.999128</v>
      </c>
      <c r="H512" s="3"/>
      <c r="I512" s="3"/>
      <c r="J512" s="3"/>
      <c r="K512" s="3"/>
      <c r="L512" s="3"/>
      <c r="M512" s="3"/>
    </row>
    <row r="513" customFormat="false" ht="15" hidden="false" customHeight="false" outlineLevel="0" collapsed="false">
      <c r="A513" s="28" t="n">
        <v>46301.5239019792</v>
      </c>
      <c r="B513" s="31" t="n">
        <f aca="false">(A513-$A$5)*86400</f>
        <v>21.493000374</v>
      </c>
      <c r="C513" s="27" t="n">
        <v>0.7174</v>
      </c>
      <c r="D513" s="27" t="n">
        <v>0.9338</v>
      </c>
      <c r="E513" s="27" t="s">
        <v>603</v>
      </c>
      <c r="F513" s="27" t="s">
        <v>144</v>
      </c>
      <c r="G513" s="32" t="n">
        <f aca="false">(A513-A512)*86400000</f>
        <v>16.000214</v>
      </c>
      <c r="H513" s="3"/>
      <c r="I513" s="3"/>
      <c r="J513" s="3"/>
      <c r="K513" s="3"/>
      <c r="L513" s="3"/>
      <c r="M513" s="3"/>
    </row>
    <row r="514" customFormat="false" ht="15" hidden="false" customHeight="false" outlineLevel="0" collapsed="false">
      <c r="A514" s="28" t="n">
        <v>46301.5239021528</v>
      </c>
      <c r="B514" s="31" t="n">
        <f aca="false">(A514-$A$5)*86400</f>
        <v>21.508000418</v>
      </c>
      <c r="C514" s="27" t="n">
        <v>0.7048</v>
      </c>
      <c r="D514" s="27" t="n">
        <v>0.9318</v>
      </c>
      <c r="E514" s="27" t="s">
        <v>603</v>
      </c>
      <c r="F514" s="27" t="s">
        <v>144</v>
      </c>
      <c r="G514" s="32" t="n">
        <f aca="false">(A514-A513)*86400000</f>
        <v>15.000044</v>
      </c>
      <c r="H514" s="3"/>
      <c r="I514" s="3"/>
      <c r="J514" s="3"/>
      <c r="K514" s="3"/>
      <c r="L514" s="3"/>
      <c r="M514" s="3"/>
    </row>
    <row r="515" customFormat="false" ht="15" hidden="false" customHeight="false" outlineLevel="0" collapsed="false">
      <c r="A515" s="28" t="n">
        <v>46301.523902338</v>
      </c>
      <c r="B515" s="31" t="n">
        <f aca="false">(A515-$A$5)*86400</f>
        <v>21.524000004</v>
      </c>
      <c r="C515" s="27" t="n">
        <v>0.6945</v>
      </c>
      <c r="D515" s="27" t="n">
        <v>0.9302</v>
      </c>
      <c r="E515" s="27" t="s">
        <v>603</v>
      </c>
      <c r="F515" s="27" t="s">
        <v>144</v>
      </c>
      <c r="G515" s="32" t="n">
        <f aca="false">(A515-A514)*86400000</f>
        <v>15.999586</v>
      </c>
      <c r="H515" s="3"/>
      <c r="I515" s="3"/>
      <c r="J515" s="3"/>
      <c r="K515" s="3"/>
      <c r="L515" s="3"/>
      <c r="M515" s="3"/>
    </row>
    <row r="516" customFormat="false" ht="15" hidden="false" customHeight="false" outlineLevel="0" collapsed="false">
      <c r="A516" s="28" t="n">
        <v>46301.5239025347</v>
      </c>
      <c r="B516" s="31" t="n">
        <f aca="false">(A516-$A$5)*86400</f>
        <v>21.541001019</v>
      </c>
      <c r="C516" s="27" t="n">
        <v>0.6859</v>
      </c>
      <c r="D516" s="27" t="n">
        <v>0.9289</v>
      </c>
      <c r="E516" s="27" t="s">
        <v>603</v>
      </c>
      <c r="F516" s="27" t="s">
        <v>144</v>
      </c>
      <c r="G516" s="32" t="n">
        <f aca="false">(A516-A515)*86400000</f>
        <v>17.001014</v>
      </c>
      <c r="H516" s="3"/>
      <c r="I516" s="3"/>
      <c r="J516" s="3"/>
      <c r="K516" s="3"/>
      <c r="L516" s="3"/>
      <c r="M516" s="3"/>
    </row>
    <row r="517" customFormat="false" ht="15" hidden="false" customHeight="false" outlineLevel="0" collapsed="false">
      <c r="A517" s="28" t="n">
        <v>46301.5239027083</v>
      </c>
      <c r="B517" s="31" t="n">
        <f aca="false">(A517-$A$5)*86400</f>
        <v>21.555999806</v>
      </c>
      <c r="C517" s="27" t="n">
        <v>0.6788</v>
      </c>
      <c r="D517" s="27" t="n">
        <v>0.9278</v>
      </c>
      <c r="E517" s="27" t="s">
        <v>603</v>
      </c>
      <c r="F517" s="27" t="s">
        <v>144</v>
      </c>
      <c r="G517" s="32" t="n">
        <f aca="false">(A517-A516)*86400000</f>
        <v>14.998787</v>
      </c>
      <c r="H517" s="3"/>
      <c r="I517" s="3"/>
      <c r="J517" s="3"/>
      <c r="K517" s="3"/>
      <c r="L517" s="3"/>
      <c r="M517" s="3"/>
    </row>
    <row r="518" customFormat="false" ht="15" hidden="false" customHeight="false" outlineLevel="0" collapsed="false">
      <c r="A518" s="28" t="n">
        <v>46301.5239029051</v>
      </c>
      <c r="B518" s="31" t="n">
        <f aca="false">(A518-$A$5)*86400</f>
        <v>21.573000191</v>
      </c>
      <c r="C518" s="27" t="n">
        <v>0.6727</v>
      </c>
      <c r="D518" s="27" t="n">
        <v>0.9268</v>
      </c>
      <c r="E518" s="27" t="s">
        <v>603</v>
      </c>
      <c r="F518" s="27" t="s">
        <v>144</v>
      </c>
      <c r="G518" s="32" t="n">
        <f aca="false">(A518-A517)*86400000</f>
        <v>17.000385</v>
      </c>
      <c r="H518" s="3"/>
      <c r="I518" s="3"/>
      <c r="J518" s="3"/>
      <c r="K518" s="3"/>
      <c r="L518" s="3"/>
      <c r="M518" s="3"/>
    </row>
    <row r="519" customFormat="false" ht="15" hidden="false" customHeight="false" outlineLevel="0" collapsed="false">
      <c r="A519" s="28" t="n">
        <v>46301.5239030787</v>
      </c>
      <c r="B519" s="31" t="n">
        <f aca="false">(A519-$A$5)*86400</f>
        <v>21.588000864</v>
      </c>
      <c r="C519" s="27" t="n">
        <v>0.6679</v>
      </c>
      <c r="D519" s="27" t="n">
        <v>0.9261</v>
      </c>
      <c r="E519" s="27" t="s">
        <v>603</v>
      </c>
      <c r="F519" s="27" t="s">
        <v>144</v>
      </c>
      <c r="G519" s="32" t="n">
        <f aca="false">(A519-A518)*86400000</f>
        <v>15.000673</v>
      </c>
      <c r="H519" s="3"/>
      <c r="I519" s="3"/>
      <c r="J519" s="3"/>
      <c r="K519" s="3"/>
      <c r="L519" s="3"/>
      <c r="M519" s="3"/>
    </row>
    <row r="520" customFormat="false" ht="15" hidden="false" customHeight="false" outlineLevel="0" collapsed="false">
      <c r="A520" s="28" t="n">
        <v>46301.5239032639</v>
      </c>
      <c r="B520" s="31" t="n">
        <f aca="false">(A520-$A$5)*86400</f>
        <v>21.604000451</v>
      </c>
      <c r="C520" s="27" t="n">
        <v>0.664</v>
      </c>
      <c r="D520" s="27" t="n">
        <v>0.9255</v>
      </c>
      <c r="E520" s="27" t="s">
        <v>603</v>
      </c>
      <c r="F520" s="27" t="s">
        <v>144</v>
      </c>
      <c r="G520" s="32" t="n">
        <f aca="false">(A520-A519)*86400000</f>
        <v>15.999586</v>
      </c>
      <c r="H520" s="3"/>
      <c r="I520" s="3"/>
      <c r="J520" s="3"/>
      <c r="K520" s="3"/>
      <c r="L520" s="3"/>
      <c r="M520" s="3"/>
    </row>
    <row r="521" customFormat="false" ht="15" hidden="false" customHeight="false" outlineLevel="0" collapsed="false">
      <c r="A521" s="28" t="n">
        <v>46301.5239034607</v>
      </c>
      <c r="B521" s="31" t="n">
        <f aca="false">(A521-$A$5)*86400</f>
        <v>21.621000207</v>
      </c>
      <c r="C521" s="27" t="n">
        <v>0.6608</v>
      </c>
      <c r="D521" s="27" t="n">
        <v>0.925</v>
      </c>
      <c r="E521" s="27" t="s">
        <v>603</v>
      </c>
      <c r="F521" s="27" t="s">
        <v>144</v>
      </c>
      <c r="G521" s="32" t="n">
        <f aca="false">(A521-A520)*86400000</f>
        <v>16.999756</v>
      </c>
      <c r="H521" s="3"/>
      <c r="I521" s="3"/>
      <c r="J521" s="3"/>
      <c r="K521" s="3"/>
      <c r="L521" s="3"/>
      <c r="M521" s="3"/>
    </row>
    <row r="522" customFormat="false" ht="15" hidden="false" customHeight="false" outlineLevel="0" collapsed="false">
      <c r="A522" s="28" t="n">
        <v>46301.5239036343</v>
      </c>
      <c r="B522" s="31" t="n">
        <f aca="false">(A522-$A$5)*86400</f>
        <v>21.636000252</v>
      </c>
      <c r="C522" s="27" t="n">
        <v>0.6581</v>
      </c>
      <c r="D522" s="27" t="n">
        <v>0.9246</v>
      </c>
      <c r="E522" s="27" t="s">
        <v>603</v>
      </c>
      <c r="F522" s="27" t="s">
        <v>144</v>
      </c>
      <c r="G522" s="32" t="n">
        <f aca="false">(A522-A521)*86400000</f>
        <v>15.000044</v>
      </c>
      <c r="H522" s="3"/>
      <c r="I522" s="3"/>
      <c r="J522" s="3"/>
      <c r="K522" s="3"/>
      <c r="L522" s="3"/>
      <c r="M522" s="3"/>
    </row>
    <row r="523" customFormat="false" ht="15" hidden="false" customHeight="false" outlineLevel="0" collapsed="false">
      <c r="A523" s="28" t="n">
        <v>46301.5239038194</v>
      </c>
      <c r="B523" s="31" t="n">
        <f aca="false">(A523-$A$5)*86400</f>
        <v>21.651999838</v>
      </c>
      <c r="C523" s="27" t="n">
        <v>0.6559</v>
      </c>
      <c r="D523" s="27" t="n">
        <v>0.9242</v>
      </c>
      <c r="E523" s="27" t="s">
        <v>603</v>
      </c>
      <c r="F523" s="27" t="s">
        <v>144</v>
      </c>
      <c r="G523" s="32" t="n">
        <f aca="false">(A523-A522)*86400000</f>
        <v>15.999586</v>
      </c>
      <c r="H523" s="3"/>
      <c r="I523" s="3"/>
      <c r="J523" s="3"/>
      <c r="K523" s="3"/>
      <c r="L523" s="3"/>
      <c r="M523" s="3"/>
    </row>
    <row r="524" customFormat="false" ht="15" hidden="false" customHeight="false" outlineLevel="0" collapsed="false">
      <c r="A524" s="28" t="n">
        <v>46301.5239040162</v>
      </c>
      <c r="B524" s="31" t="n">
        <f aca="false">(A524-$A$5)*86400</f>
        <v>21.669000852</v>
      </c>
      <c r="C524" s="27" t="n">
        <v>0.6541</v>
      </c>
      <c r="D524" s="27" t="n">
        <v>0.9239</v>
      </c>
      <c r="E524" s="27" t="s">
        <v>603</v>
      </c>
      <c r="F524" s="27" t="s">
        <v>144</v>
      </c>
      <c r="G524" s="32" t="n">
        <f aca="false">(A524-A523)*86400000</f>
        <v>17.001014</v>
      </c>
      <c r="H524" s="3"/>
      <c r="I524" s="3"/>
      <c r="J524" s="3"/>
      <c r="K524" s="3"/>
      <c r="L524" s="3"/>
      <c r="M524" s="3"/>
    </row>
    <row r="525" customFormat="false" ht="15" hidden="false" customHeight="false" outlineLevel="0" collapsed="false">
      <c r="A525" s="28" t="n">
        <v>46301.5239041898</v>
      </c>
      <c r="B525" s="31" t="n">
        <f aca="false">(A525-$A$5)*86400</f>
        <v>21.684000268</v>
      </c>
      <c r="C525" s="27" t="n">
        <v>0.6526</v>
      </c>
      <c r="D525" s="27" t="n">
        <v>0.9237</v>
      </c>
      <c r="E525" s="27" t="s">
        <v>603</v>
      </c>
      <c r="F525" s="27" t="s">
        <v>144</v>
      </c>
      <c r="G525" s="32" t="n">
        <f aca="false">(A525-A524)*86400000</f>
        <v>14.999415</v>
      </c>
      <c r="H525" s="3"/>
      <c r="I525" s="3"/>
      <c r="J525" s="3"/>
      <c r="K525" s="3"/>
      <c r="L525" s="3"/>
      <c r="M525" s="3"/>
    </row>
    <row r="526" customFormat="false" ht="15" hidden="false" customHeight="false" outlineLevel="0" collapsed="false">
      <c r="A526" s="28" t="n">
        <v>46301.5239043866</v>
      </c>
      <c r="B526" s="31" t="n">
        <f aca="false">(A526-$A$5)*86400</f>
        <v>21.701000025</v>
      </c>
      <c r="C526" s="27" t="n">
        <v>0.6513</v>
      </c>
      <c r="D526" s="27" t="n">
        <v>0.9235</v>
      </c>
      <c r="E526" s="27" t="s">
        <v>603</v>
      </c>
      <c r="F526" s="27" t="s">
        <v>144</v>
      </c>
      <c r="G526" s="32" t="n">
        <f aca="false">(A526-A525)*86400000</f>
        <v>16.999756</v>
      </c>
      <c r="H526" s="3"/>
      <c r="I526" s="3"/>
      <c r="J526" s="3"/>
      <c r="K526" s="3"/>
      <c r="L526" s="3"/>
      <c r="M526" s="3"/>
    </row>
    <row r="527" customFormat="false" ht="15" hidden="false" customHeight="false" outlineLevel="0" collapsed="false">
      <c r="A527" s="28" t="n">
        <v>46301.5239047454</v>
      </c>
      <c r="B527" s="31" t="n">
        <f aca="false">(A527-$A$5)*86400</f>
        <v>21.732000284</v>
      </c>
      <c r="C527" s="27" t="n">
        <v>0.6494</v>
      </c>
      <c r="D527" s="27" t="n">
        <v>0.9232</v>
      </c>
      <c r="E527" s="27" t="s">
        <v>603</v>
      </c>
      <c r="F527" s="27" t="s">
        <v>144</v>
      </c>
      <c r="G527" s="32" t="n">
        <f aca="false">(A527-A526)*86400000</f>
        <v>31.000259</v>
      </c>
      <c r="H527" s="3"/>
      <c r="I527" s="3"/>
      <c r="J527" s="3"/>
      <c r="K527" s="3"/>
      <c r="L527" s="3"/>
      <c r="M527" s="3"/>
    </row>
    <row r="528" customFormat="false" ht="15" hidden="false" customHeight="false" outlineLevel="0" collapsed="false">
      <c r="A528" s="28" t="n">
        <v>46301.5239051157</v>
      </c>
      <c r="B528" s="31" t="n">
        <f aca="false">(A528-$A$5)*86400</f>
        <v>21.764000086</v>
      </c>
      <c r="C528" s="27" t="n">
        <v>0.6384</v>
      </c>
      <c r="D528" s="27" t="n">
        <v>0.9166</v>
      </c>
      <c r="E528" s="27" t="s">
        <v>603</v>
      </c>
      <c r="F528" s="27" t="s">
        <v>144</v>
      </c>
      <c r="G528" s="32" t="n">
        <f aca="false">(A528-A527)*86400000</f>
        <v>31.999801</v>
      </c>
      <c r="H528" s="3"/>
      <c r="I528" s="3"/>
      <c r="J528" s="3"/>
      <c r="K528" s="3"/>
      <c r="L528" s="3"/>
      <c r="M528" s="3"/>
    </row>
    <row r="529" customFormat="false" ht="15" hidden="false" customHeight="false" outlineLevel="0" collapsed="false">
      <c r="A529" s="28" t="n">
        <v>46301.5239053009</v>
      </c>
      <c r="B529" s="31" t="n">
        <f aca="false">(A529-$A$5)*86400</f>
        <v>21.780000301</v>
      </c>
      <c r="C529" s="27" t="n">
        <v>0.6299</v>
      </c>
      <c r="D529" s="27" t="n">
        <v>0.9113</v>
      </c>
      <c r="E529" s="27" t="s">
        <v>603</v>
      </c>
      <c r="F529" s="27" t="s">
        <v>144</v>
      </c>
      <c r="G529" s="32" t="n">
        <f aca="false">(A529-A528)*86400000</f>
        <v>16.000214</v>
      </c>
      <c r="H529" s="3"/>
      <c r="I529" s="3"/>
      <c r="J529" s="3"/>
      <c r="K529" s="3"/>
      <c r="L529" s="3"/>
      <c r="M529" s="3"/>
    </row>
    <row r="530" customFormat="false" ht="15" hidden="false" customHeight="false" outlineLevel="0" collapsed="false">
      <c r="A530" s="28" t="n">
        <v>46301.5239054861</v>
      </c>
      <c r="B530" s="31" t="n">
        <f aca="false">(A530-$A$5)*86400</f>
        <v>21.795999887</v>
      </c>
      <c r="C530" s="27" t="n">
        <v>0.6228</v>
      </c>
      <c r="D530" s="27" t="n">
        <v>0.9069</v>
      </c>
      <c r="E530" s="27" t="s">
        <v>603</v>
      </c>
      <c r="F530" s="27" t="s">
        <v>144</v>
      </c>
      <c r="G530" s="32" t="n">
        <f aca="false">(A530-A529)*86400000</f>
        <v>15.999586</v>
      </c>
      <c r="H530" s="3"/>
      <c r="I530" s="3"/>
      <c r="J530" s="3"/>
      <c r="K530" s="3"/>
      <c r="L530" s="3"/>
      <c r="M530" s="3"/>
    </row>
    <row r="531" customFormat="false" ht="15" hidden="false" customHeight="false" outlineLevel="0" collapsed="false">
      <c r="A531" s="28" t="n">
        <v>46301.5239056713</v>
      </c>
      <c r="B531" s="31" t="n">
        <f aca="false">(A531-$A$5)*86400</f>
        <v>21.812000731</v>
      </c>
      <c r="C531" s="27" t="n">
        <v>0.617</v>
      </c>
      <c r="D531" s="27" t="n">
        <v>0.9032</v>
      </c>
      <c r="E531" s="27" t="s">
        <v>603</v>
      </c>
      <c r="F531" s="27" t="s">
        <v>144</v>
      </c>
      <c r="G531" s="32" t="n">
        <f aca="false">(A531-A530)*86400000</f>
        <v>16.000843</v>
      </c>
      <c r="H531" s="3"/>
      <c r="I531" s="3"/>
      <c r="J531" s="3"/>
      <c r="K531" s="3"/>
      <c r="L531" s="3"/>
      <c r="M531" s="3"/>
    </row>
    <row r="532" customFormat="false" ht="15" hidden="false" customHeight="false" outlineLevel="0" collapsed="false">
      <c r="A532" s="28" t="n">
        <v>46301.5239058565</v>
      </c>
      <c r="B532" s="31" t="n">
        <f aca="false">(A532-$A$5)*86400</f>
        <v>21.827999688</v>
      </c>
      <c r="C532" s="27" t="n">
        <v>0.6122</v>
      </c>
      <c r="D532" s="27" t="n">
        <v>0.9002</v>
      </c>
      <c r="E532" s="27" t="s">
        <v>603</v>
      </c>
      <c r="F532" s="27" t="s">
        <v>144</v>
      </c>
      <c r="G532" s="32" t="n">
        <f aca="false">(A532-A531)*86400000</f>
        <v>15.998957</v>
      </c>
      <c r="H532" s="3"/>
      <c r="I532" s="3"/>
      <c r="J532" s="3"/>
      <c r="K532" s="3"/>
      <c r="L532" s="3"/>
      <c r="M532" s="3"/>
    </row>
    <row r="533" customFormat="false" ht="15" hidden="false" customHeight="false" outlineLevel="0" collapsed="false">
      <c r="A533" s="28" t="n">
        <v>46301.523961331</v>
      </c>
      <c r="B533" s="31" t="n">
        <f aca="false">(A533-$A$5)*86400</f>
        <v>26.621000119</v>
      </c>
      <c r="C533" s="27" t="n">
        <v>0.556</v>
      </c>
      <c r="D533" s="27" t="n">
        <v>0.8636</v>
      </c>
      <c r="E533" s="27" t="s">
        <v>603</v>
      </c>
      <c r="F533" s="27" t="s">
        <v>144</v>
      </c>
      <c r="G533" s="32" t="n">
        <f aca="false">(A533-A532)*86400000</f>
        <v>4793.00043</v>
      </c>
      <c r="H533" s="3"/>
      <c r="I533" s="3"/>
      <c r="J533" s="3"/>
      <c r="K533" s="3"/>
      <c r="L533" s="3"/>
      <c r="M533" s="3"/>
    </row>
    <row r="534" customFormat="false" ht="15" hidden="false" customHeight="false" outlineLevel="0" collapsed="false">
      <c r="A534" s="28" t="n">
        <v>46301.5239615046</v>
      </c>
      <c r="B534" s="31" t="n">
        <f aca="false">(A534-$A$5)*86400</f>
        <v>26.636000163</v>
      </c>
      <c r="C534" s="27" t="n">
        <v>0.5538</v>
      </c>
      <c r="D534" s="27" t="n">
        <v>0.8677</v>
      </c>
      <c r="E534" s="27" t="s">
        <v>603</v>
      </c>
      <c r="F534" s="27" t="s">
        <v>144</v>
      </c>
      <c r="G534" s="32" t="n">
        <f aca="false">(A534-A533)*86400000</f>
        <v>15.000044</v>
      </c>
      <c r="H534" s="3"/>
      <c r="I534" s="3"/>
      <c r="J534" s="3"/>
      <c r="K534" s="3"/>
      <c r="L534" s="3"/>
      <c r="M534" s="3"/>
    </row>
    <row r="535" customFormat="false" ht="15" hidden="false" customHeight="false" outlineLevel="0" collapsed="false">
      <c r="A535" s="28" t="n">
        <v>46301.5239617014</v>
      </c>
      <c r="B535" s="31" t="n">
        <f aca="false">(A535-$A$5)*86400</f>
        <v>26.65299992</v>
      </c>
      <c r="C535" s="27" t="n">
        <v>0.5521</v>
      </c>
      <c r="D535" s="27" t="n">
        <v>0.871</v>
      </c>
      <c r="E535" s="27" t="s">
        <v>603</v>
      </c>
      <c r="F535" s="27" t="s">
        <v>144</v>
      </c>
      <c r="G535" s="32" t="n">
        <f aca="false">(A535-A534)*86400000</f>
        <v>16.999756</v>
      </c>
      <c r="H535" s="3"/>
      <c r="I535" s="3"/>
      <c r="J535" s="3"/>
      <c r="K535" s="3"/>
      <c r="L535" s="3"/>
      <c r="M535" s="3"/>
    </row>
    <row r="536" customFormat="false" ht="15" hidden="false" customHeight="false" outlineLevel="0" collapsed="false">
      <c r="A536" s="28" t="n">
        <v>46301.523961875</v>
      </c>
      <c r="B536" s="31" t="n">
        <f aca="false">(A536-$A$5)*86400</f>
        <v>26.667999965</v>
      </c>
      <c r="C536" s="27" t="n">
        <v>0.5506</v>
      </c>
      <c r="D536" s="27" t="n">
        <v>0.8737</v>
      </c>
      <c r="E536" s="27" t="s">
        <v>603</v>
      </c>
      <c r="F536" s="27" t="s">
        <v>144</v>
      </c>
      <c r="G536" s="32" t="n">
        <f aca="false">(A536-A535)*86400000</f>
        <v>15.000044</v>
      </c>
      <c r="H536" s="3"/>
      <c r="I536" s="3"/>
      <c r="J536" s="3"/>
      <c r="K536" s="3"/>
      <c r="L536" s="3"/>
      <c r="M536" s="3"/>
    </row>
    <row r="537" customFormat="false" ht="15" hidden="false" customHeight="false" outlineLevel="0" collapsed="false">
      <c r="A537" s="28" t="n">
        <v>46301.5239620718</v>
      </c>
      <c r="B537" s="31" t="n">
        <f aca="false">(A537-$A$5)*86400</f>
        <v>26.68500035</v>
      </c>
      <c r="C537" s="27" t="n">
        <v>0.5494</v>
      </c>
      <c r="D537" s="27" t="n">
        <v>0.876</v>
      </c>
      <c r="E537" s="27" t="s">
        <v>603</v>
      </c>
      <c r="F537" s="27" t="s">
        <v>144</v>
      </c>
      <c r="G537" s="32" t="n">
        <f aca="false">(A537-A536)*86400000</f>
        <v>17.000385</v>
      </c>
      <c r="H537" s="3"/>
      <c r="I537" s="3"/>
      <c r="J537" s="3"/>
      <c r="K537" s="3"/>
      <c r="L537" s="3"/>
      <c r="M537" s="3"/>
    </row>
    <row r="538" customFormat="false" ht="15" hidden="false" customHeight="false" outlineLevel="0" collapsed="false">
      <c r="A538" s="28" t="n">
        <v>46301.5239622569</v>
      </c>
      <c r="B538" s="31" t="n">
        <f aca="false">(A538-$A$5)*86400</f>
        <v>26.700999937</v>
      </c>
      <c r="C538" s="27" t="n">
        <v>0.5484</v>
      </c>
      <c r="D538" s="27" t="n">
        <v>0.8779</v>
      </c>
      <c r="E538" s="27" t="s">
        <v>603</v>
      </c>
      <c r="F538" s="27" t="s">
        <v>144</v>
      </c>
      <c r="G538" s="32" t="n">
        <f aca="false">(A538-A537)*86400000</f>
        <v>15.999586</v>
      </c>
      <c r="H538" s="3"/>
      <c r="I538" s="3"/>
      <c r="J538" s="3"/>
      <c r="K538" s="3"/>
      <c r="L538" s="3"/>
      <c r="M538" s="3"/>
    </row>
    <row r="539" customFormat="false" ht="15" hidden="false" customHeight="false" outlineLevel="0" collapsed="false">
      <c r="A539" s="28" t="n">
        <v>46301.5239624421</v>
      </c>
      <c r="B539" s="31" t="n">
        <f aca="false">(A539-$A$5)*86400</f>
        <v>26.717000151</v>
      </c>
      <c r="C539" s="27" t="n">
        <v>0.5476</v>
      </c>
      <c r="D539" s="27" t="n">
        <v>0.8794</v>
      </c>
      <c r="E539" s="27" t="s">
        <v>603</v>
      </c>
      <c r="F539" s="27" t="s">
        <v>144</v>
      </c>
      <c r="G539" s="32" t="n">
        <f aca="false">(A539-A538)*86400000</f>
        <v>16.000214</v>
      </c>
      <c r="H539" s="3"/>
      <c r="I539" s="3"/>
      <c r="J539" s="3"/>
      <c r="K539" s="3"/>
      <c r="L539" s="3"/>
      <c r="M539" s="3"/>
    </row>
    <row r="540" customFormat="false" ht="15" hidden="false" customHeight="false" outlineLevel="0" collapsed="false">
      <c r="A540" s="28" t="n">
        <v>46301.5239626273</v>
      </c>
      <c r="B540" s="31" t="n">
        <f aca="false">(A540-$A$5)*86400</f>
        <v>26.733000366</v>
      </c>
      <c r="C540" s="27" t="n">
        <v>0.5469</v>
      </c>
      <c r="D540" s="27" t="n">
        <v>0.8807</v>
      </c>
      <c r="E540" s="27" t="s">
        <v>603</v>
      </c>
      <c r="F540" s="27" t="s">
        <v>144</v>
      </c>
      <c r="G540" s="32" t="n">
        <f aca="false">(A540-A539)*86400000</f>
        <v>16.000214</v>
      </c>
      <c r="H540" s="3"/>
      <c r="I540" s="3"/>
      <c r="J540" s="3"/>
      <c r="K540" s="3"/>
      <c r="L540" s="3"/>
      <c r="M540" s="3"/>
    </row>
    <row r="541" customFormat="false" ht="15" hidden="false" customHeight="false" outlineLevel="0" collapsed="false">
      <c r="A541" s="28" t="n">
        <v>46301.5239628125</v>
      </c>
      <c r="B541" s="31" t="n">
        <f aca="false">(A541-$A$5)*86400</f>
        <v>26.748999953</v>
      </c>
      <c r="C541" s="27" t="n">
        <v>0.5463</v>
      </c>
      <c r="D541" s="27" t="n">
        <v>0.8817</v>
      </c>
      <c r="E541" s="27" t="s">
        <v>603</v>
      </c>
      <c r="F541" s="27" t="s">
        <v>144</v>
      </c>
      <c r="G541" s="32" t="n">
        <f aca="false">(A541-A540)*86400000</f>
        <v>15.999586</v>
      </c>
      <c r="H541" s="3"/>
      <c r="I541" s="3"/>
      <c r="J541" s="3"/>
      <c r="K541" s="3"/>
      <c r="L541" s="3"/>
      <c r="M541" s="3"/>
    </row>
    <row r="542" customFormat="false" ht="15" hidden="false" customHeight="false" outlineLevel="0" collapsed="false">
      <c r="A542" s="28" t="n">
        <v>46301.5239629977</v>
      </c>
      <c r="B542" s="31" t="n">
        <f aca="false">(A542-$A$5)*86400</f>
        <v>26.765000796</v>
      </c>
      <c r="C542" s="27" t="n">
        <v>0.5459</v>
      </c>
      <c r="D542" s="27" t="n">
        <v>0.8826</v>
      </c>
      <c r="E542" s="27" t="s">
        <v>603</v>
      </c>
      <c r="F542" s="27" t="s">
        <v>144</v>
      </c>
      <c r="G542" s="32" t="n">
        <f aca="false">(A542-A541)*86400000</f>
        <v>16.000843</v>
      </c>
      <c r="H542" s="3"/>
      <c r="I542" s="3"/>
      <c r="J542" s="3"/>
      <c r="K542" s="3"/>
      <c r="L542" s="3"/>
      <c r="M542" s="3"/>
    </row>
    <row r="543" customFormat="false" ht="15" hidden="false" customHeight="false" outlineLevel="0" collapsed="false">
      <c r="A543" s="28" t="n">
        <v>46301.5239635417</v>
      </c>
      <c r="B543" s="31" t="n">
        <f aca="false">(A543-$A$5)*86400</f>
        <v>26.812000642</v>
      </c>
      <c r="C543" s="27" t="n">
        <v>0.5449</v>
      </c>
      <c r="D543" s="27" t="n">
        <v>0.8844</v>
      </c>
      <c r="E543" s="27" t="s">
        <v>603</v>
      </c>
      <c r="F543" s="27" t="s">
        <v>144</v>
      </c>
      <c r="G543" s="32" t="n">
        <f aca="false">(A543-A542)*86400000</f>
        <v>46.999845</v>
      </c>
      <c r="H543" s="3"/>
      <c r="I543" s="3"/>
      <c r="J543" s="3"/>
      <c r="K543" s="3"/>
      <c r="L543" s="3"/>
      <c r="M543" s="3"/>
    </row>
    <row r="544" customFormat="false" ht="15" hidden="false" customHeight="false" outlineLevel="0" collapsed="false">
      <c r="A544" s="28" t="n">
        <v>46301.5239637384</v>
      </c>
      <c r="B544" s="31" t="n">
        <f aca="false">(A544-$A$5)*86400</f>
        <v>26.829000399</v>
      </c>
      <c r="C544" s="27" t="n">
        <v>0.5434</v>
      </c>
      <c r="D544" s="27" t="n">
        <v>0.8872</v>
      </c>
      <c r="E544" s="27" t="s">
        <v>603</v>
      </c>
      <c r="F544" s="27" t="s">
        <v>144</v>
      </c>
      <c r="G544" s="32" t="n">
        <f aca="false">(A544-A543)*86400000</f>
        <v>16.999756</v>
      </c>
      <c r="H544" s="3"/>
      <c r="I544" s="3"/>
      <c r="J544" s="3"/>
      <c r="K544" s="3"/>
      <c r="L544" s="3"/>
      <c r="M544" s="3"/>
    </row>
    <row r="545" customFormat="false" ht="15" hidden="false" customHeight="false" outlineLevel="0" collapsed="false">
      <c r="A545" s="28" t="n">
        <v>46301.5239639352</v>
      </c>
      <c r="B545" s="31" t="n">
        <f aca="false">(A545-$A$5)*86400</f>
        <v>26.846000785</v>
      </c>
      <c r="C545" s="27" t="n">
        <v>0.5423</v>
      </c>
      <c r="D545" s="27" t="n">
        <v>0.8893</v>
      </c>
      <c r="E545" s="27" t="s">
        <v>603</v>
      </c>
      <c r="F545" s="27" t="s">
        <v>144</v>
      </c>
      <c r="G545" s="32" t="n">
        <f aca="false">(A545-A544)*86400000</f>
        <v>17.000385</v>
      </c>
      <c r="H545" s="3"/>
      <c r="I545" s="3"/>
      <c r="J545" s="3"/>
      <c r="K545" s="3"/>
      <c r="L545" s="3"/>
      <c r="M545" s="3"/>
    </row>
    <row r="546" customFormat="false" ht="15" hidden="false" customHeight="false" outlineLevel="0" collapsed="false">
      <c r="A546" s="28" t="n">
        <v>46301.5239641088</v>
      </c>
      <c r="B546" s="31" t="n">
        <f aca="false">(A546-$A$5)*86400</f>
        <v>26.8610002</v>
      </c>
      <c r="C546" s="27" t="n">
        <v>0.5413</v>
      </c>
      <c r="D546" s="27" t="n">
        <v>0.8911</v>
      </c>
      <c r="E546" s="27" t="s">
        <v>603</v>
      </c>
      <c r="F546" s="27" t="s">
        <v>144</v>
      </c>
      <c r="G546" s="32" t="n">
        <f aca="false">(A546-A545)*86400000</f>
        <v>14.999415</v>
      </c>
      <c r="H546" s="3"/>
      <c r="I546" s="3"/>
      <c r="J546" s="3"/>
      <c r="K546" s="3"/>
      <c r="L546" s="3"/>
      <c r="M546" s="3"/>
    </row>
    <row r="547" customFormat="false" ht="15" hidden="false" customHeight="false" outlineLevel="0" collapsed="false">
      <c r="A547" s="28" t="n">
        <v>46301.5239644907</v>
      </c>
      <c r="B547" s="31" t="n">
        <f aca="false">(A547-$A$5)*86400</f>
        <v>26.894000172</v>
      </c>
      <c r="C547" s="27" t="n">
        <v>0.5399</v>
      </c>
      <c r="D547" s="27" t="n">
        <v>0.8938</v>
      </c>
      <c r="E547" s="27" t="s">
        <v>603</v>
      </c>
      <c r="F547" s="27" t="s">
        <v>144</v>
      </c>
      <c r="G547" s="32" t="n">
        <f aca="false">(A547-A546)*86400000</f>
        <v>32.999971</v>
      </c>
      <c r="H547" s="3"/>
      <c r="I547" s="3"/>
      <c r="J547" s="3"/>
      <c r="K547" s="3"/>
      <c r="L547" s="3"/>
      <c r="M547" s="3"/>
    </row>
    <row r="548" customFormat="false" ht="15" hidden="false" customHeight="false" outlineLevel="0" collapsed="false">
      <c r="A548" s="28" t="n">
        <v>46301.5239646759</v>
      </c>
      <c r="B548" s="31" t="n">
        <f aca="false">(A548-$A$5)*86400</f>
        <v>26.910000387</v>
      </c>
      <c r="C548" s="27" t="n">
        <v>0.5394</v>
      </c>
      <c r="D548" s="27" t="n">
        <v>0.8948</v>
      </c>
      <c r="E548" s="27" t="s">
        <v>603</v>
      </c>
      <c r="F548" s="27" t="s">
        <v>144</v>
      </c>
      <c r="G548" s="32" t="n">
        <f aca="false">(A548-A547)*86400000</f>
        <v>16.000214</v>
      </c>
      <c r="H548" s="3"/>
      <c r="I548" s="3"/>
      <c r="J548" s="3"/>
      <c r="K548" s="3"/>
      <c r="L548" s="3"/>
      <c r="M548" s="3"/>
    </row>
    <row r="549" customFormat="false" ht="15" hidden="false" customHeight="false" outlineLevel="0" collapsed="false">
      <c r="A549" s="28" t="n">
        <v>46301.5239648495</v>
      </c>
      <c r="B549" s="31" t="n">
        <f aca="false">(A549-$A$5)*86400</f>
        <v>26.924999803</v>
      </c>
      <c r="C549" s="27" t="n">
        <v>0.5389</v>
      </c>
      <c r="D549" s="27" t="n">
        <v>0.8956</v>
      </c>
      <c r="E549" s="27" t="s">
        <v>603</v>
      </c>
      <c r="F549" s="27" t="s">
        <v>144</v>
      </c>
      <c r="G549" s="32" t="n">
        <f aca="false">(A549-A548)*86400000</f>
        <v>14.999415</v>
      </c>
      <c r="H549" s="3"/>
      <c r="I549" s="3"/>
      <c r="J549" s="3"/>
      <c r="K549" s="3"/>
      <c r="L549" s="3"/>
      <c r="M549" s="3"/>
    </row>
    <row r="550" customFormat="false" ht="15" hidden="false" customHeight="false" outlineLevel="0" collapsed="false">
      <c r="A550" s="28" t="n">
        <v>46301.5239654282</v>
      </c>
      <c r="B550" s="31" t="n">
        <f aca="false">(A550-$A$5)*86400</f>
        <v>26.97500016</v>
      </c>
      <c r="C550" s="27" t="n">
        <v>0.538</v>
      </c>
      <c r="D550" s="27" t="n">
        <v>0.8973</v>
      </c>
      <c r="E550" s="27" t="s">
        <v>603</v>
      </c>
      <c r="F550" s="27" t="s">
        <v>144</v>
      </c>
      <c r="G550" s="32" t="n">
        <f aca="false">(A550-A549)*86400000</f>
        <v>50.000357</v>
      </c>
      <c r="H550" s="3"/>
      <c r="I550" s="3"/>
      <c r="J550" s="3"/>
      <c r="K550" s="3"/>
      <c r="L550" s="3"/>
      <c r="M550" s="3"/>
    </row>
    <row r="551" customFormat="false" ht="15" hidden="false" customHeight="false" outlineLevel="0" collapsed="false">
      <c r="A551" s="28" t="n">
        <v>46301.5239656134</v>
      </c>
      <c r="B551" s="31" t="n">
        <f aca="false">(A551-$A$5)*86400</f>
        <v>26.991000375</v>
      </c>
      <c r="C551" s="27" t="n">
        <v>0.5378</v>
      </c>
      <c r="D551" s="27" t="n">
        <v>0.8977</v>
      </c>
      <c r="E551" s="27" t="s">
        <v>603</v>
      </c>
      <c r="F551" s="27" t="s">
        <v>144</v>
      </c>
      <c r="G551" s="32" t="n">
        <f aca="false">(A551-A550)*86400000</f>
        <v>16.000214</v>
      </c>
      <c r="H551" s="3"/>
      <c r="I551" s="3"/>
      <c r="J551" s="3"/>
      <c r="K551" s="3"/>
      <c r="L551" s="3"/>
      <c r="M551" s="3"/>
    </row>
    <row r="552" customFormat="false" ht="15" hidden="false" customHeight="false" outlineLevel="0" collapsed="false">
      <c r="A552" s="28" t="n">
        <v>46301.5239672917</v>
      </c>
      <c r="B552" s="31" t="n">
        <f aca="false">(A552-$A$5)*86400</f>
        <v>27.136000595</v>
      </c>
      <c r="C552" s="27" t="n">
        <v>0.5361</v>
      </c>
      <c r="D552" s="27" t="n">
        <v>0.901</v>
      </c>
      <c r="E552" s="27" t="s">
        <v>603</v>
      </c>
      <c r="F552" s="27" t="s">
        <v>144</v>
      </c>
      <c r="G552" s="32" t="n">
        <f aca="false">(A552-A551)*86400000</f>
        <v>145.000219</v>
      </c>
      <c r="H552" s="3"/>
      <c r="I552" s="3"/>
      <c r="J552" s="3"/>
      <c r="K552" s="3"/>
      <c r="L552" s="3"/>
      <c r="M552" s="3"/>
    </row>
    <row r="553" customFormat="false" ht="15" hidden="false" customHeight="false" outlineLevel="0" collapsed="false">
      <c r="A553" s="28" t="n">
        <v>46301.5239674769</v>
      </c>
      <c r="B553" s="31" t="n">
        <f aca="false">(A553-$A$5)*86400</f>
        <v>27.152000181</v>
      </c>
      <c r="C553" s="27" t="n">
        <v>0.5354</v>
      </c>
      <c r="D553" s="27" t="n">
        <v>0.9022</v>
      </c>
      <c r="E553" s="27" t="s">
        <v>603</v>
      </c>
      <c r="F553" s="27" t="s">
        <v>144</v>
      </c>
      <c r="G553" s="32" t="n">
        <f aca="false">(A553-A552)*86400000</f>
        <v>15.999586</v>
      </c>
      <c r="H553" s="3"/>
      <c r="I553" s="3"/>
      <c r="J553" s="3"/>
      <c r="K553" s="3"/>
      <c r="L553" s="3"/>
      <c r="M553" s="3"/>
    </row>
    <row r="554" customFormat="false" ht="15" hidden="false" customHeight="false" outlineLevel="0" collapsed="false">
      <c r="A554" s="28" t="n">
        <v>46301.5239678472</v>
      </c>
      <c r="B554" s="31" t="n">
        <f aca="false">(A554-$A$5)*86400</f>
        <v>27.183999982</v>
      </c>
      <c r="C554" s="27" t="n">
        <v>0.5344</v>
      </c>
      <c r="D554" s="27" t="n">
        <v>0.904</v>
      </c>
      <c r="E554" s="27" t="s">
        <v>603</v>
      </c>
      <c r="F554" s="27" t="s">
        <v>144</v>
      </c>
      <c r="G554" s="32" t="n">
        <f aca="false">(A554-A553)*86400000</f>
        <v>31.999801</v>
      </c>
      <c r="H554" s="3"/>
      <c r="I554" s="3"/>
      <c r="J554" s="3"/>
      <c r="K554" s="3"/>
      <c r="L554" s="3"/>
      <c r="M554" s="3"/>
    </row>
    <row r="555" customFormat="false" ht="15" hidden="false" customHeight="false" outlineLevel="0" collapsed="false">
      <c r="A555" s="28" t="n">
        <v>46301.523968044</v>
      </c>
      <c r="B555" s="31" t="n">
        <f aca="false">(A555-$A$5)*86400</f>
        <v>27.200999739</v>
      </c>
      <c r="C555" s="27" t="n">
        <v>0.5341</v>
      </c>
      <c r="D555" s="27" t="n">
        <v>0.9047</v>
      </c>
      <c r="E555" s="27" t="s">
        <v>603</v>
      </c>
      <c r="F555" s="27" t="s">
        <v>144</v>
      </c>
      <c r="G555" s="32" t="n">
        <f aca="false">(A555-A554)*86400000</f>
        <v>16.999756</v>
      </c>
      <c r="H555" s="3"/>
      <c r="I555" s="3"/>
      <c r="J555" s="3"/>
      <c r="K555" s="3"/>
      <c r="L555" s="3"/>
      <c r="M555" s="3"/>
    </row>
    <row r="556" customFormat="false" ht="15" hidden="false" customHeight="false" outlineLevel="0" collapsed="false">
      <c r="A556" s="28" t="n">
        <v>46301.5239689815</v>
      </c>
      <c r="B556" s="31" t="n">
        <f aca="false">(A556-$A$5)*86400</f>
        <v>27.281999727</v>
      </c>
      <c r="C556" s="27" t="n">
        <v>0.5324</v>
      </c>
      <c r="D556" s="27" t="n">
        <v>0.9079</v>
      </c>
      <c r="E556" s="27" t="s">
        <v>603</v>
      </c>
      <c r="F556" s="27" t="s">
        <v>144</v>
      </c>
      <c r="G556" s="32" t="n">
        <f aca="false">(A556-A555)*86400000</f>
        <v>80.999988</v>
      </c>
      <c r="H556" s="3"/>
      <c r="I556" s="3"/>
      <c r="J556" s="3"/>
      <c r="K556" s="3"/>
      <c r="L556" s="3"/>
      <c r="M556" s="3"/>
    </row>
    <row r="557" customFormat="false" ht="15" hidden="false" customHeight="false" outlineLevel="0" collapsed="false">
      <c r="A557" s="28" t="n">
        <v>46301.5239697338</v>
      </c>
      <c r="B557" s="31" t="n">
        <f aca="false">(A557-$A$5)*86400</f>
        <v>27.347000129</v>
      </c>
      <c r="C557" s="27" t="n">
        <v>0.5315</v>
      </c>
      <c r="D557" s="27" t="n">
        <v>0.9095</v>
      </c>
      <c r="E557" s="27" t="s">
        <v>603</v>
      </c>
      <c r="F557" s="27" t="s">
        <v>144</v>
      </c>
      <c r="G557" s="32" t="n">
        <f aca="false">(A557-A556)*86400000</f>
        <v>65.000401</v>
      </c>
      <c r="H557" s="3"/>
      <c r="I557" s="3"/>
      <c r="J557" s="3"/>
      <c r="K557" s="3"/>
      <c r="L557" s="3"/>
      <c r="M557" s="3"/>
    </row>
    <row r="558" customFormat="false" ht="15" hidden="false" customHeight="false" outlineLevel="0" collapsed="false">
      <c r="A558" s="28" t="n">
        <v>46301.523969919</v>
      </c>
      <c r="B558" s="31" t="n">
        <f aca="false">(A558-$A$5)*86400</f>
        <v>27.362999715</v>
      </c>
      <c r="C558" s="27" t="n">
        <v>0.5308</v>
      </c>
      <c r="D558" s="27" t="n">
        <v>0.9108</v>
      </c>
      <c r="E558" s="27" t="s">
        <v>603</v>
      </c>
      <c r="F558" s="27" t="s">
        <v>144</v>
      </c>
      <c r="G558" s="32" t="n">
        <f aca="false">(A558-A557)*86400000</f>
        <v>15.999586</v>
      </c>
      <c r="H558" s="3"/>
      <c r="I558" s="3"/>
      <c r="J558" s="3"/>
      <c r="K558" s="3"/>
      <c r="L558" s="3"/>
      <c r="M558" s="3"/>
    </row>
    <row r="559" customFormat="false" ht="15" hidden="false" customHeight="false" outlineLevel="0" collapsed="false">
      <c r="A559" s="28" t="n">
        <v>46301.5239701042</v>
      </c>
      <c r="B559" s="31" t="n">
        <f aca="false">(A559-$A$5)*86400</f>
        <v>27.378999302</v>
      </c>
      <c r="C559" s="27" t="n">
        <v>0.5303</v>
      </c>
      <c r="D559" s="27" t="n">
        <v>0.9118</v>
      </c>
      <c r="E559" s="27" t="s">
        <v>603</v>
      </c>
      <c r="F559" s="27" t="s">
        <v>144</v>
      </c>
      <c r="G559" s="32" t="n">
        <f aca="false">(A559-A558)*86400000</f>
        <v>15.999586</v>
      </c>
      <c r="H559" s="3"/>
      <c r="I559" s="3"/>
      <c r="J559" s="3"/>
      <c r="K559" s="3"/>
      <c r="L559" s="3"/>
      <c r="M559" s="3"/>
    </row>
    <row r="560" customFormat="false" ht="15" hidden="false" customHeight="false" outlineLevel="0" collapsed="false">
      <c r="A560" s="28" t="n">
        <v>46301.5239704745</v>
      </c>
      <c r="B560" s="31" t="n">
        <f aca="false">(A560-$A$5)*86400</f>
        <v>27.41100036</v>
      </c>
      <c r="C560" s="27" t="n">
        <v>0.5294</v>
      </c>
      <c r="D560" s="27" t="n">
        <v>0.9135</v>
      </c>
      <c r="E560" s="27" t="s">
        <v>603</v>
      </c>
      <c r="F560" s="27" t="s">
        <v>144</v>
      </c>
      <c r="G560" s="32" t="n">
        <f aca="false">(A560-A559)*86400000</f>
        <v>32.001058</v>
      </c>
      <c r="H560" s="3"/>
      <c r="I560" s="3"/>
      <c r="J560" s="3"/>
      <c r="K560" s="3"/>
      <c r="L560" s="3"/>
      <c r="M560" s="3"/>
    </row>
    <row r="561" customFormat="false" ht="15" hidden="false" customHeight="false" outlineLevel="0" collapsed="false">
      <c r="A561" s="28" t="n">
        <v>46301.5239714005</v>
      </c>
      <c r="B561" s="31" t="n">
        <f aca="false">(A561-$A$5)*86400</f>
        <v>27.490999549</v>
      </c>
      <c r="C561" s="27" t="n">
        <v>0.5276</v>
      </c>
      <c r="D561" s="27" t="n">
        <v>0.9169</v>
      </c>
      <c r="E561" s="27" t="s">
        <v>603</v>
      </c>
      <c r="F561" s="27" t="s">
        <v>144</v>
      </c>
      <c r="G561" s="32" t="n">
        <f aca="false">(A561-A560)*86400000</f>
        <v>79.999188</v>
      </c>
      <c r="H561" s="3"/>
      <c r="I561" s="3"/>
      <c r="J561" s="3"/>
      <c r="K561" s="3"/>
      <c r="L561" s="3"/>
      <c r="M561" s="3"/>
    </row>
    <row r="562" customFormat="false" ht="15" hidden="false" customHeight="false" outlineLevel="0" collapsed="false">
      <c r="A562" s="28" t="n">
        <v>46301.5239721412</v>
      </c>
      <c r="B562" s="31" t="n">
        <f aca="false">(A562-$A$5)*86400</f>
        <v>27.555000409</v>
      </c>
      <c r="C562" s="27" t="n">
        <v>0.5592</v>
      </c>
      <c r="D562" s="27" t="n">
        <v>0.9316</v>
      </c>
      <c r="E562" s="27" t="s">
        <v>603</v>
      </c>
      <c r="F562" s="27" t="s">
        <v>144</v>
      </c>
      <c r="G562" s="32" t="n">
        <f aca="false">(A562-A561)*86400000</f>
        <v>64.000859</v>
      </c>
      <c r="H562" s="3"/>
      <c r="I562" s="3"/>
      <c r="J562" s="3"/>
      <c r="K562" s="3"/>
      <c r="L562" s="3"/>
      <c r="M562" s="3"/>
    </row>
    <row r="563" customFormat="false" ht="15" hidden="false" customHeight="false" outlineLevel="0" collapsed="false">
      <c r="A563" s="28" t="n">
        <v>46301.5239723148</v>
      </c>
      <c r="B563" s="31" t="n">
        <f aca="false">(A563-$A$5)*86400</f>
        <v>27.569999825</v>
      </c>
      <c r="C563" s="27" t="n">
        <v>0.5854</v>
      </c>
      <c r="D563" s="27" t="n">
        <v>0.9438</v>
      </c>
      <c r="E563" s="27" t="s">
        <v>603</v>
      </c>
      <c r="F563" s="27" t="s">
        <v>144</v>
      </c>
      <c r="G563" s="32" t="n">
        <f aca="false">(A563-A562)*86400000</f>
        <v>14.999415</v>
      </c>
      <c r="H563" s="3"/>
      <c r="I563" s="3"/>
      <c r="J563" s="3"/>
      <c r="K563" s="3"/>
      <c r="L563" s="3"/>
      <c r="M563" s="3"/>
    </row>
    <row r="564" customFormat="false" ht="15" hidden="false" customHeight="false" outlineLevel="0" collapsed="false">
      <c r="A564" s="28" t="n">
        <v>46301.5239725</v>
      </c>
      <c r="B564" s="31" t="n">
        <f aca="false">(A564-$A$5)*86400</f>
        <v>27.58600004</v>
      </c>
      <c r="C564" s="27" t="n">
        <v>0.6069</v>
      </c>
      <c r="D564" s="27" t="n">
        <v>0.9538</v>
      </c>
      <c r="E564" s="27" t="s">
        <v>603</v>
      </c>
      <c r="F564" s="27" t="s">
        <v>144</v>
      </c>
      <c r="G564" s="32" t="n">
        <f aca="false">(A564-A563)*86400000</f>
        <v>16.000214</v>
      </c>
      <c r="H564" s="3"/>
      <c r="I564" s="3"/>
      <c r="J564" s="3"/>
      <c r="K564" s="3"/>
      <c r="L564" s="3"/>
      <c r="M564" s="3"/>
    </row>
    <row r="565" customFormat="false" ht="15" hidden="false" customHeight="false" outlineLevel="0" collapsed="false">
      <c r="A565" s="28" t="n">
        <v>46301.5239726852</v>
      </c>
      <c r="B565" s="31" t="n">
        <f aca="false">(A565-$A$5)*86400</f>
        <v>27.602000255</v>
      </c>
      <c r="C565" s="27" t="n">
        <v>0.6258</v>
      </c>
      <c r="D565" s="27" t="n">
        <v>0.9625</v>
      </c>
      <c r="E565" s="27" t="s">
        <v>603</v>
      </c>
      <c r="F565" s="27" t="s">
        <v>144</v>
      </c>
      <c r="G565" s="32" t="n">
        <f aca="false">(A565-A564)*86400000</f>
        <v>16.000214</v>
      </c>
      <c r="H565" s="3"/>
      <c r="I565" s="3"/>
      <c r="J565" s="3"/>
      <c r="K565" s="3"/>
      <c r="L565" s="3"/>
      <c r="M565" s="3"/>
    </row>
    <row r="566" customFormat="false" ht="15" hidden="false" customHeight="false" outlineLevel="0" collapsed="false">
      <c r="A566" s="28" t="n">
        <v>46301.5239728819</v>
      </c>
      <c r="B566" s="31" t="n">
        <f aca="false">(A566-$A$5)*86400</f>
        <v>27.619000012</v>
      </c>
      <c r="C566" s="27" t="n">
        <v>0.6403</v>
      </c>
      <c r="D566" s="27" t="n">
        <v>0.9693</v>
      </c>
      <c r="E566" s="27" t="s">
        <v>603</v>
      </c>
      <c r="F566" s="27" t="s">
        <v>144</v>
      </c>
      <c r="G566" s="32" t="n">
        <f aca="false">(A566-A565)*86400000</f>
        <v>16.999756</v>
      </c>
      <c r="H566" s="3"/>
      <c r="I566" s="3"/>
      <c r="J566" s="3"/>
      <c r="K566" s="3"/>
      <c r="L566" s="3"/>
      <c r="M566" s="3"/>
    </row>
    <row r="567" customFormat="false" ht="15" hidden="false" customHeight="false" outlineLevel="0" collapsed="false">
      <c r="A567" s="28" t="n">
        <v>46301.5239730671</v>
      </c>
      <c r="B567" s="31" t="n">
        <f aca="false">(A567-$A$5)*86400</f>
        <v>27.635000227</v>
      </c>
      <c r="C567" s="27" t="n">
        <v>0.6523</v>
      </c>
      <c r="D567" s="27" t="n">
        <v>0.9749</v>
      </c>
      <c r="E567" s="27" t="s">
        <v>603</v>
      </c>
      <c r="F567" s="27" t="s">
        <v>144</v>
      </c>
      <c r="G567" s="32" t="n">
        <f aca="false">(A567-A566)*86400000</f>
        <v>16.000214</v>
      </c>
      <c r="H567" s="3"/>
      <c r="I567" s="3"/>
      <c r="J567" s="3"/>
      <c r="K567" s="3"/>
      <c r="L567" s="3"/>
      <c r="M567" s="3"/>
    </row>
    <row r="568" customFormat="false" ht="15" hidden="false" customHeight="false" outlineLevel="0" collapsed="false">
      <c r="A568" s="28" t="n">
        <v>46301.5239732523</v>
      </c>
      <c r="B568" s="31" t="n">
        <f aca="false">(A568-$A$5)*86400</f>
        <v>27.650999813</v>
      </c>
      <c r="C568" s="27" t="n">
        <v>0.6513</v>
      </c>
      <c r="D568" s="27" t="n">
        <v>0.9782</v>
      </c>
      <c r="E568" s="27" t="s">
        <v>603</v>
      </c>
      <c r="F568" s="27" t="s">
        <v>144</v>
      </c>
      <c r="G568" s="32" t="n">
        <f aca="false">(A568-A567)*86400000</f>
        <v>15.999586</v>
      </c>
      <c r="H568" s="3"/>
      <c r="I568" s="3"/>
      <c r="J568" s="3"/>
      <c r="K568" s="3"/>
      <c r="L568" s="3"/>
      <c r="M568" s="3"/>
    </row>
    <row r="569" customFormat="false" ht="15" hidden="false" customHeight="false" outlineLevel="0" collapsed="false">
      <c r="A569" s="28" t="n">
        <v>46301.5239734375</v>
      </c>
      <c r="B569" s="31" t="n">
        <f aca="false">(A569-$A$5)*86400</f>
        <v>27.667000028</v>
      </c>
      <c r="C569" s="27" t="n">
        <v>0.6506</v>
      </c>
      <c r="D569" s="27" t="n">
        <v>0.9809</v>
      </c>
      <c r="E569" s="27" t="s">
        <v>603</v>
      </c>
      <c r="F569" s="27" t="s">
        <v>144</v>
      </c>
      <c r="G569" s="32" t="n">
        <f aca="false">(A569-A568)*86400000</f>
        <v>16.000214</v>
      </c>
      <c r="H569" s="3"/>
      <c r="I569" s="3"/>
      <c r="J569" s="3"/>
      <c r="K569" s="3"/>
      <c r="L569" s="3"/>
      <c r="M569" s="3"/>
    </row>
    <row r="570" customFormat="false" ht="15" hidden="false" customHeight="false" outlineLevel="0" collapsed="false">
      <c r="A570" s="28" t="n">
        <v>46301.5239736227</v>
      </c>
      <c r="B570" s="31" t="n">
        <f aca="false">(A570-$A$5)*86400</f>
        <v>27.683000243</v>
      </c>
      <c r="C570" s="27" t="n">
        <v>0.6499</v>
      </c>
      <c r="D570" s="27" t="n">
        <v>0.9832</v>
      </c>
      <c r="E570" s="27" t="s">
        <v>603</v>
      </c>
      <c r="F570" s="27" t="s">
        <v>144</v>
      </c>
      <c r="G570" s="32" t="n">
        <f aca="false">(A570-A569)*86400000</f>
        <v>16.000214</v>
      </c>
      <c r="H570" s="3"/>
      <c r="I570" s="3"/>
      <c r="J570" s="3"/>
      <c r="K570" s="3"/>
      <c r="L570" s="3"/>
      <c r="M570" s="3"/>
    </row>
    <row r="571" customFormat="false" ht="15" hidden="false" customHeight="false" outlineLevel="0" collapsed="false">
      <c r="A571" s="28" t="n">
        <v>46301.5239738194</v>
      </c>
      <c r="B571" s="31" t="n">
        <f aca="false">(A571-$A$5)*86400</f>
        <v>27.7</v>
      </c>
      <c r="C571" s="27" t="n">
        <v>0.6494</v>
      </c>
      <c r="D571" s="27" t="n">
        <v>0.9851</v>
      </c>
      <c r="E571" s="27" t="s">
        <v>603</v>
      </c>
      <c r="F571" s="27" t="s">
        <v>144</v>
      </c>
      <c r="G571" s="32" t="n">
        <f aca="false">(A571-A570)*86400000</f>
        <v>16.999756</v>
      </c>
      <c r="H571" s="3"/>
      <c r="I571" s="3"/>
      <c r="J571" s="3"/>
      <c r="K571" s="3"/>
      <c r="L571" s="3"/>
      <c r="M571" s="3"/>
    </row>
    <row r="572" customFormat="false" ht="15" hidden="false" customHeight="false" outlineLevel="0" collapsed="false">
      <c r="A572" s="28" t="n">
        <v>46301.5239741898</v>
      </c>
      <c r="B572" s="31" t="n">
        <f aca="false">(A572-$A$5)*86400</f>
        <v>27.731999801</v>
      </c>
      <c r="C572" s="27" t="n">
        <v>0.6487</v>
      </c>
      <c r="D572" s="27" t="n">
        <v>0.9878</v>
      </c>
      <c r="E572" s="27" t="s">
        <v>603</v>
      </c>
      <c r="F572" s="27" t="s">
        <v>144</v>
      </c>
      <c r="G572" s="32" t="n">
        <f aca="false">(A572-A571)*86400000</f>
        <v>31.999801</v>
      </c>
      <c r="H572" s="3"/>
      <c r="I572" s="3"/>
      <c r="J572" s="3"/>
      <c r="K572" s="3"/>
      <c r="L572" s="3"/>
      <c r="M572" s="3"/>
    </row>
    <row r="573" customFormat="false" ht="15" hidden="false" customHeight="false" outlineLevel="0" collapsed="false">
      <c r="A573" s="28" t="n">
        <v>46301.523974375</v>
      </c>
      <c r="B573" s="31" t="n">
        <f aca="false">(A573-$A$5)*86400</f>
        <v>27.748000016</v>
      </c>
      <c r="C573" s="27" t="n">
        <v>0.6433</v>
      </c>
      <c r="D573" s="27" t="n">
        <v>0.9908</v>
      </c>
      <c r="E573" s="27" t="s">
        <v>603</v>
      </c>
      <c r="F573" s="27" t="s">
        <v>144</v>
      </c>
      <c r="G573" s="32" t="n">
        <f aca="false">(A573-A572)*86400000</f>
        <v>16.000214</v>
      </c>
      <c r="H573" s="3"/>
      <c r="I573" s="3"/>
      <c r="J573" s="3"/>
      <c r="K573" s="3"/>
      <c r="L573" s="3"/>
      <c r="M573" s="3"/>
    </row>
    <row r="574" customFormat="false" ht="15" hidden="false" customHeight="false" outlineLevel="0" collapsed="false">
      <c r="A574" s="28" t="n">
        <v>46301.5239745602</v>
      </c>
      <c r="B574" s="31" t="n">
        <f aca="false">(A574-$A$5)*86400</f>
        <v>27.764000231</v>
      </c>
      <c r="C574" s="27" t="n">
        <v>0.6388</v>
      </c>
      <c r="D574" s="27" t="n">
        <v>0.9933</v>
      </c>
      <c r="E574" s="27" t="s">
        <v>603</v>
      </c>
      <c r="F574" s="27" t="s">
        <v>144</v>
      </c>
      <c r="G574" s="32" t="n">
        <f aca="false">(A574-A573)*86400000</f>
        <v>16.000214</v>
      </c>
      <c r="H574" s="3"/>
      <c r="I574" s="3"/>
      <c r="J574" s="3"/>
      <c r="K574" s="3"/>
      <c r="L574" s="3"/>
      <c r="M574" s="3"/>
    </row>
    <row r="575" customFormat="false" ht="15" hidden="false" customHeight="false" outlineLevel="0" collapsed="false">
      <c r="A575" s="28" t="n">
        <v>46301.5239747454</v>
      </c>
      <c r="B575" s="31" t="n">
        <f aca="false">(A575-$A$5)*86400</f>
        <v>27.779999817</v>
      </c>
      <c r="C575" s="27" t="n">
        <v>0.6352</v>
      </c>
      <c r="D575" s="27" t="n">
        <v>0.9953</v>
      </c>
      <c r="E575" s="27" t="s">
        <v>603</v>
      </c>
      <c r="F575" s="27" t="s">
        <v>144</v>
      </c>
      <c r="G575" s="32" t="n">
        <f aca="false">(A575-A574)*86400000</f>
        <v>15.999586</v>
      </c>
      <c r="H575" s="3"/>
      <c r="I575" s="3"/>
      <c r="J575" s="3"/>
      <c r="K575" s="3"/>
      <c r="L575" s="3"/>
      <c r="M575" s="3"/>
    </row>
    <row r="576" customFormat="false" ht="15" hidden="false" customHeight="false" outlineLevel="0" collapsed="false">
      <c r="A576" s="28" t="n">
        <v>46301.5239749306</v>
      </c>
      <c r="B576" s="31" t="n">
        <f aca="false">(A576-$A$5)*86400</f>
        <v>27.795999404</v>
      </c>
      <c r="C576" s="27" t="n">
        <v>0.6321</v>
      </c>
      <c r="D576" s="27" t="n">
        <v>0.997</v>
      </c>
      <c r="E576" s="27" t="s">
        <v>603</v>
      </c>
      <c r="F576" s="27" t="s">
        <v>144</v>
      </c>
      <c r="G576" s="32" t="n">
        <f aca="false">(A576-A575)*86400000</f>
        <v>15.999586</v>
      </c>
      <c r="H576" s="3"/>
      <c r="I576" s="3"/>
      <c r="J576" s="3"/>
      <c r="K576" s="3"/>
      <c r="L576" s="3"/>
      <c r="M576" s="3"/>
    </row>
    <row r="577" customFormat="false" ht="15" hidden="false" customHeight="false" outlineLevel="0" collapsed="false">
      <c r="A577" s="28" t="n">
        <v>46301.5239751157</v>
      </c>
      <c r="B577" s="31" t="n">
        <f aca="false">(A577-$A$5)*86400</f>
        <v>27.812000247</v>
      </c>
      <c r="C577" s="27" t="n">
        <v>0.6296</v>
      </c>
      <c r="D577" s="27" t="n">
        <v>0.9983</v>
      </c>
      <c r="E577" s="27" t="s">
        <v>603</v>
      </c>
      <c r="F577" s="27" t="s">
        <v>144</v>
      </c>
      <c r="G577" s="32" t="n">
        <f aca="false">(A577-A576)*86400000</f>
        <v>16.000843</v>
      </c>
      <c r="H577" s="3"/>
      <c r="I577" s="3"/>
      <c r="J577" s="3"/>
      <c r="K577" s="3"/>
      <c r="L577" s="3"/>
      <c r="M577" s="3"/>
    </row>
    <row r="578" customFormat="false" ht="15" hidden="false" customHeight="false" outlineLevel="0" collapsed="false">
      <c r="A578" s="28" t="n">
        <v>46301.5239753009</v>
      </c>
      <c r="B578" s="31" t="n">
        <f aca="false">(A578-$A$5)*86400</f>
        <v>27.827999833</v>
      </c>
      <c r="C578" s="27" t="n">
        <v>0.6276</v>
      </c>
      <c r="D578" s="27" t="n">
        <v>0.9995</v>
      </c>
      <c r="E578" s="27" t="s">
        <v>603</v>
      </c>
      <c r="F578" s="27" t="s">
        <v>144</v>
      </c>
      <c r="G578" s="32" t="n">
        <f aca="false">(A578-A577)*86400000</f>
        <v>15.999586</v>
      </c>
      <c r="H578" s="3"/>
      <c r="I578" s="3"/>
      <c r="J578" s="3"/>
      <c r="K578" s="3"/>
      <c r="L578" s="3"/>
      <c r="M578" s="3"/>
    </row>
    <row r="579" customFormat="false" ht="15" hidden="false" customHeight="false" outlineLevel="0" collapsed="false">
      <c r="A579" s="28" t="n">
        <v>46301.5239754861</v>
      </c>
      <c r="B579" s="31" t="n">
        <f aca="false">(A579-$A$5)*86400</f>
        <v>27.844000048</v>
      </c>
      <c r="C579" s="27" t="n">
        <v>0.6259</v>
      </c>
      <c r="D579" s="27" t="n">
        <v>1.0004</v>
      </c>
      <c r="E579" s="27" t="s">
        <v>603</v>
      </c>
      <c r="F579" s="27" t="s">
        <v>144</v>
      </c>
      <c r="G579" s="32" t="n">
        <f aca="false">(A579-A578)*86400000</f>
        <v>16.000214</v>
      </c>
      <c r="H579" s="3"/>
      <c r="I579" s="3"/>
      <c r="J579" s="3"/>
      <c r="K579" s="3"/>
      <c r="L579" s="3"/>
      <c r="M579" s="3"/>
    </row>
    <row r="580" customFormat="false" ht="15" hidden="false" customHeight="false" outlineLevel="0" collapsed="false">
      <c r="A580" s="28" t="n">
        <v>46301.5239756713</v>
      </c>
      <c r="B580" s="31" t="n">
        <f aca="false">(A580-$A$5)*86400</f>
        <v>27.860000263</v>
      </c>
      <c r="C580" s="27" t="n">
        <v>0.6245</v>
      </c>
      <c r="D580" s="27" t="n">
        <v>1.0012</v>
      </c>
      <c r="E580" s="27" t="s">
        <v>603</v>
      </c>
      <c r="F580" s="27" t="s">
        <v>144</v>
      </c>
      <c r="G580" s="32" t="n">
        <f aca="false">(A580-A579)*86400000</f>
        <v>16.000214</v>
      </c>
      <c r="H580" s="3"/>
      <c r="I580" s="3"/>
      <c r="J580" s="3"/>
      <c r="K580" s="3"/>
      <c r="L580" s="3"/>
      <c r="M580" s="3"/>
    </row>
    <row r="581" customFormat="false" ht="15" hidden="false" customHeight="false" outlineLevel="0" collapsed="false">
      <c r="A581" s="28" t="n">
        <v>46301.5239760417</v>
      </c>
      <c r="B581" s="31" t="n">
        <f aca="false">(A581-$A$5)*86400</f>
        <v>27.892000693</v>
      </c>
      <c r="C581" s="27" t="n">
        <v>0.6224</v>
      </c>
      <c r="D581" s="27" t="n">
        <v>1.0024</v>
      </c>
      <c r="E581" s="27" t="s">
        <v>603</v>
      </c>
      <c r="F581" s="27" t="s">
        <v>144</v>
      </c>
      <c r="G581" s="32" t="n">
        <f aca="false">(A581-A580)*86400000</f>
        <v>32.000429</v>
      </c>
      <c r="H581" s="3"/>
      <c r="I581" s="3"/>
      <c r="J581" s="3"/>
      <c r="K581" s="3"/>
      <c r="L581" s="3"/>
      <c r="M581" s="3"/>
    </row>
    <row r="582" customFormat="false" ht="15" hidden="false" customHeight="false" outlineLevel="0" collapsed="false">
      <c r="A582" s="28" t="n">
        <v>46301.5239764005</v>
      </c>
      <c r="B582" s="31" t="n">
        <f aca="false">(A582-$A$5)*86400</f>
        <v>27.923000953</v>
      </c>
      <c r="C582" s="27" t="n">
        <v>0.6209</v>
      </c>
      <c r="D582" s="27" t="n">
        <v>1.0032</v>
      </c>
      <c r="E582" s="27" t="s">
        <v>603</v>
      </c>
      <c r="F582" s="27" t="s">
        <v>144</v>
      </c>
      <c r="G582" s="32" t="n">
        <f aca="false">(A582-A581)*86400000</f>
        <v>31.000259</v>
      </c>
      <c r="H582" s="3"/>
      <c r="I582" s="3"/>
      <c r="J582" s="3"/>
      <c r="K582" s="3"/>
      <c r="L582" s="3"/>
      <c r="M582" s="3"/>
    </row>
    <row r="583" customFormat="false" ht="15" hidden="false" customHeight="false" outlineLevel="0" collapsed="false">
      <c r="A583" s="28" t="n">
        <v>46301.5239770023</v>
      </c>
      <c r="B583" s="31" t="n">
        <f aca="false">(A583-$A$5)*86400</f>
        <v>27.975000394</v>
      </c>
      <c r="C583" s="27" t="n">
        <v>0.6195</v>
      </c>
      <c r="D583" s="27" t="n">
        <v>1.0039</v>
      </c>
      <c r="E583" s="27" t="s">
        <v>603</v>
      </c>
      <c r="F583" s="27" t="s">
        <v>144</v>
      </c>
      <c r="G583" s="32" t="n">
        <f aca="false">(A583-A582)*86400000</f>
        <v>51.999441</v>
      </c>
      <c r="H583" s="3"/>
      <c r="I583" s="3"/>
      <c r="J583" s="3"/>
      <c r="K583" s="3"/>
      <c r="L583" s="3"/>
      <c r="M583" s="3"/>
    </row>
    <row r="584" customFormat="false" ht="15" hidden="false" customHeight="false" outlineLevel="0" collapsed="false">
      <c r="A584" s="28" t="n">
        <v>46301.5239771875</v>
      </c>
      <c r="B584" s="31" t="n">
        <f aca="false">(A584-$A$5)*86400</f>
        <v>27.99099998</v>
      </c>
      <c r="C584" s="27" t="n">
        <v>0.6178</v>
      </c>
      <c r="D584" s="27" t="n">
        <v>1.0049</v>
      </c>
      <c r="E584" s="27" t="s">
        <v>603</v>
      </c>
      <c r="F584" s="27" t="s">
        <v>144</v>
      </c>
      <c r="G584" s="32" t="n">
        <f aca="false">(A584-A583)*86400000</f>
        <v>15.999586</v>
      </c>
      <c r="H584" s="3"/>
      <c r="I584" s="3"/>
      <c r="J584" s="3"/>
      <c r="K584" s="3"/>
      <c r="L584" s="3"/>
      <c r="M584" s="3"/>
    </row>
    <row r="585" customFormat="false" ht="15" hidden="false" customHeight="false" outlineLevel="0" collapsed="false">
      <c r="A585" s="28" t="n">
        <v>46301.523980544</v>
      </c>
      <c r="B585" s="31" t="n">
        <f aca="false">(A585-$A$5)*86400</f>
        <v>28.281001048</v>
      </c>
      <c r="C585" s="27" t="n">
        <v>0.6206</v>
      </c>
      <c r="D585" s="27" t="n">
        <v>1.0141</v>
      </c>
      <c r="E585" s="27" t="s">
        <v>603</v>
      </c>
      <c r="F585" s="27" t="s">
        <v>144</v>
      </c>
      <c r="G585" s="32" t="n">
        <f aca="false">(A585-A584)*86400000</f>
        <v>290.001067</v>
      </c>
      <c r="H585" s="3"/>
      <c r="I585" s="3"/>
      <c r="J585" s="3"/>
      <c r="K585" s="3"/>
      <c r="L585" s="3"/>
      <c r="M585" s="3"/>
    </row>
    <row r="586" customFormat="false" ht="15" hidden="false" customHeight="false" outlineLevel="0" collapsed="false">
      <c r="A586" s="28" t="n">
        <v>46301.5239807292</v>
      </c>
      <c r="B586" s="31" t="n">
        <f aca="false">(A586-$A$5)*86400</f>
        <v>28.297000634</v>
      </c>
      <c r="C586" s="27" t="n">
        <v>0.6229</v>
      </c>
      <c r="D586" s="27" t="n">
        <v>1.0218</v>
      </c>
      <c r="E586" s="27" t="s">
        <v>603</v>
      </c>
      <c r="F586" s="27" t="s">
        <v>144</v>
      </c>
      <c r="G586" s="32" t="n">
        <f aca="false">(A586-A585)*86400000</f>
        <v>15.999586</v>
      </c>
      <c r="H586" s="3"/>
      <c r="I586" s="3"/>
      <c r="J586" s="3"/>
      <c r="K586" s="3"/>
      <c r="L586" s="3"/>
      <c r="M586" s="3"/>
    </row>
    <row r="587" customFormat="false" ht="15" hidden="false" customHeight="false" outlineLevel="0" collapsed="false">
      <c r="A587" s="28" t="n">
        <v>46301.5239809144</v>
      </c>
      <c r="B587" s="31" t="n">
        <f aca="false">(A587-$A$5)*86400</f>
        <v>28.31300022</v>
      </c>
      <c r="C587" s="27" t="n">
        <v>0.6248</v>
      </c>
      <c r="D587" s="27" t="n">
        <v>1.0281</v>
      </c>
      <c r="E587" s="27" t="s">
        <v>603</v>
      </c>
      <c r="F587" s="27" t="s">
        <v>144</v>
      </c>
      <c r="G587" s="32" t="n">
        <f aca="false">(A587-A586)*86400000</f>
        <v>15.999586</v>
      </c>
      <c r="H587" s="3"/>
      <c r="I587" s="3"/>
      <c r="J587" s="3"/>
      <c r="K587" s="3"/>
      <c r="L587" s="3"/>
      <c r="M587" s="3"/>
    </row>
    <row r="588" customFormat="false" ht="15" hidden="false" customHeight="false" outlineLevel="0" collapsed="false">
      <c r="A588" s="28" t="n">
        <v>46301.5239810995</v>
      </c>
      <c r="B588" s="31" t="n">
        <f aca="false">(A588-$A$5)*86400</f>
        <v>28.328999807</v>
      </c>
      <c r="C588" s="27" t="n">
        <v>0.6264</v>
      </c>
      <c r="D588" s="27" t="n">
        <v>1.0336</v>
      </c>
      <c r="E588" s="27" t="s">
        <v>603</v>
      </c>
      <c r="F588" s="27" t="s">
        <v>144</v>
      </c>
      <c r="G588" s="32" t="n">
        <f aca="false">(A588-A587)*86400000</f>
        <v>15.999586</v>
      </c>
      <c r="H588" s="3"/>
      <c r="I588" s="3"/>
      <c r="J588" s="3"/>
      <c r="K588" s="3"/>
      <c r="L588" s="3"/>
      <c r="M588" s="3"/>
    </row>
    <row r="589" customFormat="false" ht="15" hidden="false" customHeight="false" outlineLevel="0" collapsed="false">
      <c r="A589" s="28" t="n">
        <v>46301.5239812963</v>
      </c>
      <c r="B589" s="31" t="n">
        <f aca="false">(A589-$A$5)*86400</f>
        <v>28.346000192</v>
      </c>
      <c r="C589" s="27" t="n">
        <v>0.6277</v>
      </c>
      <c r="D589" s="27" t="n">
        <v>1.0379</v>
      </c>
      <c r="E589" s="27" t="s">
        <v>603</v>
      </c>
      <c r="F589" s="27" t="s">
        <v>144</v>
      </c>
      <c r="G589" s="32" t="n">
        <f aca="false">(A589-A588)*86400000</f>
        <v>17.000385</v>
      </c>
      <c r="H589" s="3"/>
      <c r="I589" s="3"/>
      <c r="J589" s="3"/>
      <c r="K589" s="3"/>
      <c r="L589" s="3"/>
      <c r="M589" s="3"/>
    </row>
    <row r="590" customFormat="false" ht="15" hidden="false" customHeight="false" outlineLevel="0" collapsed="false">
      <c r="A590" s="28" t="n">
        <v>46301.5239814815</v>
      </c>
      <c r="B590" s="31" t="n">
        <f aca="false">(A590-$A$5)*86400</f>
        <v>28.361999779</v>
      </c>
      <c r="C590" s="27" t="n">
        <v>0.6287</v>
      </c>
      <c r="D590" s="27" t="n">
        <v>1.0414</v>
      </c>
      <c r="E590" s="27" t="s">
        <v>603</v>
      </c>
      <c r="F590" s="27" t="s">
        <v>144</v>
      </c>
      <c r="G590" s="32" t="n">
        <f aca="false">(A590-A589)*86400000</f>
        <v>15.999586</v>
      </c>
      <c r="H590" s="3"/>
      <c r="I590" s="3"/>
      <c r="J590" s="3"/>
      <c r="K590" s="3"/>
      <c r="L590" s="3"/>
      <c r="M590" s="3"/>
    </row>
    <row r="591" customFormat="false" ht="15" hidden="false" customHeight="false" outlineLevel="0" collapsed="false">
      <c r="A591" s="28" t="n">
        <v>46301.5239816667</v>
      </c>
      <c r="B591" s="31" t="n">
        <f aca="false">(A591-$A$5)*86400</f>
        <v>28.378000622</v>
      </c>
      <c r="C591" s="27" t="n">
        <v>0.6296</v>
      </c>
      <c r="D591" s="27" t="n">
        <v>1.0443</v>
      </c>
      <c r="E591" s="27" t="s">
        <v>603</v>
      </c>
      <c r="F591" s="27" t="s">
        <v>144</v>
      </c>
      <c r="G591" s="32" t="n">
        <f aca="false">(A591-A590)*86400000</f>
        <v>16.000843</v>
      </c>
      <c r="H591" s="3"/>
      <c r="I591" s="3"/>
      <c r="J591" s="3"/>
      <c r="K591" s="3"/>
      <c r="L591" s="3"/>
      <c r="M591" s="3"/>
    </row>
    <row r="592" customFormat="false" ht="15" hidden="false" customHeight="false" outlineLevel="0" collapsed="false">
      <c r="A592" s="28" t="n">
        <v>46301.5239818519</v>
      </c>
      <c r="B592" s="31" t="n">
        <f aca="false">(A592-$A$5)*86400</f>
        <v>28.394000208</v>
      </c>
      <c r="C592" s="27" t="n">
        <v>0.6303</v>
      </c>
      <c r="D592" s="27" t="n">
        <v>1.0467</v>
      </c>
      <c r="E592" s="27" t="s">
        <v>603</v>
      </c>
      <c r="F592" s="27" t="s">
        <v>144</v>
      </c>
      <c r="G592" s="32" t="n">
        <f aca="false">(A592-A591)*86400000</f>
        <v>15.999586</v>
      </c>
      <c r="H592" s="3"/>
      <c r="I592" s="3"/>
      <c r="J592" s="3"/>
      <c r="K592" s="3"/>
      <c r="L592" s="3"/>
      <c r="M592" s="3"/>
    </row>
    <row r="593" customFormat="false" ht="15" hidden="false" customHeight="false" outlineLevel="0" collapsed="false">
      <c r="A593" s="28" t="n">
        <v>46301.5239820255</v>
      </c>
      <c r="B593" s="31" t="n">
        <f aca="false">(A593-$A$5)*86400</f>
        <v>28.408999624</v>
      </c>
      <c r="C593" s="27" t="n">
        <v>0.6309</v>
      </c>
      <c r="D593" s="27" t="n">
        <v>1.0487</v>
      </c>
      <c r="E593" s="27" t="s">
        <v>603</v>
      </c>
      <c r="F593" s="27" t="s">
        <v>144</v>
      </c>
      <c r="G593" s="32" t="n">
        <f aca="false">(A593-A592)*86400000</f>
        <v>14.999415</v>
      </c>
      <c r="H593" s="3"/>
      <c r="I593" s="3"/>
      <c r="J593" s="3"/>
      <c r="K593" s="3"/>
      <c r="L593" s="3"/>
      <c r="M593" s="3"/>
    </row>
    <row r="594" customFormat="false" ht="15" hidden="false" customHeight="false" outlineLevel="0" collapsed="false">
      <c r="A594" s="28" t="n">
        <v>46301.5239822222</v>
      </c>
      <c r="B594" s="31" t="n">
        <f aca="false">(A594-$A$5)*86400</f>
        <v>28.42600001</v>
      </c>
      <c r="C594" s="27" t="n">
        <v>0.6314</v>
      </c>
      <c r="D594" s="27" t="n">
        <v>1.0503</v>
      </c>
      <c r="E594" s="27" t="s">
        <v>603</v>
      </c>
      <c r="F594" s="27" t="s">
        <v>144</v>
      </c>
      <c r="G594" s="32" t="n">
        <f aca="false">(A594-A593)*86400000</f>
        <v>17.000385</v>
      </c>
      <c r="H594" s="3"/>
      <c r="I594" s="3"/>
      <c r="J594" s="3"/>
      <c r="K594" s="3"/>
      <c r="L594" s="3"/>
      <c r="M594" s="3"/>
    </row>
    <row r="595" customFormat="false" ht="15" hidden="false" customHeight="false" outlineLevel="0" collapsed="false">
      <c r="A595" s="28" t="n">
        <v>46301.5239824074</v>
      </c>
      <c r="B595" s="31" t="n">
        <f aca="false">(A595-$A$5)*86400</f>
        <v>28.442000225</v>
      </c>
      <c r="C595" s="27" t="n">
        <v>0.6318</v>
      </c>
      <c r="D595" s="27" t="n">
        <v>1.0517</v>
      </c>
      <c r="E595" s="27" t="s">
        <v>603</v>
      </c>
      <c r="F595" s="27" t="s">
        <v>144</v>
      </c>
      <c r="G595" s="32" t="n">
        <f aca="false">(A595-A594)*86400000</f>
        <v>16.000214</v>
      </c>
      <c r="H595" s="3"/>
      <c r="I595" s="3"/>
      <c r="J595" s="3"/>
      <c r="K595" s="3"/>
      <c r="L595" s="3"/>
      <c r="M595" s="3"/>
    </row>
    <row r="596" customFormat="false" ht="15" hidden="false" customHeight="false" outlineLevel="0" collapsed="false">
      <c r="A596" s="28" t="n">
        <v>46301.5239827894</v>
      </c>
      <c r="B596" s="31" t="n">
        <f aca="false">(A596-$A$5)*86400</f>
        <v>28.475000197</v>
      </c>
      <c r="C596" s="27" t="n">
        <v>0.6324</v>
      </c>
      <c r="D596" s="27" t="n">
        <v>1.0537</v>
      </c>
      <c r="E596" s="27" t="s">
        <v>603</v>
      </c>
      <c r="F596" s="27" t="s">
        <v>144</v>
      </c>
      <c r="G596" s="32" t="n">
        <f aca="false">(A596-A595)*86400000</f>
        <v>32.999971</v>
      </c>
      <c r="H596" s="3"/>
      <c r="I596" s="3"/>
      <c r="J596" s="3"/>
      <c r="K596" s="3"/>
      <c r="L596" s="3"/>
      <c r="M596" s="3"/>
    </row>
    <row r="597" customFormat="false" ht="15" hidden="false" customHeight="false" outlineLevel="0" collapsed="false">
      <c r="A597" s="28" t="n">
        <v>46301.5239835301</v>
      </c>
      <c r="B597" s="31" t="n">
        <f aca="false">(A597-$A$5)*86400</f>
        <v>28.538999799</v>
      </c>
      <c r="C597" s="27" t="n">
        <v>0.6331</v>
      </c>
      <c r="D597" s="27" t="n">
        <v>1.056</v>
      </c>
      <c r="E597" s="27" t="s">
        <v>603</v>
      </c>
      <c r="F597" s="27" t="s">
        <v>144</v>
      </c>
      <c r="G597" s="32" t="n">
        <f aca="false">(A597-A596)*86400000</f>
        <v>63.999602</v>
      </c>
      <c r="H597" s="3"/>
      <c r="I597" s="3"/>
      <c r="J597" s="3"/>
      <c r="K597" s="3"/>
      <c r="L597" s="3"/>
      <c r="M597" s="3"/>
    </row>
    <row r="598" customFormat="false" ht="15" hidden="false" customHeight="false" outlineLevel="0" collapsed="false">
      <c r="A598" s="28" t="n">
        <v>46301.5239839005</v>
      </c>
      <c r="B598" s="31" t="n">
        <f aca="false">(A598-$A$5)*86400</f>
        <v>28.5709996</v>
      </c>
      <c r="C598" s="27" t="n">
        <v>0.6337</v>
      </c>
      <c r="D598" s="27" t="n">
        <v>1.058</v>
      </c>
      <c r="E598" s="27" t="s">
        <v>603</v>
      </c>
      <c r="F598" s="27" t="s">
        <v>144</v>
      </c>
      <c r="G598" s="32" t="n">
        <f aca="false">(A598-A597)*86400000</f>
        <v>31.999801</v>
      </c>
      <c r="H598" s="3"/>
      <c r="I598" s="3"/>
      <c r="J598" s="3"/>
      <c r="K598" s="3"/>
      <c r="L598" s="3"/>
      <c r="M598" s="3"/>
    </row>
    <row r="599" customFormat="false" ht="15" hidden="false" customHeight="false" outlineLevel="0" collapsed="false">
      <c r="A599" s="28" t="n">
        <v>46301.5239881829</v>
      </c>
      <c r="B599" s="31" t="n">
        <f aca="false">(A599-$A$5)*86400</f>
        <v>28.940999857</v>
      </c>
      <c r="C599" s="27" t="n">
        <v>0.5662</v>
      </c>
      <c r="D599" s="27" t="n">
        <v>1.0659</v>
      </c>
      <c r="E599" s="27" t="s">
        <v>603</v>
      </c>
      <c r="F599" s="27" t="s">
        <v>144</v>
      </c>
      <c r="G599" s="32" t="n">
        <f aca="false">(A599-A598)*86400000</f>
        <v>370.000256</v>
      </c>
      <c r="H599" s="3"/>
      <c r="I599" s="3"/>
      <c r="J599" s="3"/>
      <c r="K599" s="3"/>
      <c r="L599" s="3"/>
      <c r="M599" s="3"/>
    </row>
    <row r="600" customFormat="false" ht="15" hidden="false" customHeight="false" outlineLevel="0" collapsed="false">
      <c r="A600" s="28" t="n">
        <v>46301.5239883681</v>
      </c>
      <c r="B600" s="31" t="n">
        <f aca="false">(A600-$A$5)*86400</f>
        <v>28.9570007</v>
      </c>
      <c r="C600" s="27" t="n">
        <v>0.5105</v>
      </c>
      <c r="D600" s="27" t="n">
        <v>1.0724</v>
      </c>
      <c r="E600" s="27" t="s">
        <v>603</v>
      </c>
      <c r="F600" s="27" t="s">
        <v>144</v>
      </c>
      <c r="G600" s="32" t="n">
        <f aca="false">(A600-A599)*86400000</f>
        <v>16.000843</v>
      </c>
      <c r="H600" s="3"/>
      <c r="I600" s="3"/>
      <c r="J600" s="3"/>
      <c r="K600" s="3"/>
      <c r="L600" s="3"/>
      <c r="M600" s="3"/>
    </row>
    <row r="601" customFormat="false" ht="15" hidden="false" customHeight="false" outlineLevel="0" collapsed="false">
      <c r="A601" s="28" t="n">
        <v>46301.5239885648</v>
      </c>
      <c r="B601" s="31" t="n">
        <f aca="false">(A601-$A$5)*86400</f>
        <v>28.973999829</v>
      </c>
      <c r="C601" s="27" t="n">
        <v>0.4646</v>
      </c>
      <c r="D601" s="27" t="n">
        <v>1.0777</v>
      </c>
      <c r="E601" s="27" t="s">
        <v>603</v>
      </c>
      <c r="F601" s="27" t="s">
        <v>144</v>
      </c>
      <c r="G601" s="32" t="n">
        <f aca="false">(A601-A600)*86400000</f>
        <v>16.999128</v>
      </c>
      <c r="H601" s="3"/>
      <c r="I601" s="3"/>
      <c r="J601" s="3"/>
      <c r="K601" s="3"/>
      <c r="L601" s="3"/>
      <c r="M601" s="3"/>
    </row>
    <row r="602" customFormat="false" ht="15" hidden="false" customHeight="false" outlineLevel="0" collapsed="false">
      <c r="A602" s="28" t="n">
        <v>46301.52398875</v>
      </c>
      <c r="B602" s="31" t="n">
        <f aca="false">(A602-$A$5)*86400</f>
        <v>28.990000043</v>
      </c>
      <c r="C602" s="27" t="n">
        <v>0.4266</v>
      </c>
      <c r="D602" s="27" t="n">
        <v>1.0821</v>
      </c>
      <c r="E602" s="27" t="s">
        <v>603</v>
      </c>
      <c r="F602" s="27" t="s">
        <v>144</v>
      </c>
      <c r="G602" s="32" t="n">
        <f aca="false">(A602-A601)*86400000</f>
        <v>16.000214</v>
      </c>
      <c r="H602" s="3"/>
      <c r="I602" s="3"/>
      <c r="J602" s="3"/>
      <c r="K602" s="3"/>
      <c r="L602" s="3"/>
      <c r="M602" s="3"/>
    </row>
    <row r="603" customFormat="false" ht="15" hidden="false" customHeight="false" outlineLevel="0" collapsed="false">
      <c r="A603" s="28" t="n">
        <v>46301.5239889352</v>
      </c>
      <c r="B603" s="31" t="n">
        <f aca="false">(A603-$A$5)*86400</f>
        <v>29.006000258</v>
      </c>
      <c r="C603" s="27" t="n">
        <v>0.3953</v>
      </c>
      <c r="D603" s="27" t="n">
        <v>1.0858</v>
      </c>
      <c r="E603" s="27" t="s">
        <v>603</v>
      </c>
      <c r="F603" s="27" t="s">
        <v>144</v>
      </c>
      <c r="G603" s="32" t="n">
        <f aca="false">(A603-A602)*86400000</f>
        <v>16.000214</v>
      </c>
      <c r="H603" s="3"/>
      <c r="I603" s="3"/>
      <c r="J603" s="3"/>
      <c r="K603" s="3"/>
      <c r="L603" s="3"/>
      <c r="M603" s="3"/>
    </row>
    <row r="604" customFormat="false" ht="15" hidden="false" customHeight="false" outlineLevel="0" collapsed="false">
      <c r="A604" s="28" t="n">
        <v>46301.5239891204</v>
      </c>
      <c r="B604" s="31" t="n">
        <f aca="false">(A604-$A$5)*86400</f>
        <v>29.021999845</v>
      </c>
      <c r="C604" s="27" t="n">
        <v>0.3695</v>
      </c>
      <c r="D604" s="27" t="n">
        <v>1.0888</v>
      </c>
      <c r="E604" s="27" t="s">
        <v>603</v>
      </c>
      <c r="F604" s="27" t="s">
        <v>144</v>
      </c>
      <c r="G604" s="32" t="n">
        <f aca="false">(A604-A603)*86400000</f>
        <v>15.999586</v>
      </c>
      <c r="H604" s="3"/>
      <c r="I604" s="3"/>
      <c r="J604" s="3"/>
      <c r="K604" s="3"/>
      <c r="L604" s="3"/>
      <c r="M604" s="3"/>
    </row>
    <row r="605" customFormat="false" ht="15" hidden="false" customHeight="false" outlineLevel="0" collapsed="false">
      <c r="A605" s="28" t="n">
        <v>46301.5239893056</v>
      </c>
      <c r="B605" s="31" t="n">
        <f aca="false">(A605-$A$5)*86400</f>
        <v>29.038000688</v>
      </c>
      <c r="C605" s="27" t="n">
        <v>0.3482</v>
      </c>
      <c r="D605" s="27" t="n">
        <v>1.0913</v>
      </c>
      <c r="E605" s="27" t="s">
        <v>603</v>
      </c>
      <c r="F605" s="27" t="s">
        <v>144</v>
      </c>
      <c r="G605" s="32" t="n">
        <f aca="false">(A605-A604)*86400000</f>
        <v>16.000843</v>
      </c>
      <c r="H605" s="3"/>
      <c r="I605" s="3"/>
      <c r="J605" s="3"/>
      <c r="K605" s="3"/>
      <c r="L605" s="3"/>
      <c r="M605" s="3"/>
    </row>
    <row r="606" customFormat="false" ht="15" hidden="false" customHeight="false" outlineLevel="0" collapsed="false">
      <c r="A606" s="28" t="n">
        <v>46301.5239894907</v>
      </c>
      <c r="B606" s="31" t="n">
        <f aca="false">(A606-$A$5)*86400</f>
        <v>29.054000275</v>
      </c>
      <c r="C606" s="27" t="n">
        <v>0.3306</v>
      </c>
      <c r="D606" s="27" t="n">
        <v>1.0934</v>
      </c>
      <c r="E606" s="27" t="s">
        <v>603</v>
      </c>
      <c r="F606" s="27" t="s">
        <v>144</v>
      </c>
      <c r="G606" s="32" t="n">
        <f aca="false">(A606-A605)*86400000</f>
        <v>15.999586</v>
      </c>
      <c r="H606" s="3"/>
      <c r="I606" s="3"/>
      <c r="J606" s="3"/>
      <c r="K606" s="3"/>
      <c r="L606" s="3"/>
      <c r="M606" s="3"/>
    </row>
    <row r="607" customFormat="false" ht="15" hidden="false" customHeight="false" outlineLevel="0" collapsed="false">
      <c r="A607" s="28" t="n">
        <v>46301.5239896759</v>
      </c>
      <c r="B607" s="31" t="n">
        <f aca="false">(A607-$A$5)*86400</f>
        <v>29.069999861</v>
      </c>
      <c r="C607" s="27" t="n">
        <v>0.3152</v>
      </c>
      <c r="D607" s="27" t="n">
        <v>1.0951</v>
      </c>
      <c r="E607" s="27" t="s">
        <v>603</v>
      </c>
      <c r="F607" s="27" t="s">
        <v>144</v>
      </c>
      <c r="G607" s="32" t="n">
        <f aca="false">(A607-A606)*86400000</f>
        <v>15.999586</v>
      </c>
      <c r="H607" s="3"/>
      <c r="I607" s="3"/>
      <c r="J607" s="3"/>
      <c r="K607" s="3"/>
      <c r="L607" s="3"/>
      <c r="M607" s="3"/>
    </row>
    <row r="608" customFormat="false" ht="15" hidden="false" customHeight="false" outlineLevel="0" collapsed="false">
      <c r="A608" s="28" t="n">
        <v>46301.5239898727</v>
      </c>
      <c r="B608" s="31" t="n">
        <f aca="false">(A608-$A$5)*86400</f>
        <v>29.087000247</v>
      </c>
      <c r="C608" s="27" t="n">
        <v>0.3034</v>
      </c>
      <c r="D608" s="27" t="n">
        <v>1.0965</v>
      </c>
      <c r="E608" s="27" t="s">
        <v>603</v>
      </c>
      <c r="F608" s="27" t="s">
        <v>144</v>
      </c>
      <c r="G608" s="32" t="n">
        <f aca="false">(A608-A607)*86400000</f>
        <v>17.000385</v>
      </c>
      <c r="H608" s="3"/>
      <c r="I608" s="3"/>
      <c r="J608" s="3"/>
      <c r="K608" s="3"/>
      <c r="L608" s="3"/>
      <c r="M608" s="3"/>
    </row>
    <row r="609" customFormat="false" ht="15" hidden="false" customHeight="false" outlineLevel="0" collapsed="false">
      <c r="A609" s="28" t="n">
        <v>46301.5239900579</v>
      </c>
      <c r="B609" s="31" t="n">
        <f aca="false">(A609-$A$5)*86400</f>
        <v>29.102999833</v>
      </c>
      <c r="C609" s="27" t="n">
        <v>0.2936</v>
      </c>
      <c r="D609" s="27" t="n">
        <v>1.0977</v>
      </c>
      <c r="E609" s="27" t="s">
        <v>603</v>
      </c>
      <c r="F609" s="27" t="s">
        <v>144</v>
      </c>
      <c r="G609" s="32" t="n">
        <f aca="false">(A609-A608)*86400000</f>
        <v>15.999586</v>
      </c>
      <c r="H609" s="3"/>
      <c r="I609" s="3"/>
      <c r="J609" s="3"/>
      <c r="K609" s="3"/>
      <c r="L609" s="3"/>
      <c r="M609" s="3"/>
    </row>
    <row r="610" customFormat="false" ht="15" hidden="false" customHeight="false" outlineLevel="0" collapsed="false">
      <c r="A610" s="28" t="n">
        <v>46301.5239902431</v>
      </c>
      <c r="B610" s="31" t="n">
        <f aca="false">(A610-$A$5)*86400</f>
        <v>29.118999419</v>
      </c>
      <c r="C610" s="27" t="n">
        <v>0.2856</v>
      </c>
      <c r="D610" s="27" t="n">
        <v>1.0986</v>
      </c>
      <c r="E610" s="27" t="s">
        <v>603</v>
      </c>
      <c r="F610" s="27" t="s">
        <v>144</v>
      </c>
      <c r="G610" s="32" t="n">
        <f aca="false">(A610-A609)*86400000</f>
        <v>15.999586</v>
      </c>
      <c r="H610" s="3"/>
      <c r="I610" s="3"/>
      <c r="J610" s="3"/>
      <c r="K610" s="3"/>
      <c r="L610" s="3"/>
      <c r="M610" s="3"/>
    </row>
    <row r="611" customFormat="false" ht="15" hidden="false" customHeight="false" outlineLevel="0" collapsed="false">
      <c r="A611" s="28" t="n">
        <v>46301.5239904282</v>
      </c>
      <c r="B611" s="31" t="n">
        <f aca="false">(A611-$A$5)*86400</f>
        <v>29.135000263</v>
      </c>
      <c r="C611" s="27" t="n">
        <v>0.2785</v>
      </c>
      <c r="D611" s="27" t="n">
        <v>1.0994</v>
      </c>
      <c r="E611" s="27" t="s">
        <v>603</v>
      </c>
      <c r="F611" s="27" t="s">
        <v>144</v>
      </c>
      <c r="G611" s="32" t="n">
        <f aca="false">(A611-A610)*86400000</f>
        <v>16.000843</v>
      </c>
      <c r="H611" s="3"/>
      <c r="I611" s="3"/>
      <c r="J611" s="3"/>
      <c r="K611" s="3"/>
      <c r="L611" s="3"/>
      <c r="M611" s="3"/>
    </row>
    <row r="612" customFormat="false" ht="15" hidden="false" customHeight="false" outlineLevel="0" collapsed="false">
      <c r="A612" s="28" t="n">
        <v>46301.523990625</v>
      </c>
      <c r="B612" s="31" t="n">
        <f aca="false">(A612-$A$5)*86400</f>
        <v>29.15200002</v>
      </c>
      <c r="C612" s="27" t="n">
        <v>0.2731</v>
      </c>
      <c r="D612" s="27" t="n">
        <v>1.1001</v>
      </c>
      <c r="E612" s="27" t="s">
        <v>603</v>
      </c>
      <c r="F612" s="27" t="s">
        <v>144</v>
      </c>
      <c r="G612" s="32" t="n">
        <f aca="false">(A612-A611)*86400000</f>
        <v>16.999756</v>
      </c>
      <c r="H612" s="3"/>
      <c r="I612" s="3"/>
      <c r="J612" s="3"/>
      <c r="K612" s="3"/>
      <c r="L612" s="3"/>
      <c r="M612" s="3"/>
    </row>
    <row r="613" customFormat="false" ht="15" hidden="false" customHeight="false" outlineLevel="0" collapsed="false">
      <c r="A613" s="28" t="n">
        <v>46301.5239908102</v>
      </c>
      <c r="B613" s="31" t="n">
        <f aca="false">(A613-$A$5)*86400</f>
        <v>29.168000235</v>
      </c>
      <c r="C613" s="27" t="n">
        <v>0.2686</v>
      </c>
      <c r="D613" s="27" t="n">
        <v>1.1006</v>
      </c>
      <c r="E613" s="27" t="s">
        <v>603</v>
      </c>
      <c r="F613" s="27" t="s">
        <v>144</v>
      </c>
      <c r="G613" s="32" t="n">
        <f aca="false">(A613-A612)*86400000</f>
        <v>16.000214</v>
      </c>
      <c r="H613" s="3"/>
      <c r="I613" s="3"/>
      <c r="J613" s="3"/>
      <c r="K613" s="3"/>
      <c r="L613" s="3"/>
      <c r="M613" s="3"/>
    </row>
    <row r="614" customFormat="false" ht="15" hidden="false" customHeight="false" outlineLevel="0" collapsed="false">
      <c r="A614" s="28" t="n">
        <v>46301.5239910069</v>
      </c>
      <c r="B614" s="31" t="n">
        <f aca="false">(A614-$A$5)*86400</f>
        <v>29.184999992</v>
      </c>
      <c r="C614" s="27" t="n">
        <v>0.2714</v>
      </c>
      <c r="D614" s="27" t="n">
        <v>1.1061</v>
      </c>
      <c r="E614" s="27" t="s">
        <v>603</v>
      </c>
      <c r="F614" s="27" t="s">
        <v>144</v>
      </c>
      <c r="G614" s="32" t="n">
        <f aca="false">(A614-A613)*86400000</f>
        <v>16.999756</v>
      </c>
      <c r="H614" s="3"/>
      <c r="I614" s="3"/>
      <c r="J614" s="3"/>
      <c r="K614" s="3"/>
      <c r="L614" s="3"/>
      <c r="M614" s="3"/>
    </row>
    <row r="615" customFormat="false" ht="15" hidden="false" customHeight="false" outlineLevel="0" collapsed="false">
      <c r="A615" s="28" t="n">
        <v>46301.5239911806</v>
      </c>
      <c r="B615" s="31" t="n">
        <f aca="false">(A615-$A$5)*86400</f>
        <v>29.199999407</v>
      </c>
      <c r="C615" s="27" t="n">
        <v>0.2739</v>
      </c>
      <c r="D615" s="27" t="n">
        <v>1.1108</v>
      </c>
      <c r="E615" s="27" t="s">
        <v>603</v>
      </c>
      <c r="F615" s="27" t="s">
        <v>144</v>
      </c>
      <c r="G615" s="32" t="n">
        <f aca="false">(A615-A614)*86400000</f>
        <v>14.999415</v>
      </c>
      <c r="H615" s="3"/>
      <c r="I615" s="3"/>
      <c r="J615" s="3"/>
      <c r="K615" s="3"/>
      <c r="L615" s="3"/>
      <c r="M615" s="3"/>
    </row>
    <row r="616" customFormat="false" ht="15" hidden="false" customHeight="false" outlineLevel="0" collapsed="false">
      <c r="A616" s="28" t="n">
        <v>46301.5239913773</v>
      </c>
      <c r="B616" s="31" t="n">
        <f aca="false">(A616-$A$5)*86400</f>
        <v>29.217000422</v>
      </c>
      <c r="C616" s="27" t="n">
        <v>0.2758</v>
      </c>
      <c r="D616" s="27" t="n">
        <v>1.1145</v>
      </c>
      <c r="E616" s="27" t="s">
        <v>603</v>
      </c>
      <c r="F616" s="27" t="s">
        <v>144</v>
      </c>
      <c r="G616" s="32" t="n">
        <f aca="false">(A616-A615)*86400000</f>
        <v>17.001014</v>
      </c>
      <c r="H616" s="3"/>
      <c r="I616" s="3"/>
      <c r="J616" s="3"/>
      <c r="K616" s="3"/>
      <c r="L616" s="3"/>
      <c r="M616" s="3"/>
    </row>
    <row r="617" customFormat="false" ht="15" hidden="false" customHeight="false" outlineLevel="0" collapsed="false">
      <c r="A617" s="28" t="n">
        <v>46301.5239915625</v>
      </c>
      <c r="B617" s="31" t="n">
        <f aca="false">(A617-$A$5)*86400</f>
        <v>29.233000008</v>
      </c>
      <c r="C617" s="27" t="n">
        <v>0.2774</v>
      </c>
      <c r="D617" s="27" t="n">
        <v>1.1176</v>
      </c>
      <c r="E617" s="27" t="s">
        <v>603</v>
      </c>
      <c r="F617" s="27" t="s">
        <v>144</v>
      </c>
      <c r="G617" s="32" t="n">
        <f aca="false">(A617-A616)*86400000</f>
        <v>15.999586</v>
      </c>
      <c r="H617" s="3"/>
      <c r="I617" s="3"/>
      <c r="J617" s="3"/>
      <c r="K617" s="3"/>
      <c r="L617" s="3"/>
      <c r="M617" s="3"/>
    </row>
    <row r="618" customFormat="false" ht="15" hidden="false" customHeight="false" outlineLevel="0" collapsed="false">
      <c r="A618" s="28" t="n">
        <v>46301.5239917477</v>
      </c>
      <c r="B618" s="31" t="n">
        <f aca="false">(A618-$A$5)*86400</f>
        <v>29.249000223</v>
      </c>
      <c r="C618" s="27" t="n">
        <v>0.2786</v>
      </c>
      <c r="D618" s="27" t="n">
        <v>1.1201</v>
      </c>
      <c r="E618" s="27" t="s">
        <v>603</v>
      </c>
      <c r="F618" s="27" t="s">
        <v>144</v>
      </c>
      <c r="G618" s="32" t="n">
        <f aca="false">(A618-A617)*86400000</f>
        <v>16.000214</v>
      </c>
      <c r="H618" s="3"/>
      <c r="I618" s="3"/>
      <c r="J618" s="3"/>
      <c r="K618" s="3"/>
      <c r="L618" s="3"/>
      <c r="M618" s="3"/>
    </row>
    <row r="619" customFormat="false" ht="15" hidden="false" customHeight="false" outlineLevel="0" collapsed="false">
      <c r="A619" s="28" t="n">
        <v>46301.5239919329</v>
      </c>
      <c r="B619" s="31" t="n">
        <f aca="false">(A619-$A$5)*86400</f>
        <v>29.264999809</v>
      </c>
      <c r="C619" s="27" t="n">
        <v>0.2798</v>
      </c>
      <c r="D619" s="27" t="n">
        <v>1.1223</v>
      </c>
      <c r="E619" s="27" t="s">
        <v>603</v>
      </c>
      <c r="F619" s="27" t="s">
        <v>144</v>
      </c>
      <c r="G619" s="32" t="n">
        <f aca="false">(A619-A618)*86400000</f>
        <v>15.999586</v>
      </c>
      <c r="H619" s="3"/>
      <c r="I619" s="3"/>
      <c r="J619" s="3"/>
      <c r="K619" s="3"/>
      <c r="L619" s="3"/>
      <c r="M619" s="3"/>
    </row>
    <row r="620" customFormat="false" ht="15" hidden="false" customHeight="false" outlineLevel="0" collapsed="false">
      <c r="A620" s="28" t="n">
        <v>46301.5239921296</v>
      </c>
      <c r="B620" s="31" t="n">
        <f aca="false">(A620-$A$5)*86400</f>
        <v>29.282000195</v>
      </c>
      <c r="C620" s="27" t="n">
        <v>0.2806</v>
      </c>
      <c r="D620" s="27" t="n">
        <v>1.124</v>
      </c>
      <c r="E620" s="27" t="s">
        <v>603</v>
      </c>
      <c r="F620" s="27" t="s">
        <v>144</v>
      </c>
      <c r="G620" s="32" t="n">
        <f aca="false">(A620-A619)*86400000</f>
        <v>17.000385</v>
      </c>
      <c r="H620" s="3"/>
      <c r="I620" s="3"/>
      <c r="J620" s="3"/>
      <c r="K620" s="3"/>
      <c r="L620" s="3"/>
      <c r="M620" s="3"/>
    </row>
    <row r="621" customFormat="false" ht="15" hidden="false" customHeight="false" outlineLevel="0" collapsed="false">
      <c r="A621" s="28" t="n">
        <v>46301.5239923148</v>
      </c>
      <c r="B621" s="31" t="n">
        <f aca="false">(A621-$A$5)*86400</f>
        <v>29.29800041</v>
      </c>
      <c r="C621" s="27" t="n">
        <v>0.2814</v>
      </c>
      <c r="D621" s="27" t="n">
        <v>1.1254</v>
      </c>
      <c r="E621" s="27" t="s">
        <v>603</v>
      </c>
      <c r="F621" s="27" t="s">
        <v>144</v>
      </c>
      <c r="G621" s="32" t="n">
        <f aca="false">(A621-A620)*86400000</f>
        <v>16.000214</v>
      </c>
      <c r="H621" s="3"/>
      <c r="I621" s="3"/>
      <c r="J621" s="3"/>
      <c r="K621" s="3"/>
      <c r="L621" s="3"/>
      <c r="M621" s="3"/>
    </row>
    <row r="622" customFormat="false" ht="15" hidden="false" customHeight="false" outlineLevel="0" collapsed="false">
      <c r="A622" s="28" t="n">
        <v>46301.5239926968</v>
      </c>
      <c r="B622" s="31" t="n">
        <f aca="false">(A622-$A$5)*86400</f>
        <v>29.331000382</v>
      </c>
      <c r="C622" s="27" t="n">
        <v>0.2825</v>
      </c>
      <c r="D622" s="27" t="n">
        <v>1.1275</v>
      </c>
      <c r="E622" s="27" t="s">
        <v>603</v>
      </c>
      <c r="F622" s="27" t="s">
        <v>144</v>
      </c>
      <c r="G622" s="32" t="n">
        <f aca="false">(A622-A621)*86400000</f>
        <v>32.999971</v>
      </c>
      <c r="H622" s="3"/>
      <c r="I622" s="3"/>
      <c r="J622" s="3"/>
      <c r="K622" s="3"/>
      <c r="L622" s="3"/>
      <c r="M622" s="3"/>
    </row>
    <row r="623" customFormat="false" ht="15" hidden="false" customHeight="false" outlineLevel="0" collapsed="false">
      <c r="A623" s="28" t="n">
        <v>46301.5239928819</v>
      </c>
      <c r="B623" s="31" t="n">
        <f aca="false">(A623-$A$5)*86400</f>
        <v>29.346999968</v>
      </c>
      <c r="C623" s="27" t="n">
        <v>0.2829</v>
      </c>
      <c r="D623" s="27" t="n">
        <v>1.1283</v>
      </c>
      <c r="E623" s="27" t="s">
        <v>603</v>
      </c>
      <c r="F623" s="27" t="s">
        <v>144</v>
      </c>
      <c r="G623" s="32" t="n">
        <f aca="false">(A623-A622)*86400000</f>
        <v>15.999586</v>
      </c>
      <c r="H623" s="3"/>
      <c r="I623" s="3"/>
      <c r="J623" s="3"/>
      <c r="K623" s="3"/>
      <c r="L623" s="3"/>
      <c r="M623" s="3"/>
    </row>
    <row r="624" customFormat="false" ht="15" hidden="false" customHeight="false" outlineLevel="0" collapsed="false">
      <c r="A624" s="28" t="n">
        <v>46301.5239932523</v>
      </c>
      <c r="B624" s="31" t="n">
        <f aca="false">(A624-$A$5)*86400</f>
        <v>29.379000398</v>
      </c>
      <c r="C624" s="27" t="n">
        <v>0.2835</v>
      </c>
      <c r="D624" s="27" t="n">
        <v>1.1295</v>
      </c>
      <c r="E624" s="27" t="s">
        <v>603</v>
      </c>
      <c r="F624" s="27" t="s">
        <v>144</v>
      </c>
      <c r="G624" s="32" t="n">
        <f aca="false">(A624-A623)*86400000</f>
        <v>32.000429</v>
      </c>
      <c r="H624" s="3"/>
      <c r="I624" s="3"/>
      <c r="J624" s="3"/>
      <c r="K624" s="3"/>
      <c r="L624" s="3"/>
      <c r="M624" s="3"/>
    </row>
    <row r="625" customFormat="false" ht="15" hidden="false" customHeight="false" outlineLevel="0" collapsed="false">
      <c r="A625" s="28" t="n">
        <v>46301.5239938079</v>
      </c>
      <c r="B625" s="31" t="n">
        <f aca="false">(A625-$A$5)*86400</f>
        <v>29.426999785</v>
      </c>
      <c r="C625" s="27" t="n">
        <v>0.2847</v>
      </c>
      <c r="D625" s="27" t="n">
        <v>1.132</v>
      </c>
      <c r="E625" s="27" t="s">
        <v>603</v>
      </c>
      <c r="F625" s="27" t="s">
        <v>144</v>
      </c>
      <c r="G625" s="32" t="n">
        <f aca="false">(A625-A624)*86400000</f>
        <v>47.999387</v>
      </c>
      <c r="H625" s="3"/>
      <c r="I625" s="3"/>
      <c r="J625" s="3"/>
      <c r="K625" s="3"/>
      <c r="L625" s="3"/>
      <c r="M625" s="3"/>
    </row>
    <row r="626" customFormat="false" ht="15" hidden="false" customHeight="false" outlineLevel="0" collapsed="false">
      <c r="A626" s="28" t="n">
        <v>46301.5239964236</v>
      </c>
      <c r="B626" s="31" t="n">
        <f aca="false">(A626-$A$5)*86400</f>
        <v>29.652999993</v>
      </c>
      <c r="C626" s="27" t="n">
        <v>0.2854</v>
      </c>
      <c r="D626" s="27" t="n">
        <v>1.1335</v>
      </c>
      <c r="E626" s="27" t="s">
        <v>603</v>
      </c>
      <c r="F626" s="27" t="s">
        <v>144</v>
      </c>
      <c r="G626" s="32" t="n">
        <f aca="false">(A626-A625)*86400000</f>
        <v>226.000207</v>
      </c>
      <c r="H626" s="3"/>
      <c r="I626" s="3"/>
      <c r="J626" s="3"/>
      <c r="K626" s="3"/>
      <c r="L626" s="3"/>
      <c r="M626" s="3"/>
    </row>
    <row r="627" customFormat="false" ht="15" hidden="false" customHeight="false" outlineLevel="0" collapsed="false">
      <c r="A627" s="28" t="n">
        <v>46301.5239971759</v>
      </c>
      <c r="B627" s="31" t="n">
        <f aca="false">(A627-$A$5)*86400</f>
        <v>29.718000395</v>
      </c>
      <c r="C627" s="27" t="n">
        <v>0.2863</v>
      </c>
      <c r="D627" s="27" t="n">
        <v>1.1353</v>
      </c>
      <c r="E627" s="27" t="s">
        <v>603</v>
      </c>
      <c r="F627" s="27" t="s">
        <v>144</v>
      </c>
      <c r="G627" s="32" t="n">
        <f aca="false">(A627-A626)*86400000</f>
        <v>65.000401</v>
      </c>
      <c r="H627" s="3"/>
      <c r="I627" s="3"/>
      <c r="J627" s="3"/>
      <c r="K627" s="3"/>
      <c r="L627" s="3"/>
      <c r="M627" s="3"/>
    </row>
    <row r="628" customFormat="false" ht="15" hidden="false" customHeight="false" outlineLevel="0" collapsed="false">
      <c r="A628" s="28" t="n">
        <v>46301.5239973727</v>
      </c>
      <c r="B628" s="31" t="n">
        <f aca="false">(A628-$A$5)*86400</f>
        <v>29.73500078</v>
      </c>
      <c r="C628" s="27" t="n">
        <v>0.2869</v>
      </c>
      <c r="D628" s="27" t="n">
        <v>1.1368</v>
      </c>
      <c r="E628" s="27" t="s">
        <v>603</v>
      </c>
      <c r="F628" s="27" t="s">
        <v>144</v>
      </c>
      <c r="G628" s="32" t="n">
        <f aca="false">(A628-A627)*86400000</f>
        <v>17.000385</v>
      </c>
      <c r="H628" s="3"/>
      <c r="I628" s="3"/>
      <c r="J628" s="3"/>
      <c r="K628" s="3"/>
      <c r="L628" s="3"/>
      <c r="M628" s="3"/>
    </row>
    <row r="629" customFormat="false" ht="15" hidden="false" customHeight="false" outlineLevel="0" collapsed="false">
      <c r="A629" s="28" t="n">
        <v>46301.5239979282</v>
      </c>
      <c r="B629" s="31" t="n">
        <f aca="false">(A629-$A$5)*86400</f>
        <v>29.783000168</v>
      </c>
      <c r="C629" s="27" t="n">
        <v>0.2729</v>
      </c>
      <c r="D629" s="27" t="n">
        <v>1.1427</v>
      </c>
      <c r="E629" s="27" t="s">
        <v>603</v>
      </c>
      <c r="F629" s="27" t="s">
        <v>144</v>
      </c>
      <c r="G629" s="32" t="n">
        <f aca="false">(A629-A628)*86400000</f>
        <v>47.999387</v>
      </c>
      <c r="H629" s="3"/>
      <c r="I629" s="3"/>
      <c r="J629" s="3"/>
      <c r="K629" s="3"/>
      <c r="L629" s="3"/>
      <c r="M629" s="3"/>
    </row>
    <row r="630" customFormat="false" ht="15" hidden="false" customHeight="false" outlineLevel="0" collapsed="false">
      <c r="A630" s="28" t="n">
        <v>46301.5239981134</v>
      </c>
      <c r="B630" s="31" t="n">
        <f aca="false">(A630-$A$5)*86400</f>
        <v>29.799000383</v>
      </c>
      <c r="C630" s="27" t="n">
        <v>0.2614</v>
      </c>
      <c r="D630" s="27" t="n">
        <v>1.1476</v>
      </c>
      <c r="E630" s="27" t="s">
        <v>603</v>
      </c>
      <c r="F630" s="27" t="s">
        <v>144</v>
      </c>
      <c r="G630" s="32" t="n">
        <f aca="false">(A630-A629)*86400000</f>
        <v>16.000214</v>
      </c>
      <c r="H630" s="3"/>
      <c r="I630" s="3"/>
      <c r="J630" s="3"/>
      <c r="K630" s="3"/>
      <c r="L630" s="3"/>
      <c r="M630" s="3"/>
    </row>
    <row r="631" customFormat="false" ht="15" hidden="false" customHeight="false" outlineLevel="0" collapsed="false">
      <c r="A631" s="28" t="n">
        <v>46301.5239982986</v>
      </c>
      <c r="B631" s="31" t="n">
        <f aca="false">(A631-$A$5)*86400</f>
        <v>29.814999969</v>
      </c>
      <c r="C631" s="27" t="n">
        <v>0.2518</v>
      </c>
      <c r="D631" s="27" t="n">
        <v>1.1516</v>
      </c>
      <c r="E631" s="27" t="s">
        <v>603</v>
      </c>
      <c r="F631" s="27" t="s">
        <v>144</v>
      </c>
      <c r="G631" s="32" t="n">
        <f aca="false">(A631-A630)*86400000</f>
        <v>15.999586</v>
      </c>
      <c r="H631" s="3"/>
      <c r="I631" s="3"/>
      <c r="J631" s="3"/>
      <c r="K631" s="3"/>
      <c r="L631" s="3"/>
      <c r="M631" s="3"/>
    </row>
    <row r="632" customFormat="false" ht="15" hidden="false" customHeight="false" outlineLevel="0" collapsed="false">
      <c r="A632" s="28" t="n">
        <v>46301.5239984722</v>
      </c>
      <c r="B632" s="31" t="n">
        <f aca="false">(A632-$A$5)*86400</f>
        <v>29.830000014</v>
      </c>
      <c r="C632" s="27" t="n">
        <v>0.2439</v>
      </c>
      <c r="D632" s="27" t="n">
        <v>1.1549</v>
      </c>
      <c r="E632" s="27" t="s">
        <v>603</v>
      </c>
      <c r="F632" s="27" t="s">
        <v>144</v>
      </c>
      <c r="G632" s="32" t="n">
        <f aca="false">(A632-A631)*86400000</f>
        <v>15.000044</v>
      </c>
      <c r="H632" s="3"/>
      <c r="I632" s="3"/>
      <c r="J632" s="3"/>
      <c r="K632" s="3"/>
      <c r="L632" s="3"/>
      <c r="M632" s="3"/>
    </row>
    <row r="633" customFormat="false" ht="15" hidden="false" customHeight="false" outlineLevel="0" collapsed="false">
      <c r="A633" s="28" t="n">
        <v>46301.523998669</v>
      </c>
      <c r="B633" s="31" t="n">
        <f aca="false">(A633-$A$5)*86400</f>
        <v>29.84699977</v>
      </c>
      <c r="C633" s="27" t="n">
        <v>0.2374</v>
      </c>
      <c r="D633" s="27" t="n">
        <v>1.1576</v>
      </c>
      <c r="E633" s="27" t="s">
        <v>603</v>
      </c>
      <c r="F633" s="27" t="s">
        <v>144</v>
      </c>
      <c r="G633" s="32" t="n">
        <f aca="false">(A633-A632)*86400000</f>
        <v>16.999756</v>
      </c>
      <c r="H633" s="3"/>
      <c r="I633" s="3"/>
      <c r="J633" s="3"/>
      <c r="K633" s="3"/>
      <c r="L633" s="3"/>
      <c r="M633" s="3"/>
    </row>
    <row r="634" customFormat="false" ht="15" hidden="false" customHeight="false" outlineLevel="0" collapsed="false">
      <c r="A634" s="28" t="n">
        <v>46301.5239988542</v>
      </c>
      <c r="B634" s="31" t="n">
        <f aca="false">(A634-$A$5)*86400</f>
        <v>29.863000614</v>
      </c>
      <c r="C634" s="27" t="n">
        <v>0.2321</v>
      </c>
      <c r="D634" s="27" t="n">
        <v>1.1599</v>
      </c>
      <c r="E634" s="27" t="s">
        <v>603</v>
      </c>
      <c r="F634" s="27" t="s">
        <v>144</v>
      </c>
      <c r="G634" s="32" t="n">
        <f aca="false">(A634-A633)*86400000</f>
        <v>16.000843</v>
      </c>
      <c r="H634" s="3"/>
      <c r="I634" s="3"/>
      <c r="J634" s="3"/>
      <c r="K634" s="3"/>
      <c r="L634" s="3"/>
      <c r="M634" s="3"/>
    </row>
    <row r="635" customFormat="false" ht="15" hidden="false" customHeight="false" outlineLevel="0" collapsed="false">
      <c r="A635" s="28" t="n">
        <v>46301.5239990394</v>
      </c>
      <c r="B635" s="31" t="n">
        <f aca="false">(A635-$A$5)*86400</f>
        <v>29.8790002</v>
      </c>
      <c r="C635" s="27" t="n">
        <v>0.2276</v>
      </c>
      <c r="D635" s="27" t="n">
        <v>1.1617</v>
      </c>
      <c r="E635" s="27" t="s">
        <v>603</v>
      </c>
      <c r="F635" s="27" t="s">
        <v>144</v>
      </c>
      <c r="G635" s="32" t="n">
        <f aca="false">(A635-A634)*86400000</f>
        <v>15.999586</v>
      </c>
      <c r="H635" s="3"/>
      <c r="I635" s="3"/>
      <c r="J635" s="3"/>
      <c r="K635" s="3"/>
      <c r="L635" s="3"/>
      <c r="M635" s="3"/>
    </row>
    <row r="636" customFormat="false" ht="15" hidden="false" customHeight="false" outlineLevel="0" collapsed="false">
      <c r="A636" s="28" t="n">
        <v>46301.5239992245</v>
      </c>
      <c r="B636" s="31" t="n">
        <f aca="false">(A636-$A$5)*86400</f>
        <v>29.895000415</v>
      </c>
      <c r="C636" s="27" t="n">
        <v>0.224</v>
      </c>
      <c r="D636" s="27" t="n">
        <v>1.1633</v>
      </c>
      <c r="E636" s="27" t="s">
        <v>603</v>
      </c>
      <c r="F636" s="27" t="s">
        <v>144</v>
      </c>
      <c r="G636" s="32" t="n">
        <f aca="false">(A636-A635)*86400000</f>
        <v>16.000214</v>
      </c>
      <c r="H636" s="3"/>
      <c r="I636" s="3"/>
      <c r="J636" s="3"/>
      <c r="K636" s="3"/>
      <c r="L636" s="3"/>
      <c r="M636" s="3"/>
    </row>
    <row r="637" customFormat="false" ht="15" hidden="false" customHeight="false" outlineLevel="0" collapsed="false">
      <c r="A637" s="28" t="n">
        <v>46301.5239994097</v>
      </c>
      <c r="B637" s="31" t="n">
        <f aca="false">(A637-$A$5)*86400</f>
        <v>29.911000002</v>
      </c>
      <c r="C637" s="27" t="n">
        <v>0.221</v>
      </c>
      <c r="D637" s="27" t="n">
        <v>1.1645</v>
      </c>
      <c r="E637" s="27" t="s">
        <v>603</v>
      </c>
      <c r="F637" s="27" t="s">
        <v>144</v>
      </c>
      <c r="G637" s="32" t="n">
        <f aca="false">(A637-A636)*86400000</f>
        <v>15.999586</v>
      </c>
      <c r="H637" s="3"/>
      <c r="I637" s="3"/>
      <c r="J637" s="3"/>
      <c r="K637" s="3"/>
      <c r="L637" s="3"/>
      <c r="M637" s="3"/>
    </row>
    <row r="638" customFormat="false" ht="15" hidden="false" customHeight="false" outlineLevel="0" collapsed="false">
      <c r="A638" s="28" t="n">
        <v>46301.5239995949</v>
      </c>
      <c r="B638" s="31" t="n">
        <f aca="false">(A638-$A$5)*86400</f>
        <v>29.927000217</v>
      </c>
      <c r="C638" s="27" t="n">
        <v>0.2185</v>
      </c>
      <c r="D638" s="27" t="n">
        <v>1.1656</v>
      </c>
      <c r="E638" s="27" t="s">
        <v>603</v>
      </c>
      <c r="F638" s="27" t="s">
        <v>144</v>
      </c>
      <c r="G638" s="32" t="n">
        <f aca="false">(A638-A637)*86400000</f>
        <v>16.000214</v>
      </c>
      <c r="H638" s="3"/>
      <c r="I638" s="3"/>
      <c r="J638" s="3"/>
      <c r="K638" s="3"/>
      <c r="L638" s="3"/>
      <c r="M638" s="3"/>
    </row>
    <row r="639" customFormat="false" ht="15" hidden="false" customHeight="false" outlineLevel="0" collapsed="false">
      <c r="A639" s="28" t="n">
        <v>46301.5239997801</v>
      </c>
      <c r="B639" s="31" t="n">
        <f aca="false">(A639-$A$5)*86400</f>
        <v>29.942999803</v>
      </c>
      <c r="C639" s="27" t="n">
        <v>0.2164</v>
      </c>
      <c r="D639" s="27" t="n">
        <v>1.1664</v>
      </c>
      <c r="E639" s="27" t="s">
        <v>603</v>
      </c>
      <c r="F639" s="27" t="s">
        <v>144</v>
      </c>
      <c r="G639" s="32" t="n">
        <f aca="false">(A639-A638)*86400000</f>
        <v>15.999586</v>
      </c>
      <c r="H639" s="3"/>
      <c r="I639" s="3"/>
      <c r="J639" s="3"/>
      <c r="K639" s="3"/>
      <c r="L639" s="3"/>
      <c r="M639" s="3"/>
    </row>
    <row r="640" customFormat="false" ht="15" hidden="false" customHeight="false" outlineLevel="0" collapsed="false">
      <c r="A640" s="28" t="n">
        <v>46301.5239999653</v>
      </c>
      <c r="B640" s="31" t="n">
        <f aca="false">(A640-$A$5)*86400</f>
        <v>29.959000018</v>
      </c>
      <c r="C640" s="27" t="n">
        <v>0.2147</v>
      </c>
      <c r="D640" s="27" t="n">
        <v>1.1672</v>
      </c>
      <c r="E640" s="27" t="s">
        <v>603</v>
      </c>
      <c r="F640" s="27" t="s">
        <v>144</v>
      </c>
      <c r="G640" s="32" t="n">
        <f aca="false">(A640-A639)*86400000</f>
        <v>16.000214</v>
      </c>
      <c r="H640" s="3"/>
      <c r="I640" s="3"/>
      <c r="J640" s="3"/>
      <c r="K640" s="3"/>
      <c r="L640" s="3"/>
      <c r="M640" s="3"/>
    </row>
    <row r="641" customFormat="false" ht="15" hidden="false" customHeight="false" outlineLevel="0" collapsed="false">
      <c r="A641" s="28" t="n">
        <v>46301.524000162</v>
      </c>
      <c r="B641" s="31" t="n">
        <f aca="false">(A641-$A$5)*86400</f>
        <v>29.976000403</v>
      </c>
      <c r="C641" s="27" t="n">
        <v>0.2133</v>
      </c>
      <c r="D641" s="27" t="n">
        <v>1.1678</v>
      </c>
      <c r="E641" s="27" t="s">
        <v>603</v>
      </c>
      <c r="F641" s="27" t="s">
        <v>144</v>
      </c>
      <c r="G641" s="32" t="n">
        <f aca="false">(A641-A640)*86400000</f>
        <v>17.000385</v>
      </c>
      <c r="H641" s="3"/>
      <c r="I641" s="3"/>
      <c r="J641" s="3"/>
      <c r="K641" s="3"/>
      <c r="L641" s="3"/>
      <c r="M641" s="3"/>
    </row>
    <row r="642" customFormat="false" ht="15" hidden="false" customHeight="false" outlineLevel="0" collapsed="false">
      <c r="A642" s="28" t="n">
        <v>46301.5240003588</v>
      </c>
      <c r="B642" s="31" t="n">
        <f aca="false">(A642-$A$5)*86400</f>
        <v>29.99300016</v>
      </c>
      <c r="C642" s="27" t="n">
        <v>0.2121</v>
      </c>
      <c r="D642" s="27" t="n">
        <v>1.1683</v>
      </c>
      <c r="E642" s="27" t="s">
        <v>603</v>
      </c>
      <c r="F642" s="27" t="s">
        <v>144</v>
      </c>
      <c r="G642" s="32" t="n">
        <f aca="false">(A642-A641)*86400000</f>
        <v>16.999756</v>
      </c>
      <c r="H642" s="3"/>
      <c r="I642" s="3"/>
      <c r="J642" s="3"/>
      <c r="K642" s="3"/>
      <c r="L642" s="3"/>
      <c r="M642" s="3"/>
    </row>
    <row r="643" customFormat="false" ht="15" hidden="false" customHeight="false" outlineLevel="0" collapsed="false">
      <c r="A643" s="28" t="n">
        <v>46301.5240007292</v>
      </c>
      <c r="B643" s="31" t="n">
        <f aca="false">(A643-$A$5)*86400</f>
        <v>30.024999333</v>
      </c>
      <c r="C643" s="27" t="n">
        <v>0.2104</v>
      </c>
      <c r="D643" s="27" t="n">
        <v>1.169</v>
      </c>
      <c r="E643" s="27" t="s">
        <v>603</v>
      </c>
      <c r="F643" s="27" t="s">
        <v>144</v>
      </c>
      <c r="G643" s="32" t="n">
        <f aca="false">(A643-A642)*86400000</f>
        <v>31.999172</v>
      </c>
      <c r="H643" s="3"/>
      <c r="I643" s="3"/>
      <c r="J643" s="3"/>
      <c r="K643" s="3"/>
      <c r="L643" s="3"/>
      <c r="M643" s="3"/>
    </row>
    <row r="644" customFormat="false" ht="15" hidden="false" customHeight="false" outlineLevel="0" collapsed="false">
      <c r="A644" s="28" t="n">
        <v>46301.5240009144</v>
      </c>
      <c r="B644" s="31" t="n">
        <f aca="false">(A644-$A$5)*86400</f>
        <v>30.041000177</v>
      </c>
      <c r="C644" s="27" t="n">
        <v>0.2098</v>
      </c>
      <c r="D644" s="27" t="n">
        <v>1.1692</v>
      </c>
      <c r="E644" s="27" t="s">
        <v>603</v>
      </c>
      <c r="F644" s="27" t="s">
        <v>144</v>
      </c>
      <c r="G644" s="32" t="n">
        <f aca="false">(A644-A643)*86400000</f>
        <v>16.000843</v>
      </c>
      <c r="H644" s="3"/>
      <c r="I644" s="3"/>
      <c r="J644" s="3"/>
      <c r="K644" s="3"/>
      <c r="L644" s="3"/>
      <c r="M644" s="3"/>
    </row>
    <row r="645" customFormat="false" ht="15" hidden="false" customHeight="false" outlineLevel="0" collapsed="false">
      <c r="A645" s="28" t="n">
        <v>46301.5240010995</v>
      </c>
      <c r="B645" s="31" t="n">
        <f aca="false">(A645-$A$5)*86400</f>
        <v>30.057000392</v>
      </c>
      <c r="C645" s="27" t="n">
        <v>0.2092</v>
      </c>
      <c r="D645" s="27" t="n">
        <v>1.1695</v>
      </c>
      <c r="E645" s="27" t="s">
        <v>603</v>
      </c>
      <c r="F645" s="27" t="s">
        <v>144</v>
      </c>
      <c r="G645" s="32" t="n">
        <f aca="false">(A645-A644)*86400000</f>
        <v>16.000214</v>
      </c>
      <c r="H645" s="3"/>
      <c r="I645" s="3"/>
      <c r="J645" s="3"/>
      <c r="K645" s="3"/>
      <c r="L645" s="3"/>
      <c r="M645" s="3"/>
    </row>
    <row r="646" customFormat="false" ht="15" hidden="false" customHeight="false" outlineLevel="0" collapsed="false">
      <c r="A646" s="28" t="n">
        <v>46301.5240016551</v>
      </c>
      <c r="B646" s="31" t="n">
        <f aca="false">(A646-$A$5)*86400</f>
        <v>30.105001037</v>
      </c>
      <c r="C646" s="27" t="n">
        <v>0.2067</v>
      </c>
      <c r="D646" s="27" t="n">
        <v>1.1705</v>
      </c>
      <c r="E646" s="27" t="s">
        <v>603</v>
      </c>
      <c r="F646" s="27" t="s">
        <v>144</v>
      </c>
      <c r="G646" s="32" t="n">
        <f aca="false">(A646-A645)*86400000</f>
        <v>48.000644</v>
      </c>
      <c r="H646" s="3"/>
      <c r="I646" s="3"/>
      <c r="J646" s="3"/>
      <c r="K646" s="3"/>
      <c r="L646" s="3"/>
      <c r="M646" s="3"/>
    </row>
    <row r="647" customFormat="false" ht="15" hidden="false" customHeight="false" outlineLevel="0" collapsed="false">
      <c r="A647" s="28" t="n">
        <v>46301.5240022222</v>
      </c>
      <c r="B647" s="31" t="n">
        <f aca="false">(A647-$A$5)*86400</f>
        <v>30.153999966</v>
      </c>
      <c r="C647" s="27" t="n">
        <v>0.2084</v>
      </c>
      <c r="D647" s="27" t="n">
        <v>1.1768</v>
      </c>
      <c r="E647" s="27" t="s">
        <v>603</v>
      </c>
      <c r="F647" s="27" t="s">
        <v>144</v>
      </c>
      <c r="G647" s="32" t="n">
        <f aca="false">(A647-A646)*86400000</f>
        <v>48.998929</v>
      </c>
      <c r="H647" s="3"/>
      <c r="I647" s="3"/>
      <c r="J647" s="3"/>
      <c r="K647" s="3"/>
      <c r="L647" s="3"/>
      <c r="M647" s="3"/>
    </row>
    <row r="648" customFormat="false" ht="15" hidden="false" customHeight="false" outlineLevel="0" collapsed="false">
      <c r="A648" s="28" t="n">
        <v>46301.5240024074</v>
      </c>
      <c r="B648" s="31" t="n">
        <f aca="false">(A648-$A$5)*86400</f>
        <v>30.170000181</v>
      </c>
      <c r="C648" s="27" t="n">
        <v>0.2098</v>
      </c>
      <c r="D648" s="27" t="n">
        <v>1.182</v>
      </c>
      <c r="E648" s="27" t="s">
        <v>603</v>
      </c>
      <c r="F648" s="27" t="s">
        <v>144</v>
      </c>
      <c r="G648" s="32" t="n">
        <f aca="false">(A648-A647)*86400000</f>
        <v>16.000214</v>
      </c>
      <c r="H648" s="3"/>
      <c r="I648" s="3"/>
      <c r="J648" s="3"/>
      <c r="K648" s="3"/>
      <c r="L648" s="3"/>
      <c r="M648" s="3"/>
    </row>
    <row r="649" customFormat="false" ht="15" hidden="false" customHeight="false" outlineLevel="0" collapsed="false">
      <c r="A649" s="28" t="n">
        <v>46301.5240025926</v>
      </c>
      <c r="B649" s="31" t="n">
        <f aca="false">(A649-$A$5)*86400</f>
        <v>30.186001025</v>
      </c>
      <c r="C649" s="27" t="n">
        <v>0.2109</v>
      </c>
      <c r="D649" s="27" t="n">
        <v>1.1863</v>
      </c>
      <c r="E649" s="27" t="s">
        <v>603</v>
      </c>
      <c r="F649" s="27" t="s">
        <v>144</v>
      </c>
      <c r="G649" s="32" t="n">
        <f aca="false">(A649-A648)*86400000</f>
        <v>16.000843</v>
      </c>
      <c r="H649" s="3"/>
      <c r="I649" s="3"/>
      <c r="J649" s="3"/>
      <c r="K649" s="3"/>
      <c r="L649" s="3"/>
      <c r="M649" s="3"/>
    </row>
    <row r="650" customFormat="false" ht="15" hidden="false" customHeight="false" outlineLevel="0" collapsed="false">
      <c r="A650" s="28" t="n">
        <v>46301.5240027778</v>
      </c>
      <c r="B650" s="31" t="n">
        <f aca="false">(A650-$A$5)*86400</f>
        <v>30.202000611</v>
      </c>
      <c r="C650" s="27" t="n">
        <v>0.2118</v>
      </c>
      <c r="D650" s="27" t="n">
        <v>1.1898</v>
      </c>
      <c r="E650" s="27" t="s">
        <v>603</v>
      </c>
      <c r="F650" s="27" t="s">
        <v>144</v>
      </c>
      <c r="G650" s="32" t="n">
        <f aca="false">(A650-A649)*86400000</f>
        <v>15.999586</v>
      </c>
      <c r="H650" s="3"/>
      <c r="I650" s="3"/>
      <c r="J650" s="3"/>
      <c r="K650" s="3"/>
      <c r="L650" s="3"/>
      <c r="M650" s="3"/>
    </row>
    <row r="651" customFormat="false" ht="15" hidden="false" customHeight="false" outlineLevel="0" collapsed="false">
      <c r="A651" s="28" t="n">
        <v>46301.524002963</v>
      </c>
      <c r="B651" s="31" t="n">
        <f aca="false">(A651-$A$5)*86400</f>
        <v>30.217999569</v>
      </c>
      <c r="C651" s="27" t="n">
        <v>0.2126</v>
      </c>
      <c r="D651" s="27" t="n">
        <v>1.1927</v>
      </c>
      <c r="E651" s="27" t="s">
        <v>603</v>
      </c>
      <c r="F651" s="27" t="s">
        <v>144</v>
      </c>
      <c r="G651" s="32" t="n">
        <f aca="false">(A651-A650)*86400000</f>
        <v>15.998957</v>
      </c>
      <c r="H651" s="3"/>
      <c r="I651" s="3"/>
      <c r="J651" s="3"/>
      <c r="K651" s="3"/>
      <c r="L651" s="3"/>
      <c r="M651" s="3"/>
    </row>
    <row r="652" customFormat="false" ht="15" hidden="false" customHeight="false" outlineLevel="0" collapsed="false">
      <c r="A652" s="28" t="n">
        <v>46301.5240031482</v>
      </c>
      <c r="B652" s="31" t="n">
        <f aca="false">(A652-$A$5)*86400</f>
        <v>30.234000412</v>
      </c>
      <c r="C652" s="27" t="n">
        <v>0.2133</v>
      </c>
      <c r="D652" s="27" t="n">
        <v>1.1951</v>
      </c>
      <c r="E652" s="27" t="s">
        <v>603</v>
      </c>
      <c r="F652" s="27" t="s">
        <v>144</v>
      </c>
      <c r="G652" s="32" t="n">
        <f aca="false">(A652-A651)*86400000</f>
        <v>16.000843</v>
      </c>
      <c r="H652" s="3"/>
      <c r="I652" s="3"/>
      <c r="J652" s="3"/>
      <c r="K652" s="3"/>
      <c r="L652" s="3"/>
      <c r="M652" s="3"/>
    </row>
    <row r="653" customFormat="false" ht="15" hidden="false" customHeight="false" outlineLevel="0" collapsed="false">
      <c r="A653" s="28" t="n">
        <v>46301.5240033333</v>
      </c>
      <c r="B653" s="31" t="n">
        <f aca="false">(A653-$A$5)*86400</f>
        <v>30.249999999</v>
      </c>
      <c r="C653" s="27" t="n">
        <v>0.2138</v>
      </c>
      <c r="D653" s="27" t="n">
        <v>1.1971</v>
      </c>
      <c r="E653" s="27" t="s">
        <v>603</v>
      </c>
      <c r="F653" s="27" t="s">
        <v>144</v>
      </c>
      <c r="G653" s="32" t="n">
        <f aca="false">(A653-A652)*86400000</f>
        <v>15.999586</v>
      </c>
      <c r="H653" s="3"/>
      <c r="I653" s="3"/>
      <c r="J653" s="3"/>
      <c r="K653" s="3"/>
      <c r="L653" s="3"/>
      <c r="M653" s="3"/>
    </row>
    <row r="654" customFormat="false" ht="15" hidden="false" customHeight="false" outlineLevel="0" collapsed="false">
      <c r="A654" s="28" t="n">
        <v>46301.5240035185</v>
      </c>
      <c r="B654" s="31" t="n">
        <f aca="false">(A654-$A$5)*86400</f>
        <v>30.266000214</v>
      </c>
      <c r="C654" s="27" t="n">
        <v>0.2142</v>
      </c>
      <c r="D654" s="27" t="n">
        <v>1.1988</v>
      </c>
      <c r="E654" s="27" t="s">
        <v>603</v>
      </c>
      <c r="F654" s="27" t="s">
        <v>144</v>
      </c>
      <c r="G654" s="32" t="n">
        <f aca="false">(A654-A653)*86400000</f>
        <v>16.000214</v>
      </c>
      <c r="H654" s="3"/>
      <c r="I654" s="3"/>
      <c r="J654" s="3"/>
      <c r="K654" s="3"/>
      <c r="L654" s="3"/>
      <c r="M654" s="3"/>
    </row>
    <row r="655" customFormat="false" ht="15" hidden="false" customHeight="false" outlineLevel="0" collapsed="false">
      <c r="A655" s="28" t="n">
        <v>46301.5240037037</v>
      </c>
      <c r="B655" s="31" t="n">
        <f aca="false">(A655-$A$5)*86400</f>
        <v>30.2819998</v>
      </c>
      <c r="C655" s="27" t="n">
        <v>0.2146</v>
      </c>
      <c r="D655" s="27" t="n">
        <v>1.2001</v>
      </c>
      <c r="E655" s="27" t="s">
        <v>603</v>
      </c>
      <c r="F655" s="27" t="s">
        <v>144</v>
      </c>
      <c r="G655" s="32" t="n">
        <f aca="false">(A655-A654)*86400000</f>
        <v>15.999586</v>
      </c>
      <c r="H655" s="3"/>
      <c r="I655" s="3"/>
      <c r="J655" s="3"/>
      <c r="K655" s="3"/>
      <c r="L655" s="3"/>
      <c r="M655" s="3"/>
    </row>
    <row r="656" customFormat="false" ht="15" hidden="false" customHeight="false" outlineLevel="0" collapsed="false">
      <c r="A656" s="28" t="n">
        <v>46301.5240038889</v>
      </c>
      <c r="B656" s="31" t="n">
        <f aca="false">(A656-$A$5)*86400</f>
        <v>30.298000015</v>
      </c>
      <c r="C656" s="27" t="n">
        <v>0.2149</v>
      </c>
      <c r="D656" s="27" t="n">
        <v>1.2012</v>
      </c>
      <c r="E656" s="27" t="s">
        <v>603</v>
      </c>
      <c r="F656" s="27" t="s">
        <v>144</v>
      </c>
      <c r="G656" s="32" t="n">
        <f aca="false">(A656-A655)*86400000</f>
        <v>16.000214</v>
      </c>
      <c r="H656" s="3"/>
      <c r="I656" s="3"/>
      <c r="J656" s="3"/>
      <c r="K656" s="3"/>
      <c r="L656" s="3"/>
      <c r="M656" s="3"/>
    </row>
    <row r="657" customFormat="false" ht="15" hidden="false" customHeight="false" outlineLevel="0" collapsed="false">
      <c r="A657" s="28" t="n">
        <v>46301.5240042593</v>
      </c>
      <c r="B657" s="31" t="n">
        <f aca="false">(A657-$A$5)*86400</f>
        <v>30.330000445</v>
      </c>
      <c r="C657" s="27" t="n">
        <v>0.2153</v>
      </c>
      <c r="D657" s="27" t="n">
        <v>1.2029</v>
      </c>
      <c r="E657" s="27" t="s">
        <v>603</v>
      </c>
      <c r="F657" s="27" t="s">
        <v>144</v>
      </c>
      <c r="G657" s="32" t="n">
        <f aca="false">(A657-A656)*86400000</f>
        <v>32.000429</v>
      </c>
      <c r="H657" s="3"/>
      <c r="I657" s="3"/>
      <c r="J657" s="3"/>
      <c r="K657" s="3"/>
      <c r="L657" s="3"/>
      <c r="M657" s="3"/>
    </row>
    <row r="658" customFormat="false" ht="15" hidden="false" customHeight="false" outlineLevel="0" collapsed="false">
      <c r="A658" s="28" t="n">
        <v>46301.524005</v>
      </c>
      <c r="B658" s="31" t="n">
        <f aca="false">(A658-$A$5)*86400</f>
        <v>30.394000047</v>
      </c>
      <c r="C658" s="27" t="n">
        <v>0.2158</v>
      </c>
      <c r="D658" s="27" t="n">
        <v>1.2048</v>
      </c>
      <c r="E658" s="27" t="s">
        <v>603</v>
      </c>
      <c r="F658" s="27" t="s">
        <v>144</v>
      </c>
      <c r="G658" s="32" t="n">
        <f aca="false">(A658-A657)*86400000</f>
        <v>63.999602</v>
      </c>
      <c r="H658" s="3"/>
      <c r="I658" s="3"/>
      <c r="J658" s="3"/>
      <c r="K658" s="3"/>
      <c r="L658" s="3"/>
      <c r="M658" s="3"/>
    </row>
    <row r="659" customFormat="false" ht="15" hidden="false" customHeight="false" outlineLevel="0" collapsed="false">
      <c r="A659" s="28" t="n">
        <v>46301.5240051852</v>
      </c>
      <c r="B659" s="31" t="n">
        <f aca="false">(A659-$A$5)*86400</f>
        <v>30.410000262</v>
      </c>
      <c r="C659" s="27" t="n">
        <v>0.2163</v>
      </c>
      <c r="D659" s="27" t="n">
        <v>1.2065</v>
      </c>
      <c r="E659" s="27" t="s">
        <v>603</v>
      </c>
      <c r="F659" s="27" t="s">
        <v>144</v>
      </c>
      <c r="G659" s="32" t="n">
        <f aca="false">(A659-A658)*86400000</f>
        <v>16.000214</v>
      </c>
      <c r="H659" s="3"/>
      <c r="I659" s="3"/>
      <c r="J659" s="3"/>
      <c r="K659" s="3"/>
      <c r="L659" s="3"/>
      <c r="M659" s="3"/>
    </row>
    <row r="660" customFormat="false" ht="15" hidden="false" customHeight="false" outlineLevel="0" collapsed="false">
      <c r="A660" s="28" t="n">
        <v>46301.5240094445</v>
      </c>
      <c r="B660" s="31" t="n">
        <f aca="false">(A660-$A$5)*86400</f>
        <v>30.778000806</v>
      </c>
      <c r="C660" s="27" t="n">
        <v>0.2056</v>
      </c>
      <c r="D660" s="27" t="n">
        <v>1.2207</v>
      </c>
      <c r="E660" s="27" t="s">
        <v>603</v>
      </c>
      <c r="F660" s="27" t="s">
        <v>144</v>
      </c>
      <c r="G660" s="32" t="n">
        <f aca="false">(A660-A659)*86400000</f>
        <v>368.000543</v>
      </c>
      <c r="H660" s="3"/>
      <c r="I660" s="3"/>
      <c r="J660" s="3"/>
      <c r="K660" s="3"/>
      <c r="L660" s="3"/>
      <c r="M660" s="3"/>
    </row>
    <row r="661" customFormat="false" ht="15" hidden="false" customHeight="false" outlineLevel="0" collapsed="false">
      <c r="A661" s="28" t="n">
        <v>46301.5240096296</v>
      </c>
      <c r="B661" s="31" t="n">
        <f aca="false">(A661-$A$5)*86400</f>
        <v>30.794000392</v>
      </c>
      <c r="C661" s="27" t="n">
        <v>0.1968</v>
      </c>
      <c r="D661" s="27" t="n">
        <v>1.2323</v>
      </c>
      <c r="E661" s="27" t="s">
        <v>603</v>
      </c>
      <c r="F661" s="27" t="s">
        <v>144</v>
      </c>
      <c r="G661" s="32" t="n">
        <f aca="false">(A661-A660)*86400000</f>
        <v>15.999586</v>
      </c>
      <c r="H661" s="3"/>
      <c r="I661" s="3"/>
      <c r="J661" s="3"/>
      <c r="K661" s="3"/>
      <c r="L661" s="3"/>
      <c r="M661" s="3"/>
    </row>
    <row r="662" customFormat="false" ht="15" hidden="false" customHeight="false" outlineLevel="0" collapsed="false">
      <c r="A662" s="28" t="n">
        <v>46301.5240098148</v>
      </c>
      <c r="B662" s="31" t="n">
        <f aca="false">(A662-$A$5)*86400</f>
        <v>30.809999979</v>
      </c>
      <c r="C662" s="27" t="n">
        <v>0.1895</v>
      </c>
      <c r="D662" s="27" t="n">
        <v>1.242</v>
      </c>
      <c r="E662" s="27" t="s">
        <v>603</v>
      </c>
      <c r="F662" s="27" t="s">
        <v>144</v>
      </c>
      <c r="G662" s="32" t="n">
        <f aca="false">(A662-A661)*86400000</f>
        <v>15.999586</v>
      </c>
      <c r="H662" s="3"/>
      <c r="I662" s="3"/>
      <c r="J662" s="3"/>
      <c r="K662" s="3"/>
      <c r="L662" s="3"/>
      <c r="M662" s="3"/>
    </row>
    <row r="663" customFormat="false" ht="15" hidden="false" customHeight="false" outlineLevel="0" collapsed="false">
      <c r="A663" s="28" t="n">
        <v>46301.52401</v>
      </c>
      <c r="B663" s="31" t="n">
        <f aca="false">(A663-$A$5)*86400</f>
        <v>30.826000194</v>
      </c>
      <c r="C663" s="27" t="n">
        <v>0.1835</v>
      </c>
      <c r="D663" s="27" t="n">
        <v>1.2499</v>
      </c>
      <c r="E663" s="27" t="s">
        <v>603</v>
      </c>
      <c r="F663" s="27" t="s">
        <v>144</v>
      </c>
      <c r="G663" s="32" t="n">
        <f aca="false">(A663-A662)*86400000</f>
        <v>16.000214</v>
      </c>
      <c r="H663" s="3"/>
      <c r="I663" s="3"/>
      <c r="J663" s="3"/>
      <c r="K663" s="3"/>
      <c r="L663" s="3"/>
      <c r="M663" s="3"/>
    </row>
    <row r="664" customFormat="false" ht="15" hidden="false" customHeight="false" outlineLevel="0" collapsed="false">
      <c r="A664" s="28" t="n">
        <v>46301.5240101852</v>
      </c>
      <c r="B664" s="31" t="n">
        <f aca="false">(A664-$A$5)*86400</f>
        <v>30.842000409</v>
      </c>
      <c r="C664" s="27" t="n">
        <v>0.1785</v>
      </c>
      <c r="D664" s="27" t="n">
        <v>1.2565</v>
      </c>
      <c r="E664" s="27" t="s">
        <v>603</v>
      </c>
      <c r="F664" s="27" t="s">
        <v>144</v>
      </c>
      <c r="G664" s="32" t="n">
        <f aca="false">(A664-A663)*86400000</f>
        <v>16.000214</v>
      </c>
      <c r="H664" s="3"/>
      <c r="I664" s="3"/>
      <c r="J664" s="3"/>
      <c r="K664" s="3"/>
      <c r="L664" s="3"/>
      <c r="M664" s="3"/>
    </row>
    <row r="665" customFormat="false" ht="15" hidden="false" customHeight="false" outlineLevel="0" collapsed="false">
      <c r="A665" s="28" t="n">
        <v>46301.5240103704</v>
      </c>
      <c r="B665" s="31" t="n">
        <f aca="false">(A665-$A$5)*86400</f>
        <v>30.857999995</v>
      </c>
      <c r="C665" s="27" t="n">
        <v>0.1744</v>
      </c>
      <c r="D665" s="27" t="n">
        <v>1.2619</v>
      </c>
      <c r="E665" s="27" t="s">
        <v>603</v>
      </c>
      <c r="F665" s="27" t="s">
        <v>144</v>
      </c>
      <c r="G665" s="32" t="n">
        <f aca="false">(A665-A664)*86400000</f>
        <v>15.999586</v>
      </c>
      <c r="H665" s="3"/>
      <c r="I665" s="3"/>
      <c r="J665" s="3"/>
      <c r="K665" s="3"/>
      <c r="L665" s="3"/>
      <c r="M665" s="3"/>
    </row>
    <row r="666" customFormat="false" ht="15" hidden="false" customHeight="false" outlineLevel="0" collapsed="false">
      <c r="A666" s="28" t="n">
        <v>46301.5240105556</v>
      </c>
      <c r="B666" s="31" t="n">
        <f aca="false">(A666-$A$5)*86400</f>
        <v>30.87400021</v>
      </c>
      <c r="C666" s="27" t="n">
        <v>0.171</v>
      </c>
      <c r="D666" s="27" t="n">
        <v>1.2664</v>
      </c>
      <c r="E666" s="27" t="s">
        <v>603</v>
      </c>
      <c r="F666" s="27" t="s">
        <v>144</v>
      </c>
      <c r="G666" s="32" t="n">
        <f aca="false">(A666-A665)*86400000</f>
        <v>16.000214</v>
      </c>
      <c r="H666" s="3"/>
      <c r="I666" s="3"/>
      <c r="J666" s="3"/>
      <c r="K666" s="3"/>
      <c r="L666" s="3"/>
      <c r="M666" s="3"/>
    </row>
    <row r="667" customFormat="false" ht="15" hidden="false" customHeight="false" outlineLevel="0" collapsed="false">
      <c r="A667" s="28" t="n">
        <v>46301.5240107407</v>
      </c>
      <c r="B667" s="31" t="n">
        <f aca="false">(A667-$A$5)*86400</f>
        <v>30.889999796</v>
      </c>
      <c r="C667" s="27" t="n">
        <v>0.1682</v>
      </c>
      <c r="D667" s="27" t="n">
        <v>1.2701</v>
      </c>
      <c r="E667" s="27" t="s">
        <v>603</v>
      </c>
      <c r="F667" s="27" t="s">
        <v>144</v>
      </c>
      <c r="G667" s="32" t="n">
        <f aca="false">(A667-A666)*86400000</f>
        <v>15.999586</v>
      </c>
      <c r="H667" s="3"/>
      <c r="I667" s="3"/>
      <c r="J667" s="3"/>
      <c r="K667" s="3"/>
      <c r="L667" s="3"/>
      <c r="M667" s="3"/>
    </row>
    <row r="668" customFormat="false" ht="15" hidden="false" customHeight="false" outlineLevel="0" collapsed="false">
      <c r="A668" s="28" t="n">
        <v>46301.5240109259</v>
      </c>
      <c r="B668" s="31" t="n">
        <f aca="false">(A668-$A$5)*86400</f>
        <v>30.905999382</v>
      </c>
      <c r="C668" s="27" t="n">
        <v>0.1659</v>
      </c>
      <c r="D668" s="27" t="n">
        <v>1.2731</v>
      </c>
      <c r="E668" s="27" t="s">
        <v>603</v>
      </c>
      <c r="F668" s="27" t="s">
        <v>144</v>
      </c>
      <c r="G668" s="32" t="n">
        <f aca="false">(A668-A667)*86400000</f>
        <v>15.999586</v>
      </c>
      <c r="H668" s="3"/>
      <c r="I668" s="3"/>
      <c r="J668" s="3"/>
      <c r="K668" s="3"/>
      <c r="L668" s="3"/>
      <c r="M668" s="3"/>
    </row>
    <row r="669" customFormat="false" ht="15" hidden="false" customHeight="false" outlineLevel="0" collapsed="false">
      <c r="A669" s="28" t="n">
        <v>46301.5240111111</v>
      </c>
      <c r="B669" s="31" t="n">
        <f aca="false">(A669-$A$5)*86400</f>
        <v>30.922000226</v>
      </c>
      <c r="C669" s="27" t="n">
        <v>0.164</v>
      </c>
      <c r="D669" s="27" t="n">
        <v>1.2757</v>
      </c>
      <c r="E669" s="27" t="s">
        <v>603</v>
      </c>
      <c r="F669" s="27" t="s">
        <v>144</v>
      </c>
      <c r="G669" s="32" t="n">
        <f aca="false">(A669-A668)*86400000</f>
        <v>16.000843</v>
      </c>
      <c r="H669" s="3"/>
      <c r="I669" s="3"/>
      <c r="J669" s="3"/>
      <c r="K669" s="3"/>
      <c r="L669" s="3"/>
      <c r="M669" s="3"/>
    </row>
    <row r="670" customFormat="false" ht="15" hidden="false" customHeight="false" outlineLevel="0" collapsed="false">
      <c r="A670" s="28" t="n">
        <v>46301.5240112963</v>
      </c>
      <c r="B670" s="31" t="n">
        <f aca="false">(A670-$A$5)*86400</f>
        <v>30.937999812</v>
      </c>
      <c r="C670" s="27" t="n">
        <v>0.1625</v>
      </c>
      <c r="D670" s="27" t="n">
        <v>1.2777</v>
      </c>
      <c r="E670" s="27" t="s">
        <v>603</v>
      </c>
      <c r="F670" s="27" t="s">
        <v>144</v>
      </c>
      <c r="G670" s="32" t="n">
        <f aca="false">(A670-A669)*86400000</f>
        <v>15.999586</v>
      </c>
      <c r="H670" s="3"/>
      <c r="I670" s="3"/>
      <c r="J670" s="3"/>
      <c r="K670" s="3"/>
      <c r="L670" s="3"/>
      <c r="M670" s="3"/>
    </row>
    <row r="671" customFormat="false" ht="15" hidden="false" customHeight="false" outlineLevel="0" collapsed="false">
      <c r="A671" s="28" t="n">
        <v>46301.5240114815</v>
      </c>
      <c r="B671" s="31" t="n">
        <f aca="false">(A671-$A$5)*86400</f>
        <v>30.954000027</v>
      </c>
      <c r="C671" s="27" t="n">
        <v>0.1612</v>
      </c>
      <c r="D671" s="27" t="n">
        <v>1.2794</v>
      </c>
      <c r="E671" s="27" t="s">
        <v>603</v>
      </c>
      <c r="F671" s="27" t="s">
        <v>144</v>
      </c>
      <c r="G671" s="32" t="n">
        <f aca="false">(A671-A670)*86400000</f>
        <v>16.000214</v>
      </c>
      <c r="H671" s="3"/>
      <c r="I671" s="3"/>
      <c r="J671" s="3"/>
      <c r="K671" s="3"/>
      <c r="L671" s="3"/>
      <c r="M671" s="3"/>
    </row>
    <row r="672" customFormat="false" ht="15" hidden="false" customHeight="false" outlineLevel="0" collapsed="false">
      <c r="A672" s="28" t="n">
        <v>46301.5240116782</v>
      </c>
      <c r="B672" s="31" t="n">
        <f aca="false">(A672-$A$5)*86400</f>
        <v>30.970999784</v>
      </c>
      <c r="C672" s="27" t="n">
        <v>0.1601</v>
      </c>
      <c r="D672" s="27" t="n">
        <v>1.2809</v>
      </c>
      <c r="E672" s="27" t="s">
        <v>603</v>
      </c>
      <c r="F672" s="27" t="s">
        <v>144</v>
      </c>
      <c r="G672" s="32" t="n">
        <f aca="false">(A672-A671)*86400000</f>
        <v>16.999756</v>
      </c>
      <c r="H672" s="3"/>
      <c r="I672" s="3"/>
      <c r="J672" s="3"/>
      <c r="K672" s="3"/>
      <c r="L672" s="3"/>
      <c r="M672" s="3"/>
    </row>
    <row r="673" customFormat="false" ht="15" hidden="false" customHeight="false" outlineLevel="0" collapsed="false">
      <c r="A673" s="28" t="n">
        <v>46301.5240118634</v>
      </c>
      <c r="B673" s="31" t="n">
        <f aca="false">(A673-$A$5)*86400</f>
        <v>30.986999371</v>
      </c>
      <c r="C673" s="27" t="n">
        <v>0.1592</v>
      </c>
      <c r="D673" s="27" t="n">
        <v>1.282</v>
      </c>
      <c r="E673" s="27" t="s">
        <v>603</v>
      </c>
      <c r="F673" s="27" t="s">
        <v>144</v>
      </c>
      <c r="G673" s="32" t="n">
        <f aca="false">(A673-A672)*86400000</f>
        <v>15.999586</v>
      </c>
      <c r="H673" s="3"/>
      <c r="I673" s="3"/>
      <c r="J673" s="3"/>
      <c r="K673" s="3"/>
      <c r="L673" s="3"/>
      <c r="M673" s="3"/>
    </row>
    <row r="674" customFormat="false" ht="15" hidden="false" customHeight="false" outlineLevel="0" collapsed="false">
      <c r="A674" s="28" t="n">
        <v>46301.5240120486</v>
      </c>
      <c r="B674" s="31" t="n">
        <f aca="false">(A674-$A$5)*86400</f>
        <v>31.003000214</v>
      </c>
      <c r="C674" s="27" t="n">
        <v>0.1585</v>
      </c>
      <c r="D674" s="27" t="n">
        <v>1.283</v>
      </c>
      <c r="E674" s="27" t="s">
        <v>603</v>
      </c>
      <c r="F674" s="27" t="s">
        <v>144</v>
      </c>
      <c r="G674" s="32" t="n">
        <f aca="false">(A674-A673)*86400000</f>
        <v>16.000843</v>
      </c>
      <c r="H674" s="3"/>
      <c r="I674" s="3"/>
      <c r="J674" s="3"/>
      <c r="K674" s="3"/>
      <c r="L674" s="3"/>
      <c r="M674" s="3"/>
    </row>
    <row r="675" customFormat="false" ht="15" hidden="false" customHeight="false" outlineLevel="0" collapsed="false">
      <c r="A675" s="28" t="n">
        <v>46301.524012419</v>
      </c>
      <c r="B675" s="31" t="n">
        <f aca="false">(A675-$A$5)*86400</f>
        <v>31.035000015</v>
      </c>
      <c r="C675" s="27" t="n">
        <v>0.1574</v>
      </c>
      <c r="D675" s="27" t="n">
        <v>1.2844</v>
      </c>
      <c r="E675" s="27" t="s">
        <v>603</v>
      </c>
      <c r="F675" s="27" t="s">
        <v>144</v>
      </c>
      <c r="G675" s="32" t="n">
        <f aca="false">(A675-A674)*86400000</f>
        <v>31.999801</v>
      </c>
      <c r="H675" s="3"/>
      <c r="I675" s="3"/>
      <c r="J675" s="3"/>
      <c r="K675" s="3"/>
      <c r="L675" s="3"/>
      <c r="M675" s="3"/>
    </row>
    <row r="676" customFormat="false" ht="15" hidden="false" customHeight="false" outlineLevel="0" collapsed="false">
      <c r="A676" s="28" t="n">
        <v>46301.5240126042</v>
      </c>
      <c r="B676" s="31" t="n">
        <f aca="false">(A676-$A$5)*86400</f>
        <v>31.05100023</v>
      </c>
      <c r="C676" s="27" t="n">
        <v>0.157</v>
      </c>
      <c r="D676" s="27" t="n">
        <v>1.285</v>
      </c>
      <c r="E676" s="27" t="s">
        <v>603</v>
      </c>
      <c r="F676" s="27" t="s">
        <v>144</v>
      </c>
      <c r="G676" s="32" t="n">
        <f aca="false">(A676-A675)*86400000</f>
        <v>16.000214</v>
      </c>
      <c r="H676" s="3"/>
      <c r="I676" s="3"/>
      <c r="J676" s="3"/>
      <c r="K676" s="3"/>
      <c r="L676" s="3"/>
      <c r="M676" s="3"/>
    </row>
    <row r="677" customFormat="false" ht="15" hidden="false" customHeight="false" outlineLevel="0" collapsed="false">
      <c r="A677" s="28" t="n">
        <v>46301.5240133449</v>
      </c>
      <c r="B677" s="31" t="n">
        <f aca="false">(A677-$A$5)*86400</f>
        <v>31.114999204</v>
      </c>
      <c r="C677" s="27" t="n">
        <v>0.1551</v>
      </c>
      <c r="D677" s="27" t="n">
        <v>1.2875</v>
      </c>
      <c r="E677" s="27" t="s">
        <v>603</v>
      </c>
      <c r="F677" s="27" t="s">
        <v>144</v>
      </c>
      <c r="G677" s="32" t="n">
        <f aca="false">(A677-A676)*86400000</f>
        <v>63.998973</v>
      </c>
      <c r="H677" s="3"/>
      <c r="I677" s="3"/>
      <c r="J677" s="3"/>
      <c r="K677" s="3"/>
      <c r="L677" s="3"/>
      <c r="M677" s="3"/>
    </row>
    <row r="678" customFormat="false" ht="15" hidden="false" customHeight="false" outlineLevel="0" collapsed="false">
      <c r="A678" s="28" t="n">
        <v>46301.5240146528</v>
      </c>
      <c r="B678" s="31" t="n">
        <f aca="false">(A678-$A$5)*86400</f>
        <v>31.228000251</v>
      </c>
      <c r="C678" s="27" t="n">
        <v>0.2184</v>
      </c>
      <c r="D678" s="27" t="n">
        <v>1.3159</v>
      </c>
      <c r="E678" s="27" t="s">
        <v>603</v>
      </c>
      <c r="F678" s="27" t="s">
        <v>144</v>
      </c>
      <c r="G678" s="32" t="n">
        <f aca="false">(A678-A677)*86400000</f>
        <v>113.001046</v>
      </c>
      <c r="H678" s="3"/>
      <c r="I678" s="3"/>
      <c r="J678" s="3"/>
      <c r="K678" s="3"/>
      <c r="L678" s="3"/>
      <c r="M678" s="3"/>
    </row>
    <row r="679" customFormat="false" ht="15" hidden="false" customHeight="false" outlineLevel="0" collapsed="false">
      <c r="A679" s="28" t="n">
        <v>46301.5240148264</v>
      </c>
      <c r="B679" s="31" t="n">
        <f aca="false">(A679-$A$5)*86400</f>
        <v>31.243000295</v>
      </c>
      <c r="C679" s="27" t="n">
        <v>0.2706</v>
      </c>
      <c r="D679" s="27" t="n">
        <v>1.3393</v>
      </c>
      <c r="E679" s="27" t="s">
        <v>603</v>
      </c>
      <c r="F679" s="27" t="s">
        <v>144</v>
      </c>
      <c r="G679" s="32" t="n">
        <f aca="false">(A679-A678)*86400000</f>
        <v>15.000044</v>
      </c>
      <c r="H679" s="3"/>
      <c r="I679" s="3"/>
      <c r="J679" s="3"/>
      <c r="K679" s="3"/>
      <c r="L679" s="3"/>
      <c r="M679" s="3"/>
    </row>
    <row r="680" customFormat="false" ht="15" hidden="false" customHeight="false" outlineLevel="0" collapsed="false">
      <c r="A680" s="28" t="n">
        <v>46301.5240150232</v>
      </c>
      <c r="B680" s="31" t="n">
        <f aca="false">(A680-$A$5)*86400</f>
        <v>31.260000052</v>
      </c>
      <c r="C680" s="27" t="n">
        <v>0.3161</v>
      </c>
      <c r="D680" s="27" t="n">
        <v>1.3598</v>
      </c>
      <c r="E680" s="27" t="s">
        <v>603</v>
      </c>
      <c r="F680" s="27" t="s">
        <v>144</v>
      </c>
      <c r="G680" s="32" t="n">
        <f aca="false">(A680-A679)*86400000</f>
        <v>16.999756</v>
      </c>
      <c r="H680" s="3"/>
      <c r="I680" s="3"/>
      <c r="J680" s="3"/>
      <c r="K680" s="3"/>
      <c r="L680" s="3"/>
      <c r="M680" s="3"/>
    </row>
    <row r="681" customFormat="false" ht="15" hidden="false" customHeight="false" outlineLevel="0" collapsed="false">
      <c r="A681" s="28" t="n">
        <v>46301.5240152083</v>
      </c>
      <c r="B681" s="31" t="n">
        <f aca="false">(A681-$A$5)*86400</f>
        <v>31.276000896</v>
      </c>
      <c r="C681" s="27" t="n">
        <v>0.3513</v>
      </c>
      <c r="D681" s="27" t="n">
        <v>1.3755</v>
      </c>
      <c r="E681" s="27" t="s">
        <v>603</v>
      </c>
      <c r="F681" s="27" t="s">
        <v>144</v>
      </c>
      <c r="G681" s="32" t="n">
        <f aca="false">(A681-A680)*86400000</f>
        <v>16.000843</v>
      </c>
      <c r="H681" s="3"/>
      <c r="I681" s="3"/>
      <c r="J681" s="3"/>
      <c r="K681" s="3"/>
      <c r="L681" s="3"/>
      <c r="M681" s="3"/>
    </row>
    <row r="682" customFormat="false" ht="15" hidden="false" customHeight="false" outlineLevel="0" collapsed="false">
      <c r="A682" s="28" t="n">
        <v>46301.5240153935</v>
      </c>
      <c r="B682" s="31" t="n">
        <f aca="false">(A682-$A$5)*86400</f>
        <v>31.292000482</v>
      </c>
      <c r="C682" s="27" t="n">
        <v>0.3803</v>
      </c>
      <c r="D682" s="27" t="n">
        <v>1.3885</v>
      </c>
      <c r="E682" s="27" t="s">
        <v>603</v>
      </c>
      <c r="F682" s="27" t="s">
        <v>144</v>
      </c>
      <c r="G682" s="32" t="n">
        <f aca="false">(A682-A681)*86400000</f>
        <v>15.999586</v>
      </c>
      <c r="H682" s="3"/>
      <c r="I682" s="3"/>
      <c r="J682" s="3"/>
      <c r="K682" s="3"/>
      <c r="L682" s="3"/>
      <c r="M682" s="3"/>
    </row>
    <row r="683" customFormat="false" ht="15" hidden="false" customHeight="false" outlineLevel="0" collapsed="false">
      <c r="A683" s="28" t="n">
        <v>46301.5240155903</v>
      </c>
      <c r="B683" s="31" t="n">
        <f aca="false">(A683-$A$5)*86400</f>
        <v>31.309000239</v>
      </c>
      <c r="C683" s="27" t="n">
        <v>0.4056</v>
      </c>
      <c r="D683" s="27" t="n">
        <v>1.3999</v>
      </c>
      <c r="E683" s="27" t="s">
        <v>603</v>
      </c>
      <c r="F683" s="27" t="s">
        <v>144</v>
      </c>
      <c r="G683" s="32" t="n">
        <f aca="false">(A683-A682)*86400000</f>
        <v>16.999756</v>
      </c>
      <c r="H683" s="3"/>
      <c r="I683" s="3"/>
      <c r="J683" s="3"/>
      <c r="K683" s="3"/>
      <c r="L683" s="3"/>
      <c r="M683" s="3"/>
    </row>
    <row r="684" customFormat="false" ht="15" hidden="false" customHeight="false" outlineLevel="0" collapsed="false">
      <c r="A684" s="28" t="n">
        <v>46301.5240157755</v>
      </c>
      <c r="B684" s="31" t="n">
        <f aca="false">(A684-$A$5)*86400</f>
        <v>31.324999826</v>
      </c>
      <c r="C684" s="27" t="n">
        <v>0.4251</v>
      </c>
      <c r="D684" s="27" t="n">
        <v>1.4087</v>
      </c>
      <c r="E684" s="27" t="s">
        <v>603</v>
      </c>
      <c r="F684" s="27" t="s">
        <v>144</v>
      </c>
      <c r="G684" s="32" t="n">
        <f aca="false">(A684-A683)*86400000</f>
        <v>15.999586</v>
      </c>
      <c r="H684" s="3"/>
      <c r="I684" s="3"/>
      <c r="J684" s="3"/>
      <c r="K684" s="3"/>
      <c r="L684" s="3"/>
      <c r="M684" s="3"/>
    </row>
    <row r="685" customFormat="false" ht="15" hidden="false" customHeight="false" outlineLevel="0" collapsed="false">
      <c r="A685" s="28" t="n">
        <v>46301.5240159607</v>
      </c>
      <c r="B685" s="31" t="n">
        <f aca="false">(A685-$A$5)*86400</f>
        <v>31.34100004</v>
      </c>
      <c r="C685" s="27" t="n">
        <v>0.4412</v>
      </c>
      <c r="D685" s="27" t="n">
        <v>1.4159</v>
      </c>
      <c r="E685" s="27" t="s">
        <v>603</v>
      </c>
      <c r="F685" s="27" t="s">
        <v>144</v>
      </c>
      <c r="G685" s="32" t="n">
        <f aca="false">(A685-A684)*86400000</f>
        <v>16.000214</v>
      </c>
      <c r="H685" s="3"/>
      <c r="I685" s="3"/>
      <c r="J685" s="3"/>
      <c r="K685" s="3"/>
      <c r="L685" s="3"/>
      <c r="M685" s="3"/>
    </row>
    <row r="686" customFormat="false" ht="15" hidden="false" customHeight="false" outlineLevel="0" collapsed="false">
      <c r="A686" s="28" t="n">
        <v>46301.5240161458</v>
      </c>
      <c r="B686" s="31" t="n">
        <f aca="false">(A686-$A$5)*86400</f>
        <v>31.357000884</v>
      </c>
      <c r="C686" s="27" t="n">
        <v>0.4545</v>
      </c>
      <c r="D686" s="27" t="n">
        <v>1.4218</v>
      </c>
      <c r="E686" s="27" t="s">
        <v>603</v>
      </c>
      <c r="F686" s="27" t="s">
        <v>144</v>
      </c>
      <c r="G686" s="32" t="n">
        <f aca="false">(A686-A685)*86400000</f>
        <v>16.000843</v>
      </c>
      <c r="H686" s="3"/>
      <c r="I686" s="3"/>
      <c r="J686" s="3"/>
      <c r="K686" s="3"/>
      <c r="L686" s="3"/>
      <c r="M686" s="3"/>
    </row>
    <row r="687" customFormat="false" ht="15" hidden="false" customHeight="false" outlineLevel="0" collapsed="false">
      <c r="A687" s="28" t="n">
        <v>46301.524016331</v>
      </c>
      <c r="B687" s="31" t="n">
        <f aca="false">(A687-$A$5)*86400</f>
        <v>31.37300047</v>
      </c>
      <c r="C687" s="27" t="n">
        <v>0.4655</v>
      </c>
      <c r="D687" s="27" t="n">
        <v>1.4268</v>
      </c>
      <c r="E687" s="27" t="s">
        <v>603</v>
      </c>
      <c r="F687" s="27" t="s">
        <v>144</v>
      </c>
      <c r="G687" s="32" t="n">
        <f aca="false">(A687-A686)*86400000</f>
        <v>15.999586</v>
      </c>
      <c r="H687" s="3"/>
      <c r="I687" s="3"/>
      <c r="J687" s="3"/>
      <c r="K687" s="3"/>
      <c r="L687" s="3"/>
      <c r="M687" s="3"/>
    </row>
    <row r="688" customFormat="false" ht="15" hidden="false" customHeight="false" outlineLevel="0" collapsed="false">
      <c r="A688" s="28" t="n">
        <v>46301.5240165278</v>
      </c>
      <c r="B688" s="31" t="n">
        <f aca="false">(A688-$A$5)*86400</f>
        <v>31.390000227</v>
      </c>
      <c r="C688" s="27" t="n">
        <v>0.4746</v>
      </c>
      <c r="D688" s="27" t="n">
        <v>1.4308</v>
      </c>
      <c r="E688" s="27" t="s">
        <v>603</v>
      </c>
      <c r="F688" s="27" t="s">
        <v>144</v>
      </c>
      <c r="G688" s="32" t="n">
        <f aca="false">(A688-A687)*86400000</f>
        <v>16.999756</v>
      </c>
      <c r="H688" s="3"/>
      <c r="I688" s="3"/>
      <c r="J688" s="3"/>
      <c r="K688" s="3"/>
      <c r="L688" s="3"/>
      <c r="M688" s="3"/>
    </row>
    <row r="689" customFormat="false" ht="15" hidden="false" customHeight="false" outlineLevel="0" collapsed="false">
      <c r="A689" s="28" t="n">
        <v>46301.5240167014</v>
      </c>
      <c r="B689" s="31" t="n">
        <f aca="false">(A689-$A$5)*86400</f>
        <v>31.405000272</v>
      </c>
      <c r="C689" s="27" t="n">
        <v>0.4821</v>
      </c>
      <c r="D689" s="27" t="n">
        <v>1.4342</v>
      </c>
      <c r="E689" s="27" t="s">
        <v>603</v>
      </c>
      <c r="F689" s="27" t="s">
        <v>144</v>
      </c>
      <c r="G689" s="32" t="n">
        <f aca="false">(A689-A688)*86400000</f>
        <v>15.000044</v>
      </c>
      <c r="H689" s="3"/>
      <c r="I689" s="3"/>
      <c r="J689" s="3"/>
      <c r="K689" s="3"/>
      <c r="L689" s="3"/>
      <c r="M689" s="3"/>
    </row>
    <row r="690" customFormat="false" ht="15" hidden="false" customHeight="false" outlineLevel="0" collapsed="false">
      <c r="A690" s="28" t="n">
        <v>46301.5240168866</v>
      </c>
      <c r="B690" s="31" t="n">
        <f aca="false">(A690-$A$5)*86400</f>
        <v>31.420999858</v>
      </c>
      <c r="C690" s="27" t="n">
        <v>0.4882</v>
      </c>
      <c r="D690" s="27" t="n">
        <v>1.4369</v>
      </c>
      <c r="E690" s="27" t="s">
        <v>603</v>
      </c>
      <c r="F690" s="27" t="s">
        <v>144</v>
      </c>
      <c r="G690" s="32" t="n">
        <f aca="false">(A690-A689)*86400000</f>
        <v>15.999586</v>
      </c>
      <c r="H690" s="3"/>
      <c r="I690" s="3"/>
      <c r="J690" s="3"/>
      <c r="K690" s="3"/>
      <c r="L690" s="3"/>
      <c r="M690" s="3"/>
    </row>
    <row r="691" customFormat="false" ht="15" hidden="false" customHeight="false" outlineLevel="0" collapsed="false">
      <c r="A691" s="28" t="n">
        <v>46301.5240170718</v>
      </c>
      <c r="B691" s="31" t="n">
        <f aca="false">(A691-$A$5)*86400</f>
        <v>31.437000073</v>
      </c>
      <c r="C691" s="27" t="n">
        <v>0.4933</v>
      </c>
      <c r="D691" s="27" t="n">
        <v>1.4392</v>
      </c>
      <c r="E691" s="27" t="s">
        <v>603</v>
      </c>
      <c r="F691" s="27" t="s">
        <v>144</v>
      </c>
      <c r="G691" s="32" t="n">
        <f aca="false">(A691-A690)*86400000</f>
        <v>16.000214</v>
      </c>
      <c r="H691" s="3"/>
      <c r="I691" s="3"/>
      <c r="J691" s="3"/>
      <c r="K691" s="3"/>
      <c r="L691" s="3"/>
      <c r="M691" s="3"/>
    </row>
    <row r="692" customFormat="false" ht="15" hidden="false" customHeight="false" outlineLevel="0" collapsed="false">
      <c r="A692" s="28" t="n">
        <v>46301.524017257</v>
      </c>
      <c r="B692" s="31" t="n">
        <f aca="false">(A692-$A$5)*86400</f>
        <v>31.453000288</v>
      </c>
      <c r="C692" s="27" t="n">
        <v>0.4975</v>
      </c>
      <c r="D692" s="27" t="n">
        <v>1.4411</v>
      </c>
      <c r="E692" s="27" t="s">
        <v>603</v>
      </c>
      <c r="F692" s="27" t="s">
        <v>144</v>
      </c>
      <c r="G692" s="32" t="n">
        <f aca="false">(A692-A691)*86400000</f>
        <v>16.000214</v>
      </c>
      <c r="H692" s="3"/>
      <c r="I692" s="3"/>
      <c r="J692" s="3"/>
      <c r="K692" s="3"/>
      <c r="L692" s="3"/>
      <c r="M692" s="3"/>
    </row>
    <row r="693" customFormat="false" ht="15" hidden="false" customHeight="false" outlineLevel="0" collapsed="false">
      <c r="A693" s="28" t="n">
        <v>46301.5240174421</v>
      </c>
      <c r="B693" s="31" t="n">
        <f aca="false">(A693-$A$5)*86400</f>
        <v>31.468999874</v>
      </c>
      <c r="C693" s="27" t="n">
        <v>0.501</v>
      </c>
      <c r="D693" s="27" t="n">
        <v>1.4427</v>
      </c>
      <c r="E693" s="27" t="s">
        <v>603</v>
      </c>
      <c r="F693" s="27" t="s">
        <v>144</v>
      </c>
      <c r="G693" s="32" t="n">
        <f aca="false">(A693-A692)*86400000</f>
        <v>15.999586</v>
      </c>
      <c r="H693" s="3"/>
      <c r="I693" s="3"/>
      <c r="J693" s="3"/>
      <c r="K693" s="3"/>
      <c r="L693" s="3"/>
      <c r="M693" s="3"/>
    </row>
    <row r="694" customFormat="false" ht="15" hidden="false" customHeight="false" outlineLevel="0" collapsed="false">
      <c r="A694" s="28" t="n">
        <v>46301.5240176273</v>
      </c>
      <c r="B694" s="31" t="n">
        <f aca="false">(A694-$A$5)*86400</f>
        <v>31.484999461</v>
      </c>
      <c r="C694" s="27" t="n">
        <v>0.5039</v>
      </c>
      <c r="D694" s="27" t="n">
        <v>1.444</v>
      </c>
      <c r="E694" s="27" t="s">
        <v>603</v>
      </c>
      <c r="F694" s="27" t="s">
        <v>144</v>
      </c>
      <c r="G694" s="32" t="n">
        <f aca="false">(A694-A693)*86400000</f>
        <v>15.999586</v>
      </c>
      <c r="H694" s="3"/>
      <c r="I694" s="3"/>
      <c r="J694" s="3"/>
      <c r="K694" s="3"/>
      <c r="L694" s="3"/>
      <c r="M694" s="3"/>
    </row>
    <row r="695" customFormat="false" ht="15" hidden="false" customHeight="false" outlineLevel="0" collapsed="false">
      <c r="A695" s="28" t="n">
        <v>46301.5240178241</v>
      </c>
      <c r="B695" s="31" t="n">
        <f aca="false">(A695-$A$5)*86400</f>
        <v>31.501999846</v>
      </c>
      <c r="C695" s="27" t="n">
        <v>0.5064</v>
      </c>
      <c r="D695" s="27" t="n">
        <v>1.4451</v>
      </c>
      <c r="E695" s="27" t="s">
        <v>603</v>
      </c>
      <c r="F695" s="27" t="s">
        <v>144</v>
      </c>
      <c r="G695" s="32" t="n">
        <f aca="false">(A695-A694)*86400000</f>
        <v>17.000385</v>
      </c>
      <c r="H695" s="3"/>
      <c r="I695" s="3"/>
      <c r="J695" s="3"/>
      <c r="K695" s="3"/>
      <c r="L695" s="3"/>
      <c r="M695" s="3"/>
    </row>
    <row r="696" customFormat="false" ht="15" hidden="false" customHeight="false" outlineLevel="0" collapsed="false">
      <c r="A696" s="28" t="n">
        <v>46301.5240180093</v>
      </c>
      <c r="B696" s="31" t="n">
        <f aca="false">(A696-$A$5)*86400</f>
        <v>31.518000061</v>
      </c>
      <c r="C696" s="27" t="n">
        <v>0.5238</v>
      </c>
      <c r="D696" s="27" t="n">
        <v>1.4572</v>
      </c>
      <c r="E696" s="27" t="s">
        <v>603</v>
      </c>
      <c r="F696" s="27" t="s">
        <v>144</v>
      </c>
      <c r="G696" s="32" t="n">
        <f aca="false">(A696-A695)*86400000</f>
        <v>16.000214</v>
      </c>
      <c r="H696" s="3"/>
      <c r="I696" s="3"/>
      <c r="J696" s="3"/>
      <c r="K696" s="3"/>
      <c r="L696" s="3"/>
      <c r="M696" s="3"/>
    </row>
    <row r="697" customFormat="false" ht="15" hidden="false" customHeight="false" outlineLevel="0" collapsed="false">
      <c r="A697" s="28" t="n">
        <v>46301.5240181945</v>
      </c>
      <c r="B697" s="31" t="n">
        <f aca="false">(A697-$A$5)*86400</f>
        <v>31.534000276</v>
      </c>
      <c r="C697" s="27" t="n">
        <v>0.5382</v>
      </c>
      <c r="D697" s="27" t="n">
        <v>1.4672</v>
      </c>
      <c r="E697" s="27" t="s">
        <v>603</v>
      </c>
      <c r="F697" s="27" t="s">
        <v>144</v>
      </c>
      <c r="G697" s="32" t="n">
        <f aca="false">(A697-A696)*86400000</f>
        <v>16.000214</v>
      </c>
      <c r="H697" s="3"/>
      <c r="I697" s="3"/>
      <c r="J697" s="3"/>
      <c r="K697" s="3"/>
      <c r="L697" s="3"/>
      <c r="M697" s="3"/>
    </row>
    <row r="698" customFormat="false" ht="15" hidden="false" customHeight="false" outlineLevel="0" collapsed="false">
      <c r="A698" s="28" t="n">
        <v>46301.5240183796</v>
      </c>
      <c r="B698" s="31" t="n">
        <f aca="false">(A698-$A$5)*86400</f>
        <v>31.549999862</v>
      </c>
      <c r="C698" s="27" t="n">
        <v>0.5501</v>
      </c>
      <c r="D698" s="27" t="n">
        <v>1.4755</v>
      </c>
      <c r="E698" s="27" t="s">
        <v>603</v>
      </c>
      <c r="F698" s="27" t="s">
        <v>144</v>
      </c>
      <c r="G698" s="32" t="n">
        <f aca="false">(A698-A697)*86400000</f>
        <v>15.999586</v>
      </c>
      <c r="H698" s="3"/>
      <c r="I698" s="3"/>
      <c r="J698" s="3"/>
      <c r="K698" s="3"/>
      <c r="L698" s="3"/>
      <c r="M698" s="3"/>
    </row>
    <row r="699" customFormat="false" ht="15" hidden="false" customHeight="false" outlineLevel="0" collapsed="false">
      <c r="A699" s="28" t="n">
        <v>46301.5240185764</v>
      </c>
      <c r="B699" s="31" t="n">
        <f aca="false">(A699-$A$5)*86400</f>
        <v>31.567000248</v>
      </c>
      <c r="C699" s="27" t="n">
        <v>0.5604</v>
      </c>
      <c r="D699" s="27" t="n">
        <v>1.4827</v>
      </c>
      <c r="E699" s="27" t="s">
        <v>603</v>
      </c>
      <c r="F699" s="27" t="s">
        <v>144</v>
      </c>
      <c r="G699" s="32" t="n">
        <f aca="false">(A699-A698)*86400000</f>
        <v>17.000385</v>
      </c>
      <c r="H699" s="3"/>
      <c r="I699" s="3"/>
      <c r="J699" s="3"/>
      <c r="K699" s="3"/>
      <c r="L699" s="3"/>
      <c r="M699" s="3"/>
    </row>
    <row r="700" customFormat="false" ht="15" hidden="false" customHeight="false" outlineLevel="0" collapsed="false">
      <c r="A700" s="28" t="n">
        <v>46301.5240187616</v>
      </c>
      <c r="B700" s="31" t="n">
        <f aca="false">(A700-$A$5)*86400</f>
        <v>31.582999834</v>
      </c>
      <c r="C700" s="27" t="n">
        <v>0.5688</v>
      </c>
      <c r="D700" s="27" t="n">
        <v>1.4885</v>
      </c>
      <c r="E700" s="27" t="s">
        <v>603</v>
      </c>
      <c r="F700" s="27" t="s">
        <v>144</v>
      </c>
      <c r="G700" s="32" t="n">
        <f aca="false">(A700-A699)*86400000</f>
        <v>15.999586</v>
      </c>
      <c r="H700" s="3"/>
      <c r="I700" s="3"/>
      <c r="J700" s="3"/>
      <c r="K700" s="3"/>
      <c r="L700" s="3"/>
      <c r="M700" s="3"/>
    </row>
    <row r="701" customFormat="false" ht="15" hidden="false" customHeight="false" outlineLevel="0" collapsed="false">
      <c r="A701" s="28" t="n">
        <v>46301.5240189468</v>
      </c>
      <c r="B701" s="31" t="n">
        <f aca="false">(A701-$A$5)*86400</f>
        <v>31.599000049</v>
      </c>
      <c r="C701" s="27" t="n">
        <v>0.5754</v>
      </c>
      <c r="D701" s="27" t="n">
        <v>1.4931</v>
      </c>
      <c r="E701" s="27" t="s">
        <v>603</v>
      </c>
      <c r="F701" s="27" t="s">
        <v>144</v>
      </c>
      <c r="G701" s="32" t="n">
        <f aca="false">(A701-A700)*86400000</f>
        <v>16.000214</v>
      </c>
      <c r="H701" s="3"/>
      <c r="I701" s="3"/>
      <c r="J701" s="3"/>
      <c r="K701" s="3"/>
      <c r="L701" s="3"/>
      <c r="M701" s="3"/>
    </row>
    <row r="702" customFormat="false" ht="15" hidden="false" customHeight="false" outlineLevel="0" collapsed="false">
      <c r="A702" s="28" t="n">
        <v>46301.524019132</v>
      </c>
      <c r="B702" s="31" t="n">
        <f aca="false">(A702-$A$5)*86400</f>
        <v>31.615000893</v>
      </c>
      <c r="C702" s="27" t="n">
        <v>0.5807</v>
      </c>
      <c r="D702" s="27" t="n">
        <v>1.4968</v>
      </c>
      <c r="E702" s="27" t="s">
        <v>603</v>
      </c>
      <c r="F702" s="27" t="s">
        <v>144</v>
      </c>
      <c r="G702" s="32" t="n">
        <f aca="false">(A702-A701)*86400000</f>
        <v>16.000843</v>
      </c>
      <c r="H702" s="3"/>
      <c r="I702" s="3"/>
      <c r="J702" s="3"/>
      <c r="K702" s="3"/>
      <c r="L702" s="3"/>
      <c r="M702" s="3"/>
    </row>
    <row r="703" customFormat="false" ht="15" hidden="false" customHeight="false" outlineLevel="0" collapsed="false">
      <c r="A703" s="28" t="n">
        <v>46301.5240193171</v>
      </c>
      <c r="B703" s="31" t="n">
        <f aca="false">(A703-$A$5)*86400</f>
        <v>31.630999851</v>
      </c>
      <c r="C703" s="27" t="n">
        <v>0.5852</v>
      </c>
      <c r="D703" s="27" t="n">
        <v>1.4999</v>
      </c>
      <c r="E703" s="27" t="s">
        <v>603</v>
      </c>
      <c r="F703" s="27" t="s">
        <v>144</v>
      </c>
      <c r="G703" s="32" t="n">
        <f aca="false">(A703-A702)*86400000</f>
        <v>15.998957</v>
      </c>
      <c r="H703" s="3"/>
      <c r="I703" s="3"/>
      <c r="J703" s="3"/>
      <c r="K703" s="3"/>
      <c r="L703" s="3"/>
      <c r="M703" s="3"/>
    </row>
    <row r="704" customFormat="false" ht="15" hidden="false" customHeight="false" outlineLevel="0" collapsed="false">
      <c r="A704" s="28" t="n">
        <v>46301.5240195023</v>
      </c>
      <c r="B704" s="31" t="n">
        <f aca="false">(A704-$A$5)*86400</f>
        <v>31.646999437</v>
      </c>
      <c r="C704" s="27" t="n">
        <v>0.5888</v>
      </c>
      <c r="D704" s="27" t="n">
        <v>1.5025</v>
      </c>
      <c r="E704" s="27" t="s">
        <v>603</v>
      </c>
      <c r="F704" s="27" t="s">
        <v>144</v>
      </c>
      <c r="G704" s="32" t="n">
        <f aca="false">(A704-A703)*86400000</f>
        <v>15.999586</v>
      </c>
      <c r="H704" s="3"/>
      <c r="I704" s="3"/>
      <c r="J704" s="3"/>
      <c r="K704" s="3"/>
      <c r="L704" s="3"/>
      <c r="M704" s="3"/>
    </row>
    <row r="705" customFormat="false" ht="15" hidden="false" customHeight="false" outlineLevel="0" collapsed="false">
      <c r="A705" s="28" t="n">
        <v>46301.5240196875</v>
      </c>
      <c r="B705" s="31" t="n">
        <f aca="false">(A705-$A$5)*86400</f>
        <v>31.66300028</v>
      </c>
      <c r="C705" s="27" t="n">
        <v>0.5919</v>
      </c>
      <c r="D705" s="27" t="n">
        <v>1.5046</v>
      </c>
      <c r="E705" s="27" t="s">
        <v>603</v>
      </c>
      <c r="F705" s="27" t="s">
        <v>144</v>
      </c>
      <c r="G705" s="32" t="n">
        <f aca="false">(A705-A704)*86400000</f>
        <v>16.000843</v>
      </c>
      <c r="H705" s="3"/>
      <c r="I705" s="3"/>
      <c r="J705" s="3"/>
      <c r="K705" s="3"/>
      <c r="L705" s="3"/>
      <c r="M705" s="3"/>
    </row>
    <row r="706" customFormat="false" ht="15" hidden="false" customHeight="false" outlineLevel="0" collapsed="false">
      <c r="A706" s="28" t="n">
        <v>46301.5240198727</v>
      </c>
      <c r="B706" s="31" t="n">
        <f aca="false">(A706-$A$5)*86400</f>
        <v>31.678999867</v>
      </c>
      <c r="C706" s="27" t="n">
        <v>0.5944</v>
      </c>
      <c r="D706" s="27" t="n">
        <v>1.5063</v>
      </c>
      <c r="E706" s="27" t="s">
        <v>603</v>
      </c>
      <c r="F706" s="27" t="s">
        <v>145</v>
      </c>
      <c r="G706" s="32" t="n">
        <f aca="false">(A706-A705)*86400000</f>
        <v>15.999586</v>
      </c>
      <c r="H706" s="3"/>
      <c r="I706" s="3"/>
      <c r="J706" s="3"/>
      <c r="K706" s="3"/>
      <c r="L706" s="3"/>
      <c r="M706" s="3"/>
    </row>
    <row r="707" customFormat="false" ht="15" hidden="false" customHeight="false" outlineLevel="0" collapsed="false">
      <c r="A707" s="28" t="n">
        <v>46301.5240200695</v>
      </c>
      <c r="B707" s="31" t="n">
        <f aca="false">(A707-$A$5)*86400</f>
        <v>31.696000881</v>
      </c>
      <c r="C707" s="27" t="n">
        <v>0.5964</v>
      </c>
      <c r="D707" s="27" t="n">
        <v>1.5077</v>
      </c>
      <c r="E707" s="27" t="s">
        <v>603</v>
      </c>
      <c r="F707" s="27" t="s">
        <v>145</v>
      </c>
      <c r="G707" s="32" t="n">
        <f aca="false">(A707-A706)*86400000</f>
        <v>17.001014</v>
      </c>
      <c r="H707" s="3"/>
      <c r="I707" s="3"/>
      <c r="J707" s="3"/>
      <c r="K707" s="3"/>
      <c r="L707" s="3"/>
      <c r="M707" s="3"/>
    </row>
    <row r="708" customFormat="false" ht="15" hidden="false" customHeight="false" outlineLevel="0" collapsed="false">
      <c r="A708" s="28" t="n">
        <v>46301.5240202431</v>
      </c>
      <c r="B708" s="31" t="n">
        <f aca="false">(A708-$A$5)*86400</f>
        <v>31.711000297</v>
      </c>
      <c r="C708" s="27" t="n">
        <v>0.5981</v>
      </c>
      <c r="D708" s="27" t="n">
        <v>1.5089</v>
      </c>
      <c r="E708" s="27" t="s">
        <v>603</v>
      </c>
      <c r="F708" s="27" t="s">
        <v>145</v>
      </c>
      <c r="G708" s="32" t="n">
        <f aca="false">(A708-A707)*86400000</f>
        <v>14.999415</v>
      </c>
      <c r="H708" s="3"/>
      <c r="I708" s="3"/>
      <c r="J708" s="3"/>
      <c r="K708" s="3"/>
      <c r="L708" s="3"/>
      <c r="M708" s="3"/>
    </row>
    <row r="709" customFormat="false" ht="15" hidden="false" customHeight="false" outlineLevel="0" collapsed="false">
      <c r="A709" s="28" t="n">
        <v>46301.5240204282</v>
      </c>
      <c r="B709" s="31" t="n">
        <f aca="false">(A709-$A$5)*86400</f>
        <v>31.726999883</v>
      </c>
      <c r="C709" s="27" t="n">
        <v>0.5995</v>
      </c>
      <c r="D709" s="27" t="n">
        <v>1.5099</v>
      </c>
      <c r="E709" s="27" t="s">
        <v>603</v>
      </c>
      <c r="F709" s="27" t="s">
        <v>145</v>
      </c>
      <c r="G709" s="32" t="n">
        <f aca="false">(A709-A708)*86400000</f>
        <v>15.999586</v>
      </c>
      <c r="H709" s="3"/>
      <c r="I709" s="3"/>
      <c r="J709" s="3"/>
      <c r="K709" s="3"/>
      <c r="L709" s="3"/>
      <c r="M709" s="3"/>
    </row>
    <row r="710" customFormat="false" ht="15" hidden="false" customHeight="false" outlineLevel="0" collapsed="false">
      <c r="A710" s="28" t="n">
        <v>46301.5240206134</v>
      </c>
      <c r="B710" s="31" t="n">
        <f aca="false">(A710-$A$5)*86400</f>
        <v>31.743000727</v>
      </c>
      <c r="C710" s="27" t="n">
        <v>0.6027</v>
      </c>
      <c r="D710" s="27" t="n">
        <v>1.5086</v>
      </c>
      <c r="E710" s="27" t="s">
        <v>603</v>
      </c>
      <c r="F710" s="27" t="s">
        <v>145</v>
      </c>
      <c r="G710" s="32" t="n">
        <f aca="false">(A710-A709)*86400000</f>
        <v>16.000843</v>
      </c>
      <c r="H710" s="3"/>
      <c r="I710" s="3"/>
      <c r="J710" s="3"/>
      <c r="K710" s="3"/>
      <c r="L710" s="3"/>
      <c r="M710" s="3"/>
    </row>
    <row r="711" customFormat="false" ht="15" hidden="false" customHeight="false" outlineLevel="0" collapsed="false">
      <c r="A711" s="28" t="n">
        <v>46301.5240207986</v>
      </c>
      <c r="B711" s="31" t="n">
        <f aca="false">(A711-$A$5)*86400</f>
        <v>31.759000313</v>
      </c>
      <c r="C711" s="27" t="n">
        <v>0.6053</v>
      </c>
      <c r="D711" s="27" t="n">
        <v>1.5076</v>
      </c>
      <c r="E711" s="27" t="s">
        <v>603</v>
      </c>
      <c r="F711" s="27" t="s">
        <v>145</v>
      </c>
      <c r="G711" s="32" t="n">
        <f aca="false">(A711-A710)*86400000</f>
        <v>15.999586</v>
      </c>
      <c r="H711" s="3"/>
      <c r="I711" s="3"/>
      <c r="J711" s="3"/>
      <c r="K711" s="3"/>
      <c r="L711" s="3"/>
      <c r="M711" s="3"/>
    </row>
    <row r="712" customFormat="false" ht="15" hidden="false" customHeight="false" outlineLevel="0" collapsed="false">
      <c r="A712" s="28" t="n">
        <v>46301.5240209838</v>
      </c>
      <c r="B712" s="31" t="n">
        <f aca="false">(A712-$A$5)*86400</f>
        <v>31.774999271</v>
      </c>
      <c r="C712" s="27" t="n">
        <v>0.6075</v>
      </c>
      <c r="D712" s="27" t="n">
        <v>1.5068</v>
      </c>
      <c r="E712" s="27" t="s">
        <v>603</v>
      </c>
      <c r="F712" s="27" t="s">
        <v>145</v>
      </c>
      <c r="G712" s="32" t="n">
        <f aca="false">(A712-A711)*86400000</f>
        <v>15.998957</v>
      </c>
      <c r="H712" s="3"/>
      <c r="I712" s="3"/>
      <c r="J712" s="3"/>
      <c r="K712" s="3"/>
      <c r="L712" s="3"/>
      <c r="M712" s="3"/>
    </row>
    <row r="713" customFormat="false" ht="15" hidden="false" customHeight="false" outlineLevel="0" collapsed="false">
      <c r="A713" s="28" t="n">
        <v>46301.524021169</v>
      </c>
      <c r="B713" s="31" t="n">
        <f aca="false">(A713-$A$5)*86400</f>
        <v>31.791000114</v>
      </c>
      <c r="C713" s="27" t="n">
        <v>0.6092</v>
      </c>
      <c r="D713" s="27" t="n">
        <v>1.5061</v>
      </c>
      <c r="E713" s="27" t="s">
        <v>603</v>
      </c>
      <c r="F713" s="27" t="s">
        <v>145</v>
      </c>
      <c r="G713" s="32" t="n">
        <f aca="false">(A713-A712)*86400000</f>
        <v>16.000843</v>
      </c>
      <c r="H713" s="3"/>
      <c r="I713" s="3"/>
      <c r="J713" s="3"/>
      <c r="K713" s="3"/>
      <c r="L713" s="3"/>
      <c r="M713" s="3"/>
    </row>
    <row r="714" customFormat="false" ht="15" hidden="false" customHeight="false" outlineLevel="0" collapsed="false">
      <c r="A714" s="28" t="n">
        <v>46301.5240213542</v>
      </c>
      <c r="B714" s="31" t="n">
        <f aca="false">(A714-$A$5)*86400</f>
        <v>31.807000329</v>
      </c>
      <c r="C714" s="27" t="n">
        <v>0.6107</v>
      </c>
      <c r="D714" s="27" t="n">
        <v>1.5055</v>
      </c>
      <c r="E714" s="27" t="s">
        <v>603</v>
      </c>
      <c r="F714" s="27" t="s">
        <v>145</v>
      </c>
      <c r="G714" s="32" t="n">
        <f aca="false">(A714-A713)*86400000</f>
        <v>16.000214</v>
      </c>
      <c r="H714" s="3"/>
      <c r="I714" s="3"/>
      <c r="J714" s="3"/>
      <c r="K714" s="3"/>
      <c r="L714" s="3"/>
      <c r="M714" s="3"/>
    </row>
    <row r="715" customFormat="false" ht="15" hidden="false" customHeight="false" outlineLevel="0" collapsed="false">
      <c r="A715" s="28" t="n">
        <v>46301.5240215394</v>
      </c>
      <c r="B715" s="31" t="n">
        <f aca="false">(A715-$A$5)*86400</f>
        <v>31.822999916</v>
      </c>
      <c r="C715" s="27" t="n">
        <v>0.6119</v>
      </c>
      <c r="D715" s="27" t="n">
        <v>1.505</v>
      </c>
      <c r="E715" s="27" t="s">
        <v>603</v>
      </c>
      <c r="F715" s="27" t="s">
        <v>145</v>
      </c>
      <c r="G715" s="32" t="n">
        <f aca="false">(A715-A714)*86400000</f>
        <v>15.999586</v>
      </c>
      <c r="H715" s="3"/>
      <c r="I715" s="3"/>
      <c r="J715" s="3"/>
      <c r="K715" s="3"/>
      <c r="L715" s="3"/>
      <c r="M715" s="3"/>
    </row>
    <row r="716" customFormat="false" ht="15" hidden="false" customHeight="false" outlineLevel="0" collapsed="false">
      <c r="A716" s="28" t="n">
        <v>46301.5240217245</v>
      </c>
      <c r="B716" s="31" t="n">
        <f aca="false">(A716-$A$5)*86400</f>
        <v>31.839000131</v>
      </c>
      <c r="C716" s="27" t="n">
        <v>0.6129</v>
      </c>
      <c r="D716" s="27" t="n">
        <v>1.5046</v>
      </c>
      <c r="E716" s="27" t="s">
        <v>603</v>
      </c>
      <c r="F716" s="27" t="s">
        <v>145</v>
      </c>
      <c r="G716" s="32" t="n">
        <f aca="false">(A716-A715)*86400000</f>
        <v>16.000214</v>
      </c>
      <c r="H716" s="3"/>
      <c r="I716" s="3"/>
      <c r="J716" s="3"/>
      <c r="K716" s="3"/>
      <c r="L716" s="3"/>
      <c r="M716" s="3"/>
    </row>
    <row r="717" customFormat="false" ht="15" hidden="false" customHeight="false" outlineLevel="0" collapsed="false">
      <c r="A717" s="28" t="n">
        <v>46301.5240219213</v>
      </c>
      <c r="B717" s="31" t="n">
        <f aca="false">(A717-$A$5)*86400</f>
        <v>31.855999259</v>
      </c>
      <c r="C717" s="27" t="n">
        <v>0.6219</v>
      </c>
      <c r="D717" s="27" t="n">
        <v>1.5013</v>
      </c>
      <c r="E717" s="27" t="s">
        <v>603</v>
      </c>
      <c r="F717" s="27" t="s">
        <v>145</v>
      </c>
      <c r="G717" s="32" t="n">
        <f aca="false">(A717-A716)*86400000</f>
        <v>16.999128</v>
      </c>
      <c r="H717" s="3"/>
      <c r="I717" s="3"/>
      <c r="J717" s="3"/>
      <c r="K717" s="3"/>
      <c r="L717" s="3"/>
      <c r="M717" s="3"/>
    </row>
    <row r="718" customFormat="false" ht="15" hidden="false" customHeight="false" outlineLevel="0" collapsed="false">
      <c r="A718" s="28" t="n">
        <v>46301.5240220949</v>
      </c>
      <c r="B718" s="31" t="n">
        <f aca="false">(A718-$A$5)*86400</f>
        <v>31.87100056</v>
      </c>
      <c r="C718" s="27" t="n">
        <v>0.6293</v>
      </c>
      <c r="D718" s="27" t="n">
        <v>1.4985</v>
      </c>
      <c r="E718" s="27" t="s">
        <v>603</v>
      </c>
      <c r="F718" s="27" t="s">
        <v>145</v>
      </c>
      <c r="G718" s="32" t="n">
        <f aca="false">(A718-A717)*86400000</f>
        <v>15.001301</v>
      </c>
      <c r="H718" s="3"/>
      <c r="I718" s="3"/>
      <c r="J718" s="3"/>
      <c r="K718" s="3"/>
      <c r="L718" s="3"/>
      <c r="M718" s="3"/>
    </row>
    <row r="719" customFormat="false" ht="15" hidden="false" customHeight="false" outlineLevel="0" collapsed="false">
      <c r="A719" s="28" t="n">
        <v>46301.5240222801</v>
      </c>
      <c r="B719" s="31" t="n">
        <f aca="false">(A719-$A$5)*86400</f>
        <v>31.887000147</v>
      </c>
      <c r="C719" s="27" t="n">
        <v>0.6355</v>
      </c>
      <c r="D719" s="27" t="n">
        <v>1.4963</v>
      </c>
      <c r="E719" s="27" t="s">
        <v>603</v>
      </c>
      <c r="F719" s="27" t="s">
        <v>145</v>
      </c>
      <c r="G719" s="32" t="n">
        <f aca="false">(A719-A718)*86400000</f>
        <v>15.999586</v>
      </c>
      <c r="H719" s="3"/>
      <c r="I719" s="3"/>
      <c r="J719" s="3"/>
      <c r="K719" s="3"/>
      <c r="L719" s="3"/>
      <c r="M719" s="3"/>
    </row>
    <row r="720" customFormat="false" ht="15" hidden="false" customHeight="false" outlineLevel="0" collapsed="false">
      <c r="A720" s="28" t="n">
        <v>46301.5240224769</v>
      </c>
      <c r="B720" s="31" t="n">
        <f aca="false">(A720-$A$5)*86400</f>
        <v>31.903999904</v>
      </c>
      <c r="C720" s="27" t="n">
        <v>0.6408</v>
      </c>
      <c r="D720" s="27" t="n">
        <v>1.4943</v>
      </c>
      <c r="E720" s="27" t="s">
        <v>603</v>
      </c>
      <c r="F720" s="27" t="s">
        <v>145</v>
      </c>
      <c r="G720" s="32" t="n">
        <f aca="false">(A720-A719)*86400000</f>
        <v>16.999756</v>
      </c>
      <c r="H720" s="3"/>
      <c r="I720" s="3"/>
      <c r="J720" s="3"/>
      <c r="K720" s="3"/>
      <c r="L720" s="3"/>
      <c r="M720" s="3"/>
    </row>
    <row r="721" customFormat="false" ht="15" hidden="false" customHeight="false" outlineLevel="0" collapsed="false">
      <c r="A721" s="28" t="n">
        <v>46301.524022662</v>
      </c>
      <c r="B721" s="31" t="n">
        <f aca="false">(A721-$A$5)*86400</f>
        <v>31.920000119</v>
      </c>
      <c r="C721" s="27" t="n">
        <v>0.6449</v>
      </c>
      <c r="D721" s="27" t="n">
        <v>1.4928</v>
      </c>
      <c r="E721" s="27" t="s">
        <v>603</v>
      </c>
      <c r="F721" s="27" t="s">
        <v>145</v>
      </c>
      <c r="G721" s="32" t="n">
        <f aca="false">(A721-A720)*86400000</f>
        <v>16.000214</v>
      </c>
      <c r="H721" s="3"/>
      <c r="I721" s="3"/>
      <c r="J721" s="3"/>
      <c r="K721" s="3"/>
      <c r="L721" s="3"/>
      <c r="M721" s="3"/>
    </row>
    <row r="722" customFormat="false" ht="15" hidden="false" customHeight="false" outlineLevel="0" collapsed="false">
      <c r="A722" s="28" t="n">
        <v>46301.5240228472</v>
      </c>
      <c r="B722" s="31" t="n">
        <f aca="false">(A722-$A$5)*86400</f>
        <v>31.935999705</v>
      </c>
      <c r="C722" s="27" t="n">
        <v>0.6483</v>
      </c>
      <c r="D722" s="27" t="n">
        <v>1.4915</v>
      </c>
      <c r="E722" s="27" t="s">
        <v>603</v>
      </c>
      <c r="F722" s="27" t="s">
        <v>145</v>
      </c>
      <c r="G722" s="32" t="n">
        <f aca="false">(A722-A721)*86400000</f>
        <v>15.999586</v>
      </c>
      <c r="H722" s="3"/>
      <c r="I722" s="3"/>
      <c r="J722" s="3"/>
      <c r="K722" s="3"/>
      <c r="L722" s="3"/>
      <c r="M722" s="3"/>
    </row>
    <row r="723" customFormat="false" ht="15" hidden="false" customHeight="false" outlineLevel="0" collapsed="false">
      <c r="A723" s="28" t="n">
        <v>46301.5240230324</v>
      </c>
      <c r="B723" s="31" t="n">
        <f aca="false">(A723-$A$5)*86400</f>
        <v>31.952000549</v>
      </c>
      <c r="C723" s="27" t="n">
        <v>0.6512</v>
      </c>
      <c r="D723" s="27" t="n">
        <v>1.4905</v>
      </c>
      <c r="E723" s="27" t="s">
        <v>603</v>
      </c>
      <c r="F723" s="27" t="s">
        <v>145</v>
      </c>
      <c r="G723" s="32" t="n">
        <f aca="false">(A723-A722)*86400000</f>
        <v>16.000843</v>
      </c>
      <c r="H723" s="3"/>
      <c r="I723" s="3"/>
      <c r="J723" s="3"/>
      <c r="K723" s="3"/>
      <c r="L723" s="3"/>
      <c r="M723" s="3"/>
    </row>
    <row r="724" customFormat="false" ht="15" hidden="false" customHeight="false" outlineLevel="0" collapsed="false">
      <c r="A724" s="28" t="n">
        <v>46301.5240232176</v>
      </c>
      <c r="B724" s="31" t="n">
        <f aca="false">(A724-$A$5)*86400</f>
        <v>31.968000135</v>
      </c>
      <c r="C724" s="27" t="n">
        <v>0.6533</v>
      </c>
      <c r="D724" s="27" t="n">
        <v>1.4897</v>
      </c>
      <c r="E724" s="27" t="s">
        <v>603</v>
      </c>
      <c r="F724" s="27" t="s">
        <v>145</v>
      </c>
      <c r="G724" s="32" t="n">
        <f aca="false">(A724-A723)*86400000</f>
        <v>15.999586</v>
      </c>
      <c r="H724" s="3"/>
      <c r="I724" s="3"/>
      <c r="J724" s="3"/>
      <c r="K724" s="3"/>
      <c r="L724" s="3"/>
      <c r="M724" s="3"/>
    </row>
    <row r="725" customFormat="false" ht="15" hidden="false" customHeight="false" outlineLevel="0" collapsed="false">
      <c r="A725" s="28" t="n">
        <v>46301.5240234144</v>
      </c>
      <c r="B725" s="31" t="n">
        <f aca="false">(A725-$A$5)*86400</f>
        <v>31.984999892</v>
      </c>
      <c r="C725" s="27" t="n">
        <v>0.6554</v>
      </c>
      <c r="D725" s="27" t="n">
        <v>1.4889</v>
      </c>
      <c r="E725" s="27" t="s">
        <v>603</v>
      </c>
      <c r="F725" s="27" t="s">
        <v>145</v>
      </c>
      <c r="G725" s="32" t="n">
        <f aca="false">(A725-A724)*86400000</f>
        <v>16.999756</v>
      </c>
      <c r="H725" s="3"/>
      <c r="I725" s="3"/>
      <c r="J725" s="3"/>
      <c r="K725" s="3"/>
      <c r="L725" s="3"/>
      <c r="M725" s="3"/>
    </row>
    <row r="726" customFormat="false" ht="15" hidden="false" customHeight="false" outlineLevel="0" collapsed="false">
      <c r="A726" s="28" t="n">
        <v>46301.5240235995</v>
      </c>
      <c r="B726" s="31" t="n">
        <f aca="false">(A726-$A$5)*86400</f>
        <v>32.001000107</v>
      </c>
      <c r="C726" s="27" t="n">
        <v>0.6666</v>
      </c>
      <c r="D726" s="27" t="n">
        <v>1.4898</v>
      </c>
      <c r="E726" s="27" t="s">
        <v>603</v>
      </c>
      <c r="F726" s="27" t="s">
        <v>145</v>
      </c>
      <c r="G726" s="32" t="n">
        <f aca="false">(A726-A725)*86400000</f>
        <v>16.000214</v>
      </c>
      <c r="H726" s="3"/>
      <c r="I726" s="3"/>
      <c r="J726" s="3"/>
      <c r="K726" s="3"/>
      <c r="L726" s="3"/>
      <c r="M726" s="3"/>
    </row>
    <row r="727" customFormat="false" ht="15" hidden="false" customHeight="false" outlineLevel="0" collapsed="false">
      <c r="A727" s="28" t="n">
        <v>46301.5240237847</v>
      </c>
      <c r="B727" s="31" t="n">
        <f aca="false">(A727-$A$5)*86400</f>
        <v>32.016999693</v>
      </c>
      <c r="C727" s="27" t="n">
        <v>0.6759</v>
      </c>
      <c r="D727" s="27" t="n">
        <v>1.4905</v>
      </c>
      <c r="E727" s="27" t="s">
        <v>603</v>
      </c>
      <c r="F727" s="27" t="s">
        <v>145</v>
      </c>
      <c r="G727" s="32" t="n">
        <f aca="false">(A727-A726)*86400000</f>
        <v>15.999586</v>
      </c>
      <c r="H727" s="3"/>
      <c r="I727" s="3"/>
      <c r="J727" s="3"/>
      <c r="K727" s="3"/>
      <c r="L727" s="3"/>
      <c r="M727" s="3"/>
    </row>
    <row r="728" customFormat="false" ht="15" hidden="false" customHeight="false" outlineLevel="0" collapsed="false">
      <c r="A728" s="28" t="n">
        <v>46301.5240239815</v>
      </c>
      <c r="B728" s="31" t="n">
        <f aca="false">(A728-$A$5)*86400</f>
        <v>32.034000079</v>
      </c>
      <c r="C728" s="27" t="n">
        <v>0.684</v>
      </c>
      <c r="D728" s="27" t="n">
        <v>1.4912</v>
      </c>
      <c r="E728" s="27" t="s">
        <v>603</v>
      </c>
      <c r="F728" s="27" t="s">
        <v>145</v>
      </c>
      <c r="G728" s="32" t="n">
        <f aca="false">(A728-A727)*86400000</f>
        <v>17.000385</v>
      </c>
      <c r="H728" s="3"/>
      <c r="I728" s="3"/>
      <c r="J728" s="3"/>
      <c r="K728" s="3"/>
      <c r="L728" s="3"/>
      <c r="M728" s="3"/>
    </row>
    <row r="729" customFormat="false" ht="15" hidden="false" customHeight="false" outlineLevel="0" collapsed="false">
      <c r="A729" s="28" t="n">
        <v>46301.5240241782</v>
      </c>
      <c r="B729" s="31" t="n">
        <f aca="false">(A729-$A$5)*86400</f>
        <v>32.050999836</v>
      </c>
      <c r="C729" s="27" t="n">
        <v>0.6903</v>
      </c>
      <c r="D729" s="27" t="n">
        <v>1.4917</v>
      </c>
      <c r="E729" s="27" t="s">
        <v>603</v>
      </c>
      <c r="F729" s="27" t="s">
        <v>145</v>
      </c>
      <c r="G729" s="32" t="n">
        <f aca="false">(A729-A728)*86400000</f>
        <v>16.999756</v>
      </c>
      <c r="H729" s="3"/>
      <c r="I729" s="3"/>
      <c r="J729" s="3"/>
      <c r="K729" s="3"/>
      <c r="L729" s="3"/>
      <c r="M729" s="3"/>
    </row>
    <row r="730" customFormat="false" ht="15" hidden="false" customHeight="false" outlineLevel="0" collapsed="false">
      <c r="A730" s="28" t="n">
        <v>46301.5240243519</v>
      </c>
      <c r="B730" s="31" t="n">
        <f aca="false">(A730-$A$5)*86400</f>
        <v>32.06599988</v>
      </c>
      <c r="C730" s="27" t="n">
        <v>0.6954</v>
      </c>
      <c r="D730" s="27" t="n">
        <v>1.4921</v>
      </c>
      <c r="E730" s="27" t="s">
        <v>603</v>
      </c>
      <c r="F730" s="27" t="s">
        <v>145</v>
      </c>
      <c r="G730" s="32" t="n">
        <f aca="false">(A730-A729)*86400000</f>
        <v>15.000044</v>
      </c>
      <c r="H730" s="3"/>
      <c r="I730" s="3"/>
      <c r="J730" s="3"/>
      <c r="K730" s="3"/>
      <c r="L730" s="3"/>
      <c r="M730" s="3"/>
    </row>
    <row r="731" customFormat="false" ht="15" hidden="false" customHeight="false" outlineLevel="0" collapsed="false">
      <c r="A731" s="28" t="n">
        <v>46301.524024537</v>
      </c>
      <c r="B731" s="31" t="n">
        <f aca="false">(A731-$A$5)*86400</f>
        <v>32.082000095</v>
      </c>
      <c r="C731" s="27" t="n">
        <v>0.6997</v>
      </c>
      <c r="D731" s="27" t="n">
        <v>1.4924</v>
      </c>
      <c r="E731" s="27" t="s">
        <v>603</v>
      </c>
      <c r="F731" s="27" t="s">
        <v>145</v>
      </c>
      <c r="G731" s="32" t="n">
        <f aca="false">(A731-A730)*86400000</f>
        <v>16.000214</v>
      </c>
      <c r="H731" s="3"/>
      <c r="I731" s="3"/>
      <c r="J731" s="3"/>
      <c r="K731" s="3"/>
      <c r="L731" s="3"/>
      <c r="M731" s="3"/>
    </row>
    <row r="732" customFormat="false" ht="15" hidden="false" customHeight="false" outlineLevel="0" collapsed="false">
      <c r="A732" s="28" t="n">
        <v>46301.5240247338</v>
      </c>
      <c r="B732" s="31" t="n">
        <f aca="false">(A732-$A$5)*86400</f>
        <v>32.098999852</v>
      </c>
      <c r="C732" s="27" t="n">
        <v>0.7032</v>
      </c>
      <c r="D732" s="27" t="n">
        <v>1.4927</v>
      </c>
      <c r="E732" s="27" t="s">
        <v>603</v>
      </c>
      <c r="F732" s="27" t="s">
        <v>145</v>
      </c>
      <c r="G732" s="32" t="n">
        <f aca="false">(A732-A731)*86400000</f>
        <v>16.999756</v>
      </c>
      <c r="H732" s="3"/>
      <c r="I732" s="3"/>
      <c r="J732" s="3"/>
      <c r="K732" s="3"/>
      <c r="L732" s="3"/>
      <c r="M732" s="3"/>
    </row>
    <row r="733" customFormat="false" ht="15" hidden="false" customHeight="false" outlineLevel="0" collapsed="false">
      <c r="A733" s="28" t="n">
        <v>46301.5240249074</v>
      </c>
      <c r="B733" s="31" t="n">
        <f aca="false">(A733-$A$5)*86400</f>
        <v>32.113999268</v>
      </c>
      <c r="C733" s="27" t="n">
        <v>0.7061</v>
      </c>
      <c r="D733" s="27" t="n">
        <v>1.4929</v>
      </c>
      <c r="E733" s="27" t="s">
        <v>603</v>
      </c>
      <c r="F733" s="27" t="s">
        <v>145</v>
      </c>
      <c r="G733" s="32" t="n">
        <f aca="false">(A733-A732)*86400000</f>
        <v>14.999415</v>
      </c>
      <c r="H733" s="3"/>
      <c r="I733" s="3"/>
      <c r="J733" s="3"/>
      <c r="K733" s="3"/>
      <c r="L733" s="3"/>
      <c r="M733" s="3"/>
    </row>
    <row r="734" customFormat="false" ht="15" hidden="false" customHeight="false" outlineLevel="0" collapsed="false">
      <c r="A734" s="28" t="n">
        <v>46301.5240250926</v>
      </c>
      <c r="B734" s="31" t="n">
        <f aca="false">(A734-$A$5)*86400</f>
        <v>32.130000111</v>
      </c>
      <c r="C734" s="27" t="n">
        <v>0.7085</v>
      </c>
      <c r="D734" s="27" t="n">
        <v>1.4931</v>
      </c>
      <c r="E734" s="27" t="s">
        <v>603</v>
      </c>
      <c r="F734" s="27" t="s">
        <v>145</v>
      </c>
      <c r="G734" s="32" t="n">
        <f aca="false">(A734-A733)*86400000</f>
        <v>16.000843</v>
      </c>
      <c r="H734" s="3"/>
      <c r="I734" s="3"/>
      <c r="J734" s="3"/>
      <c r="K734" s="3"/>
      <c r="L734" s="3"/>
      <c r="M734" s="3"/>
    </row>
    <row r="735" customFormat="false" ht="15" hidden="false" customHeight="false" outlineLevel="0" collapsed="false">
      <c r="A735" s="28" t="n">
        <v>46301.5240252778</v>
      </c>
      <c r="B735" s="31" t="n">
        <f aca="false">(A735-$A$5)*86400</f>
        <v>32.146000326</v>
      </c>
      <c r="C735" s="27" t="n">
        <v>0.714</v>
      </c>
      <c r="D735" s="27" t="n">
        <v>1.4909</v>
      </c>
      <c r="E735" s="27" t="s">
        <v>603</v>
      </c>
      <c r="F735" s="27" t="s">
        <v>145</v>
      </c>
      <c r="G735" s="32" t="n">
        <f aca="false">(A735-A734)*86400000</f>
        <v>16.000214</v>
      </c>
      <c r="H735" s="3"/>
      <c r="I735" s="3"/>
      <c r="J735" s="3"/>
      <c r="K735" s="3"/>
      <c r="L735" s="3"/>
      <c r="M735" s="3"/>
    </row>
    <row r="736" customFormat="false" ht="15" hidden="false" customHeight="false" outlineLevel="0" collapsed="false">
      <c r="A736" s="28" t="n">
        <v>46301.5240254745</v>
      </c>
      <c r="B736" s="31" t="n">
        <f aca="false">(A736-$A$5)*86400</f>
        <v>32.163000083</v>
      </c>
      <c r="C736" s="27" t="n">
        <v>0.7185</v>
      </c>
      <c r="D736" s="27" t="n">
        <v>1.4891</v>
      </c>
      <c r="E736" s="27" t="s">
        <v>603</v>
      </c>
      <c r="F736" s="27" t="s">
        <v>145</v>
      </c>
      <c r="G736" s="32" t="n">
        <f aca="false">(A736-A735)*86400000</f>
        <v>16.999756</v>
      </c>
      <c r="H736" s="3"/>
      <c r="I736" s="3"/>
      <c r="J736" s="3"/>
      <c r="K736" s="3"/>
      <c r="L736" s="3"/>
      <c r="M736" s="3"/>
    </row>
    <row r="737" customFormat="false" ht="15" hidden="false" customHeight="false" outlineLevel="0" collapsed="false">
      <c r="A737" s="28" t="n">
        <v>46301.5240256482</v>
      </c>
      <c r="B737" s="31" t="n">
        <f aca="false">(A737-$A$5)*86400</f>
        <v>32.178000127</v>
      </c>
      <c r="C737" s="27" t="n">
        <v>0.7223</v>
      </c>
      <c r="D737" s="27" t="n">
        <v>1.4876</v>
      </c>
      <c r="E737" s="27" t="s">
        <v>603</v>
      </c>
      <c r="F737" s="27" t="s">
        <v>145</v>
      </c>
      <c r="G737" s="32" t="n">
        <f aca="false">(A737-A736)*86400000</f>
        <v>15.000044</v>
      </c>
      <c r="H737" s="3"/>
      <c r="I737" s="3"/>
      <c r="J737" s="3"/>
      <c r="K737" s="3"/>
      <c r="L737" s="3"/>
      <c r="M737" s="3"/>
    </row>
    <row r="738" customFormat="false" ht="15" hidden="false" customHeight="false" outlineLevel="0" collapsed="false">
      <c r="A738" s="28" t="n">
        <v>46301.5240258333</v>
      </c>
      <c r="B738" s="31" t="n">
        <f aca="false">(A738-$A$5)*86400</f>
        <v>32.194000971</v>
      </c>
      <c r="C738" s="27" t="n">
        <v>0.7253</v>
      </c>
      <c r="D738" s="27" t="n">
        <v>1.4864</v>
      </c>
      <c r="E738" s="27" t="s">
        <v>603</v>
      </c>
      <c r="F738" s="27" t="s">
        <v>145</v>
      </c>
      <c r="G738" s="32" t="n">
        <f aca="false">(A738-A737)*86400000</f>
        <v>16.000843</v>
      </c>
      <c r="H738" s="3"/>
      <c r="I738" s="3"/>
      <c r="J738" s="3"/>
      <c r="K738" s="3"/>
      <c r="L738" s="3"/>
      <c r="M738" s="3"/>
    </row>
    <row r="739" customFormat="false" ht="15" hidden="false" customHeight="false" outlineLevel="0" collapsed="false">
      <c r="A739" s="28" t="n">
        <v>46301.5240260185</v>
      </c>
      <c r="B739" s="31" t="n">
        <f aca="false">(A739-$A$5)*86400</f>
        <v>32.209999929</v>
      </c>
      <c r="C739" s="27" t="n">
        <v>0.7279</v>
      </c>
      <c r="D739" s="27" t="n">
        <v>1.4854</v>
      </c>
      <c r="E739" s="27" t="s">
        <v>603</v>
      </c>
      <c r="F739" s="27" t="s">
        <v>145</v>
      </c>
      <c r="G739" s="32" t="n">
        <f aca="false">(A739-A738)*86400000</f>
        <v>15.998957</v>
      </c>
      <c r="H739" s="3"/>
      <c r="I739" s="3"/>
      <c r="J739" s="3"/>
      <c r="K739" s="3"/>
      <c r="L739" s="3"/>
      <c r="M739" s="3"/>
    </row>
    <row r="740" customFormat="false" ht="15" hidden="false" customHeight="false" outlineLevel="0" collapsed="false">
      <c r="A740" s="28" t="n">
        <v>46301.5240262037</v>
      </c>
      <c r="B740" s="31" t="n">
        <f aca="false">(A740-$A$5)*86400</f>
        <v>32.225999515</v>
      </c>
      <c r="C740" s="27" t="n">
        <v>0.73</v>
      </c>
      <c r="D740" s="27" t="n">
        <v>1.4845</v>
      </c>
      <c r="E740" s="27" t="s">
        <v>603</v>
      </c>
      <c r="F740" s="27" t="s">
        <v>145</v>
      </c>
      <c r="G740" s="32" t="n">
        <f aca="false">(A740-A739)*86400000</f>
        <v>15.999586</v>
      </c>
      <c r="H740" s="3"/>
      <c r="I740" s="3"/>
      <c r="J740" s="3"/>
      <c r="K740" s="3"/>
      <c r="L740" s="3"/>
      <c r="M740" s="3"/>
    </row>
    <row r="741" customFormat="false" ht="15" hidden="false" customHeight="false" outlineLevel="0" collapsed="false">
      <c r="A741" s="28" t="n">
        <v>46301.5240263889</v>
      </c>
      <c r="B741" s="31" t="n">
        <f aca="false">(A741-$A$5)*86400</f>
        <v>32.242000359</v>
      </c>
      <c r="C741" s="27" t="n">
        <v>0.7317</v>
      </c>
      <c r="D741" s="27" t="n">
        <v>1.4839</v>
      </c>
      <c r="E741" s="27" t="s">
        <v>603</v>
      </c>
      <c r="F741" s="27" t="s">
        <v>145</v>
      </c>
      <c r="G741" s="32" t="n">
        <f aca="false">(A741-A740)*86400000</f>
        <v>16.000843</v>
      </c>
      <c r="H741" s="3"/>
      <c r="I741" s="3"/>
      <c r="J741" s="3"/>
      <c r="K741" s="3"/>
      <c r="L741" s="3"/>
      <c r="M741" s="3"/>
    </row>
    <row r="742" customFormat="false" ht="15" hidden="false" customHeight="false" outlineLevel="0" collapsed="false">
      <c r="A742" s="28" t="n">
        <v>46301.5240265741</v>
      </c>
      <c r="B742" s="31" t="n">
        <f aca="false">(A742-$A$5)*86400</f>
        <v>32.257999945</v>
      </c>
      <c r="C742" s="27" t="n">
        <v>0.7401</v>
      </c>
      <c r="D742" s="27" t="n">
        <v>1.4798</v>
      </c>
      <c r="E742" s="27" t="s">
        <v>603</v>
      </c>
      <c r="F742" s="27" t="s">
        <v>145</v>
      </c>
      <c r="G742" s="32" t="n">
        <f aca="false">(A742-A741)*86400000</f>
        <v>15.999586</v>
      </c>
      <c r="H742" s="3"/>
      <c r="I742" s="3"/>
      <c r="J742" s="3"/>
      <c r="K742" s="3"/>
      <c r="L742" s="3"/>
      <c r="M742" s="3"/>
    </row>
    <row r="743" customFormat="false" ht="15" hidden="false" customHeight="false" outlineLevel="0" collapsed="false">
      <c r="A743" s="28" t="n">
        <v>46301.5240267593</v>
      </c>
      <c r="B743" s="31" t="n">
        <f aca="false">(A743-$A$5)*86400</f>
        <v>32.27400016</v>
      </c>
      <c r="C743" s="27" t="n">
        <v>0.7471</v>
      </c>
      <c r="D743" s="27" t="n">
        <v>1.4765</v>
      </c>
      <c r="E743" s="27" t="s">
        <v>603</v>
      </c>
      <c r="F743" s="27" t="s">
        <v>145</v>
      </c>
      <c r="G743" s="32" t="n">
        <f aca="false">(A743-A742)*86400000</f>
        <v>16.000214</v>
      </c>
      <c r="H743" s="3"/>
      <c r="I743" s="3"/>
      <c r="J743" s="3"/>
      <c r="K743" s="3"/>
      <c r="L743" s="3"/>
      <c r="M743" s="3"/>
    </row>
    <row r="744" customFormat="false" ht="15" hidden="false" customHeight="false" outlineLevel="0" collapsed="false">
      <c r="A744" s="28" t="n">
        <v>46301.5240269445</v>
      </c>
      <c r="B744" s="31" t="n">
        <f aca="false">(A744-$A$5)*86400</f>
        <v>32.290000375</v>
      </c>
      <c r="C744" s="27" t="n">
        <v>0.7528</v>
      </c>
      <c r="D744" s="27" t="n">
        <v>1.4738</v>
      </c>
      <c r="E744" s="27" t="s">
        <v>603</v>
      </c>
      <c r="F744" s="27" t="s">
        <v>145</v>
      </c>
      <c r="G744" s="32" t="n">
        <f aca="false">(A744-A743)*86400000</f>
        <v>16.000214</v>
      </c>
      <c r="H744" s="3"/>
      <c r="I744" s="3"/>
      <c r="J744" s="3"/>
      <c r="K744" s="3"/>
      <c r="L744" s="3"/>
      <c r="M744" s="3"/>
    </row>
    <row r="745" customFormat="false" ht="15" hidden="false" customHeight="false" outlineLevel="0" collapsed="false">
      <c r="A745" s="28" t="n">
        <v>46301.5240271296</v>
      </c>
      <c r="B745" s="31" t="n">
        <f aca="false">(A745-$A$5)*86400</f>
        <v>32.305999961</v>
      </c>
      <c r="C745" s="27" t="n">
        <v>0.7576</v>
      </c>
      <c r="D745" s="27" t="n">
        <v>1.4716</v>
      </c>
      <c r="E745" s="27" t="s">
        <v>603</v>
      </c>
      <c r="F745" s="27" t="s">
        <v>145</v>
      </c>
      <c r="G745" s="32" t="n">
        <f aca="false">(A745-A744)*86400000</f>
        <v>15.999586</v>
      </c>
      <c r="H745" s="3"/>
      <c r="I745" s="3"/>
      <c r="J745" s="3"/>
      <c r="K745" s="3"/>
      <c r="L745" s="3"/>
      <c r="M745" s="3"/>
    </row>
    <row r="746" customFormat="false" ht="15" hidden="false" customHeight="false" outlineLevel="0" collapsed="false">
      <c r="A746" s="28" t="n">
        <v>46301.5240273148</v>
      </c>
      <c r="B746" s="31" t="n">
        <f aca="false">(A746-$A$5)*86400</f>
        <v>32.322000805</v>
      </c>
      <c r="C746" s="27" t="n">
        <v>0.7615</v>
      </c>
      <c r="D746" s="27" t="n">
        <v>1.4697</v>
      </c>
      <c r="E746" s="27" t="s">
        <v>603</v>
      </c>
      <c r="F746" s="27" t="s">
        <v>145</v>
      </c>
      <c r="G746" s="32" t="n">
        <f aca="false">(A746-A745)*86400000</f>
        <v>16.000843</v>
      </c>
      <c r="H746" s="3"/>
      <c r="I746" s="3"/>
      <c r="J746" s="3"/>
      <c r="K746" s="3"/>
      <c r="L746" s="3"/>
      <c r="M746" s="3"/>
    </row>
    <row r="747" customFormat="false" ht="15" hidden="false" customHeight="false" outlineLevel="0" collapsed="false">
      <c r="A747" s="28" t="n">
        <v>46301.5240275</v>
      </c>
      <c r="B747" s="31" t="n">
        <f aca="false">(A747-$A$5)*86400</f>
        <v>32.338000391</v>
      </c>
      <c r="C747" s="27" t="n">
        <v>0.7647</v>
      </c>
      <c r="D747" s="27" t="n">
        <v>1.4682</v>
      </c>
      <c r="E747" s="27" t="s">
        <v>603</v>
      </c>
      <c r="F747" s="27" t="s">
        <v>145</v>
      </c>
      <c r="G747" s="32" t="n">
        <f aca="false">(A747-A746)*86400000</f>
        <v>15.999586</v>
      </c>
      <c r="H747" s="3"/>
      <c r="I747" s="3"/>
      <c r="J747" s="3"/>
      <c r="K747" s="3"/>
      <c r="L747" s="3"/>
      <c r="M747" s="3"/>
    </row>
    <row r="748" customFormat="false" ht="15" hidden="false" customHeight="false" outlineLevel="0" collapsed="false">
      <c r="A748" s="28" t="n">
        <v>46301.5240276852</v>
      </c>
      <c r="B748" s="31" t="n">
        <f aca="false">(A748-$A$5)*86400</f>
        <v>32.353999349</v>
      </c>
      <c r="C748" s="27" t="n">
        <v>0.7673</v>
      </c>
      <c r="D748" s="27" t="n">
        <v>1.4669</v>
      </c>
      <c r="E748" s="27" t="s">
        <v>603</v>
      </c>
      <c r="F748" s="27" t="s">
        <v>145</v>
      </c>
      <c r="G748" s="32" t="n">
        <f aca="false">(A748-A747)*86400000</f>
        <v>15.998957</v>
      </c>
      <c r="H748" s="3"/>
      <c r="I748" s="3"/>
      <c r="J748" s="3"/>
      <c r="K748" s="3"/>
      <c r="L748" s="3"/>
      <c r="M748" s="3"/>
    </row>
    <row r="749" customFormat="false" ht="15" hidden="false" customHeight="false" outlineLevel="0" collapsed="false">
      <c r="A749" s="28" t="n">
        <v>46301.5240278704</v>
      </c>
      <c r="B749" s="31" t="n">
        <f aca="false">(A749-$A$5)*86400</f>
        <v>32.370000192</v>
      </c>
      <c r="C749" s="27" t="n">
        <v>0.7695</v>
      </c>
      <c r="D749" s="27" t="n">
        <v>1.4659</v>
      </c>
      <c r="E749" s="27" t="s">
        <v>603</v>
      </c>
      <c r="F749" s="27" t="s">
        <v>145</v>
      </c>
      <c r="G749" s="32" t="n">
        <f aca="false">(A749-A748)*86400000</f>
        <v>16.000843</v>
      </c>
      <c r="H749" s="3"/>
      <c r="I749" s="3"/>
      <c r="J749" s="3"/>
      <c r="K749" s="3"/>
      <c r="L749" s="3"/>
      <c r="M749" s="3"/>
    </row>
    <row r="750" customFormat="false" ht="15" hidden="false" customHeight="false" outlineLevel="0" collapsed="false">
      <c r="A750" s="28" t="n">
        <v>46301.5240280556</v>
      </c>
      <c r="B750" s="31" t="n">
        <f aca="false">(A750-$A$5)*86400</f>
        <v>32.386000407</v>
      </c>
      <c r="C750" s="27" t="n">
        <v>0.7746</v>
      </c>
      <c r="D750" s="27" t="n">
        <v>1.4642</v>
      </c>
      <c r="E750" s="27" t="s">
        <v>603</v>
      </c>
      <c r="F750" s="27" t="s">
        <v>145</v>
      </c>
      <c r="G750" s="32" t="n">
        <f aca="false">(A750-A749)*86400000</f>
        <v>16.000214</v>
      </c>
      <c r="H750" s="3"/>
      <c r="I750" s="3"/>
      <c r="J750" s="3"/>
      <c r="K750" s="3"/>
      <c r="L750" s="3"/>
      <c r="M750" s="3"/>
    </row>
    <row r="751" customFormat="false" ht="15" hidden="false" customHeight="false" outlineLevel="0" collapsed="false">
      <c r="A751" s="28" t="n">
        <v>46301.5240282407</v>
      </c>
      <c r="B751" s="31" t="n">
        <f aca="false">(A751-$A$5)*86400</f>
        <v>32.401999994</v>
      </c>
      <c r="C751" s="27" t="n">
        <v>0.7787</v>
      </c>
      <c r="D751" s="27" t="n">
        <v>1.4628</v>
      </c>
      <c r="E751" s="27" t="s">
        <v>603</v>
      </c>
      <c r="F751" s="27" t="s">
        <v>145</v>
      </c>
      <c r="G751" s="32" t="n">
        <f aca="false">(A751-A750)*86400000</f>
        <v>15.999586</v>
      </c>
      <c r="H751" s="3"/>
      <c r="I751" s="3"/>
      <c r="J751" s="3"/>
      <c r="K751" s="3"/>
      <c r="L751" s="3"/>
      <c r="M751" s="3"/>
    </row>
    <row r="752" customFormat="false" ht="15" hidden="false" customHeight="false" outlineLevel="0" collapsed="false">
      <c r="A752" s="28" t="n">
        <v>46301.5240284259</v>
      </c>
      <c r="B752" s="31" t="n">
        <f aca="false">(A752-$A$5)*86400</f>
        <v>32.418000209</v>
      </c>
      <c r="C752" s="27" t="n">
        <v>0.7821</v>
      </c>
      <c r="D752" s="27" t="n">
        <v>1.4617</v>
      </c>
      <c r="E752" s="27" t="s">
        <v>603</v>
      </c>
      <c r="F752" s="27" t="s">
        <v>145</v>
      </c>
      <c r="G752" s="32" t="n">
        <f aca="false">(A752-A751)*86400000</f>
        <v>16.000214</v>
      </c>
      <c r="H752" s="3"/>
      <c r="I752" s="3"/>
      <c r="J752" s="3"/>
      <c r="K752" s="3"/>
      <c r="L752" s="3"/>
      <c r="M752" s="3"/>
    </row>
    <row r="753" customFormat="false" ht="15" hidden="false" customHeight="false" outlineLevel="0" collapsed="false">
      <c r="A753" s="28" t="n">
        <v>46301.5240286111</v>
      </c>
      <c r="B753" s="31" t="n">
        <f aca="false">(A753-$A$5)*86400</f>
        <v>32.433999795</v>
      </c>
      <c r="C753" s="27" t="n">
        <v>0.785</v>
      </c>
      <c r="D753" s="27" t="n">
        <v>1.4608</v>
      </c>
      <c r="E753" s="27" t="s">
        <v>603</v>
      </c>
      <c r="F753" s="27" t="s">
        <v>145</v>
      </c>
      <c r="G753" s="32" t="n">
        <f aca="false">(A753-A752)*86400000</f>
        <v>15.999586</v>
      </c>
      <c r="H753" s="3"/>
      <c r="I753" s="3"/>
      <c r="J753" s="3"/>
      <c r="K753" s="3"/>
      <c r="L753" s="3"/>
      <c r="M753" s="3"/>
    </row>
    <row r="754" customFormat="false" ht="15" hidden="false" customHeight="false" outlineLevel="0" collapsed="false">
      <c r="A754" s="28" t="n">
        <v>46301.5240287963</v>
      </c>
      <c r="B754" s="31" t="n">
        <f aca="false">(A754-$A$5)*86400</f>
        <v>32.450000639</v>
      </c>
      <c r="C754" s="27" t="n">
        <v>0.7873</v>
      </c>
      <c r="D754" s="27" t="n">
        <v>1.46</v>
      </c>
      <c r="E754" s="27" t="s">
        <v>603</v>
      </c>
      <c r="F754" s="27" t="s">
        <v>145</v>
      </c>
      <c r="G754" s="32" t="n">
        <f aca="false">(A754-A753)*86400000</f>
        <v>16.000843</v>
      </c>
      <c r="H754" s="3"/>
      <c r="I754" s="3"/>
      <c r="J754" s="3"/>
      <c r="K754" s="3"/>
      <c r="L754" s="3"/>
      <c r="M754" s="3"/>
    </row>
    <row r="755" customFormat="false" ht="15" hidden="false" customHeight="false" outlineLevel="0" collapsed="false">
      <c r="A755" s="28" t="n">
        <v>46301.5240289815</v>
      </c>
      <c r="B755" s="31" t="n">
        <f aca="false">(A755-$A$5)*86400</f>
        <v>32.466000225</v>
      </c>
      <c r="C755" s="27" t="n">
        <v>0.7892</v>
      </c>
      <c r="D755" s="27" t="n">
        <v>1.4594</v>
      </c>
      <c r="E755" s="27" t="s">
        <v>603</v>
      </c>
      <c r="F755" s="27" t="s">
        <v>145</v>
      </c>
      <c r="G755" s="32" t="n">
        <f aca="false">(A755-A754)*86400000</f>
        <v>15.999586</v>
      </c>
      <c r="H755" s="3"/>
      <c r="I755" s="3"/>
      <c r="J755" s="3"/>
      <c r="K755" s="3"/>
      <c r="L755" s="3"/>
      <c r="M755" s="3"/>
    </row>
    <row r="756" customFormat="false" ht="15" hidden="false" customHeight="false" outlineLevel="0" collapsed="false">
      <c r="A756" s="28" t="n">
        <v>46301.5240291667</v>
      </c>
      <c r="B756" s="31" t="n">
        <f aca="false">(A756-$A$5)*86400</f>
        <v>32.481999811</v>
      </c>
      <c r="C756" s="27" t="n">
        <v>0.7908</v>
      </c>
      <c r="D756" s="27" t="n">
        <v>1.4588</v>
      </c>
      <c r="E756" s="27" t="s">
        <v>603</v>
      </c>
      <c r="F756" s="27" t="s">
        <v>145</v>
      </c>
      <c r="G756" s="32" t="n">
        <f aca="false">(A756-A755)*86400000</f>
        <v>15.999586</v>
      </c>
      <c r="H756" s="3"/>
      <c r="I756" s="3"/>
      <c r="J756" s="3"/>
      <c r="K756" s="3"/>
      <c r="L756" s="3"/>
      <c r="M756" s="3"/>
    </row>
    <row r="757" customFormat="false" ht="15" hidden="false" customHeight="false" outlineLevel="0" collapsed="false">
      <c r="A757" s="28" t="n">
        <v>46301.5240293519</v>
      </c>
      <c r="B757" s="31" t="n">
        <f aca="false">(A757-$A$5)*86400</f>
        <v>32.498000026</v>
      </c>
      <c r="C757" s="27" t="n">
        <v>0.7921</v>
      </c>
      <c r="D757" s="27" t="n">
        <v>1.4584</v>
      </c>
      <c r="E757" s="27" t="s">
        <v>603</v>
      </c>
      <c r="F757" s="27" t="s">
        <v>145</v>
      </c>
      <c r="G757" s="32" t="n">
        <f aca="false">(A757-A756)*86400000</f>
        <v>16.000214</v>
      </c>
      <c r="H757" s="3"/>
      <c r="I757" s="3"/>
      <c r="J757" s="3"/>
      <c r="K757" s="3"/>
      <c r="L757" s="3"/>
      <c r="M757" s="3"/>
    </row>
    <row r="758" customFormat="false" ht="15" hidden="false" customHeight="false" outlineLevel="0" collapsed="false">
      <c r="A758" s="28" t="n">
        <v>46301.524029537</v>
      </c>
      <c r="B758" s="31" t="n">
        <f aca="false">(A758-$A$5)*86400</f>
        <v>32.514000241</v>
      </c>
      <c r="C758" s="27" t="n">
        <v>0.7932</v>
      </c>
      <c r="D758" s="27" t="n">
        <v>1.458</v>
      </c>
      <c r="E758" s="27" t="s">
        <v>603</v>
      </c>
      <c r="F758" s="27" t="s">
        <v>145</v>
      </c>
      <c r="G758" s="32" t="n">
        <f aca="false">(A758-A757)*86400000</f>
        <v>16.000214</v>
      </c>
      <c r="H758" s="3"/>
      <c r="I758" s="3"/>
      <c r="J758" s="3"/>
      <c r="K758" s="3"/>
      <c r="L758" s="3"/>
      <c r="M758" s="3"/>
    </row>
    <row r="759" customFormat="false" ht="15" hidden="false" customHeight="false" outlineLevel="0" collapsed="false">
      <c r="A759" s="28" t="n">
        <v>46301.5240297222</v>
      </c>
      <c r="B759" s="31" t="n">
        <f aca="false">(A759-$A$5)*86400</f>
        <v>32.529999827</v>
      </c>
      <c r="C759" s="27" t="n">
        <v>0.7941</v>
      </c>
      <c r="D759" s="27" t="n">
        <v>1.4577</v>
      </c>
      <c r="E759" s="27" t="s">
        <v>603</v>
      </c>
      <c r="F759" s="27" t="s">
        <v>145</v>
      </c>
      <c r="G759" s="32" t="n">
        <f aca="false">(A759-A758)*86400000</f>
        <v>15.999586</v>
      </c>
      <c r="H759" s="3"/>
      <c r="I759" s="3"/>
      <c r="J759" s="3"/>
      <c r="K759" s="3"/>
      <c r="L759" s="3"/>
      <c r="M759" s="3"/>
    </row>
    <row r="760" customFormat="false" ht="15" hidden="false" customHeight="false" outlineLevel="0" collapsed="false">
      <c r="A760" s="28" t="n">
        <v>46301.5240301042</v>
      </c>
      <c r="B760" s="31" t="n">
        <f aca="false">(A760-$A$5)*86400</f>
        <v>32.562999799</v>
      </c>
      <c r="C760" s="27" t="n">
        <v>0.7955</v>
      </c>
      <c r="D760" s="27" t="n">
        <v>1.4573</v>
      </c>
      <c r="E760" s="27" t="s">
        <v>603</v>
      </c>
      <c r="F760" s="27" t="s">
        <v>145</v>
      </c>
      <c r="G760" s="32" t="n">
        <f aca="false">(A760-A759)*86400000</f>
        <v>32.999971</v>
      </c>
      <c r="H760" s="3"/>
      <c r="I760" s="3"/>
      <c r="J760" s="3"/>
      <c r="K760" s="3"/>
      <c r="L760" s="3"/>
      <c r="M760" s="3"/>
    </row>
    <row r="761" customFormat="false" ht="15" hidden="false" customHeight="false" outlineLevel="0" collapsed="false">
      <c r="A761" s="28" t="n">
        <v>46301.5240302894</v>
      </c>
      <c r="B761" s="31" t="n">
        <f aca="false">(A761-$A$5)*86400</f>
        <v>32.579000014</v>
      </c>
      <c r="C761" s="27" t="n">
        <v>0.7973</v>
      </c>
      <c r="D761" s="27" t="n">
        <v>1.4545</v>
      </c>
      <c r="E761" s="27" t="s">
        <v>603</v>
      </c>
      <c r="F761" s="27" t="s">
        <v>145</v>
      </c>
      <c r="G761" s="32" t="n">
        <f aca="false">(A761-A760)*86400000</f>
        <v>16.000214</v>
      </c>
      <c r="H761" s="3"/>
      <c r="I761" s="3"/>
      <c r="J761" s="3"/>
      <c r="K761" s="3"/>
      <c r="L761" s="3"/>
      <c r="M761" s="3"/>
    </row>
    <row r="762" customFormat="false" ht="15" hidden="false" customHeight="false" outlineLevel="0" collapsed="false">
      <c r="A762" s="28" t="n">
        <v>46301.5240304745</v>
      </c>
      <c r="B762" s="31" t="n">
        <f aca="false">(A762-$A$5)*86400</f>
        <v>32.595000229</v>
      </c>
      <c r="C762" s="27" t="n">
        <v>0.7987</v>
      </c>
      <c r="D762" s="27" t="n">
        <v>1.4524</v>
      </c>
      <c r="E762" s="27" t="s">
        <v>603</v>
      </c>
      <c r="F762" s="27" t="s">
        <v>145</v>
      </c>
      <c r="G762" s="32" t="n">
        <f aca="false">(A762-A761)*86400000</f>
        <v>16.000214</v>
      </c>
      <c r="H762" s="3"/>
      <c r="I762" s="3"/>
      <c r="J762" s="3"/>
      <c r="K762" s="3"/>
      <c r="L762" s="3"/>
      <c r="M762" s="3"/>
    </row>
    <row r="763" customFormat="false" ht="15" hidden="false" customHeight="false" outlineLevel="0" collapsed="false">
      <c r="A763" s="28" t="n">
        <v>46301.5240306597</v>
      </c>
      <c r="B763" s="31" t="n">
        <f aca="false">(A763-$A$5)*86400</f>
        <v>32.610999816</v>
      </c>
      <c r="C763" s="27" t="n">
        <v>0.7999</v>
      </c>
      <c r="D763" s="27" t="n">
        <v>1.4507</v>
      </c>
      <c r="E763" s="27" t="s">
        <v>603</v>
      </c>
      <c r="F763" s="27" t="s">
        <v>145</v>
      </c>
      <c r="G763" s="32" t="n">
        <f aca="false">(A763-A762)*86400000</f>
        <v>15.999586</v>
      </c>
      <c r="H763" s="3"/>
      <c r="I763" s="3"/>
      <c r="J763" s="3"/>
      <c r="K763" s="3"/>
      <c r="L763" s="3"/>
      <c r="M763" s="3"/>
    </row>
    <row r="764" customFormat="false" ht="15" hidden="false" customHeight="false" outlineLevel="0" collapsed="false">
      <c r="A764" s="28" t="n">
        <v>46301.5240308565</v>
      </c>
      <c r="B764" s="31" t="n">
        <f aca="false">(A764-$A$5)*86400</f>
        <v>32.628000201</v>
      </c>
      <c r="C764" s="27" t="n">
        <v>0.8008</v>
      </c>
      <c r="D764" s="27" t="n">
        <v>1.4492</v>
      </c>
      <c r="E764" s="27" t="s">
        <v>603</v>
      </c>
      <c r="F764" s="27" t="s">
        <v>145</v>
      </c>
      <c r="G764" s="32" t="n">
        <f aca="false">(A764-A763)*86400000</f>
        <v>17.000385</v>
      </c>
      <c r="H764" s="3"/>
      <c r="I764" s="3"/>
      <c r="J764" s="3"/>
      <c r="K764" s="3"/>
      <c r="L764" s="3"/>
      <c r="M764" s="3"/>
    </row>
    <row r="765" customFormat="false" ht="15" hidden="false" customHeight="false" outlineLevel="0" collapsed="false">
      <c r="A765" s="28" t="n">
        <v>46301.5240312153</v>
      </c>
      <c r="B765" s="31" t="n">
        <f aca="false">(A765-$A$5)*86400</f>
        <v>32.658999203</v>
      </c>
      <c r="C765" s="27" t="n">
        <v>0.8023</v>
      </c>
      <c r="D765" s="27" t="n">
        <v>1.447</v>
      </c>
      <c r="E765" s="27" t="s">
        <v>603</v>
      </c>
      <c r="F765" s="27" t="s">
        <v>145</v>
      </c>
      <c r="G765" s="32" t="n">
        <f aca="false">(A765-A764)*86400000</f>
        <v>30.999002</v>
      </c>
      <c r="H765" s="3"/>
      <c r="I765" s="3"/>
      <c r="J765" s="3"/>
      <c r="K765" s="3"/>
      <c r="L765" s="3"/>
      <c r="M765" s="3"/>
    </row>
    <row r="766" customFormat="false" ht="15" hidden="false" customHeight="false" outlineLevel="0" collapsed="false">
      <c r="A766" s="28" t="n">
        <v>46301.5240319676</v>
      </c>
      <c r="B766" s="31" t="n">
        <f aca="false">(A766-$A$5)*86400</f>
        <v>32.723999605</v>
      </c>
      <c r="C766" s="27" t="n">
        <v>0.8018</v>
      </c>
      <c r="D766" s="27" t="n">
        <v>1.4445</v>
      </c>
      <c r="E766" s="27" t="s">
        <v>603</v>
      </c>
      <c r="F766" s="27" t="s">
        <v>145</v>
      </c>
      <c r="G766" s="32" t="n">
        <f aca="false">(A766-A765)*86400000</f>
        <v>65.000401</v>
      </c>
      <c r="H766" s="3"/>
      <c r="I766" s="3"/>
      <c r="J766" s="3"/>
      <c r="K766" s="3"/>
      <c r="L766" s="3"/>
      <c r="M766" s="3"/>
    </row>
    <row r="767" customFormat="false" ht="15" hidden="false" customHeight="false" outlineLevel="0" collapsed="false">
      <c r="A767" s="28" t="n">
        <v>46301.5240321528</v>
      </c>
      <c r="B767" s="31" t="n">
        <f aca="false">(A767-$A$5)*86400</f>
        <v>32.739999191</v>
      </c>
      <c r="C767" s="27" t="n">
        <v>0.8015</v>
      </c>
      <c r="D767" s="27" t="n">
        <v>1.4441</v>
      </c>
      <c r="E767" s="27" t="s">
        <v>603</v>
      </c>
      <c r="F767" s="27" t="s">
        <v>145</v>
      </c>
      <c r="G767" s="32" t="n">
        <f aca="false">(A767-A766)*86400000</f>
        <v>15.999586</v>
      </c>
      <c r="H767" s="3"/>
      <c r="I767" s="3"/>
      <c r="J767" s="3"/>
      <c r="K767" s="3"/>
      <c r="L767" s="3"/>
      <c r="M767" s="3"/>
    </row>
    <row r="768" customFormat="false" ht="15" hidden="false" customHeight="false" outlineLevel="0" collapsed="false">
      <c r="A768" s="28" t="n">
        <v>46301.5240325347</v>
      </c>
      <c r="B768" s="31" t="n">
        <f aca="false">(A768-$A$5)*86400</f>
        <v>32.773001049</v>
      </c>
      <c r="C768" s="27" t="n">
        <v>0.8004</v>
      </c>
      <c r="D768" s="27" t="n">
        <v>1.4422</v>
      </c>
      <c r="E768" s="27" t="s">
        <v>603</v>
      </c>
      <c r="F768" s="27" t="s">
        <v>145</v>
      </c>
      <c r="G768" s="32" t="n">
        <f aca="false">(A768-A767)*86400000</f>
        <v>33.001857</v>
      </c>
      <c r="H768" s="3"/>
      <c r="I768" s="3"/>
      <c r="J768" s="3"/>
      <c r="K768" s="3"/>
      <c r="L768" s="3"/>
      <c r="M768" s="3"/>
    </row>
    <row r="769" customFormat="false" ht="15" hidden="false" customHeight="false" outlineLevel="0" collapsed="false">
      <c r="A769" s="28" t="n">
        <v>46301.524034213</v>
      </c>
      <c r="B769" s="31" t="n">
        <f aca="false">(A769-$A$5)*86400</f>
        <v>32.918000011</v>
      </c>
      <c r="C769" s="27" t="n">
        <v>0.7998</v>
      </c>
      <c r="D769" s="27" t="n">
        <v>1.4394</v>
      </c>
      <c r="E769" s="27" t="s">
        <v>603</v>
      </c>
      <c r="F769" s="27" t="s">
        <v>145</v>
      </c>
      <c r="G769" s="32" t="n">
        <f aca="false">(A769-A768)*86400000</f>
        <v>144.998962</v>
      </c>
      <c r="H769" s="3"/>
      <c r="I769" s="3"/>
      <c r="J769" s="3"/>
      <c r="K769" s="3"/>
      <c r="L769" s="3"/>
      <c r="M769" s="3"/>
    </row>
    <row r="770" customFormat="false" ht="15" hidden="false" customHeight="false" outlineLevel="0" collapsed="false">
      <c r="A770" s="28" t="n">
        <v>46301.5240345949</v>
      </c>
      <c r="B770" s="31" t="n">
        <f aca="false">(A770-$A$5)*86400</f>
        <v>32.951000612</v>
      </c>
      <c r="C770" s="27" t="n">
        <v>0.7993</v>
      </c>
      <c r="D770" s="27" t="n">
        <v>1.4375</v>
      </c>
      <c r="E770" s="27" t="s">
        <v>603</v>
      </c>
      <c r="F770" s="27" t="s">
        <v>145</v>
      </c>
      <c r="G770" s="32" t="n">
        <f aca="false">(A770-A769)*86400000</f>
        <v>33.0006</v>
      </c>
      <c r="H770" s="3"/>
      <c r="I770" s="3"/>
      <c r="J770" s="3"/>
      <c r="K770" s="3"/>
      <c r="L770" s="3"/>
      <c r="M770" s="3"/>
    </row>
    <row r="771" customFormat="false" ht="15" hidden="false" customHeight="false" outlineLevel="0" collapsed="false">
      <c r="A771" s="28" t="n">
        <v>46301.5240351505</v>
      </c>
      <c r="B771" s="31" t="n">
        <f aca="false">(A771-$A$5)*86400</f>
        <v>32.998999999</v>
      </c>
      <c r="C771" s="27" t="n">
        <v>0.7989</v>
      </c>
      <c r="D771" s="27" t="n">
        <v>1.4358</v>
      </c>
      <c r="E771" s="27" t="s">
        <v>603</v>
      </c>
      <c r="F771" s="27" t="s">
        <v>145</v>
      </c>
      <c r="G771" s="32" t="n">
        <f aca="false">(A771-A770)*86400000</f>
        <v>47.999387</v>
      </c>
      <c r="H771" s="3"/>
      <c r="I771" s="3"/>
      <c r="J771" s="3"/>
      <c r="K771" s="3"/>
      <c r="L771" s="3"/>
      <c r="M771" s="3"/>
    </row>
    <row r="772" customFormat="false" ht="15" hidden="false" customHeight="false" outlineLevel="0" collapsed="false">
      <c r="A772" s="28" t="n">
        <v>46301.5240355208</v>
      </c>
      <c r="B772" s="31" t="n">
        <f aca="false">(A772-$A$5)*86400</f>
        <v>33.030999801</v>
      </c>
      <c r="C772" s="27" t="n">
        <v>0.7983</v>
      </c>
      <c r="D772" s="27" t="n">
        <v>1.4335</v>
      </c>
      <c r="E772" s="27" t="s">
        <v>603</v>
      </c>
      <c r="F772" s="27" t="s">
        <v>145</v>
      </c>
      <c r="G772" s="32" t="n">
        <f aca="false">(A772-A771)*86400000</f>
        <v>31.999801</v>
      </c>
      <c r="H772" s="3"/>
      <c r="I772" s="3"/>
      <c r="J772" s="3"/>
      <c r="K772" s="3"/>
      <c r="L772" s="3"/>
      <c r="M772" s="3"/>
    </row>
    <row r="773" customFormat="false" ht="15" hidden="false" customHeight="false" outlineLevel="0" collapsed="false">
      <c r="A773" s="28" t="n">
        <v>46301.524035706</v>
      </c>
      <c r="B773" s="31" t="n">
        <f aca="false">(A773-$A$5)*86400</f>
        <v>33.047000016</v>
      </c>
      <c r="C773" s="27" t="n">
        <v>0.7871</v>
      </c>
      <c r="D773" s="27" t="n">
        <v>1.4263</v>
      </c>
      <c r="E773" s="27" t="s">
        <v>603</v>
      </c>
      <c r="F773" s="27" t="s">
        <v>145</v>
      </c>
      <c r="G773" s="32" t="n">
        <f aca="false">(A773-A772)*86400000</f>
        <v>16.000214</v>
      </c>
      <c r="H773" s="3"/>
      <c r="I773" s="3"/>
      <c r="J773" s="3"/>
      <c r="K773" s="3"/>
      <c r="L773" s="3"/>
      <c r="M773" s="3"/>
    </row>
    <row r="774" customFormat="false" ht="15" hidden="false" customHeight="false" outlineLevel="0" collapsed="false">
      <c r="A774" s="28" t="n">
        <v>46301.5240359028</v>
      </c>
      <c r="B774" s="31" t="n">
        <f aca="false">(A774-$A$5)*86400</f>
        <v>33.064000401</v>
      </c>
      <c r="C774" s="27" t="n">
        <v>0.7778</v>
      </c>
      <c r="D774" s="27" t="n">
        <v>1.4204</v>
      </c>
      <c r="E774" s="27" t="s">
        <v>603</v>
      </c>
      <c r="F774" s="27" t="s">
        <v>145</v>
      </c>
      <c r="G774" s="32" t="n">
        <f aca="false">(A774-A773)*86400000</f>
        <v>17.000385</v>
      </c>
      <c r="H774" s="3"/>
      <c r="I774" s="3"/>
      <c r="J774" s="3"/>
      <c r="K774" s="3"/>
      <c r="L774" s="3"/>
      <c r="M774" s="3"/>
    </row>
    <row r="775" customFormat="false" ht="15" hidden="false" customHeight="false" outlineLevel="0" collapsed="false">
      <c r="A775" s="28" t="n">
        <v>46301.5240360764</v>
      </c>
      <c r="B775" s="31" t="n">
        <f aca="false">(A775-$A$5)*86400</f>
        <v>33.079000446</v>
      </c>
      <c r="C775" s="27" t="n">
        <v>0.7702</v>
      </c>
      <c r="D775" s="27" t="n">
        <v>1.4155</v>
      </c>
      <c r="E775" s="27" t="s">
        <v>603</v>
      </c>
      <c r="F775" s="27" t="s">
        <v>145</v>
      </c>
      <c r="G775" s="32" t="n">
        <f aca="false">(A775-A774)*86400000</f>
        <v>15.000044</v>
      </c>
      <c r="H775" s="3"/>
      <c r="I775" s="3"/>
      <c r="J775" s="3"/>
      <c r="K775" s="3"/>
      <c r="L775" s="3"/>
      <c r="M775" s="3"/>
    </row>
    <row r="776" customFormat="false" ht="15" hidden="false" customHeight="false" outlineLevel="0" collapsed="false">
      <c r="A776" s="28" t="n">
        <v>46301.5240362616</v>
      </c>
      <c r="B776" s="31" t="n">
        <f aca="false">(A776-$A$5)*86400</f>
        <v>33.095000032</v>
      </c>
      <c r="C776" s="27" t="n">
        <v>0.7639</v>
      </c>
      <c r="D776" s="27" t="n">
        <v>1.4115</v>
      </c>
      <c r="E776" s="27" t="s">
        <v>603</v>
      </c>
      <c r="F776" s="27" t="s">
        <v>145</v>
      </c>
      <c r="G776" s="32" t="n">
        <f aca="false">(A776-A775)*86400000</f>
        <v>15.999586</v>
      </c>
      <c r="H776" s="3"/>
      <c r="I776" s="3"/>
      <c r="J776" s="3"/>
      <c r="K776" s="3"/>
      <c r="L776" s="3"/>
      <c r="M776" s="3"/>
    </row>
    <row r="777" customFormat="false" ht="15" hidden="false" customHeight="false" outlineLevel="0" collapsed="false">
      <c r="A777" s="28" t="n">
        <v>46301.5240364468</v>
      </c>
      <c r="B777" s="31" t="n">
        <f aca="false">(A777-$A$5)*86400</f>
        <v>33.111000247</v>
      </c>
      <c r="C777" s="27" t="n">
        <v>0.7587</v>
      </c>
      <c r="D777" s="27" t="n">
        <v>1.4081</v>
      </c>
      <c r="E777" s="27" t="s">
        <v>603</v>
      </c>
      <c r="F777" s="27" t="s">
        <v>145</v>
      </c>
      <c r="G777" s="32" t="n">
        <f aca="false">(A777-A776)*86400000</f>
        <v>16.000214</v>
      </c>
      <c r="H777" s="3"/>
      <c r="I777" s="3"/>
      <c r="J777" s="3"/>
      <c r="K777" s="3"/>
      <c r="L777" s="3"/>
      <c r="M777" s="3"/>
    </row>
    <row r="778" customFormat="false" ht="15" hidden="false" customHeight="false" outlineLevel="0" collapsed="false">
      <c r="A778" s="28" t="n">
        <v>46301.5240366435</v>
      </c>
      <c r="B778" s="31" t="n">
        <f aca="false">(A778-$A$5)*86400</f>
        <v>33.128000004</v>
      </c>
      <c r="C778" s="27" t="n">
        <v>0.7544</v>
      </c>
      <c r="D778" s="27" t="n">
        <v>1.4054</v>
      </c>
      <c r="E778" s="27" t="s">
        <v>603</v>
      </c>
      <c r="F778" s="27" t="s">
        <v>145</v>
      </c>
      <c r="G778" s="32" t="n">
        <f aca="false">(A778-A777)*86400000</f>
        <v>16.999756</v>
      </c>
      <c r="H778" s="3"/>
      <c r="I778" s="3"/>
      <c r="J778" s="3"/>
      <c r="K778" s="3"/>
      <c r="L778" s="3"/>
      <c r="M778" s="3"/>
    </row>
    <row r="779" customFormat="false" ht="15" hidden="false" customHeight="false" outlineLevel="0" collapsed="false">
      <c r="A779" s="28" t="n">
        <v>46301.5240368287</v>
      </c>
      <c r="B779" s="31" t="n">
        <f aca="false">(A779-$A$5)*86400</f>
        <v>33.14399959</v>
      </c>
      <c r="C779" s="27" t="n">
        <v>0.7508</v>
      </c>
      <c r="D779" s="27" t="n">
        <v>1.4031</v>
      </c>
      <c r="E779" s="27" t="s">
        <v>603</v>
      </c>
      <c r="F779" s="27" t="s">
        <v>145</v>
      </c>
      <c r="G779" s="32" t="n">
        <f aca="false">(A779-A778)*86400000</f>
        <v>15.999586</v>
      </c>
      <c r="H779" s="3"/>
      <c r="I779" s="3"/>
      <c r="J779" s="3"/>
      <c r="K779" s="3"/>
      <c r="L779" s="3"/>
      <c r="M779" s="3"/>
    </row>
    <row r="780" customFormat="false" ht="15" hidden="false" customHeight="false" outlineLevel="0" collapsed="false">
      <c r="A780" s="28" t="n">
        <v>46301.5240370023</v>
      </c>
      <c r="B780" s="31" t="n">
        <f aca="false">(A780-$A$5)*86400</f>
        <v>33.159000263</v>
      </c>
      <c r="C780" s="27" t="n">
        <v>0.7479</v>
      </c>
      <c r="D780" s="27" t="n">
        <v>1.4012</v>
      </c>
      <c r="E780" s="27" t="s">
        <v>603</v>
      </c>
      <c r="F780" s="27" t="s">
        <v>145</v>
      </c>
      <c r="G780" s="32" t="n">
        <f aca="false">(A780-A779)*86400000</f>
        <v>15.000673</v>
      </c>
      <c r="H780" s="3"/>
      <c r="I780" s="3"/>
      <c r="J780" s="3"/>
      <c r="K780" s="3"/>
      <c r="L780" s="3"/>
      <c r="M780" s="3"/>
    </row>
    <row r="781" customFormat="false" ht="15" hidden="false" customHeight="false" outlineLevel="0" collapsed="false">
      <c r="A781" s="28" t="n">
        <v>46301.5240371875</v>
      </c>
      <c r="B781" s="31" t="n">
        <f aca="false">(A781-$A$5)*86400</f>
        <v>33.174999849</v>
      </c>
      <c r="C781" s="27" t="n">
        <v>0.7455</v>
      </c>
      <c r="D781" s="27" t="n">
        <v>1.3997</v>
      </c>
      <c r="E781" s="27" t="s">
        <v>603</v>
      </c>
      <c r="F781" s="27" t="s">
        <v>145</v>
      </c>
      <c r="G781" s="32" t="n">
        <f aca="false">(A781-A780)*86400000</f>
        <v>15.999586</v>
      </c>
      <c r="H781" s="3"/>
      <c r="I781" s="3"/>
      <c r="J781" s="3"/>
      <c r="K781" s="3"/>
      <c r="L781" s="3"/>
      <c r="M781" s="3"/>
    </row>
    <row r="782" customFormat="false" ht="15" hidden="false" customHeight="false" outlineLevel="0" collapsed="false">
      <c r="A782" s="28" t="n">
        <v>46301.5240373727</v>
      </c>
      <c r="B782" s="31" t="n">
        <f aca="false">(A782-$A$5)*86400</f>
        <v>33.190999436</v>
      </c>
      <c r="C782" s="27" t="n">
        <v>0.7435</v>
      </c>
      <c r="D782" s="27" t="n">
        <v>1.3984</v>
      </c>
      <c r="E782" s="27" t="s">
        <v>603</v>
      </c>
      <c r="F782" s="27" t="s">
        <v>145</v>
      </c>
      <c r="G782" s="32" t="n">
        <f aca="false">(A782-A781)*86400000</f>
        <v>15.999586</v>
      </c>
      <c r="H782" s="3"/>
      <c r="I782" s="3"/>
      <c r="J782" s="3"/>
      <c r="K782" s="3"/>
      <c r="L782" s="3"/>
      <c r="M782" s="3"/>
    </row>
    <row r="783" customFormat="false" ht="15" hidden="false" customHeight="false" outlineLevel="0" collapsed="false">
      <c r="A783" s="28" t="n">
        <v>46301.5240375579</v>
      </c>
      <c r="B783" s="31" t="n">
        <f aca="false">(A783-$A$5)*86400</f>
        <v>33.207000279</v>
      </c>
      <c r="C783" s="27" t="n">
        <v>0.7419</v>
      </c>
      <c r="D783" s="27" t="n">
        <v>1.3973</v>
      </c>
      <c r="E783" s="27" t="s">
        <v>603</v>
      </c>
      <c r="F783" s="27" t="s">
        <v>145</v>
      </c>
      <c r="G783" s="32" t="n">
        <f aca="false">(A783-A782)*86400000</f>
        <v>16.000843</v>
      </c>
      <c r="H783" s="3"/>
      <c r="I783" s="3"/>
      <c r="J783" s="3"/>
      <c r="K783" s="3"/>
      <c r="L783" s="3"/>
      <c r="M783" s="3"/>
    </row>
    <row r="784" customFormat="false" ht="15" hidden="false" customHeight="false" outlineLevel="0" collapsed="false">
      <c r="A784" s="28" t="n">
        <v>46301.5240377431</v>
      </c>
      <c r="B784" s="31" t="n">
        <f aca="false">(A784-$A$5)*86400</f>
        <v>33.222999866</v>
      </c>
      <c r="C784" s="27" t="n">
        <v>0.7405</v>
      </c>
      <c r="D784" s="27" t="n">
        <v>1.3965</v>
      </c>
      <c r="E784" s="27" t="s">
        <v>603</v>
      </c>
      <c r="F784" s="27" t="s">
        <v>145</v>
      </c>
      <c r="G784" s="32" t="n">
        <f aca="false">(A784-A783)*86400000</f>
        <v>15.999586</v>
      </c>
      <c r="H784" s="3"/>
      <c r="I784" s="3"/>
      <c r="J784" s="3"/>
      <c r="K784" s="3"/>
      <c r="L784" s="3"/>
      <c r="M784" s="3"/>
    </row>
    <row r="785" customFormat="false" ht="15" hidden="false" customHeight="false" outlineLevel="0" collapsed="false">
      <c r="A785" s="28" t="n">
        <v>46301.5240379282</v>
      </c>
      <c r="B785" s="31" t="n">
        <f aca="false">(A785-$A$5)*86400</f>
        <v>33.239000081</v>
      </c>
      <c r="C785" s="27" t="n">
        <v>0.7394</v>
      </c>
      <c r="D785" s="27" t="n">
        <v>1.3958</v>
      </c>
      <c r="E785" s="27" t="s">
        <v>603</v>
      </c>
      <c r="F785" s="27" t="s">
        <v>145</v>
      </c>
      <c r="G785" s="32" t="n">
        <f aca="false">(A785-A784)*86400000</f>
        <v>16.000214</v>
      </c>
      <c r="H785" s="3"/>
      <c r="I785" s="3"/>
      <c r="J785" s="3"/>
      <c r="K785" s="3"/>
      <c r="L785" s="3"/>
      <c r="M785" s="3"/>
    </row>
    <row r="786" customFormat="false" ht="15" hidden="false" customHeight="false" outlineLevel="0" collapsed="false">
      <c r="A786" s="28" t="n">
        <v>46301.5240383102</v>
      </c>
      <c r="B786" s="31" t="n">
        <f aca="false">(A786-$A$5)*86400</f>
        <v>33.271999424</v>
      </c>
      <c r="C786" s="27" t="n">
        <v>0.7377</v>
      </c>
      <c r="D786" s="27" t="n">
        <v>1.3947</v>
      </c>
      <c r="E786" s="27" t="s">
        <v>603</v>
      </c>
      <c r="F786" s="27" t="s">
        <v>145</v>
      </c>
      <c r="G786" s="32" t="n">
        <f aca="false">(A786-A785)*86400000</f>
        <v>32.999343</v>
      </c>
      <c r="H786" s="3"/>
      <c r="I786" s="3"/>
      <c r="J786" s="3"/>
      <c r="K786" s="3"/>
      <c r="L786" s="3"/>
      <c r="M786" s="3"/>
    </row>
    <row r="787" customFormat="false" ht="15" hidden="false" customHeight="false" outlineLevel="0" collapsed="false">
      <c r="A787" s="28" t="n">
        <v>46301.5240386806</v>
      </c>
      <c r="B787" s="31" t="n">
        <f aca="false">(A787-$A$5)*86400</f>
        <v>33.303999854</v>
      </c>
      <c r="C787" s="27" t="n">
        <v>0.7365</v>
      </c>
      <c r="D787" s="27" t="n">
        <v>1.3939</v>
      </c>
      <c r="E787" s="27" t="s">
        <v>603</v>
      </c>
      <c r="F787" s="27" t="s">
        <v>145</v>
      </c>
      <c r="G787" s="32" t="n">
        <f aca="false">(A787-A786)*86400000</f>
        <v>32.000429</v>
      </c>
      <c r="H787" s="3"/>
      <c r="I787" s="3"/>
      <c r="J787" s="3"/>
      <c r="K787" s="3"/>
      <c r="L787" s="3"/>
      <c r="M787" s="3"/>
    </row>
    <row r="788" customFormat="false" ht="15" hidden="false" customHeight="false" outlineLevel="0" collapsed="false">
      <c r="A788" s="28" t="n">
        <v>46301.5240388773</v>
      </c>
      <c r="B788" s="31" t="n">
        <f aca="false">(A788-$A$5)*86400</f>
        <v>33.321000868</v>
      </c>
      <c r="C788" s="27" t="n">
        <v>0.7361</v>
      </c>
      <c r="D788" s="27" t="n">
        <v>1.3937</v>
      </c>
      <c r="E788" s="27" t="s">
        <v>603</v>
      </c>
      <c r="F788" s="27" t="s">
        <v>145</v>
      </c>
      <c r="G788" s="32" t="n">
        <f aca="false">(A788-A787)*86400000</f>
        <v>17.001014</v>
      </c>
      <c r="H788" s="3"/>
      <c r="I788" s="3"/>
      <c r="J788" s="3"/>
      <c r="K788" s="3"/>
      <c r="L788" s="3"/>
      <c r="M788" s="3"/>
    </row>
    <row r="789" customFormat="false" ht="15" hidden="false" customHeight="false" outlineLevel="0" collapsed="false">
      <c r="A789" s="28" t="n">
        <v>46301.5240392477</v>
      </c>
      <c r="B789" s="31" t="n">
        <f aca="false">(A789-$A$5)*86400</f>
        <v>33.352999412</v>
      </c>
      <c r="C789" s="27" t="n">
        <v>0.7341</v>
      </c>
      <c r="D789" s="27" t="n">
        <v>1.3924</v>
      </c>
      <c r="E789" s="27" t="s">
        <v>603</v>
      </c>
      <c r="F789" s="27" t="s">
        <v>145</v>
      </c>
      <c r="G789" s="32" t="n">
        <f aca="false">(A789-A788)*86400000</f>
        <v>31.998544</v>
      </c>
      <c r="H789" s="3"/>
      <c r="I789" s="3"/>
      <c r="J789" s="3"/>
      <c r="K789" s="3"/>
      <c r="L789" s="3"/>
      <c r="M789" s="3"/>
    </row>
    <row r="790" customFormat="false" ht="15" hidden="false" customHeight="false" outlineLevel="0" collapsed="false">
      <c r="A790" s="28" t="n">
        <v>46301.5240394329</v>
      </c>
      <c r="B790" s="31" t="n">
        <f aca="false">(A790-$A$5)*86400</f>
        <v>33.369000256</v>
      </c>
      <c r="C790" s="27" t="n">
        <v>0.7275</v>
      </c>
      <c r="D790" s="27" t="n">
        <v>1.3879</v>
      </c>
      <c r="E790" s="27" t="s">
        <v>603</v>
      </c>
      <c r="F790" s="27" t="s">
        <v>145</v>
      </c>
      <c r="G790" s="32" t="n">
        <f aca="false">(A790-A789)*86400000</f>
        <v>16.000843</v>
      </c>
      <c r="H790" s="3"/>
      <c r="I790" s="3"/>
      <c r="J790" s="3"/>
      <c r="K790" s="3"/>
      <c r="L790" s="3"/>
      <c r="M790" s="3"/>
    </row>
    <row r="791" customFormat="false" ht="15" hidden="false" customHeight="false" outlineLevel="0" collapsed="false">
      <c r="A791" s="28" t="n">
        <v>46301.5240396065</v>
      </c>
      <c r="B791" s="31" t="n">
        <f aca="false">(A791-$A$5)*86400</f>
        <v>33.383999671</v>
      </c>
      <c r="C791" s="27" t="n">
        <v>0.722</v>
      </c>
      <c r="D791" s="27" t="n">
        <v>1.3842</v>
      </c>
      <c r="E791" s="27" t="s">
        <v>603</v>
      </c>
      <c r="F791" s="27" t="s">
        <v>145</v>
      </c>
      <c r="G791" s="32" t="n">
        <f aca="false">(A791-A790)*86400000</f>
        <v>14.999415</v>
      </c>
      <c r="H791" s="3"/>
      <c r="I791" s="3"/>
      <c r="J791" s="3"/>
      <c r="K791" s="3"/>
      <c r="L791" s="3"/>
      <c r="M791" s="3"/>
    </row>
    <row r="792" customFormat="false" ht="15" hidden="false" customHeight="false" outlineLevel="0" collapsed="false">
      <c r="A792" s="28" t="n">
        <v>46301.5240397917</v>
      </c>
      <c r="B792" s="31" t="n">
        <f aca="false">(A792-$A$5)*86400</f>
        <v>33.399999258</v>
      </c>
      <c r="C792" s="27" t="n">
        <v>0.7175</v>
      </c>
      <c r="D792" s="27" t="n">
        <v>1.3812</v>
      </c>
      <c r="E792" s="27" t="s">
        <v>603</v>
      </c>
      <c r="F792" s="27" t="s">
        <v>145</v>
      </c>
      <c r="G792" s="32" t="n">
        <f aca="false">(A792-A791)*86400000</f>
        <v>15.999586</v>
      </c>
      <c r="H792" s="3"/>
      <c r="I792" s="3"/>
      <c r="J792" s="3"/>
      <c r="K792" s="3"/>
      <c r="L792" s="3"/>
      <c r="M792" s="3"/>
    </row>
    <row r="793" customFormat="false" ht="15" hidden="false" customHeight="false" outlineLevel="0" collapsed="false">
      <c r="A793" s="28" t="n">
        <v>46301.5240399884</v>
      </c>
      <c r="B793" s="31" t="n">
        <f aca="false">(A793-$A$5)*86400</f>
        <v>33.417000272</v>
      </c>
      <c r="C793" s="27" t="n">
        <v>0.7136</v>
      </c>
      <c r="D793" s="27" t="n">
        <v>1.3786</v>
      </c>
      <c r="E793" s="27" t="s">
        <v>603</v>
      </c>
      <c r="F793" s="27" t="s">
        <v>145</v>
      </c>
      <c r="G793" s="32" t="n">
        <f aca="false">(A793-A792)*86400000</f>
        <v>17.001014</v>
      </c>
      <c r="H793" s="3"/>
      <c r="I793" s="3"/>
      <c r="J793" s="3"/>
      <c r="K793" s="3"/>
      <c r="L793" s="3"/>
      <c r="M793" s="3"/>
    </row>
    <row r="794" customFormat="false" ht="15" hidden="false" customHeight="false" outlineLevel="0" collapsed="false">
      <c r="A794" s="28" t="n">
        <v>46301.5240401736</v>
      </c>
      <c r="B794" s="31" t="n">
        <f aca="false">(A794-$A$5)*86400</f>
        <v>33.432999858</v>
      </c>
      <c r="C794" s="27" t="n">
        <v>0.7105</v>
      </c>
      <c r="D794" s="27" t="n">
        <v>1.3765</v>
      </c>
      <c r="E794" s="27" t="s">
        <v>603</v>
      </c>
      <c r="F794" s="27" t="s">
        <v>145</v>
      </c>
      <c r="G794" s="32" t="n">
        <f aca="false">(A794-A793)*86400000</f>
        <v>15.999586</v>
      </c>
      <c r="H794" s="3"/>
      <c r="I794" s="3"/>
      <c r="J794" s="3"/>
      <c r="K794" s="3"/>
      <c r="L794" s="3"/>
      <c r="M794" s="3"/>
    </row>
    <row r="795" customFormat="false" ht="15" hidden="false" customHeight="false" outlineLevel="0" collapsed="false">
      <c r="A795" s="28" t="n">
        <v>46301.5240403588</v>
      </c>
      <c r="B795" s="31" t="n">
        <f aca="false">(A795-$A$5)*86400</f>
        <v>33.449000702</v>
      </c>
      <c r="C795" s="27" t="n">
        <v>0.708</v>
      </c>
      <c r="D795" s="27" t="n">
        <v>1.3748</v>
      </c>
      <c r="E795" s="27" t="s">
        <v>603</v>
      </c>
      <c r="F795" s="27" t="s">
        <v>145</v>
      </c>
      <c r="G795" s="32" t="n">
        <f aca="false">(A795-A794)*86400000</f>
        <v>16.000843</v>
      </c>
      <c r="H795" s="3"/>
      <c r="I795" s="3"/>
      <c r="J795" s="3"/>
      <c r="K795" s="3"/>
      <c r="L795" s="3"/>
      <c r="M795" s="3"/>
    </row>
    <row r="796" customFormat="false" ht="15" hidden="false" customHeight="false" outlineLevel="0" collapsed="false">
      <c r="A796" s="28" t="n">
        <v>46301.5240405556</v>
      </c>
      <c r="B796" s="31" t="n">
        <f aca="false">(A796-$A$5)*86400</f>
        <v>33.46599983</v>
      </c>
      <c r="C796" s="27" t="n">
        <v>0.706</v>
      </c>
      <c r="D796" s="27" t="n">
        <v>1.3735</v>
      </c>
      <c r="E796" s="27" t="s">
        <v>603</v>
      </c>
      <c r="F796" s="27" t="s">
        <v>145</v>
      </c>
      <c r="G796" s="32" t="n">
        <f aca="false">(A796-A795)*86400000</f>
        <v>16.999128</v>
      </c>
      <c r="H796" s="3"/>
      <c r="I796" s="3"/>
      <c r="J796" s="3"/>
      <c r="K796" s="3"/>
      <c r="L796" s="3"/>
      <c r="M796" s="3"/>
    </row>
    <row r="797" customFormat="false" ht="15" hidden="false" customHeight="false" outlineLevel="0" collapsed="false">
      <c r="A797" s="28" t="n">
        <v>46301.5240407407</v>
      </c>
      <c r="B797" s="31" t="n">
        <f aca="false">(A797-$A$5)*86400</f>
        <v>33.482000045</v>
      </c>
      <c r="C797" s="27" t="n">
        <v>0.7042</v>
      </c>
      <c r="D797" s="27" t="n">
        <v>1.3722</v>
      </c>
      <c r="E797" s="27" t="s">
        <v>603</v>
      </c>
      <c r="F797" s="27" t="s">
        <v>145</v>
      </c>
      <c r="G797" s="32" t="n">
        <f aca="false">(A797-A796)*86400000</f>
        <v>16.000214</v>
      </c>
      <c r="H797" s="3"/>
      <c r="I797" s="3"/>
      <c r="J797" s="3"/>
      <c r="K797" s="3"/>
      <c r="L797" s="3"/>
      <c r="M797" s="3"/>
    </row>
    <row r="798" customFormat="false" ht="15" hidden="false" customHeight="false" outlineLevel="0" collapsed="false">
      <c r="A798" s="28" t="n">
        <v>46301.5240409375</v>
      </c>
      <c r="B798" s="31" t="n">
        <f aca="false">(A798-$A$5)*86400</f>
        <v>33.498999802</v>
      </c>
      <c r="C798" s="27" t="n">
        <v>0.7028</v>
      </c>
      <c r="D798" s="27" t="n">
        <v>1.3713</v>
      </c>
      <c r="E798" s="27" t="s">
        <v>603</v>
      </c>
      <c r="F798" s="27" t="s">
        <v>145</v>
      </c>
      <c r="G798" s="32" t="n">
        <f aca="false">(A798-A797)*86400000</f>
        <v>16.999756</v>
      </c>
      <c r="H798" s="3"/>
      <c r="I798" s="3"/>
      <c r="J798" s="3"/>
      <c r="K798" s="3"/>
      <c r="L798" s="3"/>
      <c r="M798" s="3"/>
    </row>
    <row r="799" customFormat="false" ht="15" hidden="false" customHeight="false" outlineLevel="0" collapsed="false">
      <c r="A799" s="28" t="n">
        <v>46301.5240411111</v>
      </c>
      <c r="B799" s="31" t="n">
        <f aca="false">(A799-$A$5)*86400</f>
        <v>33.513999846</v>
      </c>
      <c r="C799" s="27" t="n">
        <v>0.7204</v>
      </c>
      <c r="D799" s="27" t="n">
        <v>1.3698</v>
      </c>
      <c r="E799" s="27" t="s">
        <v>603</v>
      </c>
      <c r="F799" s="27" t="s">
        <v>145</v>
      </c>
      <c r="G799" s="32" t="n">
        <f aca="false">(A799-A798)*86400000</f>
        <v>15.000044</v>
      </c>
      <c r="H799" s="3"/>
      <c r="I799" s="3"/>
      <c r="J799" s="3"/>
      <c r="K799" s="3"/>
      <c r="L799" s="3"/>
      <c r="M799" s="3"/>
    </row>
    <row r="800" customFormat="false" ht="15" hidden="false" customHeight="false" outlineLevel="0" collapsed="false">
      <c r="A800" s="28" t="n">
        <v>46301.5240412963</v>
      </c>
      <c r="B800" s="31" t="n">
        <f aca="false">(A800-$A$5)*86400</f>
        <v>33.53000069</v>
      </c>
      <c r="C800" s="27" t="n">
        <v>0.735</v>
      </c>
      <c r="D800" s="27" t="n">
        <v>1.3686</v>
      </c>
      <c r="E800" s="27" t="s">
        <v>603</v>
      </c>
      <c r="F800" s="27" t="s">
        <v>145</v>
      </c>
      <c r="G800" s="32" t="n">
        <f aca="false">(A800-A799)*86400000</f>
        <v>16.000843</v>
      </c>
      <c r="H800" s="3"/>
      <c r="I800" s="3"/>
      <c r="J800" s="3"/>
      <c r="K800" s="3"/>
      <c r="L800" s="3"/>
      <c r="M800" s="3"/>
    </row>
    <row r="801" customFormat="false" ht="15" hidden="false" customHeight="false" outlineLevel="0" collapsed="false">
      <c r="A801" s="28" t="n">
        <v>46301.5240414815</v>
      </c>
      <c r="B801" s="31" t="n">
        <f aca="false">(A801-$A$5)*86400</f>
        <v>33.546000276</v>
      </c>
      <c r="C801" s="27" t="n">
        <v>0.7471</v>
      </c>
      <c r="D801" s="27" t="n">
        <v>1.3676</v>
      </c>
      <c r="E801" s="27" t="s">
        <v>603</v>
      </c>
      <c r="F801" s="27" t="s">
        <v>145</v>
      </c>
      <c r="G801" s="32" t="n">
        <f aca="false">(A801-A800)*86400000</f>
        <v>15.999586</v>
      </c>
      <c r="H801" s="3"/>
      <c r="I801" s="3"/>
      <c r="J801" s="3"/>
      <c r="K801" s="3"/>
      <c r="L801" s="3"/>
      <c r="M801" s="3"/>
    </row>
    <row r="802" customFormat="false" ht="15" hidden="false" customHeight="false" outlineLevel="0" collapsed="false">
      <c r="A802" s="28" t="n">
        <v>46301.5240416782</v>
      </c>
      <c r="B802" s="31" t="n">
        <f aca="false">(A802-$A$5)*86400</f>
        <v>33.563000033</v>
      </c>
      <c r="C802" s="27" t="n">
        <v>0.757</v>
      </c>
      <c r="D802" s="27" t="n">
        <v>1.3667</v>
      </c>
      <c r="E802" s="27" t="s">
        <v>603</v>
      </c>
      <c r="F802" s="27" t="s">
        <v>145</v>
      </c>
      <c r="G802" s="32" t="n">
        <f aca="false">(A802-A801)*86400000</f>
        <v>16.999756</v>
      </c>
      <c r="H802" s="3"/>
      <c r="I802" s="3"/>
      <c r="J802" s="3"/>
      <c r="K802" s="3"/>
      <c r="L802" s="3"/>
      <c r="M802" s="3"/>
    </row>
    <row r="803" customFormat="false" ht="15" hidden="false" customHeight="false" outlineLevel="0" collapsed="false">
      <c r="A803" s="28" t="n">
        <v>46301.5240418519</v>
      </c>
      <c r="B803" s="31" t="n">
        <f aca="false">(A803-$A$5)*86400</f>
        <v>33.578000077</v>
      </c>
      <c r="C803" s="27" t="n">
        <v>0.7657</v>
      </c>
      <c r="D803" s="27" t="n">
        <v>1.366</v>
      </c>
      <c r="E803" s="27" t="s">
        <v>603</v>
      </c>
      <c r="F803" s="27" t="s">
        <v>145</v>
      </c>
      <c r="G803" s="32" t="n">
        <f aca="false">(A803-A802)*86400000</f>
        <v>15.000044</v>
      </c>
      <c r="H803" s="3"/>
      <c r="I803" s="3"/>
      <c r="J803" s="3"/>
      <c r="K803" s="3"/>
      <c r="L803" s="3"/>
      <c r="M803" s="3"/>
    </row>
    <row r="804" customFormat="false" ht="15" hidden="false" customHeight="false" outlineLevel="0" collapsed="false">
      <c r="A804" s="28" t="n">
        <v>46301.524042037</v>
      </c>
      <c r="B804" s="31" t="n">
        <f aca="false">(A804-$A$5)*86400</f>
        <v>33.594000292</v>
      </c>
      <c r="C804" s="27" t="n">
        <v>0.7723</v>
      </c>
      <c r="D804" s="27" t="n">
        <v>1.3654</v>
      </c>
      <c r="E804" s="27" t="s">
        <v>603</v>
      </c>
      <c r="F804" s="27" t="s">
        <v>145</v>
      </c>
      <c r="G804" s="32" t="n">
        <f aca="false">(A804-A803)*86400000</f>
        <v>16.000214</v>
      </c>
      <c r="H804" s="3"/>
      <c r="I804" s="3"/>
      <c r="J804" s="3"/>
      <c r="K804" s="3"/>
      <c r="L804" s="3"/>
      <c r="M804" s="3"/>
    </row>
    <row r="805" customFormat="false" ht="15" hidden="false" customHeight="false" outlineLevel="0" collapsed="false">
      <c r="A805" s="28" t="n">
        <v>46301.5240422222</v>
      </c>
      <c r="B805" s="31" t="n">
        <f aca="false">(A805-$A$5)*86400</f>
        <v>33.609999879</v>
      </c>
      <c r="C805" s="27" t="n">
        <v>0.7779</v>
      </c>
      <c r="D805" s="27" t="n">
        <v>1.365</v>
      </c>
      <c r="E805" s="27" t="s">
        <v>603</v>
      </c>
      <c r="F805" s="27" t="s">
        <v>145</v>
      </c>
      <c r="G805" s="32" t="n">
        <f aca="false">(A805-A804)*86400000</f>
        <v>15.999586</v>
      </c>
      <c r="H805" s="3"/>
      <c r="I805" s="3"/>
      <c r="J805" s="3"/>
      <c r="K805" s="3"/>
      <c r="L805" s="3"/>
      <c r="M805" s="3"/>
    </row>
    <row r="806" customFormat="false" ht="15" hidden="false" customHeight="false" outlineLevel="0" collapsed="false">
      <c r="A806" s="28" t="n">
        <v>46301.524042419</v>
      </c>
      <c r="B806" s="31" t="n">
        <f aca="false">(A806-$A$5)*86400</f>
        <v>33.627000264</v>
      </c>
      <c r="C806" s="27" t="n">
        <v>0.7824</v>
      </c>
      <c r="D806" s="27" t="n">
        <v>1.3646</v>
      </c>
      <c r="E806" s="27" t="s">
        <v>603</v>
      </c>
      <c r="F806" s="27" t="s">
        <v>145</v>
      </c>
      <c r="G806" s="32" t="n">
        <f aca="false">(A806-A805)*86400000</f>
        <v>17.000385</v>
      </c>
      <c r="H806" s="3"/>
      <c r="I806" s="3"/>
      <c r="J806" s="3"/>
      <c r="K806" s="3"/>
      <c r="L806" s="3"/>
      <c r="M806" s="3"/>
    </row>
    <row r="807" customFormat="false" ht="15" hidden="false" customHeight="false" outlineLevel="0" collapsed="false">
      <c r="A807" s="28" t="n">
        <v>46301.5240425926</v>
      </c>
      <c r="B807" s="31" t="n">
        <f aca="false">(A807-$A$5)*86400</f>
        <v>33.64199968</v>
      </c>
      <c r="C807" s="27" t="n">
        <v>0.7862</v>
      </c>
      <c r="D807" s="27" t="n">
        <v>1.3643</v>
      </c>
      <c r="E807" s="27" t="s">
        <v>603</v>
      </c>
      <c r="F807" s="27" t="s">
        <v>145</v>
      </c>
      <c r="G807" s="32" t="n">
        <f aca="false">(A807-A806)*86400000</f>
        <v>14.999415</v>
      </c>
      <c r="H807" s="3"/>
      <c r="I807" s="3"/>
      <c r="J807" s="3"/>
      <c r="K807" s="3"/>
      <c r="L807" s="3"/>
      <c r="M807" s="3"/>
    </row>
    <row r="808" customFormat="false" ht="15" hidden="false" customHeight="false" outlineLevel="0" collapsed="false">
      <c r="A808" s="28" t="n">
        <v>46301.5240427778</v>
      </c>
      <c r="B808" s="31" t="n">
        <f aca="false">(A808-$A$5)*86400</f>
        <v>33.658000524</v>
      </c>
      <c r="C808" s="27" t="n">
        <v>0.7827</v>
      </c>
      <c r="D808" s="27" t="n">
        <v>1.3593</v>
      </c>
      <c r="E808" s="27" t="s">
        <v>603</v>
      </c>
      <c r="F808" s="27" t="s">
        <v>145</v>
      </c>
      <c r="G808" s="32" t="n">
        <f aca="false">(A808-A807)*86400000</f>
        <v>16.000843</v>
      </c>
      <c r="H808" s="3"/>
      <c r="I808" s="3"/>
      <c r="J808" s="3"/>
      <c r="K808" s="3"/>
      <c r="L808" s="3"/>
      <c r="M808" s="3"/>
    </row>
    <row r="809" customFormat="false" ht="15" hidden="false" customHeight="false" outlineLevel="0" collapsed="false">
      <c r="A809" s="28" t="n">
        <v>46301.524042963</v>
      </c>
      <c r="B809" s="31" t="n">
        <f aca="false">(A809-$A$5)*86400</f>
        <v>33.67400011</v>
      </c>
      <c r="C809" s="27" t="n">
        <v>0.7798</v>
      </c>
      <c r="D809" s="27" t="n">
        <v>1.3552</v>
      </c>
      <c r="E809" s="27" t="s">
        <v>603</v>
      </c>
      <c r="F809" s="27" t="s">
        <v>145</v>
      </c>
      <c r="G809" s="32" t="n">
        <f aca="false">(A809-A808)*86400000</f>
        <v>15.999586</v>
      </c>
      <c r="H809" s="3"/>
      <c r="I809" s="3"/>
      <c r="J809" s="3"/>
      <c r="K809" s="3"/>
      <c r="L809" s="3"/>
      <c r="M809" s="3"/>
    </row>
    <row r="810" customFormat="false" ht="15" hidden="false" customHeight="false" outlineLevel="0" collapsed="false">
      <c r="A810" s="28" t="n">
        <v>46301.5240431482</v>
      </c>
      <c r="B810" s="31" t="n">
        <f aca="false">(A810-$A$5)*86400</f>
        <v>33.690000325</v>
      </c>
      <c r="C810" s="27" t="n">
        <v>0.7774</v>
      </c>
      <c r="D810" s="27" t="n">
        <v>1.3518</v>
      </c>
      <c r="E810" s="27" t="s">
        <v>603</v>
      </c>
      <c r="F810" s="27" t="s">
        <v>145</v>
      </c>
      <c r="G810" s="32" t="n">
        <f aca="false">(A810-A809)*86400000</f>
        <v>16.000214</v>
      </c>
      <c r="H810" s="3"/>
      <c r="I810" s="3"/>
      <c r="J810" s="3"/>
      <c r="K810" s="3"/>
      <c r="L810" s="3"/>
      <c r="M810" s="3"/>
    </row>
    <row r="811" customFormat="false" ht="15" hidden="false" customHeight="false" outlineLevel="0" collapsed="false">
      <c r="A811" s="28" t="n">
        <v>46301.5240433333</v>
      </c>
      <c r="B811" s="31" t="n">
        <f aca="false">(A811-$A$5)*86400</f>
        <v>33.705999911</v>
      </c>
      <c r="C811" s="27" t="n">
        <v>0.7755</v>
      </c>
      <c r="D811" s="27" t="n">
        <v>1.349</v>
      </c>
      <c r="E811" s="27" t="s">
        <v>603</v>
      </c>
      <c r="F811" s="27" t="s">
        <v>145</v>
      </c>
      <c r="G811" s="32" t="n">
        <f aca="false">(A811-A810)*86400000</f>
        <v>15.999586</v>
      </c>
      <c r="H811" s="3"/>
      <c r="I811" s="3"/>
      <c r="J811" s="3"/>
      <c r="K811" s="3"/>
      <c r="L811" s="3"/>
      <c r="M811" s="3"/>
    </row>
    <row r="812" customFormat="false" ht="15" hidden="false" customHeight="false" outlineLevel="0" collapsed="false">
      <c r="A812" s="28" t="n">
        <v>46301.5240435301</v>
      </c>
      <c r="B812" s="31" t="n">
        <f aca="false">(A812-$A$5)*86400</f>
        <v>33.722999668</v>
      </c>
      <c r="C812" s="27" t="n">
        <v>0.7738</v>
      </c>
      <c r="D812" s="27" t="n">
        <v>1.3465</v>
      </c>
      <c r="E812" s="27" t="s">
        <v>603</v>
      </c>
      <c r="F812" s="27" t="s">
        <v>145</v>
      </c>
      <c r="G812" s="32" t="n">
        <f aca="false">(A812-A811)*86400000</f>
        <v>16.999756</v>
      </c>
      <c r="H812" s="3"/>
      <c r="I812" s="3"/>
      <c r="J812" s="3"/>
      <c r="K812" s="3"/>
      <c r="L812" s="3"/>
      <c r="M812" s="3"/>
    </row>
    <row r="813" customFormat="false" ht="15" hidden="false" customHeight="false" outlineLevel="0" collapsed="false">
      <c r="A813" s="28" t="n">
        <v>46301.5240437153</v>
      </c>
      <c r="B813" s="31" t="n">
        <f aca="false">(A813-$A$5)*86400</f>
        <v>33.739000512</v>
      </c>
      <c r="C813" s="27" t="n">
        <v>0.7724</v>
      </c>
      <c r="D813" s="27" t="n">
        <v>1.3446</v>
      </c>
      <c r="E813" s="27" t="s">
        <v>603</v>
      </c>
      <c r="F813" s="27" t="s">
        <v>145</v>
      </c>
      <c r="G813" s="32" t="n">
        <f aca="false">(A813-A812)*86400000</f>
        <v>16.000843</v>
      </c>
      <c r="H813" s="3"/>
      <c r="I813" s="3"/>
      <c r="J813" s="3"/>
      <c r="K813" s="3"/>
      <c r="L813" s="3"/>
      <c r="M813" s="3"/>
    </row>
    <row r="814" customFormat="false" ht="15" hidden="false" customHeight="false" outlineLevel="0" collapsed="false">
      <c r="A814" s="28" t="n">
        <v>46301.5240439005</v>
      </c>
      <c r="B814" s="31" t="n">
        <f aca="false">(A814-$A$5)*86400</f>
        <v>33.755000098</v>
      </c>
      <c r="C814" s="27" t="n">
        <v>0.7713</v>
      </c>
      <c r="D814" s="27" t="n">
        <v>1.3431</v>
      </c>
      <c r="E814" s="27" t="s">
        <v>603</v>
      </c>
      <c r="F814" s="27" t="s">
        <v>145</v>
      </c>
      <c r="G814" s="32" t="n">
        <f aca="false">(A814-A813)*86400000</f>
        <v>15.999586</v>
      </c>
      <c r="H814" s="3"/>
      <c r="I814" s="3"/>
      <c r="J814" s="3"/>
      <c r="K814" s="3"/>
      <c r="L814" s="3"/>
      <c r="M814" s="3"/>
    </row>
    <row r="815" customFormat="false" ht="15" hidden="false" customHeight="false" outlineLevel="0" collapsed="false">
      <c r="A815" s="28" t="n">
        <v>46301.5240440857</v>
      </c>
      <c r="B815" s="31" t="n">
        <f aca="false">(A815-$A$5)*86400</f>
        <v>33.771000313</v>
      </c>
      <c r="C815" s="27" t="n">
        <v>0.7704</v>
      </c>
      <c r="D815" s="27" t="n">
        <v>1.3418</v>
      </c>
      <c r="E815" s="27" t="s">
        <v>603</v>
      </c>
      <c r="F815" s="27" t="s">
        <v>145</v>
      </c>
      <c r="G815" s="32" t="n">
        <f aca="false">(A815-A814)*86400000</f>
        <v>16.000214</v>
      </c>
      <c r="H815" s="3"/>
      <c r="I815" s="3"/>
      <c r="J815" s="3"/>
      <c r="K815" s="3"/>
      <c r="L815" s="3"/>
      <c r="M815" s="3"/>
    </row>
    <row r="816" customFormat="false" ht="15" hidden="false" customHeight="false" outlineLevel="0" collapsed="false">
      <c r="A816" s="28" t="n">
        <v>46301.5240442708</v>
      </c>
      <c r="B816" s="31" t="n">
        <f aca="false">(A816-$A$5)*86400</f>
        <v>33.786999899</v>
      </c>
      <c r="C816" s="27" t="n">
        <v>0.7697</v>
      </c>
      <c r="D816" s="27" t="n">
        <v>1.3407</v>
      </c>
      <c r="E816" s="27" t="s">
        <v>603</v>
      </c>
      <c r="F816" s="27" t="s">
        <v>145</v>
      </c>
      <c r="G816" s="32" t="n">
        <f aca="false">(A816-A815)*86400000</f>
        <v>15.999586</v>
      </c>
      <c r="H816" s="3"/>
      <c r="I816" s="3"/>
      <c r="J816" s="3"/>
      <c r="K816" s="3"/>
      <c r="L816" s="3"/>
      <c r="M816" s="3"/>
    </row>
    <row r="817" customFormat="false" ht="15" hidden="false" customHeight="false" outlineLevel="0" collapsed="false">
      <c r="A817" s="28" t="n">
        <v>46301.524044456</v>
      </c>
      <c r="B817" s="31" t="n">
        <f aca="false">(A817-$A$5)*86400</f>
        <v>33.803000114</v>
      </c>
      <c r="C817" s="27" t="n">
        <v>0.7691</v>
      </c>
      <c r="D817" s="27" t="n">
        <v>1.3399</v>
      </c>
      <c r="E817" s="27" t="s">
        <v>603</v>
      </c>
      <c r="F817" s="27" t="s">
        <v>145</v>
      </c>
      <c r="G817" s="32" t="n">
        <f aca="false">(A817-A816)*86400000</f>
        <v>16.000214</v>
      </c>
      <c r="H817" s="3"/>
      <c r="I817" s="3"/>
      <c r="J817" s="3"/>
      <c r="K817" s="3"/>
      <c r="L817" s="3"/>
      <c r="M817" s="3"/>
    </row>
    <row r="818" customFormat="false" ht="15" hidden="false" customHeight="false" outlineLevel="0" collapsed="false">
      <c r="A818" s="28" t="n">
        <v>46301.5240446412</v>
      </c>
      <c r="B818" s="31" t="n">
        <f aca="false">(A818-$A$5)*86400</f>
        <v>33.819000958</v>
      </c>
      <c r="C818" s="27" t="n">
        <v>0.7665</v>
      </c>
      <c r="D818" s="27" t="n">
        <v>1.3412</v>
      </c>
      <c r="E818" s="27" t="s">
        <v>603</v>
      </c>
      <c r="F818" s="27" t="s">
        <v>145</v>
      </c>
      <c r="G818" s="32" t="n">
        <f aca="false">(A818-A817)*86400000</f>
        <v>16.000843</v>
      </c>
      <c r="H818" s="3"/>
      <c r="I818" s="3"/>
      <c r="J818" s="3"/>
      <c r="K818" s="3"/>
      <c r="L818" s="3"/>
      <c r="M818" s="3"/>
    </row>
    <row r="819" customFormat="false" ht="15" hidden="false" customHeight="false" outlineLevel="0" collapsed="false">
      <c r="A819" s="28" t="n">
        <v>46301.5240448264</v>
      </c>
      <c r="B819" s="31" t="n">
        <f aca="false">(A819-$A$5)*86400</f>
        <v>33.834999916</v>
      </c>
      <c r="C819" s="27" t="n">
        <v>0.7644</v>
      </c>
      <c r="D819" s="27" t="n">
        <v>1.3423</v>
      </c>
      <c r="E819" s="27" t="s">
        <v>603</v>
      </c>
      <c r="F819" s="27" t="s">
        <v>145</v>
      </c>
      <c r="G819" s="32" t="n">
        <f aca="false">(A819-A818)*86400000</f>
        <v>15.998957</v>
      </c>
      <c r="H819" s="3"/>
      <c r="I819" s="3"/>
      <c r="J819" s="3"/>
      <c r="K819" s="3"/>
      <c r="L819" s="3"/>
      <c r="M819" s="3"/>
    </row>
    <row r="820" customFormat="false" ht="15" hidden="false" customHeight="false" outlineLevel="0" collapsed="false">
      <c r="A820" s="28" t="n">
        <v>46301.5240450116</v>
      </c>
      <c r="B820" s="31" t="n">
        <f aca="false">(A820-$A$5)*86400</f>
        <v>33.850999502</v>
      </c>
      <c r="C820" s="27" t="n">
        <v>0.7627</v>
      </c>
      <c r="D820" s="27" t="n">
        <v>1.3432</v>
      </c>
      <c r="E820" s="27" t="s">
        <v>603</v>
      </c>
      <c r="F820" s="27" t="s">
        <v>145</v>
      </c>
      <c r="G820" s="32" t="n">
        <f aca="false">(A820-A819)*86400000</f>
        <v>15.999586</v>
      </c>
      <c r="H820" s="3"/>
      <c r="I820" s="3"/>
      <c r="J820" s="3"/>
      <c r="K820" s="3"/>
      <c r="L820" s="3"/>
      <c r="M820" s="3"/>
    </row>
    <row r="821" customFormat="false" ht="15" hidden="false" customHeight="false" outlineLevel="0" collapsed="false">
      <c r="A821" s="28" t="n">
        <v>46301.5240451968</v>
      </c>
      <c r="B821" s="31" t="n">
        <f aca="false">(A821-$A$5)*86400</f>
        <v>33.867000346</v>
      </c>
      <c r="C821" s="27" t="n">
        <v>0.7613</v>
      </c>
      <c r="D821" s="27" t="n">
        <v>1.344</v>
      </c>
      <c r="E821" s="27" t="s">
        <v>603</v>
      </c>
      <c r="F821" s="27" t="s">
        <v>145</v>
      </c>
      <c r="G821" s="32" t="n">
        <f aca="false">(A821-A820)*86400000</f>
        <v>16.000843</v>
      </c>
      <c r="H821" s="3"/>
      <c r="I821" s="3"/>
      <c r="J821" s="3"/>
      <c r="K821" s="3"/>
      <c r="L821" s="3"/>
      <c r="M821" s="3"/>
    </row>
    <row r="822" customFormat="false" ht="15" hidden="false" customHeight="false" outlineLevel="0" collapsed="false">
      <c r="A822" s="28" t="n">
        <v>46301.5240455787</v>
      </c>
      <c r="B822" s="31" t="n">
        <f aca="false">(A822-$A$5)*86400</f>
        <v>33.900000946</v>
      </c>
      <c r="C822" s="27" t="n">
        <v>0.7591</v>
      </c>
      <c r="D822" s="27" t="n">
        <v>1.3451</v>
      </c>
      <c r="E822" s="27" t="s">
        <v>603</v>
      </c>
      <c r="F822" s="27" t="s">
        <v>145</v>
      </c>
      <c r="G822" s="32" t="n">
        <f aca="false">(A822-A821)*86400000</f>
        <v>33.0006</v>
      </c>
      <c r="H822" s="3"/>
      <c r="I822" s="3"/>
      <c r="J822" s="3"/>
      <c r="K822" s="3"/>
      <c r="L822" s="3"/>
      <c r="M822" s="3"/>
    </row>
    <row r="823" customFormat="false" ht="15" hidden="false" customHeight="false" outlineLevel="0" collapsed="false">
      <c r="A823" s="28" t="n">
        <v>46301.5240457523</v>
      </c>
      <c r="B823" s="31" t="n">
        <f aca="false">(A823-$A$5)*86400</f>
        <v>33.915000362</v>
      </c>
      <c r="C823" s="27" t="n">
        <v>0.7583</v>
      </c>
      <c r="D823" s="27" t="n">
        <v>1.3456</v>
      </c>
      <c r="E823" s="27" t="s">
        <v>603</v>
      </c>
      <c r="F823" s="27" t="s">
        <v>145</v>
      </c>
      <c r="G823" s="32" t="n">
        <f aca="false">(A823-A822)*86400000</f>
        <v>14.999415</v>
      </c>
      <c r="H823" s="3"/>
      <c r="I823" s="3"/>
      <c r="J823" s="3"/>
      <c r="K823" s="3"/>
      <c r="L823" s="3"/>
      <c r="M823" s="3"/>
    </row>
    <row r="824" customFormat="false" ht="15" hidden="false" customHeight="false" outlineLevel="0" collapsed="false">
      <c r="A824" s="28" t="n">
        <v>46301.5240465046</v>
      </c>
      <c r="B824" s="31" t="n">
        <f aca="false">(A824-$A$5)*86400</f>
        <v>33.980000135</v>
      </c>
      <c r="C824" s="27" t="n">
        <v>0.7563</v>
      </c>
      <c r="D824" s="27" t="n">
        <v>1.3466</v>
      </c>
      <c r="E824" s="27" t="s">
        <v>603</v>
      </c>
      <c r="F824" s="27" t="s">
        <v>145</v>
      </c>
      <c r="G824" s="32" t="n">
        <f aca="false">(A824-A823)*86400000</f>
        <v>64.999773</v>
      </c>
      <c r="H824" s="3"/>
      <c r="I824" s="3"/>
      <c r="J824" s="3"/>
      <c r="K824" s="3"/>
      <c r="L824" s="3"/>
      <c r="M824" s="3"/>
    </row>
    <row r="825" customFormat="false" ht="15" hidden="false" customHeight="false" outlineLevel="0" collapsed="false">
      <c r="A825" s="28" t="n">
        <v>46301.5240466898</v>
      </c>
      <c r="B825" s="31" t="n">
        <f aca="false">(A825-$A$5)*86400</f>
        <v>33.99600035</v>
      </c>
      <c r="C825" s="27" t="n">
        <v>0.7545</v>
      </c>
      <c r="D825" s="27" t="n">
        <v>1.3476</v>
      </c>
      <c r="E825" s="27" t="s">
        <v>603</v>
      </c>
      <c r="F825" s="27" t="s">
        <v>145</v>
      </c>
      <c r="G825" s="32" t="n">
        <f aca="false">(A825-A824)*86400000</f>
        <v>16.000214</v>
      </c>
      <c r="H825" s="3"/>
      <c r="I825" s="3"/>
      <c r="J825" s="3"/>
      <c r="K825" s="3"/>
      <c r="L825" s="3"/>
      <c r="M825" s="3"/>
    </row>
    <row r="826" customFormat="false" ht="15" hidden="false" customHeight="false" outlineLevel="0" collapsed="false">
      <c r="A826" s="28" t="n">
        <v>46301.5240552315</v>
      </c>
      <c r="B826" s="31" t="n">
        <f aca="false">(A826-$A$5)*86400</f>
        <v>34.733999893</v>
      </c>
      <c r="C826" s="27" t="n">
        <v>0.7549</v>
      </c>
      <c r="D826" s="27" t="n">
        <v>1.4137</v>
      </c>
      <c r="E826" s="27" t="s">
        <v>603</v>
      </c>
      <c r="F826" s="27" t="s">
        <v>145</v>
      </c>
      <c r="G826" s="32" t="n">
        <f aca="false">(A826-A825)*86400000</f>
        <v>737.999542</v>
      </c>
      <c r="H826" s="3"/>
      <c r="I826" s="3"/>
      <c r="J826" s="3"/>
      <c r="K826" s="3"/>
      <c r="L826" s="3"/>
      <c r="M826" s="3"/>
    </row>
    <row r="827" customFormat="false" ht="15" hidden="false" customHeight="false" outlineLevel="0" collapsed="false">
      <c r="A827" s="28" t="n">
        <v>46301.5240554167</v>
      </c>
      <c r="B827" s="31" t="n">
        <f aca="false">(A827-$A$5)*86400</f>
        <v>34.750000108</v>
      </c>
      <c r="C827" s="27" t="n">
        <v>0.7552</v>
      </c>
      <c r="D827" s="27" t="n">
        <v>1.4682</v>
      </c>
      <c r="E827" s="27" t="s">
        <v>603</v>
      </c>
      <c r="F827" s="27" t="s">
        <v>145</v>
      </c>
      <c r="G827" s="32" t="n">
        <f aca="false">(A827-A826)*86400000</f>
        <v>16.000214</v>
      </c>
      <c r="H827" s="3"/>
      <c r="I827" s="3"/>
      <c r="J827" s="3"/>
      <c r="K827" s="3"/>
      <c r="L827" s="3"/>
      <c r="M827" s="3"/>
    </row>
    <row r="828" customFormat="false" ht="15" hidden="false" customHeight="false" outlineLevel="0" collapsed="false">
      <c r="A828" s="28" t="n">
        <v>46301.5240556134</v>
      </c>
      <c r="B828" s="31" t="n">
        <f aca="false">(A828-$A$5)*86400</f>
        <v>34.766999864</v>
      </c>
      <c r="C828" s="27" t="n">
        <v>0.7554</v>
      </c>
      <c r="D828" s="27" t="n">
        <v>1.5133</v>
      </c>
      <c r="E828" s="27" t="s">
        <v>603</v>
      </c>
      <c r="F828" s="27" t="s">
        <v>145</v>
      </c>
      <c r="G828" s="32" t="n">
        <f aca="false">(A828-A827)*86400000</f>
        <v>16.999756</v>
      </c>
      <c r="H828" s="3"/>
      <c r="I828" s="3"/>
      <c r="J828" s="3"/>
      <c r="K828" s="3"/>
      <c r="L828" s="3"/>
      <c r="M828" s="3"/>
    </row>
    <row r="829" customFormat="false" ht="15" hidden="false" customHeight="false" outlineLevel="0" collapsed="false">
      <c r="A829" s="28" t="n">
        <v>46301.524055787</v>
      </c>
      <c r="B829" s="31" t="n">
        <f aca="false">(A829-$A$5)*86400</f>
        <v>34.78199928</v>
      </c>
      <c r="C829" s="27" t="n">
        <v>0.7556</v>
      </c>
      <c r="D829" s="27" t="n">
        <v>1.5504</v>
      </c>
      <c r="E829" s="27" t="s">
        <v>603</v>
      </c>
      <c r="F829" s="27" t="s">
        <v>145</v>
      </c>
      <c r="G829" s="32" t="n">
        <f aca="false">(A829-A828)*86400000</f>
        <v>14.999415</v>
      </c>
      <c r="H829" s="3"/>
      <c r="I829" s="3"/>
      <c r="J829" s="3"/>
      <c r="K829" s="3"/>
      <c r="L829" s="3"/>
      <c r="M829" s="3"/>
    </row>
    <row r="830" customFormat="false" ht="15" hidden="false" customHeight="false" outlineLevel="0" collapsed="false">
      <c r="A830" s="28" t="n">
        <v>46301.5240559722</v>
      </c>
      <c r="B830" s="31" t="n">
        <f aca="false">(A830-$A$5)*86400</f>
        <v>34.798000124</v>
      </c>
      <c r="C830" s="27" t="n">
        <v>0.7558</v>
      </c>
      <c r="D830" s="27" t="n">
        <v>1.5811</v>
      </c>
      <c r="E830" s="27" t="s">
        <v>603</v>
      </c>
      <c r="F830" s="27" t="s">
        <v>145</v>
      </c>
      <c r="G830" s="32" t="n">
        <f aca="false">(A830-A829)*86400000</f>
        <v>16.000843</v>
      </c>
      <c r="H830" s="3"/>
      <c r="I830" s="3"/>
      <c r="J830" s="3"/>
      <c r="K830" s="3"/>
      <c r="L830" s="3"/>
      <c r="M830" s="3"/>
    </row>
    <row r="831" customFormat="false" ht="15" hidden="false" customHeight="false" outlineLevel="0" collapsed="false">
      <c r="A831" s="28" t="n">
        <v>46301.524056169</v>
      </c>
      <c r="B831" s="31" t="n">
        <f aca="false">(A831-$A$5)*86400</f>
        <v>34.814999881</v>
      </c>
      <c r="C831" s="27" t="n">
        <v>0.7559</v>
      </c>
      <c r="D831" s="27" t="n">
        <v>1.6064</v>
      </c>
      <c r="E831" s="27" t="s">
        <v>603</v>
      </c>
      <c r="F831" s="27" t="s">
        <v>145</v>
      </c>
      <c r="G831" s="32" t="n">
        <f aca="false">(A831-A830)*86400000</f>
        <v>16.999756</v>
      </c>
      <c r="H831" s="3"/>
      <c r="I831" s="3"/>
      <c r="J831" s="3"/>
      <c r="K831" s="3"/>
      <c r="L831" s="3"/>
      <c r="M831" s="3"/>
    </row>
    <row r="832" customFormat="false" ht="15" hidden="false" customHeight="false" outlineLevel="0" collapsed="false">
      <c r="A832" s="28" t="n">
        <v>46301.5240563426</v>
      </c>
      <c r="B832" s="31" t="n">
        <f aca="false">(A832-$A$5)*86400</f>
        <v>34.829999925</v>
      </c>
      <c r="C832" s="27" t="n">
        <v>0.756</v>
      </c>
      <c r="D832" s="27" t="n">
        <v>1.6273</v>
      </c>
      <c r="E832" s="27" t="s">
        <v>603</v>
      </c>
      <c r="F832" s="27" t="s">
        <v>145</v>
      </c>
      <c r="G832" s="32" t="n">
        <f aca="false">(A832-A831)*86400000</f>
        <v>15.000044</v>
      </c>
      <c r="H832" s="3"/>
      <c r="I832" s="3"/>
      <c r="J832" s="3"/>
      <c r="K832" s="3"/>
      <c r="L832" s="3"/>
      <c r="M832" s="3"/>
    </row>
    <row r="833" customFormat="false" ht="15" hidden="false" customHeight="false" outlineLevel="0" collapsed="false">
      <c r="A833" s="28" t="n">
        <v>46301.5240565278</v>
      </c>
      <c r="B833" s="31" t="n">
        <f aca="false">(A833-$A$5)*86400</f>
        <v>34.84600014</v>
      </c>
      <c r="C833" s="27" t="n">
        <v>0.7561</v>
      </c>
      <c r="D833" s="27" t="n">
        <v>1.6445</v>
      </c>
      <c r="E833" s="27" t="s">
        <v>603</v>
      </c>
      <c r="F833" s="27" t="s">
        <v>145</v>
      </c>
      <c r="G833" s="32" t="n">
        <f aca="false">(A833-A832)*86400000</f>
        <v>16.000214</v>
      </c>
      <c r="H833" s="3"/>
      <c r="I833" s="3"/>
      <c r="J833" s="3"/>
      <c r="K833" s="3"/>
      <c r="L833" s="3"/>
      <c r="M833" s="3"/>
    </row>
    <row r="834" customFormat="false" ht="15" hidden="false" customHeight="false" outlineLevel="0" collapsed="false">
      <c r="A834" s="28" t="n">
        <v>46301.524056713</v>
      </c>
      <c r="B834" s="31" t="n">
        <f aca="false">(A834-$A$5)*86400</f>
        <v>34.862000984</v>
      </c>
      <c r="C834" s="27" t="n">
        <v>0.7562</v>
      </c>
      <c r="D834" s="27" t="n">
        <v>1.6588</v>
      </c>
      <c r="E834" s="27" t="s">
        <v>603</v>
      </c>
      <c r="F834" s="27" t="s">
        <v>145</v>
      </c>
      <c r="G834" s="32" t="n">
        <f aca="false">(A834-A833)*86400000</f>
        <v>16.000843</v>
      </c>
      <c r="H834" s="3"/>
      <c r="I834" s="3"/>
      <c r="J834" s="3"/>
      <c r="K834" s="3"/>
      <c r="L834" s="3"/>
      <c r="M834" s="3"/>
    </row>
    <row r="835" customFormat="false" ht="15" hidden="false" customHeight="false" outlineLevel="0" collapsed="false">
      <c r="A835" s="28" t="n">
        <v>46301.5240569097</v>
      </c>
      <c r="B835" s="31" t="n">
        <f aca="false">(A835-$A$5)*86400</f>
        <v>34.879000112</v>
      </c>
      <c r="C835" s="27" t="n">
        <v>0.7562</v>
      </c>
      <c r="D835" s="27" t="n">
        <v>1.6705</v>
      </c>
      <c r="E835" s="27" t="s">
        <v>603</v>
      </c>
      <c r="F835" s="27" t="s">
        <v>145</v>
      </c>
      <c r="G835" s="32" t="n">
        <f aca="false">(A835-A834)*86400000</f>
        <v>16.999128</v>
      </c>
      <c r="H835" s="3"/>
      <c r="I835" s="3"/>
      <c r="J835" s="3"/>
      <c r="K835" s="3"/>
      <c r="L835" s="3"/>
      <c r="M835" s="3"/>
    </row>
    <row r="836" customFormat="false" ht="15" hidden="false" customHeight="false" outlineLevel="0" collapsed="false">
      <c r="A836" s="28" t="n">
        <v>46301.5240570833</v>
      </c>
      <c r="B836" s="31" t="n">
        <f aca="false">(A836-$A$5)*86400</f>
        <v>34.893999528</v>
      </c>
      <c r="C836" s="27" t="n">
        <v>0.7563</v>
      </c>
      <c r="D836" s="27" t="n">
        <v>1.6802</v>
      </c>
      <c r="E836" s="27" t="s">
        <v>603</v>
      </c>
      <c r="F836" s="27" t="s">
        <v>145</v>
      </c>
      <c r="G836" s="32" t="n">
        <f aca="false">(A836-A835)*86400000</f>
        <v>14.999415</v>
      </c>
      <c r="H836" s="3"/>
      <c r="I836" s="3"/>
      <c r="J836" s="3"/>
      <c r="K836" s="3"/>
      <c r="L836" s="3"/>
      <c r="M836" s="3"/>
    </row>
    <row r="837" customFormat="false" ht="15" hidden="false" customHeight="false" outlineLevel="0" collapsed="false">
      <c r="A837" s="28" t="n">
        <v>46301.5240572685</v>
      </c>
      <c r="B837" s="31" t="n">
        <f aca="false">(A837-$A$5)*86400</f>
        <v>34.910000371</v>
      </c>
      <c r="C837" s="27" t="n">
        <v>0.7563</v>
      </c>
      <c r="D837" s="27" t="n">
        <v>1.6882</v>
      </c>
      <c r="E837" s="27" t="s">
        <v>603</v>
      </c>
      <c r="F837" s="27" t="s">
        <v>145</v>
      </c>
      <c r="G837" s="32" t="n">
        <f aca="false">(A837-A836)*86400000</f>
        <v>16.000843</v>
      </c>
      <c r="H837" s="3"/>
      <c r="I837" s="3"/>
      <c r="J837" s="3"/>
      <c r="K837" s="3"/>
      <c r="L837" s="3"/>
      <c r="M837" s="3"/>
    </row>
    <row r="838" customFormat="false" ht="15" hidden="false" customHeight="false" outlineLevel="0" collapsed="false">
      <c r="A838" s="28" t="n">
        <v>46301.5240574653</v>
      </c>
      <c r="B838" s="31" t="n">
        <f aca="false">(A838-$A$5)*86400</f>
        <v>34.927000128</v>
      </c>
      <c r="C838" s="27" t="n">
        <v>0.7564</v>
      </c>
      <c r="D838" s="27" t="n">
        <v>1.6948</v>
      </c>
      <c r="E838" s="27" t="s">
        <v>603</v>
      </c>
      <c r="F838" s="27" t="s">
        <v>145</v>
      </c>
      <c r="G838" s="32" t="n">
        <f aca="false">(A838-A837)*86400000</f>
        <v>16.999756</v>
      </c>
      <c r="H838" s="3"/>
      <c r="I838" s="3"/>
      <c r="J838" s="3"/>
      <c r="K838" s="3"/>
      <c r="L838" s="3"/>
      <c r="M838" s="3"/>
    </row>
    <row r="839" customFormat="false" ht="15" hidden="false" customHeight="false" outlineLevel="0" collapsed="false">
      <c r="A839" s="28" t="n">
        <v>46301.5240576389</v>
      </c>
      <c r="B839" s="31" t="n">
        <f aca="false">(A839-$A$5)*86400</f>
        <v>34.942000173</v>
      </c>
      <c r="C839" s="27" t="n">
        <v>0.7564</v>
      </c>
      <c r="D839" s="27" t="n">
        <v>1.7002</v>
      </c>
      <c r="E839" s="27" t="s">
        <v>603</v>
      </c>
      <c r="F839" s="27" t="s">
        <v>145</v>
      </c>
      <c r="G839" s="32" t="n">
        <f aca="false">(A839-A838)*86400000</f>
        <v>15.000044</v>
      </c>
      <c r="H839" s="3"/>
      <c r="I839" s="3"/>
      <c r="J839" s="3"/>
      <c r="K839" s="3"/>
      <c r="L839" s="3"/>
      <c r="M839" s="3"/>
    </row>
    <row r="840" customFormat="false" ht="15" hidden="false" customHeight="false" outlineLevel="0" collapsed="false">
      <c r="A840" s="28" t="n">
        <v>46301.5240578241</v>
      </c>
      <c r="B840" s="31" t="n">
        <f aca="false">(A840-$A$5)*86400</f>
        <v>34.958000387</v>
      </c>
      <c r="C840" s="27" t="n">
        <v>0.7564</v>
      </c>
      <c r="D840" s="27" t="n">
        <v>1.7047</v>
      </c>
      <c r="E840" s="27" t="s">
        <v>603</v>
      </c>
      <c r="F840" s="27" t="s">
        <v>145</v>
      </c>
      <c r="G840" s="32" t="n">
        <f aca="false">(A840-A839)*86400000</f>
        <v>16.000214</v>
      </c>
      <c r="H840" s="3"/>
      <c r="I840" s="3"/>
      <c r="J840" s="3"/>
      <c r="K840" s="3"/>
      <c r="L840" s="3"/>
      <c r="M840" s="3"/>
    </row>
    <row r="841" customFormat="false" ht="15" hidden="false" customHeight="false" outlineLevel="0" collapsed="false">
      <c r="A841" s="28" t="n">
        <v>46301.5240580208</v>
      </c>
      <c r="B841" s="31" t="n">
        <f aca="false">(A841-$A$5)*86400</f>
        <v>34.974999516</v>
      </c>
      <c r="C841" s="27" t="n">
        <v>0.7564</v>
      </c>
      <c r="D841" s="27" t="n">
        <v>1.7085</v>
      </c>
      <c r="E841" s="27" t="s">
        <v>603</v>
      </c>
      <c r="F841" s="27" t="s">
        <v>145</v>
      </c>
      <c r="G841" s="32" t="n">
        <f aca="false">(A841-A840)*86400000</f>
        <v>16.999128</v>
      </c>
      <c r="H841" s="3"/>
      <c r="I841" s="3"/>
      <c r="J841" s="3"/>
      <c r="K841" s="3"/>
      <c r="L841" s="3"/>
      <c r="M841" s="3"/>
    </row>
    <row r="842" customFormat="false" ht="15" hidden="false" customHeight="false" outlineLevel="0" collapsed="false">
      <c r="A842" s="28" t="n">
        <v>46301.524058206</v>
      </c>
      <c r="B842" s="31" t="n">
        <f aca="false">(A842-$A$5)*86400</f>
        <v>34.991000359</v>
      </c>
      <c r="C842" s="27" t="n">
        <v>0.7564</v>
      </c>
      <c r="D842" s="27" t="n">
        <v>1.7115</v>
      </c>
      <c r="E842" s="27" t="s">
        <v>603</v>
      </c>
      <c r="F842" s="27" t="s">
        <v>145</v>
      </c>
      <c r="G842" s="32" t="n">
        <f aca="false">(A842-A841)*86400000</f>
        <v>16.000843</v>
      </c>
      <c r="H842" s="3"/>
      <c r="I842" s="3"/>
      <c r="J842" s="3"/>
      <c r="K842" s="3"/>
      <c r="L842" s="3"/>
      <c r="M842" s="3"/>
    </row>
    <row r="843" customFormat="false" ht="15" hidden="false" customHeight="false" outlineLevel="0" collapsed="false">
      <c r="A843" s="28" t="n">
        <v>46301.5240583912</v>
      </c>
      <c r="B843" s="31" t="n">
        <f aca="false">(A843-$A$5)*86400</f>
        <v>35.006999946</v>
      </c>
      <c r="C843" s="27" t="n">
        <v>0.7565</v>
      </c>
      <c r="D843" s="27" t="n">
        <v>1.714</v>
      </c>
      <c r="E843" s="27" t="s">
        <v>603</v>
      </c>
      <c r="F843" s="27" t="s">
        <v>145</v>
      </c>
      <c r="G843" s="32" t="n">
        <f aca="false">(A843-A842)*86400000</f>
        <v>15.999586</v>
      </c>
      <c r="H843" s="3"/>
      <c r="I843" s="3"/>
      <c r="J843" s="3"/>
      <c r="K843" s="3"/>
      <c r="L843" s="3"/>
      <c r="M843" s="3"/>
    </row>
    <row r="844" customFormat="false" ht="15" hidden="false" customHeight="false" outlineLevel="0" collapsed="false">
      <c r="A844" s="28" t="n">
        <v>46301.5240585764</v>
      </c>
      <c r="B844" s="31" t="n">
        <f aca="false">(A844-$A$5)*86400</f>
        <v>35.023000161</v>
      </c>
      <c r="C844" s="27" t="n">
        <v>0.7565</v>
      </c>
      <c r="D844" s="27" t="n">
        <v>1.7161</v>
      </c>
      <c r="E844" s="27" t="s">
        <v>603</v>
      </c>
      <c r="F844" s="27" t="s">
        <v>145</v>
      </c>
      <c r="G844" s="32" t="n">
        <f aca="false">(A844-A843)*86400000</f>
        <v>16.000214</v>
      </c>
      <c r="H844" s="3"/>
      <c r="I844" s="3"/>
      <c r="J844" s="3"/>
      <c r="K844" s="3"/>
      <c r="L844" s="3"/>
      <c r="M844" s="3"/>
    </row>
    <row r="845" customFormat="false" ht="15" hidden="false" customHeight="false" outlineLevel="0" collapsed="false">
      <c r="A845" s="28" t="n">
        <v>46301.5240587616</v>
      </c>
      <c r="B845" s="31" t="n">
        <f aca="false">(A845-$A$5)*86400</f>
        <v>35.039000376</v>
      </c>
      <c r="C845" s="27" t="n">
        <v>0.7565</v>
      </c>
      <c r="D845" s="27" t="n">
        <v>1.7178</v>
      </c>
      <c r="E845" s="27" t="s">
        <v>603</v>
      </c>
      <c r="F845" s="27" t="s">
        <v>145</v>
      </c>
      <c r="G845" s="32" t="n">
        <f aca="false">(A845-A844)*86400000</f>
        <v>16.000214</v>
      </c>
      <c r="H845" s="3"/>
      <c r="I845" s="3"/>
      <c r="J845" s="3"/>
      <c r="K845" s="3"/>
      <c r="L845" s="3"/>
      <c r="M845" s="3"/>
    </row>
    <row r="846" customFormat="false" ht="15" hidden="false" customHeight="false" outlineLevel="0" collapsed="false">
      <c r="A846" s="28" t="n">
        <v>46301.5240589468</v>
      </c>
      <c r="B846" s="31" t="n">
        <f aca="false">(A846-$A$5)*86400</f>
        <v>35.054999962</v>
      </c>
      <c r="C846" s="27" t="n">
        <v>0.7565</v>
      </c>
      <c r="D846" s="27" t="n">
        <v>1.7193</v>
      </c>
      <c r="E846" s="27" t="s">
        <v>603</v>
      </c>
      <c r="F846" s="27" t="s">
        <v>145</v>
      </c>
      <c r="G846" s="32" t="n">
        <f aca="false">(A846-A845)*86400000</f>
        <v>15.999586</v>
      </c>
      <c r="H846" s="3"/>
      <c r="I846" s="3"/>
      <c r="J846" s="3"/>
      <c r="K846" s="3"/>
      <c r="L846" s="3"/>
      <c r="M846" s="3"/>
    </row>
    <row r="847" customFormat="false" ht="15" hidden="false" customHeight="false" outlineLevel="0" collapsed="false">
      <c r="A847" s="28" t="n">
        <v>46301.5240593171</v>
      </c>
      <c r="B847" s="31" t="n">
        <f aca="false">(A847-$A$5)*86400</f>
        <v>35.087000392</v>
      </c>
      <c r="C847" s="27" t="n">
        <v>0.7565</v>
      </c>
      <c r="D847" s="27" t="n">
        <v>1.7214</v>
      </c>
      <c r="E847" s="27" t="s">
        <v>603</v>
      </c>
      <c r="F847" s="27" t="s">
        <v>145</v>
      </c>
      <c r="G847" s="32" t="n">
        <f aca="false">(A847-A846)*86400000</f>
        <v>32.000429</v>
      </c>
      <c r="H847" s="3"/>
      <c r="I847" s="3"/>
      <c r="J847" s="3"/>
      <c r="K847" s="3"/>
      <c r="L847" s="3"/>
      <c r="M847" s="3"/>
    </row>
    <row r="848" customFormat="false" ht="15" hidden="false" customHeight="false" outlineLevel="0" collapsed="false">
      <c r="A848" s="28" t="n">
        <v>46301.5240598843</v>
      </c>
      <c r="B848" s="31" t="n">
        <f aca="false">(A848-$A$5)*86400</f>
        <v>35.13599995</v>
      </c>
      <c r="C848" s="27" t="n">
        <v>0.7565</v>
      </c>
      <c r="D848" s="27" t="n">
        <v>1.7234</v>
      </c>
      <c r="E848" s="27" t="s">
        <v>603</v>
      </c>
      <c r="F848" s="27" t="s">
        <v>145</v>
      </c>
      <c r="G848" s="32" t="n">
        <f aca="false">(A848-A847)*86400000</f>
        <v>48.999558</v>
      </c>
      <c r="H848" s="3"/>
      <c r="I848" s="3"/>
      <c r="J848" s="3"/>
      <c r="K848" s="3"/>
      <c r="L848" s="3"/>
      <c r="M848" s="3"/>
    </row>
    <row r="849" customFormat="false" ht="15" hidden="false" customHeight="false" outlineLevel="0" collapsed="false">
      <c r="A849" s="28" t="n">
        <v>46301.5240604514</v>
      </c>
      <c r="B849" s="31" t="n">
        <f aca="false">(A849-$A$5)*86400</f>
        <v>35.185000137</v>
      </c>
      <c r="C849" s="27" t="n">
        <v>0.7565</v>
      </c>
      <c r="D849" s="27" t="n">
        <v>1.726</v>
      </c>
      <c r="E849" s="27" t="s">
        <v>603</v>
      </c>
      <c r="F849" s="27" t="s">
        <v>145</v>
      </c>
      <c r="G849" s="32" t="n">
        <f aca="false">(A849-A848)*86400000</f>
        <v>49.000186</v>
      </c>
      <c r="H849" s="3"/>
      <c r="I849" s="3"/>
      <c r="J849" s="3"/>
      <c r="K849" s="3"/>
      <c r="L849" s="3"/>
      <c r="M849" s="3"/>
    </row>
    <row r="850" customFormat="false" ht="15" hidden="false" customHeight="false" outlineLevel="0" collapsed="false">
      <c r="A850" s="28" t="n">
        <v>46301.52407</v>
      </c>
      <c r="B850" s="31" t="n">
        <f aca="false">(A850-$A$5)*86400</f>
        <v>36.010000063</v>
      </c>
      <c r="C850" s="27" t="n">
        <v>0.6686</v>
      </c>
      <c r="D850" s="27" t="n">
        <v>1.6745</v>
      </c>
      <c r="E850" s="27" t="s">
        <v>603</v>
      </c>
      <c r="F850" s="27" t="s">
        <v>145</v>
      </c>
      <c r="G850" s="32" t="n">
        <f aca="false">(A850-A849)*86400000</f>
        <v>824.999925</v>
      </c>
      <c r="H850" s="3"/>
      <c r="I850" s="3"/>
      <c r="J850" s="3"/>
      <c r="K850" s="3"/>
      <c r="L850" s="3"/>
      <c r="M850" s="3"/>
    </row>
    <row r="851" customFormat="false" ht="15" hidden="false" customHeight="false" outlineLevel="0" collapsed="false">
      <c r="A851" s="28" t="n">
        <v>46301.5240701852</v>
      </c>
      <c r="B851" s="31" t="n">
        <f aca="false">(A851-$A$5)*86400</f>
        <v>36.026000278</v>
      </c>
      <c r="C851" s="27" t="n">
        <v>0.5919</v>
      </c>
      <c r="D851" s="27" t="n">
        <v>1.6296</v>
      </c>
      <c r="E851" s="27" t="s">
        <v>603</v>
      </c>
      <c r="F851" s="27" t="s">
        <v>145</v>
      </c>
      <c r="G851" s="32" t="n">
        <f aca="false">(A851-A850)*86400000</f>
        <v>16.000214</v>
      </c>
      <c r="H851" s="3"/>
      <c r="I851" s="3"/>
      <c r="J851" s="3"/>
      <c r="K851" s="3"/>
      <c r="L851" s="3"/>
      <c r="M851" s="3"/>
    </row>
    <row r="852" customFormat="false" ht="15" hidden="false" customHeight="false" outlineLevel="0" collapsed="false">
      <c r="A852" s="28" t="n">
        <v>46301.5240703819</v>
      </c>
      <c r="B852" s="31" t="n">
        <f aca="false">(A852-$A$5)*86400</f>
        <v>36.043000034</v>
      </c>
      <c r="C852" s="27" t="n">
        <v>0.5294</v>
      </c>
      <c r="D852" s="27" t="n">
        <v>1.593</v>
      </c>
      <c r="E852" s="27" t="s">
        <v>603</v>
      </c>
      <c r="F852" s="27" t="s">
        <v>145</v>
      </c>
      <c r="G852" s="32" t="n">
        <f aca="false">(A852-A851)*86400000</f>
        <v>16.999756</v>
      </c>
      <c r="H852" s="3"/>
      <c r="I852" s="3"/>
      <c r="J852" s="3"/>
      <c r="K852" s="3"/>
      <c r="L852" s="3"/>
      <c r="M852" s="3"/>
    </row>
    <row r="853" customFormat="false" ht="15" hidden="false" customHeight="false" outlineLevel="0" collapsed="false">
      <c r="A853" s="28" t="n">
        <v>46301.5240705671</v>
      </c>
      <c r="B853" s="31" t="n">
        <f aca="false">(A853-$A$5)*86400</f>
        <v>36.059000249</v>
      </c>
      <c r="C853" s="27" t="n">
        <v>0.4838</v>
      </c>
      <c r="D853" s="27" t="n">
        <v>1.5663</v>
      </c>
      <c r="E853" s="27" t="s">
        <v>603</v>
      </c>
      <c r="F853" s="27" t="s">
        <v>145</v>
      </c>
      <c r="G853" s="32" t="n">
        <f aca="false">(A853-A852)*86400000</f>
        <v>16.000214</v>
      </c>
      <c r="H853" s="3"/>
      <c r="I853" s="3"/>
      <c r="J853" s="3"/>
      <c r="K853" s="3"/>
      <c r="L853" s="3"/>
      <c r="M853" s="3"/>
    </row>
    <row r="854" customFormat="false" ht="15" hidden="false" customHeight="false" outlineLevel="0" collapsed="false">
      <c r="A854" s="28" t="n">
        <v>46301.5240707523</v>
      </c>
      <c r="B854" s="31" t="n">
        <f aca="false">(A854-$A$5)*86400</f>
        <v>36.074999836</v>
      </c>
      <c r="C854" s="27" t="n">
        <v>0.4435</v>
      </c>
      <c r="D854" s="27" t="n">
        <v>1.5427</v>
      </c>
      <c r="E854" s="27" t="s">
        <v>603</v>
      </c>
      <c r="F854" s="27" t="s">
        <v>145</v>
      </c>
      <c r="G854" s="32" t="n">
        <f aca="false">(A854-A853)*86400000</f>
        <v>15.999586</v>
      </c>
      <c r="H854" s="3"/>
      <c r="I854" s="3"/>
      <c r="J854" s="3"/>
      <c r="K854" s="3"/>
      <c r="L854" s="3"/>
      <c r="M854" s="3"/>
    </row>
    <row r="855" customFormat="false" ht="15" hidden="false" customHeight="false" outlineLevel="0" collapsed="false">
      <c r="A855" s="28" t="n">
        <v>46301.5240709375</v>
      </c>
      <c r="B855" s="31" t="n">
        <f aca="false">(A855-$A$5)*86400</f>
        <v>36.091000051</v>
      </c>
      <c r="C855" s="27" t="n">
        <v>0.4102</v>
      </c>
      <c r="D855" s="27" t="n">
        <v>1.5233</v>
      </c>
      <c r="E855" s="27" t="s">
        <v>603</v>
      </c>
      <c r="F855" s="27" t="s">
        <v>145</v>
      </c>
      <c r="G855" s="32" t="n">
        <f aca="false">(A855-A854)*86400000</f>
        <v>16.000214</v>
      </c>
      <c r="H855" s="3"/>
      <c r="I855" s="3"/>
      <c r="J855" s="3"/>
      <c r="K855" s="3"/>
      <c r="L855" s="3"/>
      <c r="M855" s="3"/>
    </row>
    <row r="856" customFormat="false" ht="15" hidden="false" customHeight="false" outlineLevel="0" collapsed="false">
      <c r="A856" s="28" t="n">
        <v>46301.5240711227</v>
      </c>
      <c r="B856" s="31" t="n">
        <f aca="false">(A856-$A$5)*86400</f>
        <v>36.107000266</v>
      </c>
      <c r="C856" s="27" t="n">
        <v>0.3828</v>
      </c>
      <c r="D856" s="27" t="n">
        <v>1.5072</v>
      </c>
      <c r="E856" s="27" t="s">
        <v>603</v>
      </c>
      <c r="F856" s="27" t="s">
        <v>145</v>
      </c>
      <c r="G856" s="32" t="n">
        <f aca="false">(A856-A855)*86400000</f>
        <v>16.000214</v>
      </c>
      <c r="H856" s="3"/>
      <c r="I856" s="3"/>
      <c r="J856" s="3"/>
      <c r="K856" s="3"/>
      <c r="L856" s="3"/>
      <c r="M856" s="3"/>
    </row>
    <row r="857" customFormat="false" ht="15" hidden="false" customHeight="false" outlineLevel="0" collapsed="false">
      <c r="A857" s="28" t="n">
        <v>46301.5240713079</v>
      </c>
      <c r="B857" s="31" t="n">
        <f aca="false">(A857-$A$5)*86400</f>
        <v>36.122999852</v>
      </c>
      <c r="C857" s="27" t="n">
        <v>0.3601</v>
      </c>
      <c r="D857" s="27" t="n">
        <v>1.4939</v>
      </c>
      <c r="E857" s="27" t="s">
        <v>603</v>
      </c>
      <c r="F857" s="27" t="s">
        <v>145</v>
      </c>
      <c r="G857" s="32" t="n">
        <f aca="false">(A857-A856)*86400000</f>
        <v>15.999586</v>
      </c>
      <c r="H857" s="3"/>
      <c r="I857" s="3"/>
      <c r="J857" s="3"/>
      <c r="K857" s="3"/>
      <c r="L857" s="3"/>
      <c r="M857" s="3"/>
    </row>
    <row r="858" customFormat="false" ht="15" hidden="false" customHeight="false" outlineLevel="0" collapsed="false">
      <c r="A858" s="28" t="n">
        <v>46301.5240714931</v>
      </c>
      <c r="B858" s="31" t="n">
        <f aca="false">(A858-$A$5)*86400</f>
        <v>36.139000696</v>
      </c>
      <c r="C858" s="27" t="n">
        <v>0.3414</v>
      </c>
      <c r="D858" s="27" t="n">
        <v>1.483</v>
      </c>
      <c r="E858" s="27" t="s">
        <v>603</v>
      </c>
      <c r="F858" s="27" t="s">
        <v>145</v>
      </c>
      <c r="G858" s="32" t="n">
        <f aca="false">(A858-A857)*86400000</f>
        <v>16.000843</v>
      </c>
      <c r="H858" s="3"/>
      <c r="I858" s="3"/>
      <c r="J858" s="3"/>
      <c r="K858" s="3"/>
      <c r="L858" s="3"/>
      <c r="M858" s="3"/>
    </row>
    <row r="859" customFormat="false" ht="15" hidden="false" customHeight="false" outlineLevel="0" collapsed="false">
      <c r="A859" s="28" t="n">
        <v>46301.5240716782</v>
      </c>
      <c r="B859" s="31" t="n">
        <f aca="false">(A859-$A$5)*86400</f>
        <v>36.155000282</v>
      </c>
      <c r="C859" s="27" t="n">
        <v>0.326</v>
      </c>
      <c r="D859" s="27" t="n">
        <v>1.4739</v>
      </c>
      <c r="E859" s="27" t="s">
        <v>603</v>
      </c>
      <c r="F859" s="27" t="s">
        <v>145</v>
      </c>
      <c r="G859" s="32" t="n">
        <f aca="false">(A859-A858)*86400000</f>
        <v>15.999586</v>
      </c>
      <c r="H859" s="3"/>
      <c r="I859" s="3"/>
      <c r="J859" s="3"/>
      <c r="K859" s="3"/>
      <c r="L859" s="3"/>
      <c r="M859" s="3"/>
    </row>
    <row r="860" customFormat="false" ht="15" hidden="false" customHeight="false" outlineLevel="0" collapsed="false">
      <c r="A860" s="28" t="n">
        <v>46301.5240718519</v>
      </c>
      <c r="B860" s="31" t="n">
        <f aca="false">(A860-$A$5)*86400</f>
        <v>36.169999698</v>
      </c>
      <c r="C860" s="27" t="n">
        <v>0.3132</v>
      </c>
      <c r="D860" s="27" t="n">
        <v>1.4665</v>
      </c>
      <c r="E860" s="27" t="s">
        <v>603</v>
      </c>
      <c r="F860" s="27" t="s">
        <v>145</v>
      </c>
      <c r="G860" s="32" t="n">
        <f aca="false">(A860-A859)*86400000</f>
        <v>14.999415</v>
      </c>
      <c r="H860" s="3"/>
      <c r="I860" s="3"/>
      <c r="J860" s="3"/>
      <c r="K860" s="3"/>
      <c r="L860" s="3"/>
      <c r="M860" s="3"/>
    </row>
    <row r="861" customFormat="false" ht="15" hidden="false" customHeight="false" outlineLevel="0" collapsed="false">
      <c r="A861" s="28" t="n">
        <v>46301.524072037</v>
      </c>
      <c r="B861" s="31" t="n">
        <f aca="false">(A861-$A$5)*86400</f>
        <v>36.185999284</v>
      </c>
      <c r="C861" s="27" t="n">
        <v>0.3027</v>
      </c>
      <c r="D861" s="27" t="n">
        <v>1.4603</v>
      </c>
      <c r="E861" s="27" t="s">
        <v>603</v>
      </c>
      <c r="F861" s="27" t="s">
        <v>145</v>
      </c>
      <c r="G861" s="32" t="n">
        <f aca="false">(A861-A860)*86400000</f>
        <v>15.999586</v>
      </c>
      <c r="H861" s="3"/>
      <c r="I861" s="3"/>
      <c r="J861" s="3"/>
      <c r="K861" s="3"/>
      <c r="L861" s="3"/>
      <c r="M861" s="3"/>
    </row>
    <row r="862" customFormat="false" ht="15" hidden="false" customHeight="false" outlineLevel="0" collapsed="false">
      <c r="A862" s="28" t="n">
        <v>46301.5240722338</v>
      </c>
      <c r="B862" s="31" t="n">
        <f aca="false">(A862-$A$5)*86400</f>
        <v>36.203000298</v>
      </c>
      <c r="C862" s="27" t="n">
        <v>0.294</v>
      </c>
      <c r="D862" s="27" t="n">
        <v>1.4552</v>
      </c>
      <c r="E862" s="27" t="s">
        <v>603</v>
      </c>
      <c r="F862" s="27" t="s">
        <v>145</v>
      </c>
      <c r="G862" s="32" t="n">
        <f aca="false">(A862-A861)*86400000</f>
        <v>17.001014</v>
      </c>
      <c r="H862" s="3"/>
      <c r="I862" s="3"/>
      <c r="J862" s="3"/>
      <c r="K862" s="3"/>
      <c r="L862" s="3"/>
      <c r="M862" s="3"/>
    </row>
    <row r="863" customFormat="false" ht="15" hidden="false" customHeight="false" outlineLevel="0" collapsed="false">
      <c r="A863" s="28" t="n">
        <v>46301.5240724074</v>
      </c>
      <c r="B863" s="31" t="n">
        <f aca="false">(A863-$A$5)*86400</f>
        <v>36.218000343</v>
      </c>
      <c r="C863" s="27" t="n">
        <v>0.2869</v>
      </c>
      <c r="D863" s="27" t="n">
        <v>1.451</v>
      </c>
      <c r="E863" s="27" t="s">
        <v>603</v>
      </c>
      <c r="F863" s="27" t="s">
        <v>145</v>
      </c>
      <c r="G863" s="32" t="n">
        <f aca="false">(A863-A862)*86400000</f>
        <v>15.000044</v>
      </c>
      <c r="H863" s="3"/>
      <c r="I863" s="3"/>
      <c r="J863" s="3"/>
      <c r="K863" s="3"/>
      <c r="L863" s="3"/>
      <c r="M863" s="3"/>
    </row>
    <row r="864" customFormat="false" ht="15" hidden="false" customHeight="false" outlineLevel="0" collapsed="false">
      <c r="A864" s="28" t="n">
        <v>46301.5240726042</v>
      </c>
      <c r="B864" s="31" t="n">
        <f aca="false">(A864-$A$5)*86400</f>
        <v>36.235000099</v>
      </c>
      <c r="C864" s="27" t="n">
        <v>0.2623</v>
      </c>
      <c r="D864" s="27" t="n">
        <v>1.4514</v>
      </c>
      <c r="E864" s="27" t="s">
        <v>603</v>
      </c>
      <c r="F864" s="27" t="s">
        <v>145</v>
      </c>
      <c r="G864" s="32" t="n">
        <f aca="false">(A864-A863)*86400000</f>
        <v>16.999756</v>
      </c>
      <c r="H864" s="3"/>
      <c r="I864" s="3"/>
      <c r="J864" s="3"/>
      <c r="K864" s="3"/>
      <c r="L864" s="3"/>
      <c r="M864" s="3"/>
    </row>
    <row r="865" customFormat="false" ht="15" hidden="false" customHeight="false" outlineLevel="0" collapsed="false">
      <c r="A865" s="28" t="n">
        <v>46301.5240727778</v>
      </c>
      <c r="B865" s="31" t="n">
        <f aca="false">(A865-$A$5)*86400</f>
        <v>36.250000144</v>
      </c>
      <c r="C865" s="27" t="n">
        <v>0.2419</v>
      </c>
      <c r="D865" s="27" t="n">
        <v>1.4516</v>
      </c>
      <c r="E865" s="27" t="s">
        <v>603</v>
      </c>
      <c r="F865" s="27" t="s">
        <v>145</v>
      </c>
      <c r="G865" s="32" t="n">
        <f aca="false">(A865-A864)*86400000</f>
        <v>15.000044</v>
      </c>
      <c r="H865" s="3"/>
      <c r="I865" s="3"/>
      <c r="J865" s="3"/>
      <c r="K865" s="3"/>
      <c r="L865" s="3"/>
      <c r="M865" s="3"/>
    </row>
    <row r="866" customFormat="false" ht="15" hidden="false" customHeight="false" outlineLevel="0" collapsed="false">
      <c r="A866" s="28" t="n">
        <v>46301.524072963</v>
      </c>
      <c r="B866" s="31" t="n">
        <f aca="false">(A866-$A$5)*86400</f>
        <v>36.266000987</v>
      </c>
      <c r="C866" s="27" t="n">
        <v>0.2252</v>
      </c>
      <c r="D866" s="27" t="n">
        <v>1.4519</v>
      </c>
      <c r="E866" s="27" t="s">
        <v>603</v>
      </c>
      <c r="F866" s="27" t="s">
        <v>145</v>
      </c>
      <c r="G866" s="32" t="n">
        <f aca="false">(A866-A865)*86400000</f>
        <v>16.000843</v>
      </c>
      <c r="H866" s="3"/>
      <c r="I866" s="3"/>
      <c r="J866" s="3"/>
      <c r="K866" s="3"/>
      <c r="L866" s="3"/>
      <c r="M866" s="3"/>
    </row>
    <row r="867" customFormat="false" ht="15" hidden="false" customHeight="false" outlineLevel="0" collapsed="false">
      <c r="A867" s="28" t="n">
        <v>46301.5240731597</v>
      </c>
      <c r="B867" s="31" t="n">
        <f aca="false">(A867-$A$5)*86400</f>
        <v>36.283000116</v>
      </c>
      <c r="C867" s="27" t="n">
        <v>0.2113</v>
      </c>
      <c r="D867" s="27" t="n">
        <v>1.4521</v>
      </c>
      <c r="E867" s="27" t="s">
        <v>603</v>
      </c>
      <c r="F867" s="27" t="s">
        <v>145</v>
      </c>
      <c r="G867" s="32" t="n">
        <f aca="false">(A867-A866)*86400000</f>
        <v>16.999128</v>
      </c>
      <c r="H867" s="3"/>
      <c r="I867" s="3"/>
      <c r="J867" s="3"/>
      <c r="K867" s="3"/>
      <c r="L867" s="3"/>
      <c r="M867" s="3"/>
    </row>
    <row r="868" customFormat="false" ht="15" hidden="false" customHeight="false" outlineLevel="0" collapsed="false">
      <c r="A868" s="28" t="n">
        <v>46301.5240733449</v>
      </c>
      <c r="B868" s="31" t="n">
        <f aca="false">(A868-$A$5)*86400</f>
        <v>36.299000331</v>
      </c>
      <c r="C868" s="27" t="n">
        <v>0.1999</v>
      </c>
      <c r="D868" s="27" t="n">
        <v>1.4522</v>
      </c>
      <c r="E868" s="27" t="s">
        <v>603</v>
      </c>
      <c r="F868" s="27" t="s">
        <v>145</v>
      </c>
      <c r="G868" s="32" t="n">
        <f aca="false">(A868-A867)*86400000</f>
        <v>16.000214</v>
      </c>
      <c r="H868" s="3"/>
      <c r="I868" s="3"/>
      <c r="J868" s="3"/>
      <c r="K868" s="3"/>
      <c r="L868" s="3"/>
      <c r="M868" s="3"/>
    </row>
    <row r="869" customFormat="false" ht="15" hidden="false" customHeight="false" outlineLevel="0" collapsed="false">
      <c r="A869" s="28" t="n">
        <v>46301.5240735301</v>
      </c>
      <c r="B869" s="31" t="n">
        <f aca="false">(A869-$A$5)*86400</f>
        <v>36.314999917</v>
      </c>
      <c r="C869" s="27" t="n">
        <v>0.1905</v>
      </c>
      <c r="D869" s="27" t="n">
        <v>1.4523</v>
      </c>
      <c r="E869" s="27" t="s">
        <v>603</v>
      </c>
      <c r="F869" s="27" t="s">
        <v>145</v>
      </c>
      <c r="G869" s="32" t="n">
        <f aca="false">(A869-A868)*86400000</f>
        <v>15.999586</v>
      </c>
      <c r="H869" s="3"/>
      <c r="I869" s="3"/>
      <c r="J869" s="3"/>
      <c r="K869" s="3"/>
      <c r="L869" s="3"/>
      <c r="M869" s="3"/>
    </row>
    <row r="870" customFormat="false" ht="15" hidden="false" customHeight="false" outlineLevel="0" collapsed="false">
      <c r="A870" s="28" t="n">
        <v>46301.5240737037</v>
      </c>
      <c r="B870" s="31" t="n">
        <f aca="false">(A870-$A$5)*86400</f>
        <v>36.329999961</v>
      </c>
      <c r="C870" s="27" t="n">
        <v>0.1827</v>
      </c>
      <c r="D870" s="27" t="n">
        <v>1.4524</v>
      </c>
      <c r="E870" s="27" t="s">
        <v>603</v>
      </c>
      <c r="F870" s="27" t="s">
        <v>145</v>
      </c>
      <c r="G870" s="32" t="n">
        <f aca="false">(A870-A869)*86400000</f>
        <v>15.000044</v>
      </c>
      <c r="H870" s="3"/>
      <c r="I870" s="3"/>
      <c r="J870" s="3"/>
      <c r="K870" s="3"/>
      <c r="L870" s="3"/>
      <c r="M870" s="3"/>
    </row>
    <row r="871" customFormat="false" ht="15" hidden="false" customHeight="false" outlineLevel="0" collapsed="false">
      <c r="A871" s="28" t="n">
        <v>46301.5240738889</v>
      </c>
      <c r="B871" s="31" t="n">
        <f aca="false">(A871-$A$5)*86400</f>
        <v>36.346000176</v>
      </c>
      <c r="C871" s="27" t="n">
        <v>0.1763</v>
      </c>
      <c r="D871" s="27" t="n">
        <v>1.4525</v>
      </c>
      <c r="E871" s="27" t="s">
        <v>603</v>
      </c>
      <c r="F871" s="27" t="s">
        <v>145</v>
      </c>
      <c r="G871" s="32" t="n">
        <f aca="false">(A871-A870)*86400000</f>
        <v>16.000214</v>
      </c>
      <c r="H871" s="3"/>
      <c r="I871" s="3"/>
      <c r="J871" s="3"/>
      <c r="K871" s="3"/>
      <c r="L871" s="3"/>
      <c r="M871" s="3"/>
    </row>
    <row r="872" customFormat="false" ht="15" hidden="false" customHeight="false" outlineLevel="0" collapsed="false">
      <c r="A872" s="28" t="n">
        <v>46301.5240740741</v>
      </c>
      <c r="B872" s="31" t="n">
        <f aca="false">(A872-$A$5)*86400</f>
        <v>36.362000391</v>
      </c>
      <c r="C872" s="27" t="n">
        <v>0.171</v>
      </c>
      <c r="D872" s="27" t="n">
        <v>1.4526</v>
      </c>
      <c r="E872" s="27" t="s">
        <v>603</v>
      </c>
      <c r="F872" s="27" t="s">
        <v>145</v>
      </c>
      <c r="G872" s="32" t="n">
        <f aca="false">(A872-A871)*86400000</f>
        <v>16.000214</v>
      </c>
      <c r="H872" s="3"/>
      <c r="I872" s="3"/>
      <c r="J872" s="3"/>
      <c r="K872" s="3"/>
      <c r="L872" s="3"/>
      <c r="M872" s="3"/>
    </row>
    <row r="873" customFormat="false" ht="15" hidden="false" customHeight="false" outlineLevel="0" collapsed="false">
      <c r="A873" s="28" t="n">
        <v>46301.5240742708</v>
      </c>
      <c r="B873" s="31" t="n">
        <f aca="false">(A873-$A$5)*86400</f>
        <v>36.37899952</v>
      </c>
      <c r="C873" s="27" t="n">
        <v>0.1666</v>
      </c>
      <c r="D873" s="27" t="n">
        <v>1.4527</v>
      </c>
      <c r="E873" s="27" t="s">
        <v>603</v>
      </c>
      <c r="F873" s="27" t="s">
        <v>145</v>
      </c>
      <c r="G873" s="32" t="n">
        <f aca="false">(A873-A872)*86400000</f>
        <v>16.999128</v>
      </c>
      <c r="H873" s="3"/>
      <c r="I873" s="3"/>
      <c r="J873" s="3"/>
      <c r="K873" s="3"/>
      <c r="L873" s="3"/>
      <c r="M873" s="3"/>
    </row>
    <row r="874" customFormat="false" ht="15" hidden="false" customHeight="false" outlineLevel="0" collapsed="false">
      <c r="A874" s="28" t="n">
        <v>46301.5240744445</v>
      </c>
      <c r="B874" s="31" t="n">
        <f aca="false">(A874-$A$5)*86400</f>
        <v>36.394000821</v>
      </c>
      <c r="C874" s="27" t="n">
        <v>0.163</v>
      </c>
      <c r="D874" s="27" t="n">
        <v>1.4527</v>
      </c>
      <c r="E874" s="27" t="s">
        <v>603</v>
      </c>
      <c r="F874" s="27" t="s">
        <v>145</v>
      </c>
      <c r="G874" s="32" t="n">
        <f aca="false">(A874-A873)*86400000</f>
        <v>15.001301</v>
      </c>
      <c r="H874" s="3"/>
      <c r="I874" s="3"/>
      <c r="J874" s="3"/>
      <c r="K874" s="3"/>
      <c r="L874" s="3"/>
      <c r="M874" s="3"/>
    </row>
    <row r="875" customFormat="false" ht="15" hidden="false" customHeight="false" outlineLevel="0" collapsed="false">
      <c r="A875" s="28" t="n">
        <v>46301.5240746412</v>
      </c>
      <c r="B875" s="31" t="n">
        <f aca="false">(A875-$A$5)*86400</f>
        <v>36.41099995</v>
      </c>
      <c r="C875" s="27" t="n">
        <v>0.16</v>
      </c>
      <c r="D875" s="27" t="n">
        <v>1.4527</v>
      </c>
      <c r="E875" s="27" t="s">
        <v>603</v>
      </c>
      <c r="F875" s="27" t="s">
        <v>145</v>
      </c>
      <c r="G875" s="32" t="n">
        <f aca="false">(A875-A874)*86400000</f>
        <v>16.999128</v>
      </c>
      <c r="H875" s="3"/>
      <c r="I875" s="3"/>
      <c r="J875" s="3"/>
      <c r="K875" s="3"/>
      <c r="L875" s="3"/>
      <c r="M875" s="3"/>
    </row>
    <row r="876" customFormat="false" ht="15" hidden="false" customHeight="false" outlineLevel="0" collapsed="false">
      <c r="A876" s="28" t="n">
        <v>46301.5240748264</v>
      </c>
      <c r="B876" s="31" t="n">
        <f aca="false">(A876-$A$5)*86400</f>
        <v>36.427000164</v>
      </c>
      <c r="C876" s="27" t="n">
        <v>0.1575</v>
      </c>
      <c r="D876" s="27" t="n">
        <v>1.4528</v>
      </c>
      <c r="E876" s="27" t="s">
        <v>603</v>
      </c>
      <c r="F876" s="27" t="s">
        <v>145</v>
      </c>
      <c r="G876" s="32" t="n">
        <f aca="false">(A876-A875)*86400000</f>
        <v>16.000214</v>
      </c>
      <c r="H876" s="3"/>
      <c r="I876" s="3"/>
      <c r="J876" s="3"/>
      <c r="K876" s="3"/>
      <c r="L876" s="3"/>
      <c r="M876" s="3"/>
    </row>
    <row r="877" customFormat="false" ht="15" hidden="false" customHeight="false" outlineLevel="0" collapsed="false">
      <c r="A877" s="28" t="n">
        <v>46301.5240750116</v>
      </c>
      <c r="B877" s="31" t="n">
        <f aca="false">(A877-$A$5)*86400</f>
        <v>36.443000379</v>
      </c>
      <c r="C877" s="27" t="n">
        <v>0.1555</v>
      </c>
      <c r="D877" s="27" t="n">
        <v>1.4528</v>
      </c>
      <c r="E877" s="27" t="s">
        <v>603</v>
      </c>
      <c r="F877" s="27" t="s">
        <v>145</v>
      </c>
      <c r="G877" s="32" t="n">
        <f aca="false">(A877-A876)*86400000</f>
        <v>16.000214</v>
      </c>
      <c r="H877" s="3"/>
      <c r="I877" s="3"/>
      <c r="J877" s="3"/>
      <c r="K877" s="3"/>
      <c r="L877" s="3"/>
      <c r="M877" s="3"/>
    </row>
    <row r="878" customFormat="false" ht="15" hidden="false" customHeight="false" outlineLevel="0" collapsed="false">
      <c r="A878" s="28" t="n">
        <v>46301.5240751968</v>
      </c>
      <c r="B878" s="31" t="n">
        <f aca="false">(A878-$A$5)*86400</f>
        <v>36.458999966</v>
      </c>
      <c r="C878" s="27" t="n">
        <v>0.1537</v>
      </c>
      <c r="D878" s="27" t="n">
        <v>1.4528</v>
      </c>
      <c r="E878" s="27" t="s">
        <v>603</v>
      </c>
      <c r="F878" s="27" t="s">
        <v>145</v>
      </c>
      <c r="G878" s="32" t="n">
        <f aca="false">(A878-A877)*86400000</f>
        <v>15.999586</v>
      </c>
      <c r="H878" s="3"/>
      <c r="I878" s="3"/>
      <c r="J878" s="3"/>
      <c r="K878" s="3"/>
      <c r="L878" s="3"/>
      <c r="M878" s="3"/>
    </row>
    <row r="879" customFormat="false" ht="15" hidden="false" customHeight="false" outlineLevel="0" collapsed="false">
      <c r="A879" s="28" t="n">
        <v>46301.524075382</v>
      </c>
      <c r="B879" s="31" t="n">
        <f aca="false">(A879-$A$5)*86400</f>
        <v>36.475000809</v>
      </c>
      <c r="C879" s="27" t="n">
        <v>0.1524</v>
      </c>
      <c r="D879" s="27" t="n">
        <v>1.4529</v>
      </c>
      <c r="E879" s="27" t="s">
        <v>603</v>
      </c>
      <c r="F879" s="27" t="s">
        <v>145</v>
      </c>
      <c r="G879" s="32" t="n">
        <f aca="false">(A879-A878)*86400000</f>
        <v>16.000843</v>
      </c>
      <c r="H879" s="3"/>
      <c r="I879" s="3"/>
      <c r="J879" s="3"/>
      <c r="K879" s="3"/>
      <c r="L879" s="3"/>
      <c r="M879" s="3"/>
    </row>
    <row r="880" customFormat="false" ht="15" hidden="false" customHeight="false" outlineLevel="0" collapsed="false">
      <c r="A880" s="28" t="n">
        <v>46301.5240757639</v>
      </c>
      <c r="B880" s="31" t="n">
        <f aca="false">(A880-$A$5)*86400</f>
        <v>36.508000153</v>
      </c>
      <c r="C880" s="27" t="n">
        <v>0.1503</v>
      </c>
      <c r="D880" s="27" t="n">
        <v>1.4529</v>
      </c>
      <c r="E880" s="27" t="s">
        <v>603</v>
      </c>
      <c r="F880" s="27" t="s">
        <v>145</v>
      </c>
      <c r="G880" s="32" t="n">
        <f aca="false">(A880-A879)*86400000</f>
        <v>32.999343</v>
      </c>
      <c r="H880" s="3"/>
      <c r="I880" s="3"/>
      <c r="J880" s="3"/>
      <c r="K880" s="3"/>
      <c r="L880" s="3"/>
      <c r="M880" s="3"/>
    </row>
    <row r="881" customFormat="false" ht="15" hidden="false" customHeight="false" outlineLevel="0" collapsed="false">
      <c r="A881" s="28" t="n">
        <v>46301.5240761227</v>
      </c>
      <c r="B881" s="31" t="n">
        <f aca="false">(A881-$A$5)*86400</f>
        <v>36.539000412</v>
      </c>
      <c r="C881" s="27" t="n">
        <v>0.1489</v>
      </c>
      <c r="D881" s="27" t="n">
        <v>1.4529</v>
      </c>
      <c r="E881" s="27" t="s">
        <v>603</v>
      </c>
      <c r="F881" s="27" t="s">
        <v>145</v>
      </c>
      <c r="G881" s="32" t="n">
        <f aca="false">(A881-A880)*86400000</f>
        <v>31.000259</v>
      </c>
      <c r="H881" s="3"/>
      <c r="I881" s="3"/>
      <c r="J881" s="3"/>
      <c r="K881" s="3"/>
      <c r="L881" s="3"/>
      <c r="M881" s="3"/>
    </row>
    <row r="882" customFormat="false" ht="15" hidden="false" customHeight="false" outlineLevel="0" collapsed="false">
      <c r="A882" s="28" t="n">
        <v>46301.5240766782</v>
      </c>
      <c r="B882" s="31" t="n">
        <f aca="false">(A882-$A$5)*86400</f>
        <v>36.5869998</v>
      </c>
      <c r="C882" s="27" t="n">
        <v>0.1476</v>
      </c>
      <c r="D882" s="27" t="n">
        <v>1.4529</v>
      </c>
      <c r="E882" s="27" t="s">
        <v>603</v>
      </c>
      <c r="F882" s="27" t="s">
        <v>145</v>
      </c>
      <c r="G882" s="32" t="n">
        <f aca="false">(A882-A881)*86400000</f>
        <v>47.999387</v>
      </c>
      <c r="H882" s="3"/>
      <c r="I882" s="3"/>
      <c r="J882" s="3"/>
      <c r="K882" s="3"/>
      <c r="L882" s="3"/>
      <c r="M882" s="3"/>
    </row>
    <row r="883" customFormat="false" ht="15" hidden="false" customHeight="false" outlineLevel="0" collapsed="false">
      <c r="A883" s="28" t="n">
        <v>46301.5240768519</v>
      </c>
      <c r="B883" s="31" t="n">
        <f aca="false">(A883-$A$5)*86400</f>
        <v>36.601999844</v>
      </c>
      <c r="C883" s="27" t="n">
        <v>0.1459</v>
      </c>
      <c r="D883" s="27" t="n">
        <v>1.4529</v>
      </c>
      <c r="E883" s="27" t="s">
        <v>603</v>
      </c>
      <c r="F883" s="27" t="s">
        <v>145</v>
      </c>
      <c r="G883" s="32" t="n">
        <f aca="false">(A883-A882)*86400000</f>
        <v>15.000044</v>
      </c>
      <c r="H883" s="3"/>
      <c r="I883" s="3"/>
      <c r="J883" s="3"/>
      <c r="K883" s="3"/>
      <c r="L883" s="3"/>
      <c r="M883" s="3"/>
    </row>
    <row r="884" customFormat="false" ht="15" hidden="false" customHeight="false" outlineLevel="0" collapsed="false">
      <c r="A884" s="28" t="n">
        <v>46301.5240837269</v>
      </c>
      <c r="B884" s="31" t="n">
        <f aca="false">(A884-$A$5)*86400</f>
        <v>37.195999966</v>
      </c>
      <c r="C884" s="27" t="n">
        <v>0.1464</v>
      </c>
      <c r="D884" s="27" t="n">
        <v>1.4559</v>
      </c>
      <c r="E884" s="27" t="s">
        <v>603</v>
      </c>
      <c r="F884" s="27" t="s">
        <v>145</v>
      </c>
      <c r="G884" s="32" t="n">
        <f aca="false">(A884-A883)*86400000</f>
        <v>594.000122</v>
      </c>
      <c r="H884" s="3"/>
      <c r="I884" s="3"/>
      <c r="J884" s="3"/>
      <c r="K884" s="3"/>
      <c r="L884" s="3"/>
      <c r="M884" s="3"/>
    </row>
    <row r="885" customFormat="false" ht="15" hidden="false" customHeight="false" outlineLevel="0" collapsed="false">
      <c r="A885" s="28" t="n">
        <v>46301.5240839236</v>
      </c>
      <c r="B885" s="31" t="n">
        <f aca="false">(A885-$A$5)*86400</f>
        <v>37.212999723</v>
      </c>
      <c r="C885" s="27" t="n">
        <v>0.1467</v>
      </c>
      <c r="D885" s="27" t="n">
        <v>1.4583</v>
      </c>
      <c r="E885" s="27" t="s">
        <v>603</v>
      </c>
      <c r="F885" s="27" t="s">
        <v>145</v>
      </c>
      <c r="G885" s="32" t="n">
        <f aca="false">(A885-A884)*86400000</f>
        <v>16.999756</v>
      </c>
      <c r="H885" s="3"/>
      <c r="I885" s="3"/>
      <c r="J885" s="3"/>
      <c r="K885" s="3"/>
      <c r="L885" s="3"/>
      <c r="M885" s="3"/>
    </row>
    <row r="886" customFormat="false" ht="15" hidden="false" customHeight="false" outlineLevel="0" collapsed="false">
      <c r="A886" s="28" t="n">
        <v>46301.5240840972</v>
      </c>
      <c r="B886" s="31" t="n">
        <f aca="false">(A886-$A$5)*86400</f>
        <v>37.228001025</v>
      </c>
      <c r="C886" s="27" t="n">
        <v>0.147</v>
      </c>
      <c r="D886" s="27" t="n">
        <v>1.4603</v>
      </c>
      <c r="E886" s="27" t="s">
        <v>603</v>
      </c>
      <c r="F886" s="27" t="s">
        <v>145</v>
      </c>
      <c r="G886" s="32" t="n">
        <f aca="false">(A886-A885)*86400000</f>
        <v>15.001301</v>
      </c>
      <c r="H886" s="3"/>
      <c r="I886" s="3"/>
      <c r="J886" s="3"/>
      <c r="K886" s="3"/>
      <c r="L886" s="3"/>
      <c r="M886" s="3"/>
    </row>
    <row r="887" customFormat="false" ht="15" hidden="false" customHeight="false" outlineLevel="0" collapsed="false">
      <c r="A887" s="28" t="n">
        <v>46301.5240842824</v>
      </c>
      <c r="B887" s="31" t="n">
        <f aca="false">(A887-$A$5)*86400</f>
        <v>37.244000611</v>
      </c>
      <c r="C887" s="27" t="n">
        <v>0.1473</v>
      </c>
      <c r="D887" s="27" t="n">
        <v>1.4619</v>
      </c>
      <c r="E887" s="27" t="s">
        <v>603</v>
      </c>
      <c r="F887" s="27" t="s">
        <v>145</v>
      </c>
      <c r="G887" s="32" t="n">
        <f aca="false">(A887-A886)*86400000</f>
        <v>15.999586</v>
      </c>
      <c r="H887" s="3"/>
      <c r="I887" s="3"/>
      <c r="J887" s="3"/>
      <c r="K887" s="3"/>
      <c r="L887" s="3"/>
      <c r="M887" s="3"/>
    </row>
    <row r="888" customFormat="false" ht="15" hidden="false" customHeight="false" outlineLevel="0" collapsed="false">
      <c r="A888" s="28" t="n">
        <v>46301.5240844676</v>
      </c>
      <c r="B888" s="31" t="n">
        <f aca="false">(A888-$A$5)*86400</f>
        <v>37.259999569</v>
      </c>
      <c r="C888" s="27" t="n">
        <v>0.1475</v>
      </c>
      <c r="D888" s="27" t="n">
        <v>1.4633</v>
      </c>
      <c r="E888" s="27" t="s">
        <v>603</v>
      </c>
      <c r="F888" s="27" t="s">
        <v>145</v>
      </c>
      <c r="G888" s="32" t="n">
        <f aca="false">(A888-A887)*86400000</f>
        <v>15.998957</v>
      </c>
      <c r="H888" s="3"/>
      <c r="I888" s="3"/>
      <c r="J888" s="3"/>
      <c r="K888" s="3"/>
      <c r="L888" s="3"/>
      <c r="M888" s="3"/>
    </row>
    <row r="889" customFormat="false" ht="15" hidden="false" customHeight="false" outlineLevel="0" collapsed="false">
      <c r="A889" s="28" t="n">
        <v>46301.5240846528</v>
      </c>
      <c r="B889" s="31" t="n">
        <f aca="false">(A889-$A$5)*86400</f>
        <v>37.276000413</v>
      </c>
      <c r="C889" s="27" t="n">
        <v>0.1477</v>
      </c>
      <c r="D889" s="27" t="n">
        <v>1.4644</v>
      </c>
      <c r="E889" s="27" t="s">
        <v>603</v>
      </c>
      <c r="F889" s="27" t="s">
        <v>145</v>
      </c>
      <c r="G889" s="32" t="n">
        <f aca="false">(A889-A888)*86400000</f>
        <v>16.000843</v>
      </c>
      <c r="H889" s="3"/>
      <c r="I889" s="3"/>
      <c r="J889" s="3"/>
      <c r="K889" s="3"/>
      <c r="L889" s="3"/>
      <c r="M889" s="3"/>
    </row>
    <row r="890" customFormat="false" ht="15" hidden="false" customHeight="false" outlineLevel="0" collapsed="false">
      <c r="A890" s="28" t="n">
        <v>46301.524084838</v>
      </c>
      <c r="B890" s="31" t="n">
        <f aca="false">(A890-$A$5)*86400</f>
        <v>37.291999999</v>
      </c>
      <c r="C890" s="27" t="n">
        <v>0.1478</v>
      </c>
      <c r="D890" s="27" t="n">
        <v>1.4653</v>
      </c>
      <c r="E890" s="27" t="s">
        <v>603</v>
      </c>
      <c r="F890" s="27" t="s">
        <v>145</v>
      </c>
      <c r="G890" s="32" t="n">
        <f aca="false">(A890-A889)*86400000</f>
        <v>15.999586</v>
      </c>
      <c r="H890" s="3"/>
      <c r="I890" s="3"/>
      <c r="J890" s="3"/>
      <c r="K890" s="3"/>
      <c r="L890" s="3"/>
      <c r="M890" s="3"/>
    </row>
    <row r="891" customFormat="false" ht="15" hidden="false" customHeight="false" outlineLevel="0" collapsed="false">
      <c r="A891" s="28" t="n">
        <v>46301.5240853935</v>
      </c>
      <c r="B891" s="31" t="n">
        <f aca="false">(A891-$A$5)*86400</f>
        <v>37.340000015</v>
      </c>
      <c r="C891" s="27" t="n">
        <v>0.1481</v>
      </c>
      <c r="D891" s="27" t="n">
        <v>1.4672</v>
      </c>
      <c r="E891" s="27" t="s">
        <v>603</v>
      </c>
      <c r="F891" s="27" t="s">
        <v>145</v>
      </c>
      <c r="G891" s="32" t="n">
        <f aca="false">(A891-A890)*86400000</f>
        <v>48.000016</v>
      </c>
      <c r="H891" s="3"/>
      <c r="I891" s="3"/>
      <c r="J891" s="3"/>
      <c r="K891" s="3"/>
      <c r="L891" s="3"/>
      <c r="M891" s="3"/>
    </row>
    <row r="892" customFormat="false" ht="15" hidden="false" customHeight="false" outlineLevel="0" collapsed="false">
      <c r="A892" s="28" t="n">
        <v>46301.5240859491</v>
      </c>
      <c r="B892" s="31" t="n">
        <f aca="false">(A892-$A$5)*86400</f>
        <v>37.388000031</v>
      </c>
      <c r="C892" s="27" t="n">
        <v>0.1485</v>
      </c>
      <c r="D892" s="27" t="n">
        <v>1.4697</v>
      </c>
      <c r="E892" s="27" t="s">
        <v>603</v>
      </c>
      <c r="F892" s="27" t="s">
        <v>145</v>
      </c>
      <c r="G892" s="32" t="n">
        <f aca="false">(A892-A891)*86400000</f>
        <v>48.000016</v>
      </c>
      <c r="H892" s="3"/>
      <c r="I892" s="3"/>
      <c r="J892" s="3"/>
      <c r="K892" s="3"/>
      <c r="L892" s="3"/>
      <c r="M892" s="3"/>
    </row>
    <row r="893" customFormat="false" ht="15" hidden="false" customHeight="false" outlineLevel="0" collapsed="false">
      <c r="A893" s="28" t="n">
        <v>46301.5240874537</v>
      </c>
      <c r="B893" s="31" t="n">
        <f aca="false">(A893-$A$5)*86400</f>
        <v>37.517999578</v>
      </c>
      <c r="C893" s="27" t="n">
        <v>0.1535</v>
      </c>
      <c r="D893" s="27" t="n">
        <v>1.4688</v>
      </c>
      <c r="E893" s="27" t="s">
        <v>603</v>
      </c>
      <c r="F893" s="27" t="s">
        <v>145</v>
      </c>
      <c r="G893" s="32" t="n">
        <f aca="false">(A893-A892)*86400000</f>
        <v>129.999546</v>
      </c>
      <c r="H893" s="3"/>
      <c r="I893" s="3"/>
      <c r="J893" s="3"/>
      <c r="K893" s="3"/>
      <c r="L893" s="3"/>
      <c r="M893" s="3"/>
    </row>
    <row r="894" customFormat="false" ht="15" hidden="false" customHeight="false" outlineLevel="0" collapsed="false">
      <c r="A894" s="28" t="n">
        <v>46301.5240876389</v>
      </c>
      <c r="B894" s="31" t="n">
        <f aca="false">(A894-$A$5)*86400</f>
        <v>37.534000421</v>
      </c>
      <c r="C894" s="27" t="n">
        <v>0.1576</v>
      </c>
      <c r="D894" s="27" t="n">
        <v>1.4681</v>
      </c>
      <c r="E894" s="27" t="s">
        <v>603</v>
      </c>
      <c r="F894" s="27" t="s">
        <v>145</v>
      </c>
      <c r="G894" s="32" t="n">
        <f aca="false">(A894-A893)*86400000</f>
        <v>16.000843</v>
      </c>
      <c r="H894" s="3"/>
      <c r="I894" s="3"/>
      <c r="J894" s="3"/>
      <c r="K894" s="3"/>
      <c r="L894" s="3"/>
      <c r="M894" s="3"/>
    </row>
    <row r="895" customFormat="false" ht="15" hidden="false" customHeight="false" outlineLevel="0" collapsed="false">
      <c r="A895" s="28" t="n">
        <v>46301.5240878125</v>
      </c>
      <c r="B895" s="31" t="n">
        <f aca="false">(A895-$A$5)*86400</f>
        <v>37.548999837</v>
      </c>
      <c r="C895" s="27" t="n">
        <v>0.161</v>
      </c>
      <c r="D895" s="27" t="n">
        <v>1.4676</v>
      </c>
      <c r="E895" s="27" t="s">
        <v>603</v>
      </c>
      <c r="F895" s="27" t="s">
        <v>145</v>
      </c>
      <c r="G895" s="32" t="n">
        <f aca="false">(A895-A894)*86400000</f>
        <v>14.999415</v>
      </c>
      <c r="H895" s="3"/>
      <c r="I895" s="3"/>
      <c r="J895" s="3"/>
      <c r="K895" s="3"/>
      <c r="L895" s="3"/>
      <c r="M895" s="3"/>
    </row>
    <row r="896" customFormat="false" ht="15" hidden="false" customHeight="false" outlineLevel="0" collapsed="false">
      <c r="A896" s="28" t="n">
        <v>46301.5240879977</v>
      </c>
      <c r="B896" s="31" t="n">
        <f aca="false">(A896-$A$5)*86400</f>
        <v>37.564999423</v>
      </c>
      <c r="C896" s="27" t="n">
        <v>0.1638</v>
      </c>
      <c r="D896" s="27" t="n">
        <v>1.4671</v>
      </c>
      <c r="E896" s="27" t="s">
        <v>603</v>
      </c>
      <c r="F896" s="27" t="s">
        <v>145</v>
      </c>
      <c r="G896" s="32" t="n">
        <f aca="false">(A896-A895)*86400000</f>
        <v>15.999586</v>
      </c>
      <c r="H896" s="3"/>
      <c r="I896" s="3"/>
      <c r="J896" s="3"/>
      <c r="K896" s="3"/>
      <c r="L896" s="3"/>
      <c r="M896" s="3"/>
    </row>
    <row r="897" customFormat="false" ht="15" hidden="false" customHeight="false" outlineLevel="0" collapsed="false">
      <c r="A897" s="28" t="n">
        <v>46301.5240881944</v>
      </c>
      <c r="B897" s="31" t="n">
        <f aca="false">(A897-$A$5)*86400</f>
        <v>37.581999809</v>
      </c>
      <c r="C897" s="27" t="n">
        <v>0.1664</v>
      </c>
      <c r="D897" s="27" t="n">
        <v>1.4666</v>
      </c>
      <c r="E897" s="27" t="s">
        <v>603</v>
      </c>
      <c r="F897" s="27" t="s">
        <v>145</v>
      </c>
      <c r="G897" s="32" t="n">
        <f aca="false">(A897-A896)*86400000</f>
        <v>17.000385</v>
      </c>
      <c r="H897" s="3"/>
      <c r="I897" s="3"/>
      <c r="J897" s="3"/>
      <c r="K897" s="3"/>
      <c r="L897" s="3"/>
      <c r="M897" s="3"/>
    </row>
    <row r="898" customFormat="false" ht="15" hidden="false" customHeight="false" outlineLevel="0" collapsed="false">
      <c r="A898" s="28" t="n">
        <v>46301.5240883912</v>
      </c>
      <c r="B898" s="31" t="n">
        <f aca="false">(A898-$A$5)*86400</f>
        <v>37.598999566</v>
      </c>
      <c r="C898" s="27" t="n">
        <v>0.1683</v>
      </c>
      <c r="D898" s="27" t="n">
        <v>1.4663</v>
      </c>
      <c r="E898" s="27" t="s">
        <v>603</v>
      </c>
      <c r="F898" s="27" t="s">
        <v>145</v>
      </c>
      <c r="G898" s="32" t="n">
        <f aca="false">(A898-A897)*86400000</f>
        <v>16.999756</v>
      </c>
      <c r="H898" s="3"/>
      <c r="I898" s="3"/>
      <c r="J898" s="3"/>
      <c r="K898" s="3"/>
      <c r="L898" s="3"/>
      <c r="M898" s="3"/>
    </row>
    <row r="899" customFormat="false" ht="15" hidden="false" customHeight="false" outlineLevel="0" collapsed="false">
      <c r="A899" s="28" t="n">
        <v>46301.5240885764</v>
      </c>
      <c r="B899" s="31" t="n">
        <f aca="false">(A899-$A$5)*86400</f>
        <v>37.61500041</v>
      </c>
      <c r="C899" s="27" t="n">
        <v>0.1698</v>
      </c>
      <c r="D899" s="27" t="n">
        <v>1.4661</v>
      </c>
      <c r="E899" s="27" t="s">
        <v>603</v>
      </c>
      <c r="F899" s="27" t="s">
        <v>145</v>
      </c>
      <c r="G899" s="32" t="n">
        <f aca="false">(A899-A898)*86400000</f>
        <v>16.000843</v>
      </c>
      <c r="H899" s="3"/>
      <c r="I899" s="3"/>
      <c r="J899" s="3"/>
      <c r="K899" s="3"/>
      <c r="L899" s="3"/>
      <c r="M899" s="3"/>
    </row>
    <row r="900" customFormat="false" ht="15" hidden="false" customHeight="false" outlineLevel="0" collapsed="false">
      <c r="A900" s="28" t="n">
        <v>46301.52408875</v>
      </c>
      <c r="B900" s="31" t="n">
        <f aca="false">(A900-$A$5)*86400</f>
        <v>37.629999825</v>
      </c>
      <c r="C900" s="27" t="n">
        <v>0.1711</v>
      </c>
      <c r="D900" s="27" t="n">
        <v>1.4659</v>
      </c>
      <c r="E900" s="27" t="s">
        <v>603</v>
      </c>
      <c r="F900" s="27" t="s">
        <v>145</v>
      </c>
      <c r="G900" s="32" t="n">
        <f aca="false">(A900-A899)*86400000</f>
        <v>14.999415</v>
      </c>
      <c r="H900" s="3"/>
      <c r="I900" s="3"/>
      <c r="J900" s="3"/>
      <c r="K900" s="3"/>
      <c r="L900" s="3"/>
      <c r="M900" s="3"/>
    </row>
    <row r="901" customFormat="false" ht="15" hidden="false" customHeight="false" outlineLevel="0" collapsed="false">
      <c r="A901" s="28" t="n">
        <v>46301.5240891204</v>
      </c>
      <c r="B901" s="31" t="n">
        <f aca="false">(A901-$A$5)*86400</f>
        <v>37.662000255</v>
      </c>
      <c r="C901" s="27" t="n">
        <v>0.173</v>
      </c>
      <c r="D901" s="27" t="n">
        <v>1.4655</v>
      </c>
      <c r="E901" s="27" t="s">
        <v>603</v>
      </c>
      <c r="F901" s="27" t="s">
        <v>145</v>
      </c>
      <c r="G901" s="32" t="n">
        <f aca="false">(A901-A900)*86400000</f>
        <v>32.000429</v>
      </c>
      <c r="H901" s="3"/>
      <c r="I901" s="3"/>
      <c r="J901" s="3"/>
      <c r="K901" s="3"/>
      <c r="L901" s="3"/>
      <c r="M901" s="3"/>
    </row>
    <row r="902" customFormat="false" ht="15" hidden="false" customHeight="false" outlineLevel="0" collapsed="false">
      <c r="A902" s="28" t="n">
        <v>46301.5240895023</v>
      </c>
      <c r="B902" s="31" t="n">
        <f aca="false">(A902-$A$5)*86400</f>
        <v>37.695000856</v>
      </c>
      <c r="C902" s="27" t="n">
        <v>0.1728</v>
      </c>
      <c r="D902" s="27" t="n">
        <v>1.4641</v>
      </c>
      <c r="E902" s="27" t="s">
        <v>603</v>
      </c>
      <c r="F902" s="27" t="s">
        <v>145</v>
      </c>
      <c r="G902" s="32" t="n">
        <f aca="false">(A902-A901)*86400000</f>
        <v>33.0006</v>
      </c>
      <c r="H902" s="3"/>
      <c r="I902" s="3"/>
      <c r="J902" s="3"/>
      <c r="K902" s="3"/>
      <c r="L902" s="3"/>
      <c r="M902" s="3"/>
    </row>
    <row r="903" customFormat="false" ht="15" hidden="false" customHeight="false" outlineLevel="0" collapsed="false">
      <c r="A903" s="28" t="n">
        <v>46301.5240896875</v>
      </c>
      <c r="B903" s="31" t="n">
        <f aca="false">(A903-$A$5)*86400</f>
        <v>37.710999813</v>
      </c>
      <c r="C903" s="27" t="n">
        <v>0.172</v>
      </c>
      <c r="D903" s="27" t="n">
        <v>1.463</v>
      </c>
      <c r="E903" s="27" t="s">
        <v>603</v>
      </c>
      <c r="F903" s="27" t="s">
        <v>145</v>
      </c>
      <c r="G903" s="32" t="n">
        <f aca="false">(A903-A902)*86400000</f>
        <v>15.998957</v>
      </c>
      <c r="H903" s="3"/>
      <c r="I903" s="3"/>
      <c r="J903" s="3"/>
      <c r="K903" s="3"/>
      <c r="L903" s="3"/>
      <c r="M903" s="3"/>
    </row>
    <row r="904" customFormat="false" ht="15" hidden="false" customHeight="false" outlineLevel="0" collapsed="false">
      <c r="A904" s="28" t="n">
        <v>46301.5240898727</v>
      </c>
      <c r="B904" s="31" t="n">
        <f aca="false">(A904-$A$5)*86400</f>
        <v>37.7269994</v>
      </c>
      <c r="C904" s="27" t="n">
        <v>0.1714</v>
      </c>
      <c r="D904" s="27" t="n">
        <v>1.4621</v>
      </c>
      <c r="E904" s="27" t="s">
        <v>603</v>
      </c>
      <c r="F904" s="27" t="s">
        <v>145</v>
      </c>
      <c r="G904" s="32" t="n">
        <f aca="false">(A904-A903)*86400000</f>
        <v>15.999586</v>
      </c>
      <c r="H904" s="3"/>
      <c r="I904" s="3"/>
      <c r="J904" s="3"/>
      <c r="K904" s="3"/>
      <c r="L904" s="3"/>
      <c r="M904" s="3"/>
    </row>
    <row r="905" customFormat="false" ht="15" hidden="false" customHeight="false" outlineLevel="0" collapsed="false">
      <c r="A905" s="28" t="n">
        <v>46301.5240900463</v>
      </c>
      <c r="B905" s="31" t="n">
        <f aca="false">(A905-$A$5)*86400</f>
        <v>37.742000701</v>
      </c>
      <c r="C905" s="27" t="n">
        <v>0.1709</v>
      </c>
      <c r="D905" s="27" t="n">
        <v>1.4613</v>
      </c>
      <c r="E905" s="27" t="s">
        <v>603</v>
      </c>
      <c r="F905" s="27" t="s">
        <v>145</v>
      </c>
      <c r="G905" s="32" t="n">
        <f aca="false">(A905-A904)*86400000</f>
        <v>15.001301</v>
      </c>
      <c r="H905" s="3"/>
      <c r="I905" s="3"/>
      <c r="J905" s="3"/>
      <c r="K905" s="3"/>
      <c r="L905" s="3"/>
      <c r="M905" s="3"/>
    </row>
    <row r="906" customFormat="false" ht="15" hidden="false" customHeight="false" outlineLevel="0" collapsed="false">
      <c r="A906" s="28" t="n">
        <v>46301.5240904282</v>
      </c>
      <c r="B906" s="31" t="n">
        <f aca="false">(A906-$A$5)*86400</f>
        <v>37.775000045</v>
      </c>
      <c r="C906" s="27" t="n">
        <v>0.1701</v>
      </c>
      <c r="D906" s="27" t="n">
        <v>1.4602</v>
      </c>
      <c r="E906" s="27" t="s">
        <v>603</v>
      </c>
      <c r="F906" s="27" t="s">
        <v>145</v>
      </c>
      <c r="G906" s="32" t="n">
        <f aca="false">(A906-A905)*86400000</f>
        <v>32.999343</v>
      </c>
      <c r="H906" s="3"/>
      <c r="I906" s="3"/>
      <c r="J906" s="3"/>
      <c r="K906" s="3"/>
      <c r="L906" s="3"/>
      <c r="M906" s="3"/>
    </row>
    <row r="907" customFormat="false" ht="15" hidden="false" customHeight="false" outlineLevel="0" collapsed="false">
      <c r="A907" s="28" t="n">
        <v>46301.5240909838</v>
      </c>
      <c r="B907" s="31" t="n">
        <f aca="false">(A907-$A$5)*86400</f>
        <v>37.823000689</v>
      </c>
      <c r="C907" s="27" t="n">
        <v>0.1684</v>
      </c>
      <c r="D907" s="27" t="n">
        <v>1.4578</v>
      </c>
      <c r="E907" s="27" t="s">
        <v>603</v>
      </c>
      <c r="F907" s="27" t="s">
        <v>145</v>
      </c>
      <c r="G907" s="32" t="n">
        <f aca="false">(A907-A906)*86400000</f>
        <v>48.000644</v>
      </c>
      <c r="H907" s="3"/>
      <c r="I907" s="3"/>
      <c r="J907" s="3"/>
      <c r="K907" s="3"/>
      <c r="L907" s="3"/>
      <c r="M907" s="3"/>
    </row>
    <row r="908" customFormat="false" ht="15" hidden="false" customHeight="false" outlineLevel="0" collapsed="false">
      <c r="A908" s="28" t="n">
        <v>46301.5240922917</v>
      </c>
      <c r="B908" s="31" t="n">
        <f aca="false">(A908-$A$5)*86400</f>
        <v>37.935999222</v>
      </c>
      <c r="C908" s="27" t="n">
        <v>0.1763</v>
      </c>
      <c r="D908" s="27" t="n">
        <v>1.4557</v>
      </c>
      <c r="E908" s="27" t="s">
        <v>603</v>
      </c>
      <c r="F908" s="27" t="s">
        <v>145</v>
      </c>
      <c r="G908" s="32" t="n">
        <f aca="false">(A908-A907)*86400000</f>
        <v>112.998532</v>
      </c>
      <c r="H908" s="3"/>
      <c r="I908" s="3"/>
      <c r="J908" s="3"/>
      <c r="K908" s="3"/>
      <c r="L908" s="3"/>
      <c r="M908" s="3"/>
    </row>
    <row r="909" customFormat="false" ht="15" hidden="false" customHeight="false" outlineLevel="0" collapsed="false">
      <c r="A909" s="28" t="n">
        <v>46301.5240924769</v>
      </c>
      <c r="B909" s="31" t="n">
        <f aca="false">(A909-$A$5)*86400</f>
        <v>37.952000065</v>
      </c>
      <c r="C909" s="27" t="n">
        <v>0.1828</v>
      </c>
      <c r="D909" s="27" t="n">
        <v>1.4539</v>
      </c>
      <c r="E909" s="27" t="s">
        <v>603</v>
      </c>
      <c r="F909" s="27" t="s">
        <v>145</v>
      </c>
      <c r="G909" s="32" t="n">
        <f aca="false">(A909-A908)*86400000</f>
        <v>16.000843</v>
      </c>
      <c r="H909" s="3"/>
      <c r="I909" s="3"/>
      <c r="J909" s="3"/>
      <c r="K909" s="3"/>
      <c r="L909" s="3"/>
      <c r="M909" s="3"/>
    </row>
    <row r="910" customFormat="false" ht="15" hidden="false" customHeight="false" outlineLevel="0" collapsed="false">
      <c r="A910" s="28" t="n">
        <v>46301.524092662</v>
      </c>
      <c r="B910" s="31" t="n">
        <f aca="false">(A910-$A$5)*86400</f>
        <v>37.96800028</v>
      </c>
      <c r="C910" s="27" t="n">
        <v>0.1878</v>
      </c>
      <c r="D910" s="27" t="n">
        <v>1.4525</v>
      </c>
      <c r="E910" s="27" t="s">
        <v>603</v>
      </c>
      <c r="F910" s="27" t="s">
        <v>145</v>
      </c>
      <c r="G910" s="32" t="n">
        <f aca="false">(A910-A909)*86400000</f>
        <v>16.000214</v>
      </c>
      <c r="H910" s="3"/>
      <c r="I910" s="3"/>
      <c r="J910" s="3"/>
      <c r="K910" s="3"/>
      <c r="L910" s="3"/>
      <c r="M910" s="3"/>
    </row>
    <row r="911" customFormat="false" ht="15" hidden="false" customHeight="false" outlineLevel="0" collapsed="false">
      <c r="A911" s="28" t="n">
        <v>46301.5240928357</v>
      </c>
      <c r="B911" s="31" t="n">
        <f aca="false">(A911-$A$5)*86400</f>
        <v>37.983000325</v>
      </c>
      <c r="C911" s="27" t="n">
        <v>0.1923</v>
      </c>
      <c r="D911" s="27" t="n">
        <v>1.4513</v>
      </c>
      <c r="E911" s="27" t="s">
        <v>603</v>
      </c>
      <c r="F911" s="27" t="s">
        <v>145</v>
      </c>
      <c r="G911" s="32" t="n">
        <f aca="false">(A911-A910)*86400000</f>
        <v>15.000044</v>
      </c>
      <c r="H911" s="3"/>
      <c r="I911" s="3"/>
      <c r="J911" s="3"/>
      <c r="K911" s="3"/>
      <c r="L911" s="3"/>
      <c r="M911" s="3"/>
    </row>
    <row r="912" customFormat="false" ht="15" hidden="false" customHeight="false" outlineLevel="0" collapsed="false">
      <c r="A912" s="28" t="n">
        <v>46301.5240930324</v>
      </c>
      <c r="B912" s="31" t="n">
        <f aca="false">(A912-$A$5)*86400</f>
        <v>38</v>
      </c>
      <c r="C912" s="27" t="n">
        <v>0.1962</v>
      </c>
      <c r="D912" s="27" t="n">
        <v>1.4502</v>
      </c>
      <c r="E912" s="27" t="s">
        <v>603</v>
      </c>
      <c r="F912" s="27" t="s">
        <v>145</v>
      </c>
      <c r="G912" s="32" t="n">
        <f aca="false">(A912-A911)*86400000</f>
        <v>16.999756</v>
      </c>
      <c r="H912" s="3"/>
      <c r="I912" s="3"/>
      <c r="J912" s="3"/>
      <c r="K912" s="3"/>
      <c r="L912" s="3"/>
      <c r="M912" s="3"/>
    </row>
    <row r="913" customFormat="false" ht="15" hidden="false" customHeight="false" outlineLevel="0" collapsed="false">
      <c r="A913" s="28" t="n">
        <v>46301.5240932292</v>
      </c>
      <c r="B913" s="31" t="n">
        <f aca="false">(A913-$A$5)*86400</f>
        <v>38.016999838</v>
      </c>
      <c r="C913" s="27" t="n">
        <v>0.1992</v>
      </c>
      <c r="D913" s="27" t="n">
        <v>1.4494</v>
      </c>
      <c r="E913" s="27" t="s">
        <v>603</v>
      </c>
      <c r="F913" s="27" t="s">
        <v>145</v>
      </c>
      <c r="G913" s="32" t="n">
        <f aca="false">(A913-A912)*86400000</f>
        <v>16.999756</v>
      </c>
      <c r="H913" s="3"/>
      <c r="I913" s="3"/>
      <c r="J913" s="3"/>
      <c r="K913" s="3"/>
      <c r="L913" s="3"/>
      <c r="M913" s="3"/>
    </row>
    <row r="914" customFormat="false" ht="15" hidden="false" customHeight="false" outlineLevel="0" collapsed="false">
      <c r="A914" s="28" t="n">
        <v>46301.5240934144</v>
      </c>
      <c r="B914" s="31" t="n">
        <f aca="false">(A914-$A$5)*86400</f>
        <v>38.033000053</v>
      </c>
      <c r="C914" s="27" t="n">
        <v>0.2017</v>
      </c>
      <c r="D914" s="27" t="n">
        <v>1.4487</v>
      </c>
      <c r="E914" s="27" t="s">
        <v>603</v>
      </c>
      <c r="F914" s="27" t="s">
        <v>145</v>
      </c>
      <c r="G914" s="32" t="n">
        <f aca="false">(A914-A913)*86400000</f>
        <v>16.000214</v>
      </c>
      <c r="H914" s="3"/>
      <c r="I914" s="3"/>
      <c r="J914" s="3"/>
      <c r="K914" s="3"/>
      <c r="L914" s="3"/>
      <c r="M914" s="3"/>
    </row>
    <row r="915" customFormat="false" ht="15" hidden="false" customHeight="false" outlineLevel="0" collapsed="false">
      <c r="A915" s="28" t="n">
        <v>46301.5240935995</v>
      </c>
      <c r="B915" s="31" t="n">
        <f aca="false">(A915-$A$5)*86400</f>
        <v>38.049000268</v>
      </c>
      <c r="C915" s="27" t="n">
        <v>0.2038</v>
      </c>
      <c r="D915" s="27" t="n">
        <v>1.4481</v>
      </c>
      <c r="E915" s="27" t="s">
        <v>603</v>
      </c>
      <c r="F915" s="27" t="s">
        <v>145</v>
      </c>
      <c r="G915" s="32" t="n">
        <f aca="false">(A915-A914)*86400000</f>
        <v>16.000214</v>
      </c>
      <c r="H915" s="3"/>
      <c r="I915" s="3"/>
      <c r="J915" s="3"/>
      <c r="K915" s="3"/>
      <c r="L915" s="3"/>
      <c r="M915" s="3"/>
    </row>
    <row r="916" customFormat="false" ht="15" hidden="false" customHeight="false" outlineLevel="0" collapsed="false">
      <c r="A916" s="28" t="n">
        <v>46301.5240937847</v>
      </c>
      <c r="B916" s="31" t="n">
        <f aca="false">(A916-$A$5)*86400</f>
        <v>38.064999855</v>
      </c>
      <c r="C916" s="27" t="n">
        <v>0.2055</v>
      </c>
      <c r="D916" s="27" t="n">
        <v>1.4477</v>
      </c>
      <c r="E916" s="27" t="s">
        <v>603</v>
      </c>
      <c r="F916" s="27" t="s">
        <v>145</v>
      </c>
      <c r="G916" s="32" t="n">
        <f aca="false">(A916-A915)*86400000</f>
        <v>15.999586</v>
      </c>
      <c r="H916" s="3"/>
      <c r="I916" s="3"/>
      <c r="J916" s="3"/>
      <c r="K916" s="3"/>
      <c r="L916" s="3"/>
      <c r="M916" s="3"/>
    </row>
    <row r="917" customFormat="false" ht="15" hidden="false" customHeight="false" outlineLevel="0" collapsed="false">
      <c r="A917" s="28" t="n">
        <v>46301.5240939699</v>
      </c>
      <c r="B917" s="31" t="n">
        <f aca="false">(A917-$A$5)*86400</f>
        <v>38.08100007</v>
      </c>
      <c r="C917" s="27" t="n">
        <v>0.2069</v>
      </c>
      <c r="D917" s="27" t="n">
        <v>1.4473</v>
      </c>
      <c r="E917" s="27" t="s">
        <v>603</v>
      </c>
      <c r="F917" s="27" t="s">
        <v>145</v>
      </c>
      <c r="G917" s="32" t="n">
        <f aca="false">(A917-A916)*86400000</f>
        <v>16.000214</v>
      </c>
      <c r="H917" s="3"/>
      <c r="I917" s="3"/>
      <c r="J917" s="3"/>
      <c r="K917" s="3"/>
      <c r="L917" s="3"/>
      <c r="M917" s="3"/>
    </row>
    <row r="918" customFormat="false" ht="15" hidden="false" customHeight="false" outlineLevel="0" collapsed="false">
      <c r="A918" s="28" t="n">
        <v>46301.5240941551</v>
      </c>
      <c r="B918" s="31" t="n">
        <f aca="false">(A918-$A$5)*86400</f>
        <v>38.096999656</v>
      </c>
      <c r="C918" s="27" t="n">
        <v>0.2231</v>
      </c>
      <c r="D918" s="27" t="n">
        <v>1.4537</v>
      </c>
      <c r="E918" s="27" t="s">
        <v>603</v>
      </c>
      <c r="F918" s="27" t="s">
        <v>145</v>
      </c>
      <c r="G918" s="32" t="n">
        <f aca="false">(A918-A917)*86400000</f>
        <v>15.999586</v>
      </c>
      <c r="H918" s="3"/>
      <c r="I918" s="3"/>
      <c r="J918" s="3"/>
      <c r="K918" s="3"/>
      <c r="L918" s="3"/>
      <c r="M918" s="3"/>
    </row>
    <row r="919" customFormat="false" ht="15" hidden="false" customHeight="false" outlineLevel="0" collapsed="false">
      <c r="A919" s="28" t="n">
        <v>46301.5240943403</v>
      </c>
      <c r="B919" s="31" t="n">
        <f aca="false">(A919-$A$5)*86400</f>
        <v>38.1130005</v>
      </c>
      <c r="C919" s="27" t="n">
        <v>0.2365</v>
      </c>
      <c r="D919" s="27" t="n">
        <v>1.4591</v>
      </c>
      <c r="E919" s="27" t="s">
        <v>603</v>
      </c>
      <c r="F919" s="27" t="s">
        <v>145</v>
      </c>
      <c r="G919" s="32" t="n">
        <f aca="false">(A919-A918)*86400000</f>
        <v>16.000843</v>
      </c>
      <c r="H919" s="3"/>
      <c r="I919" s="3"/>
      <c r="J919" s="3"/>
      <c r="K919" s="3"/>
      <c r="L919" s="3"/>
      <c r="M919" s="3"/>
    </row>
    <row r="920" customFormat="false" ht="15" hidden="false" customHeight="false" outlineLevel="0" collapsed="false">
      <c r="A920" s="28" t="n">
        <v>46301.5240945139</v>
      </c>
      <c r="B920" s="31" t="n">
        <f aca="false">(A920-$A$5)*86400</f>
        <v>38.127999915</v>
      </c>
      <c r="C920" s="27" t="n">
        <v>0.2475</v>
      </c>
      <c r="D920" s="27" t="n">
        <v>1.4635</v>
      </c>
      <c r="E920" s="27" t="s">
        <v>603</v>
      </c>
      <c r="F920" s="27" t="s">
        <v>145</v>
      </c>
      <c r="G920" s="32" t="n">
        <f aca="false">(A920-A919)*86400000</f>
        <v>14.999415</v>
      </c>
      <c r="H920" s="3"/>
      <c r="I920" s="3"/>
      <c r="J920" s="3"/>
      <c r="K920" s="3"/>
      <c r="L920" s="3"/>
      <c r="M920" s="3"/>
    </row>
    <row r="921" customFormat="false" ht="15" hidden="false" customHeight="false" outlineLevel="0" collapsed="false">
      <c r="A921" s="28" t="n">
        <v>46301.5240946991</v>
      </c>
      <c r="B921" s="31" t="n">
        <f aca="false">(A921-$A$5)*86400</f>
        <v>38.143999502</v>
      </c>
      <c r="C921" s="27" t="n">
        <v>0.2567</v>
      </c>
      <c r="D921" s="27" t="n">
        <v>1.4672</v>
      </c>
      <c r="E921" s="27" t="s">
        <v>603</v>
      </c>
      <c r="F921" s="27" t="s">
        <v>145</v>
      </c>
      <c r="G921" s="32" t="n">
        <f aca="false">(A921-A920)*86400000</f>
        <v>15.999586</v>
      </c>
      <c r="H921" s="3"/>
      <c r="I921" s="3"/>
      <c r="J921" s="3"/>
      <c r="K921" s="3"/>
      <c r="L921" s="3"/>
      <c r="M921" s="3"/>
    </row>
    <row r="922" customFormat="false" ht="15" hidden="false" customHeight="false" outlineLevel="0" collapsed="false">
      <c r="A922" s="28" t="n">
        <v>46301.5240948843</v>
      </c>
      <c r="B922" s="31" t="n">
        <f aca="false">(A922-$A$5)*86400</f>
        <v>38.160000345</v>
      </c>
      <c r="C922" s="27" t="n">
        <v>0.2642</v>
      </c>
      <c r="D922" s="27" t="n">
        <v>1.4702</v>
      </c>
      <c r="E922" s="27" t="s">
        <v>603</v>
      </c>
      <c r="F922" s="27" t="s">
        <v>145</v>
      </c>
      <c r="G922" s="32" t="n">
        <f aca="false">(A922-A921)*86400000</f>
        <v>16.000843</v>
      </c>
      <c r="H922" s="3"/>
      <c r="I922" s="3"/>
      <c r="J922" s="3"/>
      <c r="K922" s="3"/>
      <c r="L922" s="3"/>
      <c r="M922" s="3"/>
    </row>
    <row r="923" customFormat="false" ht="15" hidden="false" customHeight="false" outlineLevel="0" collapsed="false">
      <c r="A923" s="28" t="n">
        <v>46301.5240950694</v>
      </c>
      <c r="B923" s="31" t="n">
        <f aca="false">(A923-$A$5)*86400</f>
        <v>38.175999931</v>
      </c>
      <c r="C923" s="27" t="n">
        <v>0.2704</v>
      </c>
      <c r="D923" s="27" t="n">
        <v>1.4727</v>
      </c>
      <c r="E923" s="27" t="s">
        <v>603</v>
      </c>
      <c r="F923" s="27" t="s">
        <v>145</v>
      </c>
      <c r="G923" s="32" t="n">
        <f aca="false">(A923-A922)*86400000</f>
        <v>15.999586</v>
      </c>
      <c r="H923" s="3"/>
      <c r="I923" s="3"/>
      <c r="J923" s="3"/>
      <c r="K923" s="3"/>
      <c r="L923" s="3"/>
      <c r="M923" s="3"/>
    </row>
    <row r="924" customFormat="false" ht="15" hidden="false" customHeight="false" outlineLevel="0" collapsed="false">
      <c r="A924" s="28" t="n">
        <v>46301.5240952546</v>
      </c>
      <c r="B924" s="31" t="n">
        <f aca="false">(A924-$A$5)*86400</f>
        <v>38.192000146</v>
      </c>
      <c r="C924" s="27" t="n">
        <v>0.2755</v>
      </c>
      <c r="D924" s="27" t="n">
        <v>1.4747</v>
      </c>
      <c r="E924" s="27" t="s">
        <v>603</v>
      </c>
      <c r="F924" s="27" t="s">
        <v>145</v>
      </c>
      <c r="G924" s="32" t="n">
        <f aca="false">(A924-A923)*86400000</f>
        <v>16.000214</v>
      </c>
      <c r="H924" s="3"/>
      <c r="I924" s="3"/>
      <c r="J924" s="3"/>
      <c r="K924" s="3"/>
      <c r="L924" s="3"/>
      <c r="M924" s="3"/>
    </row>
    <row r="925" customFormat="false" ht="15" hidden="false" customHeight="false" outlineLevel="0" collapsed="false">
      <c r="A925" s="28" t="n">
        <v>46301.5240954398</v>
      </c>
      <c r="B925" s="31" t="n">
        <f aca="false">(A925-$A$5)*86400</f>
        <v>38.208000361</v>
      </c>
      <c r="C925" s="27" t="n">
        <v>0.2798</v>
      </c>
      <c r="D925" s="27" t="n">
        <v>1.4764</v>
      </c>
      <c r="E925" s="27" t="s">
        <v>603</v>
      </c>
      <c r="F925" s="27" t="s">
        <v>145</v>
      </c>
      <c r="G925" s="32" t="n">
        <f aca="false">(A925-A924)*86400000</f>
        <v>16.000214</v>
      </c>
      <c r="H925" s="3"/>
      <c r="I925" s="3"/>
      <c r="J925" s="3"/>
      <c r="K925" s="3"/>
      <c r="L925" s="3"/>
      <c r="M925" s="3"/>
    </row>
    <row r="926" customFormat="false" ht="15" hidden="false" customHeight="false" outlineLevel="0" collapsed="false">
      <c r="A926" s="28" t="n">
        <v>46301.524095625</v>
      </c>
      <c r="B926" s="31" t="n">
        <f aca="false">(A926-$A$5)*86400</f>
        <v>38.223999948</v>
      </c>
      <c r="C926" s="27" t="n">
        <v>0.2833</v>
      </c>
      <c r="D926" s="27" t="n">
        <v>1.4778</v>
      </c>
      <c r="E926" s="27" t="s">
        <v>603</v>
      </c>
      <c r="F926" s="27" t="s">
        <v>145</v>
      </c>
      <c r="G926" s="32" t="n">
        <f aca="false">(A926-A925)*86400000</f>
        <v>15.999586</v>
      </c>
      <c r="H926" s="3"/>
      <c r="I926" s="3"/>
      <c r="J926" s="3"/>
      <c r="K926" s="3"/>
      <c r="L926" s="3"/>
      <c r="M926" s="3"/>
    </row>
    <row r="927" customFormat="false" ht="15" hidden="false" customHeight="false" outlineLevel="0" collapsed="false">
      <c r="A927" s="28" t="n">
        <v>46301.5240958218</v>
      </c>
      <c r="B927" s="31" t="n">
        <f aca="false">(A927-$A$5)*86400</f>
        <v>38.241000333</v>
      </c>
      <c r="C927" s="27" t="n">
        <v>0.2861</v>
      </c>
      <c r="D927" s="27" t="n">
        <v>1.4789</v>
      </c>
      <c r="E927" s="27" t="s">
        <v>603</v>
      </c>
      <c r="F927" s="27" t="s">
        <v>145</v>
      </c>
      <c r="G927" s="32" t="n">
        <f aca="false">(A927-A926)*86400000</f>
        <v>17.000385</v>
      </c>
      <c r="H927" s="3"/>
      <c r="I927" s="3"/>
      <c r="J927" s="3"/>
      <c r="K927" s="3"/>
      <c r="L927" s="3"/>
      <c r="M927" s="3"/>
    </row>
    <row r="928" customFormat="false" ht="15" hidden="false" customHeight="false" outlineLevel="0" collapsed="false">
      <c r="A928" s="28" t="n">
        <v>46301.5240960069</v>
      </c>
      <c r="B928" s="31" t="n">
        <f aca="false">(A928-$A$5)*86400</f>
        <v>38.25699992</v>
      </c>
      <c r="C928" s="27" t="n">
        <v>0.2885</v>
      </c>
      <c r="D928" s="27" t="n">
        <v>1.4799</v>
      </c>
      <c r="E928" s="27" t="s">
        <v>603</v>
      </c>
      <c r="F928" s="27" t="s">
        <v>145</v>
      </c>
      <c r="G928" s="32" t="n">
        <f aca="false">(A928-A927)*86400000</f>
        <v>15.999586</v>
      </c>
      <c r="H928" s="3"/>
      <c r="I928" s="3"/>
      <c r="J928" s="3"/>
      <c r="K928" s="3"/>
      <c r="L928" s="3"/>
      <c r="M928" s="3"/>
    </row>
    <row r="929" customFormat="false" ht="15" hidden="false" customHeight="false" outlineLevel="0" collapsed="false">
      <c r="A929" s="28" t="n">
        <v>46301.5240961921</v>
      </c>
      <c r="B929" s="31" t="n">
        <f aca="false">(A929-$A$5)*86400</f>
        <v>38.273000135</v>
      </c>
      <c r="C929" s="27" t="n">
        <v>0.2905</v>
      </c>
      <c r="D929" s="27" t="n">
        <v>1.4807</v>
      </c>
      <c r="E929" s="27" t="s">
        <v>603</v>
      </c>
      <c r="F929" s="27" t="s">
        <v>145</v>
      </c>
      <c r="G929" s="32" t="n">
        <f aca="false">(A929-A928)*86400000</f>
        <v>16.000214</v>
      </c>
      <c r="H929" s="3"/>
      <c r="I929" s="3"/>
      <c r="J929" s="3"/>
      <c r="K929" s="3"/>
      <c r="L929" s="3"/>
      <c r="M929" s="3"/>
    </row>
    <row r="930" customFormat="false" ht="15" hidden="false" customHeight="false" outlineLevel="0" collapsed="false">
      <c r="A930" s="28" t="n">
        <v>46301.5240963773</v>
      </c>
      <c r="B930" s="31" t="n">
        <f aca="false">(A930-$A$5)*86400</f>
        <v>38.28900035</v>
      </c>
      <c r="C930" s="27" t="n">
        <v>0.2921</v>
      </c>
      <c r="D930" s="27" t="n">
        <v>1.4813</v>
      </c>
      <c r="E930" s="27" t="s">
        <v>603</v>
      </c>
      <c r="F930" s="27" t="s">
        <v>145</v>
      </c>
      <c r="G930" s="32" t="n">
        <f aca="false">(A930-A929)*86400000</f>
        <v>16.000214</v>
      </c>
      <c r="H930" s="3"/>
      <c r="I930" s="3"/>
      <c r="J930" s="3"/>
      <c r="K930" s="3"/>
      <c r="L930" s="3"/>
      <c r="M930" s="3"/>
    </row>
    <row r="931" customFormat="false" ht="15" hidden="false" customHeight="false" outlineLevel="0" collapsed="false">
      <c r="A931" s="28" t="n">
        <v>46301.5240965625</v>
      </c>
      <c r="B931" s="31" t="n">
        <f aca="false">(A931-$A$5)*86400</f>
        <v>38.304999936</v>
      </c>
      <c r="C931" s="27" t="n">
        <v>0.2934</v>
      </c>
      <c r="D931" s="27" t="n">
        <v>1.4819</v>
      </c>
      <c r="E931" s="27" t="s">
        <v>603</v>
      </c>
      <c r="F931" s="27" t="s">
        <v>145</v>
      </c>
      <c r="G931" s="32" t="n">
        <f aca="false">(A931-A930)*86400000</f>
        <v>15.999586</v>
      </c>
      <c r="H931" s="3"/>
      <c r="I931" s="3"/>
      <c r="J931" s="3"/>
      <c r="K931" s="3"/>
      <c r="L931" s="3"/>
      <c r="M931" s="3"/>
    </row>
    <row r="932" customFormat="false" ht="15" hidden="false" customHeight="false" outlineLevel="0" collapsed="false">
      <c r="A932" s="28" t="n">
        <v>46301.5240967477</v>
      </c>
      <c r="B932" s="31" t="n">
        <f aca="false">(A932-$A$5)*86400</f>
        <v>38.321000779</v>
      </c>
      <c r="C932" s="27" t="n">
        <v>0.2945</v>
      </c>
      <c r="D932" s="27" t="n">
        <v>1.4823</v>
      </c>
      <c r="E932" s="27" t="s">
        <v>603</v>
      </c>
      <c r="F932" s="27" t="s">
        <v>145</v>
      </c>
      <c r="G932" s="32" t="n">
        <f aca="false">(A932-A931)*86400000</f>
        <v>16.000843</v>
      </c>
      <c r="H932" s="3"/>
      <c r="I932" s="3"/>
      <c r="J932" s="3"/>
      <c r="K932" s="3"/>
      <c r="L932" s="3"/>
      <c r="M932" s="3"/>
    </row>
    <row r="933" customFormat="false" ht="15" hidden="false" customHeight="false" outlineLevel="0" collapsed="false">
      <c r="A933" s="28" t="n">
        <v>46301.5240971181</v>
      </c>
      <c r="B933" s="31" t="n">
        <f aca="false">(A933-$A$5)*86400</f>
        <v>38.352999323</v>
      </c>
      <c r="C933" s="27" t="n">
        <v>0.2962</v>
      </c>
      <c r="D933" s="27" t="n">
        <v>1.483</v>
      </c>
      <c r="E933" s="27" t="s">
        <v>603</v>
      </c>
      <c r="F933" s="27" t="s">
        <v>145</v>
      </c>
      <c r="G933" s="32" t="n">
        <f aca="false">(A933-A932)*86400000</f>
        <v>31.998544</v>
      </c>
      <c r="H933" s="3"/>
      <c r="I933" s="3"/>
      <c r="J933" s="3"/>
      <c r="K933" s="3"/>
      <c r="L933" s="3"/>
      <c r="M933" s="3"/>
    </row>
    <row r="934" customFormat="false" ht="15" hidden="false" customHeight="false" outlineLevel="0" collapsed="false">
      <c r="A934" s="28" t="n">
        <v>46301.5240978588</v>
      </c>
      <c r="B934" s="31" t="n">
        <f aca="false">(A934-$A$5)*86400</f>
        <v>38.417000183</v>
      </c>
      <c r="C934" s="27" t="n">
        <v>0.2981</v>
      </c>
      <c r="D934" s="27" t="n">
        <v>1.4837</v>
      </c>
      <c r="E934" s="27" t="s">
        <v>603</v>
      </c>
      <c r="F934" s="27" t="s">
        <v>145</v>
      </c>
      <c r="G934" s="32" t="n">
        <f aca="false">(A934-A933)*86400000</f>
        <v>64.000859</v>
      </c>
      <c r="H934" s="3"/>
      <c r="I934" s="3"/>
      <c r="J934" s="3"/>
      <c r="K934" s="3"/>
      <c r="L934" s="3"/>
      <c r="M934" s="3"/>
    </row>
    <row r="935" customFormat="false" ht="15" hidden="false" customHeight="false" outlineLevel="0" collapsed="false">
      <c r="A935" s="28" t="n">
        <v>46301.5240980324</v>
      </c>
      <c r="B935" s="31" t="n">
        <f aca="false">(A935-$A$5)*86400</f>
        <v>38.432000228</v>
      </c>
      <c r="C935" s="27" t="n">
        <v>0.2998</v>
      </c>
      <c r="D935" s="27" t="n">
        <v>1.4844</v>
      </c>
      <c r="E935" s="27" t="s">
        <v>603</v>
      </c>
      <c r="F935" s="27" t="s">
        <v>145</v>
      </c>
      <c r="G935" s="32" t="n">
        <f aca="false">(A935-A934)*86400000</f>
        <v>15.000044</v>
      </c>
      <c r="H935" s="3"/>
      <c r="I935" s="3"/>
      <c r="J935" s="3"/>
      <c r="K935" s="3"/>
      <c r="L935" s="3"/>
      <c r="M935" s="3"/>
    </row>
    <row r="936" customFormat="false" ht="15" hidden="false" customHeight="false" outlineLevel="0" collapsed="false">
      <c r="A936" s="28" t="n">
        <v>46301.5241002778</v>
      </c>
      <c r="B936" s="31" t="n">
        <f aca="false">(A936-$A$5)*86400</f>
        <v>38.626000005</v>
      </c>
      <c r="C936" s="27" t="n">
        <v>0.3131</v>
      </c>
      <c r="D936" s="27" t="n">
        <v>1.4992</v>
      </c>
      <c r="E936" s="27" t="s">
        <v>603</v>
      </c>
      <c r="F936" s="27" t="s">
        <v>145</v>
      </c>
      <c r="G936" s="32" t="n">
        <f aca="false">(A936-A935)*86400000</f>
        <v>193.999777</v>
      </c>
      <c r="H936" s="3"/>
      <c r="I936" s="3"/>
      <c r="J936" s="3"/>
      <c r="K936" s="3"/>
      <c r="L936" s="3"/>
      <c r="M936" s="3"/>
    </row>
    <row r="937" customFormat="false" ht="15" hidden="false" customHeight="false" outlineLevel="0" collapsed="false">
      <c r="A937" s="28" t="n">
        <v>46301.524100463</v>
      </c>
      <c r="B937" s="31" t="n">
        <f aca="false">(A937-$A$5)*86400</f>
        <v>38.641999592</v>
      </c>
      <c r="C937" s="27" t="n">
        <v>0.3241</v>
      </c>
      <c r="D937" s="27" t="n">
        <v>1.5114</v>
      </c>
      <c r="E937" s="27" t="s">
        <v>603</v>
      </c>
      <c r="F937" s="27" t="s">
        <v>145</v>
      </c>
      <c r="G937" s="32" t="n">
        <f aca="false">(A937-A936)*86400000</f>
        <v>15.999586</v>
      </c>
      <c r="H937" s="3"/>
      <c r="I937" s="3"/>
      <c r="J937" s="3"/>
      <c r="K937" s="3"/>
      <c r="L937" s="3"/>
      <c r="M937" s="3"/>
    </row>
    <row r="938" customFormat="false" ht="15" hidden="false" customHeight="false" outlineLevel="0" collapsed="false">
      <c r="A938" s="28" t="n">
        <v>46301.5241006481</v>
      </c>
      <c r="B938" s="31" t="n">
        <f aca="false">(A938-$A$5)*86400</f>
        <v>38.657999178</v>
      </c>
      <c r="C938" s="27" t="n">
        <v>0.3332</v>
      </c>
      <c r="D938" s="27" t="n">
        <v>1.5214</v>
      </c>
      <c r="E938" s="27" t="s">
        <v>603</v>
      </c>
      <c r="F938" s="27" t="s">
        <v>145</v>
      </c>
      <c r="G938" s="32" t="n">
        <f aca="false">(A938-A937)*86400000</f>
        <v>15.999586</v>
      </c>
      <c r="H938" s="3"/>
      <c r="I938" s="3"/>
      <c r="J938" s="3"/>
      <c r="K938" s="3"/>
      <c r="L938" s="3"/>
      <c r="M938" s="3"/>
    </row>
    <row r="939" customFormat="false" ht="15" hidden="false" customHeight="false" outlineLevel="0" collapsed="false">
      <c r="A939" s="28" t="n">
        <v>46301.5241008333</v>
      </c>
      <c r="B939" s="31" t="n">
        <f aca="false">(A939-$A$5)*86400</f>
        <v>38.674000022</v>
      </c>
      <c r="C939" s="27" t="n">
        <v>0.3408</v>
      </c>
      <c r="D939" s="27" t="n">
        <v>1.5297</v>
      </c>
      <c r="E939" s="27" t="s">
        <v>603</v>
      </c>
      <c r="F939" s="27" t="s">
        <v>145</v>
      </c>
      <c r="G939" s="32" t="n">
        <f aca="false">(A939-A938)*86400000</f>
        <v>16.000843</v>
      </c>
      <c r="H939" s="3"/>
      <c r="I939" s="3"/>
      <c r="J939" s="3"/>
      <c r="K939" s="3"/>
      <c r="L939" s="3"/>
      <c r="M939" s="3"/>
    </row>
    <row r="940" customFormat="false" ht="15" hidden="false" customHeight="false" outlineLevel="0" collapsed="false">
      <c r="A940" s="28" t="n">
        <v>46301.5241010185</v>
      </c>
      <c r="B940" s="31" t="n">
        <f aca="false">(A940-$A$5)*86400</f>
        <v>38.690000236</v>
      </c>
      <c r="C940" s="27" t="n">
        <v>0.347</v>
      </c>
      <c r="D940" s="27" t="n">
        <v>1.5366</v>
      </c>
      <c r="E940" s="27" t="s">
        <v>603</v>
      </c>
      <c r="F940" s="27" t="s">
        <v>145</v>
      </c>
      <c r="G940" s="32" t="n">
        <f aca="false">(A940-A939)*86400000</f>
        <v>16.000214</v>
      </c>
      <c r="H940" s="3"/>
      <c r="I940" s="3"/>
      <c r="J940" s="3"/>
      <c r="K940" s="3"/>
      <c r="L940" s="3"/>
      <c r="M940" s="3"/>
    </row>
    <row r="941" customFormat="false" ht="15" hidden="false" customHeight="false" outlineLevel="0" collapsed="false">
      <c r="A941" s="28" t="n">
        <v>46301.5241012037</v>
      </c>
      <c r="B941" s="31" t="n">
        <f aca="false">(A941-$A$5)*86400</f>
        <v>38.705999823</v>
      </c>
      <c r="C941" s="27" t="n">
        <v>0.3521</v>
      </c>
      <c r="D941" s="27" t="n">
        <v>1.5423</v>
      </c>
      <c r="E941" s="27" t="s">
        <v>603</v>
      </c>
      <c r="F941" s="27" t="s">
        <v>145</v>
      </c>
      <c r="G941" s="32" t="n">
        <f aca="false">(A941-A940)*86400000</f>
        <v>15.999586</v>
      </c>
      <c r="H941" s="3"/>
      <c r="I941" s="3"/>
      <c r="J941" s="3"/>
      <c r="K941" s="3"/>
      <c r="L941" s="3"/>
      <c r="M941" s="3"/>
    </row>
    <row r="942" customFormat="false" ht="15" hidden="false" customHeight="false" outlineLevel="0" collapsed="false">
      <c r="A942" s="28" t="n">
        <v>46301.5241013889</v>
      </c>
      <c r="B942" s="31" t="n">
        <f aca="false">(A942-$A$5)*86400</f>
        <v>38.722000038</v>
      </c>
      <c r="C942" s="27" t="n">
        <v>0.3563</v>
      </c>
      <c r="D942" s="27" t="n">
        <v>1.5469</v>
      </c>
      <c r="E942" s="27" t="s">
        <v>603</v>
      </c>
      <c r="F942" s="27" t="s">
        <v>145</v>
      </c>
      <c r="G942" s="32" t="n">
        <f aca="false">(A942-A941)*86400000</f>
        <v>16.000214</v>
      </c>
      <c r="H942" s="3"/>
      <c r="I942" s="3"/>
      <c r="J942" s="3"/>
      <c r="K942" s="3"/>
      <c r="L942" s="3"/>
      <c r="M942" s="3"/>
    </row>
    <row r="943" customFormat="false" ht="15" hidden="false" customHeight="false" outlineLevel="0" collapsed="false">
      <c r="A943" s="28" t="n">
        <v>46301.5241015741</v>
      </c>
      <c r="B943" s="31" t="n">
        <f aca="false">(A943-$A$5)*86400</f>
        <v>38.738000881</v>
      </c>
      <c r="C943" s="27" t="n">
        <v>0.3598</v>
      </c>
      <c r="D943" s="27" t="n">
        <v>1.5508</v>
      </c>
      <c r="E943" s="27" t="s">
        <v>603</v>
      </c>
      <c r="F943" s="27" t="s">
        <v>145</v>
      </c>
      <c r="G943" s="32" t="n">
        <f aca="false">(A943-A942)*86400000</f>
        <v>16.000843</v>
      </c>
      <c r="H943" s="3"/>
      <c r="I943" s="3"/>
      <c r="J943" s="3"/>
      <c r="K943" s="3"/>
      <c r="L943" s="3"/>
      <c r="M943" s="3"/>
    </row>
    <row r="944" customFormat="false" ht="15" hidden="false" customHeight="false" outlineLevel="0" collapsed="false">
      <c r="A944" s="28" t="n">
        <v>46301.5241017477</v>
      </c>
      <c r="B944" s="31" t="n">
        <f aca="false">(A944-$A$5)*86400</f>
        <v>38.753000297</v>
      </c>
      <c r="C944" s="27" t="n">
        <v>0.3626</v>
      </c>
      <c r="D944" s="27" t="n">
        <v>1.554</v>
      </c>
      <c r="E944" s="27" t="s">
        <v>603</v>
      </c>
      <c r="F944" s="27" t="s">
        <v>145</v>
      </c>
      <c r="G944" s="32" t="n">
        <f aca="false">(A944-A943)*86400000</f>
        <v>14.999415</v>
      </c>
      <c r="H944" s="3"/>
      <c r="I944" s="3"/>
      <c r="J944" s="3"/>
      <c r="K944" s="3"/>
      <c r="L944" s="3"/>
      <c r="M944" s="3"/>
    </row>
    <row r="945" customFormat="false" ht="15" hidden="false" customHeight="false" outlineLevel="0" collapsed="false">
      <c r="A945" s="28" t="n">
        <v>46301.5241019444</v>
      </c>
      <c r="B945" s="31" t="n">
        <f aca="false">(A945-$A$5)*86400</f>
        <v>38.769999425</v>
      </c>
      <c r="C945" s="27" t="n">
        <v>0.3652</v>
      </c>
      <c r="D945" s="27" t="n">
        <v>1.5567</v>
      </c>
      <c r="E945" s="27" t="s">
        <v>603</v>
      </c>
      <c r="F945" s="27" t="s">
        <v>145</v>
      </c>
      <c r="G945" s="32" t="n">
        <f aca="false">(A945-A944)*86400000</f>
        <v>16.999128</v>
      </c>
      <c r="H945" s="3"/>
      <c r="I945" s="3"/>
      <c r="J945" s="3"/>
      <c r="K945" s="3"/>
      <c r="L945" s="3"/>
      <c r="M945" s="3"/>
    </row>
    <row r="946" customFormat="false" ht="15" hidden="false" customHeight="false" outlineLevel="0" collapsed="false">
      <c r="A946" s="28" t="n">
        <v>46301.5241021412</v>
      </c>
      <c r="B946" s="31" t="n">
        <f aca="false">(A946-$A$5)*86400</f>
        <v>38.786999811</v>
      </c>
      <c r="C946" s="27" t="n">
        <v>0.3671</v>
      </c>
      <c r="D946" s="27" t="n">
        <v>1.5589</v>
      </c>
      <c r="E946" s="27" t="s">
        <v>603</v>
      </c>
      <c r="F946" s="27" t="s">
        <v>145</v>
      </c>
      <c r="G946" s="32" t="n">
        <f aca="false">(A946-A945)*86400000</f>
        <v>17.000385</v>
      </c>
      <c r="H946" s="3"/>
      <c r="I946" s="3"/>
      <c r="J946" s="3"/>
      <c r="K946" s="3"/>
      <c r="L946" s="3"/>
      <c r="M946" s="3"/>
    </row>
    <row r="947" customFormat="false" ht="15" hidden="false" customHeight="false" outlineLevel="0" collapsed="false">
      <c r="A947" s="28" t="n">
        <v>46301.5241023148</v>
      </c>
      <c r="B947" s="31" t="n">
        <f aca="false">(A947-$A$5)*86400</f>
        <v>38.801999855</v>
      </c>
      <c r="C947" s="27" t="n">
        <v>0.3687</v>
      </c>
      <c r="D947" s="27" t="n">
        <v>1.5606</v>
      </c>
      <c r="E947" s="27" t="s">
        <v>603</v>
      </c>
      <c r="F947" s="27" t="s">
        <v>145</v>
      </c>
      <c r="G947" s="32" t="n">
        <f aca="false">(A947-A946)*86400000</f>
        <v>15.000044</v>
      </c>
      <c r="H947" s="3"/>
      <c r="I947" s="3"/>
      <c r="J947" s="3"/>
      <c r="K947" s="3"/>
      <c r="L947" s="3"/>
      <c r="M947" s="3"/>
    </row>
    <row r="948" customFormat="false" ht="15" hidden="false" customHeight="false" outlineLevel="0" collapsed="false">
      <c r="A948" s="28" t="n">
        <v>46301.5241025</v>
      </c>
      <c r="B948" s="31" t="n">
        <f aca="false">(A948-$A$5)*86400</f>
        <v>38.81800007</v>
      </c>
      <c r="C948" s="27" t="n">
        <v>0.37</v>
      </c>
      <c r="D948" s="27" t="n">
        <v>1.5621</v>
      </c>
      <c r="E948" s="27" t="s">
        <v>603</v>
      </c>
      <c r="F948" s="27" t="s">
        <v>145</v>
      </c>
      <c r="G948" s="32" t="n">
        <f aca="false">(A948-A947)*86400000</f>
        <v>16.000214</v>
      </c>
      <c r="H948" s="3"/>
      <c r="I948" s="3"/>
      <c r="J948" s="3"/>
      <c r="K948" s="3"/>
      <c r="L948" s="3"/>
      <c r="M948" s="3"/>
    </row>
    <row r="949" customFormat="false" ht="15" hidden="false" customHeight="false" outlineLevel="0" collapsed="false">
      <c r="A949" s="28" t="n">
        <v>46301.5241026968</v>
      </c>
      <c r="B949" s="31" t="n">
        <f aca="false">(A949-$A$5)*86400</f>
        <v>38.835000456</v>
      </c>
      <c r="C949" s="27" t="n">
        <v>0.3711</v>
      </c>
      <c r="D949" s="27" t="n">
        <v>1.5633</v>
      </c>
      <c r="E949" s="27" t="s">
        <v>603</v>
      </c>
      <c r="F949" s="27" t="s">
        <v>145</v>
      </c>
      <c r="G949" s="32" t="n">
        <f aca="false">(A949-A948)*86400000</f>
        <v>17.000385</v>
      </c>
      <c r="H949" s="3"/>
      <c r="I949" s="3"/>
      <c r="J949" s="3"/>
      <c r="K949" s="3"/>
      <c r="L949" s="3"/>
      <c r="M949" s="3"/>
    </row>
    <row r="950" customFormat="false" ht="15" hidden="false" customHeight="false" outlineLevel="0" collapsed="false">
      <c r="A950" s="28" t="n">
        <v>46301.5241028819</v>
      </c>
      <c r="B950" s="31" t="n">
        <f aca="false">(A950-$A$5)*86400</f>
        <v>38.850999413</v>
      </c>
      <c r="C950" s="27" t="n">
        <v>0.372</v>
      </c>
      <c r="D950" s="27" t="n">
        <v>1.5643</v>
      </c>
      <c r="E950" s="27" t="s">
        <v>603</v>
      </c>
      <c r="F950" s="27" t="s">
        <v>145</v>
      </c>
      <c r="G950" s="32" t="n">
        <f aca="false">(A950-A949)*86400000</f>
        <v>15.998957</v>
      </c>
      <c r="H950" s="3"/>
      <c r="I950" s="3"/>
      <c r="J950" s="3"/>
      <c r="K950" s="3"/>
      <c r="L950" s="3"/>
      <c r="M950" s="3"/>
    </row>
    <row r="951" customFormat="false" ht="15" hidden="false" customHeight="false" outlineLevel="0" collapsed="false">
      <c r="A951" s="28" t="n">
        <v>46301.5241030556</v>
      </c>
      <c r="B951" s="31" t="n">
        <f aca="false">(A951-$A$5)*86400</f>
        <v>38.866000715</v>
      </c>
      <c r="C951" s="27" t="n">
        <v>0.3727</v>
      </c>
      <c r="D951" s="27" t="n">
        <v>1.5651</v>
      </c>
      <c r="E951" s="27" t="s">
        <v>603</v>
      </c>
      <c r="F951" s="27" t="s">
        <v>145</v>
      </c>
      <c r="G951" s="32" t="n">
        <f aca="false">(A951-A950)*86400000</f>
        <v>15.001301</v>
      </c>
      <c r="H951" s="3"/>
      <c r="I951" s="3"/>
      <c r="J951" s="3"/>
      <c r="K951" s="3"/>
      <c r="L951" s="3"/>
      <c r="M951" s="3"/>
    </row>
    <row r="952" customFormat="false" ht="15" hidden="false" customHeight="false" outlineLevel="0" collapsed="false">
      <c r="A952" s="28" t="n">
        <v>46301.5241032407</v>
      </c>
      <c r="B952" s="31" t="n">
        <f aca="false">(A952-$A$5)*86400</f>
        <v>38.882000301</v>
      </c>
      <c r="C952" s="27" t="n">
        <v>0.3733</v>
      </c>
      <c r="D952" s="27" t="n">
        <v>1.5658</v>
      </c>
      <c r="E952" s="27" t="s">
        <v>603</v>
      </c>
      <c r="F952" s="27" t="s">
        <v>145</v>
      </c>
      <c r="G952" s="32" t="n">
        <f aca="false">(A952-A951)*86400000</f>
        <v>15.999586</v>
      </c>
      <c r="H952" s="3"/>
      <c r="I952" s="3"/>
      <c r="J952" s="3"/>
      <c r="K952" s="3"/>
      <c r="L952" s="3"/>
      <c r="M952" s="3"/>
    </row>
    <row r="953" customFormat="false" ht="15" hidden="false" customHeight="false" outlineLevel="0" collapsed="false">
      <c r="A953" s="28" t="n">
        <v>46301.5241038194</v>
      </c>
      <c r="B953" s="31" t="n">
        <f aca="false">(A953-$A$5)*86400</f>
        <v>38.93200003</v>
      </c>
      <c r="C953" s="27" t="n">
        <v>0.3746</v>
      </c>
      <c r="D953" s="27" t="n">
        <v>1.5672</v>
      </c>
      <c r="E953" s="27" t="s">
        <v>603</v>
      </c>
      <c r="F953" s="27" t="s">
        <v>145</v>
      </c>
      <c r="G953" s="32" t="n">
        <f aca="false">(A953-A952)*86400000</f>
        <v>49.999728</v>
      </c>
      <c r="H953" s="3"/>
      <c r="I953" s="3"/>
      <c r="J953" s="3"/>
      <c r="K953" s="3"/>
      <c r="L953" s="3"/>
      <c r="M953" s="3"/>
    </row>
    <row r="954" customFormat="false" ht="15" hidden="false" customHeight="false" outlineLevel="0" collapsed="false">
      <c r="A954" s="28" t="n">
        <v>46301.5241040046</v>
      </c>
      <c r="B954" s="31" t="n">
        <f aca="false">(A954-$A$5)*86400</f>
        <v>38.948000245</v>
      </c>
      <c r="C954" s="27" t="n">
        <v>0.3749</v>
      </c>
      <c r="D954" s="27" t="n">
        <v>1.5675</v>
      </c>
      <c r="E954" s="27" t="s">
        <v>603</v>
      </c>
      <c r="F954" s="27" t="s">
        <v>145</v>
      </c>
      <c r="G954" s="32" t="n">
        <f aca="false">(A954-A953)*86400000</f>
        <v>16.000214</v>
      </c>
      <c r="H954" s="3"/>
      <c r="I954" s="3"/>
      <c r="J954" s="3"/>
      <c r="K954" s="3"/>
      <c r="L954" s="3"/>
      <c r="M954" s="3"/>
    </row>
    <row r="955" customFormat="false" ht="15" hidden="false" customHeight="false" outlineLevel="0" collapsed="false">
      <c r="A955" s="28" t="n">
        <v>46301.5241081134</v>
      </c>
      <c r="B955" s="31" t="n">
        <f aca="false">(A955-$A$5)*86400</f>
        <v>39.302999828</v>
      </c>
      <c r="C955" s="27" t="n">
        <v>0.4859</v>
      </c>
      <c r="D955" s="27" t="n">
        <v>1.5971</v>
      </c>
      <c r="E955" s="27" t="s">
        <v>603</v>
      </c>
      <c r="F955" s="27" t="s">
        <v>145</v>
      </c>
      <c r="G955" s="32" t="n">
        <f aca="false">(A955-A954)*86400000</f>
        <v>354.999583</v>
      </c>
      <c r="H955" s="3"/>
      <c r="I955" s="3"/>
      <c r="J955" s="3"/>
      <c r="K955" s="3"/>
      <c r="L955" s="3"/>
      <c r="M955" s="3"/>
    </row>
    <row r="956" customFormat="false" ht="15" hidden="false" customHeight="false" outlineLevel="0" collapsed="false">
      <c r="A956" s="28" t="n">
        <v>46301.524108287</v>
      </c>
      <c r="B956" s="31" t="n">
        <f aca="false">(A956-$A$5)*86400</f>
        <v>39.317999244</v>
      </c>
      <c r="C956" s="27" t="n">
        <v>0.5764</v>
      </c>
      <c r="D956" s="27" t="n">
        <v>1.6203</v>
      </c>
      <c r="E956" s="27" t="s">
        <v>603</v>
      </c>
      <c r="F956" s="27" t="s">
        <v>145</v>
      </c>
      <c r="G956" s="32" t="n">
        <f aca="false">(A956-A955)*86400000</f>
        <v>14.999415</v>
      </c>
      <c r="H956" s="3"/>
      <c r="I956" s="3"/>
      <c r="J956" s="3"/>
      <c r="K956" s="3"/>
      <c r="L956" s="3"/>
      <c r="M956" s="3"/>
    </row>
    <row r="957" customFormat="false" ht="15" hidden="false" customHeight="false" outlineLevel="0" collapsed="false">
      <c r="A957" s="28" t="n">
        <v>46301.5241084838</v>
      </c>
      <c r="B957" s="31" t="n">
        <f aca="false">(A957-$A$5)*86400</f>
        <v>39.335000258</v>
      </c>
      <c r="C957" s="27" t="n">
        <v>0.6512</v>
      </c>
      <c r="D957" s="27" t="n">
        <v>1.6394</v>
      </c>
      <c r="E957" s="27" t="s">
        <v>603</v>
      </c>
      <c r="F957" s="27" t="s">
        <v>145</v>
      </c>
      <c r="G957" s="32" t="n">
        <f aca="false">(A957-A956)*86400000</f>
        <v>17.001014</v>
      </c>
      <c r="H957" s="3"/>
      <c r="I957" s="3"/>
      <c r="J957" s="3"/>
      <c r="K957" s="3"/>
      <c r="L957" s="3"/>
      <c r="M957" s="3"/>
    </row>
    <row r="958" customFormat="false" ht="15" hidden="false" customHeight="false" outlineLevel="0" collapsed="false">
      <c r="A958" s="28" t="n">
        <v>46301.524108669</v>
      </c>
      <c r="B958" s="31" t="n">
        <f aca="false">(A958-$A$5)*86400</f>
        <v>39.350999845</v>
      </c>
      <c r="C958" s="27" t="n">
        <v>0.7128</v>
      </c>
      <c r="D958" s="27" t="n">
        <v>1.6552</v>
      </c>
      <c r="E958" s="27" t="s">
        <v>603</v>
      </c>
      <c r="F958" s="27" t="s">
        <v>145</v>
      </c>
      <c r="G958" s="32" t="n">
        <f aca="false">(A958-A957)*86400000</f>
        <v>15.999586</v>
      </c>
      <c r="H958" s="3"/>
      <c r="I958" s="3"/>
      <c r="J958" s="3"/>
      <c r="K958" s="3"/>
      <c r="L958" s="3"/>
      <c r="M958" s="3"/>
    </row>
    <row r="959" customFormat="false" ht="15" hidden="false" customHeight="false" outlineLevel="0" collapsed="false">
      <c r="A959" s="28" t="n">
        <v>46301.5241088542</v>
      </c>
      <c r="B959" s="31" t="n">
        <f aca="false">(A959-$A$5)*86400</f>
        <v>39.367000688</v>
      </c>
      <c r="C959" s="27" t="n">
        <v>0.7637</v>
      </c>
      <c r="D959" s="27" t="n">
        <v>1.6682</v>
      </c>
      <c r="E959" s="27" t="s">
        <v>603</v>
      </c>
      <c r="F959" s="27" t="s">
        <v>145</v>
      </c>
      <c r="G959" s="32" t="n">
        <f aca="false">(A959-A958)*86400000</f>
        <v>16.000843</v>
      </c>
      <c r="H959" s="3"/>
      <c r="I959" s="3"/>
      <c r="J959" s="3"/>
      <c r="K959" s="3"/>
      <c r="L959" s="3"/>
      <c r="M959" s="3"/>
    </row>
    <row r="960" customFormat="false" ht="15" hidden="false" customHeight="false" outlineLevel="0" collapsed="false">
      <c r="A960" s="28" t="n">
        <v>46301.5241090394</v>
      </c>
      <c r="B960" s="31" t="n">
        <f aca="false">(A960-$A$5)*86400</f>
        <v>39.382999646</v>
      </c>
      <c r="C960" s="27" t="n">
        <v>0.8057</v>
      </c>
      <c r="D960" s="27" t="n">
        <v>1.679</v>
      </c>
      <c r="E960" s="27" t="s">
        <v>603</v>
      </c>
      <c r="F960" s="27" t="s">
        <v>145</v>
      </c>
      <c r="G960" s="32" t="n">
        <f aca="false">(A960-A959)*86400000</f>
        <v>15.998957</v>
      </c>
      <c r="H960" s="3"/>
      <c r="I960" s="3"/>
      <c r="J960" s="3"/>
      <c r="K960" s="3"/>
      <c r="L960" s="3"/>
      <c r="M960" s="3"/>
    </row>
    <row r="961" customFormat="false" ht="15" hidden="false" customHeight="false" outlineLevel="0" collapsed="false">
      <c r="A961" s="28" t="n">
        <v>46301.5241092245</v>
      </c>
      <c r="B961" s="31" t="n">
        <f aca="false">(A961-$A$5)*86400</f>
        <v>39.398999232</v>
      </c>
      <c r="C961" s="27" t="n">
        <v>0.8404</v>
      </c>
      <c r="D961" s="27" t="n">
        <v>1.6878</v>
      </c>
      <c r="E961" s="27" t="s">
        <v>603</v>
      </c>
      <c r="F961" s="27" t="s">
        <v>145</v>
      </c>
      <c r="G961" s="32" t="n">
        <f aca="false">(A961-A960)*86400000</f>
        <v>15.999586</v>
      </c>
      <c r="H961" s="3"/>
      <c r="I961" s="3"/>
      <c r="J961" s="3"/>
      <c r="K961" s="3"/>
      <c r="L961" s="3"/>
      <c r="M961" s="3"/>
    </row>
    <row r="962" customFormat="false" ht="15" hidden="false" customHeight="false" outlineLevel="0" collapsed="false">
      <c r="A962" s="28" t="n">
        <v>46301.5241094097</v>
      </c>
      <c r="B962" s="31" t="n">
        <f aca="false">(A962-$A$5)*86400</f>
        <v>39.415000076</v>
      </c>
      <c r="C962" s="27" t="n">
        <v>0.8706</v>
      </c>
      <c r="D962" s="27" t="n">
        <v>1.6956</v>
      </c>
      <c r="E962" s="27" t="s">
        <v>603</v>
      </c>
      <c r="F962" s="27" t="s">
        <v>145</v>
      </c>
      <c r="G962" s="32" t="n">
        <f aca="false">(A962-A961)*86400000</f>
        <v>16.000843</v>
      </c>
      <c r="H962" s="3"/>
      <c r="I962" s="3"/>
      <c r="J962" s="3"/>
      <c r="K962" s="3"/>
      <c r="L962" s="3"/>
      <c r="M962" s="3"/>
    </row>
    <row r="963" customFormat="false" ht="15" hidden="false" customHeight="false" outlineLevel="0" collapsed="false">
      <c r="A963" s="28" t="n">
        <v>46301.5241096065</v>
      </c>
      <c r="B963" s="31" t="n">
        <f aca="false">(A963-$A$5)*86400</f>
        <v>39.431999833</v>
      </c>
      <c r="C963" s="27" t="n">
        <v>0.8952</v>
      </c>
      <c r="D963" s="27" t="n">
        <v>1.7019</v>
      </c>
      <c r="E963" s="27" t="s">
        <v>603</v>
      </c>
      <c r="F963" s="27" t="s">
        <v>145</v>
      </c>
      <c r="G963" s="32" t="n">
        <f aca="false">(A963-A962)*86400000</f>
        <v>16.999756</v>
      </c>
      <c r="H963" s="3"/>
      <c r="I963" s="3"/>
      <c r="J963" s="3"/>
      <c r="K963" s="3"/>
      <c r="L963" s="3"/>
      <c r="M963" s="3"/>
    </row>
    <row r="964" customFormat="false" ht="15" hidden="false" customHeight="false" outlineLevel="0" collapsed="false">
      <c r="A964" s="28" t="n">
        <v>46301.5241097917</v>
      </c>
      <c r="B964" s="31" t="n">
        <f aca="false">(A964-$A$5)*86400</f>
        <v>39.448000676</v>
      </c>
      <c r="C964" s="27" t="n">
        <v>0.9142</v>
      </c>
      <c r="D964" s="27" t="n">
        <v>1.7068</v>
      </c>
      <c r="E964" s="27" t="s">
        <v>603</v>
      </c>
      <c r="F964" s="27" t="s">
        <v>145</v>
      </c>
      <c r="G964" s="32" t="n">
        <f aca="false">(A964-A963)*86400000</f>
        <v>16.000843</v>
      </c>
      <c r="H964" s="3"/>
      <c r="I964" s="3"/>
      <c r="J964" s="3"/>
      <c r="K964" s="3"/>
      <c r="L964" s="3"/>
      <c r="M964" s="3"/>
    </row>
    <row r="965" customFormat="false" ht="15" hidden="false" customHeight="false" outlineLevel="0" collapsed="false">
      <c r="A965" s="28" t="n">
        <v>46301.5241099884</v>
      </c>
      <c r="B965" s="31" t="n">
        <f aca="false">(A965-$A$5)*86400</f>
        <v>39.464999805</v>
      </c>
      <c r="C965" s="27" t="n">
        <v>0.9299</v>
      </c>
      <c r="D965" s="27" t="n">
        <v>1.7108</v>
      </c>
      <c r="E965" s="27" t="s">
        <v>603</v>
      </c>
      <c r="F965" s="27" t="s">
        <v>145</v>
      </c>
      <c r="G965" s="32" t="n">
        <f aca="false">(A965-A964)*86400000</f>
        <v>16.999128</v>
      </c>
      <c r="H965" s="3"/>
      <c r="I965" s="3"/>
      <c r="J965" s="3"/>
      <c r="K965" s="3"/>
      <c r="L965" s="3"/>
      <c r="M965" s="3"/>
    </row>
    <row r="966" customFormat="false" ht="15" hidden="false" customHeight="false" outlineLevel="0" collapsed="false">
      <c r="A966" s="28" t="n">
        <v>46301.5241101736</v>
      </c>
      <c r="B966" s="31" t="n">
        <f aca="false">(A966-$A$5)*86400</f>
        <v>39.48100002</v>
      </c>
      <c r="C966" s="27" t="n">
        <v>0.9429</v>
      </c>
      <c r="D966" s="27" t="n">
        <v>1.7141</v>
      </c>
      <c r="E966" s="27" t="s">
        <v>603</v>
      </c>
      <c r="F966" s="27" t="s">
        <v>145</v>
      </c>
      <c r="G966" s="32" t="n">
        <f aca="false">(A966-A965)*86400000</f>
        <v>16.000214</v>
      </c>
      <c r="H966" s="3"/>
      <c r="I966" s="3"/>
      <c r="J966" s="3"/>
      <c r="K966" s="3"/>
      <c r="L966" s="3"/>
      <c r="M966" s="3"/>
    </row>
    <row r="967" customFormat="false" ht="15" hidden="false" customHeight="false" outlineLevel="0" collapsed="false">
      <c r="A967" s="28" t="n">
        <v>46301.5241103472</v>
      </c>
      <c r="B967" s="31" t="n">
        <f aca="false">(A967-$A$5)*86400</f>
        <v>39.496000064</v>
      </c>
      <c r="C967" s="27" t="n">
        <v>0.9536</v>
      </c>
      <c r="D967" s="27" t="n">
        <v>1.7168</v>
      </c>
      <c r="E967" s="27" t="s">
        <v>603</v>
      </c>
      <c r="F967" s="27" t="s">
        <v>145</v>
      </c>
      <c r="G967" s="32" t="n">
        <f aca="false">(A967-A966)*86400000</f>
        <v>15.000044</v>
      </c>
      <c r="H967" s="3"/>
      <c r="I967" s="3"/>
      <c r="J967" s="3"/>
      <c r="K967" s="3"/>
      <c r="L967" s="3"/>
      <c r="M967" s="3"/>
    </row>
    <row r="968" customFormat="false" ht="15" hidden="false" customHeight="false" outlineLevel="0" collapsed="false">
      <c r="A968" s="28" t="n">
        <v>46301.524110544</v>
      </c>
      <c r="B968" s="31" t="n">
        <f aca="false">(A968-$A$5)*86400</f>
        <v>39.512999821</v>
      </c>
      <c r="C968" s="27" t="n">
        <v>0.9624</v>
      </c>
      <c r="D968" s="27" t="n">
        <v>1.7191</v>
      </c>
      <c r="E968" s="27" t="s">
        <v>603</v>
      </c>
      <c r="F968" s="27" t="s">
        <v>145</v>
      </c>
      <c r="G968" s="32" t="n">
        <f aca="false">(A968-A967)*86400000</f>
        <v>16.999756</v>
      </c>
      <c r="H968" s="3"/>
      <c r="I968" s="3"/>
      <c r="J968" s="3"/>
      <c r="K968" s="3"/>
      <c r="L968" s="3"/>
      <c r="M968" s="3"/>
    </row>
    <row r="969" customFormat="false" ht="15" hidden="false" customHeight="false" outlineLevel="0" collapsed="false">
      <c r="A969" s="28" t="n">
        <v>46301.5241107292</v>
      </c>
      <c r="B969" s="31" t="n">
        <f aca="false">(A969-$A$5)*86400</f>
        <v>39.529000665</v>
      </c>
      <c r="C969" s="27" t="n">
        <v>0.9697</v>
      </c>
      <c r="D969" s="27" t="n">
        <v>1.721</v>
      </c>
      <c r="E969" s="27" t="s">
        <v>603</v>
      </c>
      <c r="F969" s="27" t="s">
        <v>145</v>
      </c>
      <c r="G969" s="32" t="n">
        <f aca="false">(A969-A968)*86400000</f>
        <v>16.000843</v>
      </c>
      <c r="H969" s="3"/>
      <c r="I969" s="3"/>
      <c r="J969" s="3"/>
      <c r="K969" s="3"/>
      <c r="L969" s="3"/>
      <c r="M969" s="3"/>
    </row>
    <row r="970" customFormat="false" ht="15" hidden="false" customHeight="false" outlineLevel="0" collapsed="false">
      <c r="A970" s="28" t="n">
        <v>46301.5241109144</v>
      </c>
      <c r="B970" s="31" t="n">
        <f aca="false">(A970-$A$5)*86400</f>
        <v>39.545000251</v>
      </c>
      <c r="C970" s="27" t="n">
        <v>0.977</v>
      </c>
      <c r="D970" s="27" t="n">
        <v>1.7202</v>
      </c>
      <c r="E970" s="27" t="s">
        <v>603</v>
      </c>
      <c r="F970" s="27" t="s">
        <v>145</v>
      </c>
      <c r="G970" s="32" t="n">
        <f aca="false">(A970-A969)*86400000</f>
        <v>15.999586</v>
      </c>
      <c r="H970" s="3"/>
      <c r="I970" s="3"/>
      <c r="J970" s="3"/>
      <c r="K970" s="3"/>
      <c r="L970" s="3"/>
      <c r="M970" s="3"/>
    </row>
    <row r="971" customFormat="false" ht="15" hidden="false" customHeight="false" outlineLevel="0" collapsed="false">
      <c r="A971" s="28" t="n">
        <v>46301.5241110995</v>
      </c>
      <c r="B971" s="31" t="n">
        <f aca="false">(A971-$A$5)*86400</f>
        <v>39.560999209</v>
      </c>
      <c r="C971" s="27" t="n">
        <v>0.9827</v>
      </c>
      <c r="D971" s="27" t="n">
        <v>1.7196</v>
      </c>
      <c r="E971" s="27" t="s">
        <v>603</v>
      </c>
      <c r="F971" s="27" t="s">
        <v>145</v>
      </c>
      <c r="G971" s="32" t="n">
        <f aca="false">(A971-A970)*86400000</f>
        <v>15.998957</v>
      </c>
      <c r="H971" s="3"/>
      <c r="I971" s="3"/>
      <c r="J971" s="3"/>
      <c r="K971" s="3"/>
      <c r="L971" s="3"/>
      <c r="M971" s="3"/>
    </row>
    <row r="972" customFormat="false" ht="15" hidden="false" customHeight="false" outlineLevel="0" collapsed="false">
      <c r="A972" s="28" t="n">
        <v>46301.5241112963</v>
      </c>
      <c r="B972" s="31" t="n">
        <f aca="false">(A972-$A$5)*86400</f>
        <v>39.578000223</v>
      </c>
      <c r="C972" s="27" t="n">
        <v>0.9876</v>
      </c>
      <c r="D972" s="27" t="n">
        <v>1.7191</v>
      </c>
      <c r="E972" s="27" t="s">
        <v>603</v>
      </c>
      <c r="F972" s="27" t="s">
        <v>145</v>
      </c>
      <c r="G972" s="32" t="n">
        <f aca="false">(A972-A971)*86400000</f>
        <v>17.001014</v>
      </c>
      <c r="H972" s="3"/>
      <c r="I972" s="3"/>
      <c r="J972" s="3"/>
      <c r="K972" s="3"/>
      <c r="L972" s="3"/>
      <c r="M972" s="3"/>
    </row>
    <row r="973" customFormat="false" ht="15" hidden="false" customHeight="false" outlineLevel="0" collapsed="false">
      <c r="A973" s="28" t="n">
        <v>46301.5241114815</v>
      </c>
      <c r="B973" s="31" t="n">
        <f aca="false">(A973-$A$5)*86400</f>
        <v>39.593999809</v>
      </c>
      <c r="C973" s="27" t="n">
        <v>0.9914</v>
      </c>
      <c r="D973" s="27" t="n">
        <v>1.7187</v>
      </c>
      <c r="E973" s="27" t="s">
        <v>603</v>
      </c>
      <c r="F973" s="27" t="s">
        <v>145</v>
      </c>
      <c r="G973" s="32" t="n">
        <f aca="false">(A973-A972)*86400000</f>
        <v>15.999586</v>
      </c>
      <c r="H973" s="3"/>
      <c r="I973" s="3"/>
      <c r="J973" s="3"/>
      <c r="K973" s="3"/>
      <c r="L973" s="3"/>
      <c r="M973" s="3"/>
    </row>
    <row r="974" customFormat="false" ht="15" hidden="false" customHeight="false" outlineLevel="0" collapsed="false">
      <c r="A974" s="28" t="n">
        <v>46301.5241116551</v>
      </c>
      <c r="B974" s="31" t="n">
        <f aca="false">(A974-$A$5)*86400</f>
        <v>39.608999853</v>
      </c>
      <c r="C974" s="27" t="n">
        <v>0.9945</v>
      </c>
      <c r="D974" s="27" t="n">
        <v>1.7184</v>
      </c>
      <c r="E974" s="27" t="s">
        <v>603</v>
      </c>
      <c r="F974" s="27" t="s">
        <v>145</v>
      </c>
      <c r="G974" s="32" t="n">
        <f aca="false">(A974-A973)*86400000</f>
        <v>15.000044</v>
      </c>
      <c r="H974" s="3"/>
      <c r="I974" s="3"/>
      <c r="J974" s="3"/>
      <c r="K974" s="3"/>
      <c r="L974" s="3"/>
      <c r="M974" s="3"/>
    </row>
    <row r="975" customFormat="false" ht="15" hidden="false" customHeight="false" outlineLevel="0" collapsed="false">
      <c r="A975" s="28" t="n">
        <v>46301.5241118519</v>
      </c>
      <c r="B975" s="31" t="n">
        <f aca="false">(A975-$A$5)*86400</f>
        <v>39.626000239</v>
      </c>
      <c r="C975" s="27" t="n">
        <v>0.9971</v>
      </c>
      <c r="D975" s="27" t="n">
        <v>1.7181</v>
      </c>
      <c r="E975" s="27" t="s">
        <v>603</v>
      </c>
      <c r="F975" s="27" t="s">
        <v>145</v>
      </c>
      <c r="G975" s="32" t="n">
        <f aca="false">(A975-A974)*86400000</f>
        <v>17.000385</v>
      </c>
      <c r="H975" s="3"/>
      <c r="I975" s="3"/>
      <c r="J975" s="3"/>
      <c r="K975" s="3"/>
      <c r="L975" s="3"/>
      <c r="M975" s="3"/>
    </row>
    <row r="976" customFormat="false" ht="15" hidden="false" customHeight="false" outlineLevel="0" collapsed="false">
      <c r="A976" s="28" t="n">
        <v>46301.5241120255</v>
      </c>
      <c r="B976" s="31" t="n">
        <f aca="false">(A976-$A$5)*86400</f>
        <v>39.641000912</v>
      </c>
      <c r="C976" s="27" t="n">
        <v>0.9992</v>
      </c>
      <c r="D976" s="27" t="n">
        <v>1.7179</v>
      </c>
      <c r="E976" s="27" t="s">
        <v>603</v>
      </c>
      <c r="F976" s="27" t="s">
        <v>145</v>
      </c>
      <c r="G976" s="32" t="n">
        <f aca="false">(A976-A975)*86400000</f>
        <v>15.000673</v>
      </c>
      <c r="H976" s="3"/>
      <c r="I976" s="3"/>
      <c r="J976" s="3"/>
      <c r="K976" s="3"/>
      <c r="L976" s="3"/>
      <c r="M976" s="3"/>
    </row>
    <row r="977" customFormat="false" ht="15" hidden="false" customHeight="false" outlineLevel="0" collapsed="false">
      <c r="A977" s="28" t="n">
        <v>46301.5241122222</v>
      </c>
      <c r="B977" s="31" t="n">
        <f aca="false">(A977-$A$5)*86400</f>
        <v>39.65800004</v>
      </c>
      <c r="C977" s="27" t="n">
        <v>1.001</v>
      </c>
      <c r="D977" s="27" t="n">
        <v>1.7177</v>
      </c>
      <c r="E977" s="27" t="s">
        <v>603</v>
      </c>
      <c r="F977" s="27" t="s">
        <v>145</v>
      </c>
      <c r="G977" s="32" t="n">
        <f aca="false">(A977-A976)*86400000</f>
        <v>16.999128</v>
      </c>
      <c r="H977" s="3"/>
      <c r="I977" s="3"/>
      <c r="J977" s="3"/>
      <c r="K977" s="3"/>
      <c r="L977" s="3"/>
      <c r="M977" s="3"/>
    </row>
    <row r="978" customFormat="false" ht="15" hidden="false" customHeight="false" outlineLevel="0" collapsed="false">
      <c r="A978" s="28" t="n">
        <v>46301.5241123958</v>
      </c>
      <c r="B978" s="31" t="n">
        <f aca="false">(A978-$A$5)*86400</f>
        <v>39.673000085</v>
      </c>
      <c r="C978" s="27" t="n">
        <v>1.0024</v>
      </c>
      <c r="D978" s="27" t="n">
        <v>1.7176</v>
      </c>
      <c r="E978" s="27" t="s">
        <v>603</v>
      </c>
      <c r="F978" s="27" t="s">
        <v>145</v>
      </c>
      <c r="G978" s="32" t="n">
        <f aca="false">(A978-A977)*86400000</f>
        <v>15.000044</v>
      </c>
      <c r="H978" s="3"/>
      <c r="I978" s="3"/>
      <c r="J978" s="3"/>
      <c r="K978" s="3"/>
      <c r="L978" s="3"/>
      <c r="M978" s="3"/>
    </row>
    <row r="979" customFormat="false" ht="15" hidden="false" customHeight="false" outlineLevel="0" collapsed="false">
      <c r="A979" s="28" t="n">
        <v>46301.5241125926</v>
      </c>
      <c r="B979" s="31" t="n">
        <f aca="false">(A979-$A$5)*86400</f>
        <v>39.689999842</v>
      </c>
      <c r="C979" s="27" t="n">
        <v>1.0037</v>
      </c>
      <c r="D979" s="27" t="n">
        <v>1.7175</v>
      </c>
      <c r="E979" s="27" t="s">
        <v>603</v>
      </c>
      <c r="F979" s="27" t="s">
        <v>145</v>
      </c>
      <c r="G979" s="32" t="n">
        <f aca="false">(A979-A978)*86400000</f>
        <v>16.999756</v>
      </c>
      <c r="H979" s="3"/>
      <c r="I979" s="3"/>
      <c r="J979" s="3"/>
      <c r="K979" s="3"/>
      <c r="L979" s="3"/>
      <c r="M979" s="3"/>
    </row>
    <row r="980" customFormat="false" ht="15" hidden="false" customHeight="false" outlineLevel="0" collapsed="false">
      <c r="A980" s="28" t="n">
        <v>46301.524112963</v>
      </c>
      <c r="B980" s="31" t="n">
        <f aca="false">(A980-$A$5)*86400</f>
        <v>39.721999643</v>
      </c>
      <c r="C980" s="27" t="n">
        <v>1.0055</v>
      </c>
      <c r="D980" s="27" t="n">
        <v>1.7173</v>
      </c>
      <c r="E980" s="27" t="s">
        <v>603</v>
      </c>
      <c r="F980" s="27" t="s">
        <v>145</v>
      </c>
      <c r="G980" s="32" t="n">
        <f aca="false">(A980-A979)*86400000</f>
        <v>31.999801</v>
      </c>
      <c r="H980" s="3"/>
      <c r="I980" s="3"/>
      <c r="J980" s="3"/>
      <c r="K980" s="3"/>
      <c r="L980" s="3"/>
      <c r="M980" s="3"/>
    </row>
    <row r="981" customFormat="false" ht="15" hidden="false" customHeight="false" outlineLevel="0" collapsed="false">
      <c r="A981" s="28" t="n">
        <v>46301.5241135185</v>
      </c>
      <c r="B981" s="31" t="n">
        <f aca="false">(A981-$A$5)*86400</f>
        <v>39.770000288</v>
      </c>
      <c r="C981" s="27" t="n">
        <v>1.0072</v>
      </c>
      <c r="D981" s="27" t="n">
        <v>1.7171</v>
      </c>
      <c r="E981" s="27" t="s">
        <v>603</v>
      </c>
      <c r="F981" s="27" t="s">
        <v>145</v>
      </c>
      <c r="G981" s="32" t="n">
        <f aca="false">(A981-A980)*86400000</f>
        <v>48.000644</v>
      </c>
      <c r="H981" s="3"/>
      <c r="I981" s="3"/>
      <c r="J981" s="3"/>
      <c r="K981" s="3"/>
      <c r="L981" s="3"/>
      <c r="M981" s="3"/>
    </row>
    <row r="982" customFormat="false" ht="15" hidden="false" customHeight="false" outlineLevel="0" collapsed="false">
      <c r="A982" s="28" t="n">
        <v>46301.5241139005</v>
      </c>
      <c r="B982" s="31" t="n">
        <f aca="false">(A982-$A$5)*86400</f>
        <v>39.802999631</v>
      </c>
      <c r="C982" s="27" t="n">
        <v>1.0093</v>
      </c>
      <c r="D982" s="27" t="n">
        <v>1.7169</v>
      </c>
      <c r="E982" s="27" t="s">
        <v>603</v>
      </c>
      <c r="F982" s="27" t="s">
        <v>145</v>
      </c>
      <c r="G982" s="32" t="n">
        <f aca="false">(A982-A981)*86400000</f>
        <v>32.999343</v>
      </c>
      <c r="H982" s="3"/>
      <c r="I982" s="3"/>
      <c r="J982" s="3"/>
      <c r="K982" s="3"/>
      <c r="L982" s="3"/>
      <c r="M982" s="3"/>
    </row>
    <row r="983" customFormat="false" ht="15" hidden="false" customHeight="false" outlineLevel="0" collapsed="false">
      <c r="A983" s="28" t="n">
        <v>46301.5241168866</v>
      </c>
      <c r="B983" s="31" t="n">
        <f aca="false">(A983-$A$5)*86400</f>
        <v>40.061000897</v>
      </c>
      <c r="C983" s="27" t="n">
        <v>1.0113</v>
      </c>
      <c r="D983" s="27" t="n">
        <v>1.7121</v>
      </c>
      <c r="E983" s="27" t="s">
        <v>603</v>
      </c>
      <c r="F983" s="27" t="s">
        <v>145</v>
      </c>
      <c r="G983" s="32" t="n">
        <f aca="false">(A983-A982)*86400000</f>
        <v>258.001266</v>
      </c>
      <c r="H983" s="3"/>
      <c r="I983" s="3"/>
      <c r="J983" s="3"/>
      <c r="K983" s="3"/>
      <c r="L983" s="3"/>
      <c r="M983" s="3"/>
    </row>
    <row r="984" customFormat="false" ht="15" hidden="false" customHeight="false" outlineLevel="0" collapsed="false">
      <c r="A984" s="28" t="n">
        <v>46301.5241170602</v>
      </c>
      <c r="B984" s="31" t="n">
        <f aca="false">(A984-$A$5)*86400</f>
        <v>40.076000313</v>
      </c>
      <c r="C984" s="27" t="n">
        <v>1.0129</v>
      </c>
      <c r="D984" s="27" t="n">
        <v>1.7081</v>
      </c>
      <c r="E984" s="27" t="s">
        <v>603</v>
      </c>
      <c r="F984" s="27" t="s">
        <v>145</v>
      </c>
      <c r="G984" s="32" t="n">
        <f aca="false">(A984-A983)*86400000</f>
        <v>14.999415</v>
      </c>
      <c r="H984" s="3"/>
      <c r="I984" s="3"/>
      <c r="J984" s="3"/>
      <c r="K984" s="3"/>
      <c r="L984" s="3"/>
      <c r="M984" s="3"/>
    </row>
    <row r="985" customFormat="false" ht="15" hidden="false" customHeight="false" outlineLevel="0" collapsed="false">
      <c r="A985" s="28" t="n">
        <v>46301.5241172569</v>
      </c>
      <c r="B985" s="31" t="n">
        <f aca="false">(A985-$A$5)*86400</f>
        <v>40.092999441</v>
      </c>
      <c r="C985" s="27" t="n">
        <v>1.0142</v>
      </c>
      <c r="D985" s="27" t="n">
        <v>1.7048</v>
      </c>
      <c r="E985" s="27" t="s">
        <v>603</v>
      </c>
      <c r="F985" s="27" t="s">
        <v>145</v>
      </c>
      <c r="G985" s="32" t="n">
        <f aca="false">(A985-A984)*86400000</f>
        <v>16.999128</v>
      </c>
      <c r="H985" s="3"/>
      <c r="I985" s="3"/>
      <c r="J985" s="3"/>
      <c r="K985" s="3"/>
      <c r="L985" s="3"/>
      <c r="M985" s="3"/>
    </row>
    <row r="986" customFormat="false" ht="15" hidden="false" customHeight="false" outlineLevel="0" collapsed="false">
      <c r="A986" s="28" t="n">
        <v>46301.5241174306</v>
      </c>
      <c r="B986" s="31" t="n">
        <f aca="false">(A986-$A$5)*86400</f>
        <v>40.108000743</v>
      </c>
      <c r="C986" s="27" t="n">
        <v>1.0153</v>
      </c>
      <c r="D986" s="27" t="n">
        <v>1.7021</v>
      </c>
      <c r="E986" s="27" t="s">
        <v>603</v>
      </c>
      <c r="F986" s="27" t="s">
        <v>145</v>
      </c>
      <c r="G986" s="32" t="n">
        <f aca="false">(A986-A985)*86400000</f>
        <v>15.001301</v>
      </c>
      <c r="H986" s="3"/>
      <c r="I986" s="3"/>
      <c r="J986" s="3"/>
      <c r="K986" s="3"/>
      <c r="L986" s="3"/>
      <c r="M986" s="3"/>
    </row>
    <row r="987" customFormat="false" ht="15" hidden="false" customHeight="false" outlineLevel="0" collapsed="false">
      <c r="A987" s="28" t="n">
        <v>46301.5241176273</v>
      </c>
      <c r="B987" s="31" t="n">
        <f aca="false">(A987-$A$5)*86400</f>
        <v>40.124999871</v>
      </c>
      <c r="C987" s="27" t="n">
        <v>1.0162</v>
      </c>
      <c r="D987" s="27" t="n">
        <v>1.6999</v>
      </c>
      <c r="E987" s="27" t="s">
        <v>603</v>
      </c>
      <c r="F987" s="27" t="s">
        <v>145</v>
      </c>
      <c r="G987" s="32" t="n">
        <f aca="false">(A987-A986)*86400000</f>
        <v>16.999128</v>
      </c>
      <c r="H987" s="3"/>
      <c r="I987" s="3"/>
      <c r="J987" s="3"/>
      <c r="K987" s="3"/>
      <c r="L987" s="3"/>
      <c r="M987" s="3"/>
    </row>
    <row r="988" customFormat="false" ht="15" hidden="false" customHeight="false" outlineLevel="0" collapsed="false">
      <c r="A988" s="28" t="n">
        <v>46301.5241178125</v>
      </c>
      <c r="B988" s="31" t="n">
        <f aca="false">(A988-$A$5)*86400</f>
        <v>40.141000086</v>
      </c>
      <c r="C988" s="27" t="n">
        <v>1.0169</v>
      </c>
      <c r="D988" s="27" t="n">
        <v>1.698</v>
      </c>
      <c r="E988" s="27" t="s">
        <v>603</v>
      </c>
      <c r="F988" s="27" t="s">
        <v>145</v>
      </c>
      <c r="G988" s="32" t="n">
        <f aca="false">(A988-A987)*86400000</f>
        <v>16.000214</v>
      </c>
      <c r="H988" s="3"/>
      <c r="I988" s="3"/>
      <c r="J988" s="3"/>
      <c r="K988" s="3"/>
      <c r="L988" s="3"/>
      <c r="M988" s="3"/>
    </row>
    <row r="989" customFormat="false" ht="15" hidden="false" customHeight="false" outlineLevel="0" collapsed="false">
      <c r="A989" s="28" t="n">
        <v>46301.5241179977</v>
      </c>
      <c r="B989" s="31" t="n">
        <f aca="false">(A989-$A$5)*86400</f>
        <v>40.157000301</v>
      </c>
      <c r="C989" s="27" t="n">
        <v>1.0176</v>
      </c>
      <c r="D989" s="27" t="n">
        <v>1.6964</v>
      </c>
      <c r="E989" s="27" t="s">
        <v>603</v>
      </c>
      <c r="F989" s="27" t="s">
        <v>145</v>
      </c>
      <c r="G989" s="32" t="n">
        <f aca="false">(A989-A988)*86400000</f>
        <v>16.000214</v>
      </c>
      <c r="H989" s="3"/>
      <c r="I989" s="3"/>
      <c r="J989" s="3"/>
      <c r="K989" s="3"/>
      <c r="L989" s="3"/>
      <c r="M989" s="3"/>
    </row>
    <row r="990" customFormat="false" ht="15" hidden="false" customHeight="false" outlineLevel="0" collapsed="false">
      <c r="A990" s="28" t="n">
        <v>46301.5241181944</v>
      </c>
      <c r="B990" s="31" t="n">
        <f aca="false">(A990-$A$5)*86400</f>
        <v>40.173999429</v>
      </c>
      <c r="C990" s="27" t="n">
        <v>1.0181</v>
      </c>
      <c r="D990" s="27" t="n">
        <v>1.6952</v>
      </c>
      <c r="E990" s="27" t="s">
        <v>603</v>
      </c>
      <c r="F990" s="27" t="s">
        <v>145</v>
      </c>
      <c r="G990" s="32" t="n">
        <f aca="false">(A990-A989)*86400000</f>
        <v>16.999128</v>
      </c>
      <c r="H990" s="3"/>
      <c r="I990" s="3"/>
      <c r="J990" s="3"/>
      <c r="K990" s="3"/>
      <c r="L990" s="3"/>
      <c r="M990" s="3"/>
    </row>
    <row r="991" customFormat="false" ht="15" hidden="false" customHeight="false" outlineLevel="0" collapsed="false">
      <c r="A991" s="28" t="n">
        <v>46301.5241185648</v>
      </c>
      <c r="B991" s="31" t="n">
        <f aca="false">(A991-$A$5)*86400</f>
        <v>40.205999859</v>
      </c>
      <c r="C991" s="27" t="n">
        <v>1.0188</v>
      </c>
      <c r="D991" s="27" t="n">
        <v>1.6933</v>
      </c>
      <c r="E991" s="27" t="s">
        <v>603</v>
      </c>
      <c r="F991" s="27" t="s">
        <v>145</v>
      </c>
      <c r="G991" s="32" t="n">
        <f aca="false">(A991-A990)*86400000</f>
        <v>32.000429</v>
      </c>
      <c r="H991" s="3"/>
      <c r="I991" s="3"/>
      <c r="J991" s="3"/>
      <c r="K991" s="3"/>
      <c r="L991" s="3"/>
      <c r="M991" s="3"/>
    </row>
    <row r="992" customFormat="false" ht="15" hidden="false" customHeight="false" outlineLevel="0" collapsed="false">
      <c r="A992" s="28" t="n">
        <v>46301.5241191088</v>
      </c>
      <c r="B992" s="31" t="n">
        <f aca="false">(A992-$A$5)*86400</f>
        <v>40.253000333</v>
      </c>
      <c r="C992" s="27" t="n">
        <v>1.0195</v>
      </c>
      <c r="D992" s="27" t="n">
        <v>1.6915</v>
      </c>
      <c r="E992" s="27" t="s">
        <v>603</v>
      </c>
      <c r="F992" s="27" t="s">
        <v>145</v>
      </c>
      <c r="G992" s="32" t="n">
        <f aca="false">(A992-A991)*86400000</f>
        <v>47.000474</v>
      </c>
      <c r="H992" s="3"/>
      <c r="I992" s="3"/>
      <c r="J992" s="3"/>
      <c r="K992" s="3"/>
      <c r="L992" s="3"/>
      <c r="M992" s="3"/>
    </row>
    <row r="993" customFormat="false" ht="15" hidden="false" customHeight="false" outlineLevel="0" collapsed="false">
      <c r="A993" s="28" t="n">
        <v>46301.5241194907</v>
      </c>
      <c r="B993" s="31" t="n">
        <f aca="false">(A993-$A$5)*86400</f>
        <v>40.286000305</v>
      </c>
      <c r="C993" s="27" t="n">
        <v>1.0204</v>
      </c>
      <c r="D993" s="27" t="n">
        <v>1.6893</v>
      </c>
      <c r="E993" s="27" t="s">
        <v>603</v>
      </c>
      <c r="F993" s="27" t="s">
        <v>145</v>
      </c>
      <c r="G993" s="32" t="n">
        <f aca="false">(A993-A992)*86400000</f>
        <v>32.999971</v>
      </c>
      <c r="H993" s="3"/>
      <c r="I993" s="3"/>
      <c r="J993" s="3"/>
      <c r="K993" s="3"/>
      <c r="L993" s="3"/>
      <c r="M993" s="3"/>
    </row>
    <row r="994" customFormat="false" ht="15" hidden="false" customHeight="false" outlineLevel="0" collapsed="false">
      <c r="A994" s="28" t="n">
        <v>46301.5241226736</v>
      </c>
      <c r="B994" s="31" t="n">
        <f aca="false">(A994-$A$5)*86400</f>
        <v>40.561000071</v>
      </c>
      <c r="C994" s="27" t="n">
        <v>1.036</v>
      </c>
      <c r="D994" s="27" t="n">
        <v>1.694</v>
      </c>
      <c r="E994" s="27" t="s">
        <v>603</v>
      </c>
      <c r="F994" s="27" t="s">
        <v>145</v>
      </c>
      <c r="G994" s="32" t="n">
        <f aca="false">(A994-A993)*86400000</f>
        <v>274.999765</v>
      </c>
      <c r="H994" s="3"/>
      <c r="I994" s="3"/>
      <c r="J994" s="3"/>
      <c r="K994" s="3"/>
      <c r="L994" s="3"/>
      <c r="M994" s="3"/>
    </row>
    <row r="995" customFormat="false" ht="15" hidden="false" customHeight="false" outlineLevel="0" collapsed="false">
      <c r="A995" s="28" t="n">
        <v>46301.5241228588</v>
      </c>
      <c r="B995" s="31" t="n">
        <f aca="false">(A995-$A$5)*86400</f>
        <v>40.577000286</v>
      </c>
      <c r="C995" s="27" t="n">
        <v>1.0493</v>
      </c>
      <c r="D995" s="27" t="n">
        <v>1.6986</v>
      </c>
      <c r="E995" s="27" t="s">
        <v>603</v>
      </c>
      <c r="F995" s="27" t="s">
        <v>145</v>
      </c>
      <c r="G995" s="32" t="n">
        <f aca="false">(A995-A994)*86400000</f>
        <v>16.000214</v>
      </c>
      <c r="H995" s="3"/>
      <c r="I995" s="3"/>
      <c r="J995" s="3"/>
      <c r="K995" s="3"/>
      <c r="L995" s="3"/>
      <c r="M995" s="3"/>
    </row>
    <row r="996" customFormat="false" ht="15" hidden="false" customHeight="false" outlineLevel="0" collapsed="false">
      <c r="A996" s="28" t="n">
        <v>46301.524123044</v>
      </c>
      <c r="B996" s="31" t="n">
        <f aca="false">(A996-$A$5)*86400</f>
        <v>40.592999872</v>
      </c>
      <c r="C996" s="27" t="n">
        <v>1.0602</v>
      </c>
      <c r="D996" s="27" t="n">
        <v>1.7024</v>
      </c>
      <c r="E996" s="27" t="s">
        <v>603</v>
      </c>
      <c r="F996" s="27" t="s">
        <v>145</v>
      </c>
      <c r="G996" s="32" t="n">
        <f aca="false">(A996-A995)*86400000</f>
        <v>15.999586</v>
      </c>
      <c r="H996" s="3"/>
      <c r="I996" s="3"/>
      <c r="J996" s="3"/>
      <c r="K996" s="3"/>
      <c r="L996" s="3"/>
      <c r="M996" s="3"/>
    </row>
    <row r="997" customFormat="false" ht="15" hidden="false" customHeight="false" outlineLevel="0" collapsed="false">
      <c r="A997" s="28" t="n">
        <v>46301.5241232407</v>
      </c>
      <c r="B997" s="31" t="n">
        <f aca="false">(A997-$A$5)*86400</f>
        <v>40.610000258</v>
      </c>
      <c r="C997" s="27" t="n">
        <v>1.069</v>
      </c>
      <c r="D997" s="27" t="n">
        <v>1.7055</v>
      </c>
      <c r="E997" s="27" t="s">
        <v>603</v>
      </c>
      <c r="F997" s="27" t="s">
        <v>145</v>
      </c>
      <c r="G997" s="32" t="n">
        <f aca="false">(A997-A996)*86400000</f>
        <v>17.000385</v>
      </c>
      <c r="H997" s="3"/>
      <c r="I997" s="3"/>
      <c r="J997" s="3"/>
      <c r="K997" s="3"/>
      <c r="L997" s="3"/>
      <c r="M997" s="3"/>
    </row>
    <row r="998" customFormat="false" ht="15" hidden="false" customHeight="false" outlineLevel="0" collapsed="false">
      <c r="A998" s="28" t="n">
        <v>46301.5241234375</v>
      </c>
      <c r="B998" s="31" t="n">
        <f aca="false">(A998-$A$5)*86400</f>
        <v>40.627000015</v>
      </c>
      <c r="C998" s="27" t="n">
        <v>1.0763</v>
      </c>
      <c r="D998" s="27" t="n">
        <v>1.708</v>
      </c>
      <c r="E998" s="27" t="s">
        <v>603</v>
      </c>
      <c r="F998" s="27" t="s">
        <v>145</v>
      </c>
      <c r="G998" s="32" t="n">
        <f aca="false">(A998-A997)*86400000</f>
        <v>16.999756</v>
      </c>
      <c r="H998" s="3"/>
      <c r="I998" s="3"/>
      <c r="J998" s="3"/>
      <c r="K998" s="3"/>
      <c r="L998" s="3"/>
      <c r="M998" s="3"/>
    </row>
    <row r="999" customFormat="false" ht="15" hidden="false" customHeight="false" outlineLevel="0" collapsed="false">
      <c r="A999" s="28" t="n">
        <v>46301.5241236343</v>
      </c>
      <c r="B999" s="31" t="n">
        <f aca="false">(A999-$A$5)*86400</f>
        <v>40.6440004</v>
      </c>
      <c r="C999" s="27" t="n">
        <v>1.0927</v>
      </c>
      <c r="D999" s="27" t="n">
        <v>1.7073</v>
      </c>
      <c r="E999" s="27" t="s">
        <v>603</v>
      </c>
      <c r="F999" s="27" t="s">
        <v>145</v>
      </c>
      <c r="G999" s="32" t="n">
        <f aca="false">(A999-A998)*86400000</f>
        <v>17.000385</v>
      </c>
      <c r="H999" s="3"/>
      <c r="I999" s="3"/>
      <c r="J999" s="3"/>
      <c r="K999" s="3"/>
      <c r="L999" s="3"/>
      <c r="M999" s="3"/>
    </row>
    <row r="1000" customFormat="false" ht="15" hidden="false" customHeight="false" outlineLevel="0" collapsed="false">
      <c r="A1000" s="28" t="n">
        <v>46301.5241238194</v>
      </c>
      <c r="B1000" s="31" t="n">
        <f aca="false">(A1000-$A$5)*86400</f>
        <v>40.659999987</v>
      </c>
      <c r="C1000" s="27" t="n">
        <v>1.1063</v>
      </c>
      <c r="D1000" s="27" t="n">
        <v>1.7067</v>
      </c>
      <c r="E1000" s="27" t="s">
        <v>603</v>
      </c>
      <c r="F1000" s="27" t="s">
        <v>145</v>
      </c>
      <c r="G1000" s="32" t="n">
        <f aca="false">(A1000-A999)*86400000</f>
        <v>15.999586</v>
      </c>
      <c r="H1000" s="3"/>
      <c r="I1000" s="3"/>
      <c r="J1000" s="3"/>
      <c r="K1000" s="3"/>
      <c r="L1000" s="3"/>
      <c r="M1000" s="3"/>
    </row>
    <row r="1001" customFormat="false" ht="15" hidden="false" customHeight="false" outlineLevel="0" collapsed="false">
      <c r="A1001" s="28" t="n">
        <v>46301.5241240046</v>
      </c>
      <c r="B1001" s="31" t="n">
        <f aca="false">(A1001-$A$5)*86400</f>
        <v>40.676000202</v>
      </c>
      <c r="C1001" s="27" t="n">
        <v>1.1174</v>
      </c>
      <c r="D1001" s="27" t="n">
        <v>1.7062</v>
      </c>
      <c r="E1001" s="27" t="s">
        <v>603</v>
      </c>
      <c r="F1001" s="27" t="s">
        <v>145</v>
      </c>
      <c r="G1001" s="32" t="n">
        <f aca="false">(A1001-A1000)*86400000</f>
        <v>16.000214</v>
      </c>
      <c r="H1001" s="3"/>
      <c r="I1001" s="3"/>
      <c r="J1001" s="3"/>
      <c r="K1001" s="3"/>
      <c r="L1001" s="3"/>
      <c r="M1001" s="3"/>
    </row>
    <row r="1002" customFormat="false" ht="15" hidden="false" customHeight="false" outlineLevel="0" collapsed="false">
      <c r="A1002" s="28" t="n">
        <v>46301.5241241898</v>
      </c>
      <c r="B1002" s="31" t="n">
        <f aca="false">(A1002-$A$5)*86400</f>
        <v>40.692000417</v>
      </c>
      <c r="C1002" s="27" t="n">
        <v>1.1267</v>
      </c>
      <c r="D1002" s="27" t="n">
        <v>1.7058</v>
      </c>
      <c r="E1002" s="27" t="s">
        <v>603</v>
      </c>
      <c r="F1002" s="27" t="s">
        <v>145</v>
      </c>
      <c r="G1002" s="32" t="n">
        <f aca="false">(A1002-A1001)*86400000</f>
        <v>16.000214</v>
      </c>
      <c r="H1002" s="3"/>
      <c r="I1002" s="3"/>
      <c r="J1002" s="3"/>
      <c r="K1002" s="3"/>
      <c r="L1002" s="3"/>
      <c r="M1002" s="3"/>
    </row>
    <row r="1003" customFormat="false" ht="15" hidden="false" customHeight="false" outlineLevel="0" collapsed="false">
      <c r="A1003" s="28" t="n">
        <v>46301.5241243634</v>
      </c>
      <c r="B1003" s="31" t="n">
        <f aca="false">(A1003-$A$5)*86400</f>
        <v>40.706999832</v>
      </c>
      <c r="C1003" s="27" t="n">
        <v>1.1343</v>
      </c>
      <c r="D1003" s="27" t="n">
        <v>1.7055</v>
      </c>
      <c r="E1003" s="27" t="s">
        <v>603</v>
      </c>
      <c r="F1003" s="27" t="s">
        <v>145</v>
      </c>
      <c r="G1003" s="32" t="n">
        <f aca="false">(A1003-A1002)*86400000</f>
        <v>14.999415</v>
      </c>
      <c r="H1003" s="3"/>
      <c r="I1003" s="3"/>
      <c r="J1003" s="3"/>
      <c r="K1003" s="3"/>
      <c r="L1003" s="3"/>
      <c r="M1003" s="3"/>
    </row>
    <row r="1004" customFormat="false" ht="15" hidden="false" customHeight="false" outlineLevel="0" collapsed="false">
      <c r="A1004" s="28" t="n">
        <v>46301.5241245602</v>
      </c>
      <c r="B1004" s="31" t="n">
        <f aca="false">(A1004-$A$5)*86400</f>
        <v>40.724000218</v>
      </c>
      <c r="C1004" s="27" t="n">
        <v>1.1406</v>
      </c>
      <c r="D1004" s="27" t="n">
        <v>1.7052</v>
      </c>
      <c r="E1004" s="27" t="s">
        <v>603</v>
      </c>
      <c r="F1004" s="27" t="s">
        <v>145</v>
      </c>
      <c r="G1004" s="32" t="n">
        <f aca="false">(A1004-A1003)*86400000</f>
        <v>17.000385</v>
      </c>
      <c r="H1004" s="3"/>
      <c r="I1004" s="3"/>
      <c r="J1004" s="3"/>
      <c r="K1004" s="3"/>
      <c r="L1004" s="3"/>
      <c r="M1004" s="3"/>
    </row>
    <row r="1005" customFormat="false" ht="15" hidden="false" customHeight="false" outlineLevel="0" collapsed="false">
      <c r="A1005" s="28" t="n">
        <v>46301.5241247454</v>
      </c>
      <c r="B1005" s="31" t="n">
        <f aca="false">(A1005-$A$5)*86400</f>
        <v>40.739999804</v>
      </c>
      <c r="C1005" s="27" t="n">
        <v>1.1458</v>
      </c>
      <c r="D1005" s="27" t="n">
        <v>1.705</v>
      </c>
      <c r="E1005" s="27" t="s">
        <v>603</v>
      </c>
      <c r="F1005" s="27" t="s">
        <v>145</v>
      </c>
      <c r="G1005" s="32" t="n">
        <f aca="false">(A1005-A1004)*86400000</f>
        <v>15.999586</v>
      </c>
      <c r="H1005" s="3"/>
      <c r="I1005" s="3"/>
      <c r="J1005" s="3"/>
      <c r="K1005" s="3"/>
      <c r="L1005" s="3"/>
      <c r="M1005" s="3"/>
    </row>
    <row r="1006" customFormat="false" ht="15" hidden="false" customHeight="false" outlineLevel="0" collapsed="false">
      <c r="A1006" s="28" t="n">
        <v>46301.5241249306</v>
      </c>
      <c r="B1006" s="31" t="n">
        <f aca="false">(A1006-$A$5)*86400</f>
        <v>40.75599939</v>
      </c>
      <c r="C1006" s="27" t="n">
        <v>1.1501</v>
      </c>
      <c r="D1006" s="27" t="n">
        <v>1.7048</v>
      </c>
      <c r="E1006" s="27" t="s">
        <v>603</v>
      </c>
      <c r="F1006" s="27" t="s">
        <v>145</v>
      </c>
      <c r="G1006" s="32" t="n">
        <f aca="false">(A1006-A1005)*86400000</f>
        <v>15.999586</v>
      </c>
      <c r="H1006" s="3"/>
      <c r="I1006" s="3"/>
      <c r="J1006" s="3"/>
      <c r="K1006" s="3"/>
      <c r="L1006" s="3"/>
      <c r="M1006" s="3"/>
    </row>
    <row r="1007" customFormat="false" ht="15" hidden="false" customHeight="false" outlineLevel="0" collapsed="false">
      <c r="A1007" s="28" t="n">
        <v>46301.5241251157</v>
      </c>
      <c r="B1007" s="31" t="n">
        <f aca="false">(A1007-$A$5)*86400</f>
        <v>40.772000234</v>
      </c>
      <c r="C1007" s="27" t="n">
        <v>1.1536</v>
      </c>
      <c r="D1007" s="27" t="n">
        <v>1.7047</v>
      </c>
      <c r="E1007" s="27" t="s">
        <v>603</v>
      </c>
      <c r="F1007" s="27" t="s">
        <v>145</v>
      </c>
      <c r="G1007" s="32" t="n">
        <f aca="false">(A1007-A1006)*86400000</f>
        <v>16.000843</v>
      </c>
      <c r="H1007" s="3"/>
      <c r="I1007" s="3"/>
      <c r="J1007" s="3"/>
      <c r="K1007" s="3"/>
      <c r="L1007" s="3"/>
      <c r="M1007" s="3"/>
    </row>
    <row r="1008" customFormat="false" ht="15" hidden="false" customHeight="false" outlineLevel="0" collapsed="false">
      <c r="A1008" s="28" t="n">
        <v>46301.5241253009</v>
      </c>
      <c r="B1008" s="31" t="n">
        <f aca="false">(A1008-$A$5)*86400</f>
        <v>40.78799982</v>
      </c>
      <c r="C1008" s="27" t="n">
        <v>1.1567</v>
      </c>
      <c r="D1008" s="27" t="n">
        <v>1.7046</v>
      </c>
      <c r="E1008" s="27" t="s">
        <v>603</v>
      </c>
      <c r="F1008" s="27" t="s">
        <v>145</v>
      </c>
      <c r="G1008" s="32" t="n">
        <f aca="false">(A1008-A1007)*86400000</f>
        <v>15.999586</v>
      </c>
      <c r="H1008" s="3"/>
      <c r="I1008" s="3"/>
      <c r="J1008" s="3"/>
      <c r="K1008" s="3"/>
      <c r="L1008" s="3"/>
      <c r="M1008" s="3"/>
    </row>
    <row r="1009" customFormat="false" ht="15" hidden="false" customHeight="false" outlineLevel="0" collapsed="false">
      <c r="A1009" s="28" t="n">
        <v>46301.5241254977</v>
      </c>
      <c r="B1009" s="31" t="n">
        <f aca="false">(A1009-$A$5)*86400</f>
        <v>40.805000835</v>
      </c>
      <c r="C1009" s="27" t="n">
        <v>1.1591</v>
      </c>
      <c r="D1009" s="27" t="n">
        <v>1.7045</v>
      </c>
      <c r="E1009" s="27" t="s">
        <v>603</v>
      </c>
      <c r="F1009" s="27" t="s">
        <v>145</v>
      </c>
      <c r="G1009" s="32" t="n">
        <f aca="false">(A1009-A1008)*86400000</f>
        <v>17.001014</v>
      </c>
      <c r="H1009" s="3"/>
      <c r="I1009" s="3"/>
      <c r="J1009" s="3"/>
      <c r="K1009" s="3"/>
      <c r="L1009" s="3"/>
      <c r="M1009" s="3"/>
    </row>
    <row r="1010" customFormat="false" ht="15" hidden="false" customHeight="false" outlineLevel="0" collapsed="false">
      <c r="A1010" s="28" t="n">
        <v>46301.5241256829</v>
      </c>
      <c r="B1010" s="31" t="n">
        <f aca="false">(A1010-$A$5)*86400</f>
        <v>40.820999792</v>
      </c>
      <c r="C1010" s="27" t="n">
        <v>1.161</v>
      </c>
      <c r="D1010" s="27" t="n">
        <v>1.7044</v>
      </c>
      <c r="E1010" s="27" t="s">
        <v>603</v>
      </c>
      <c r="F1010" s="27" t="s">
        <v>145</v>
      </c>
      <c r="G1010" s="32" t="n">
        <f aca="false">(A1010-A1009)*86400000</f>
        <v>15.998957</v>
      </c>
      <c r="H1010" s="3"/>
      <c r="I1010" s="3"/>
      <c r="J1010" s="3"/>
      <c r="K1010" s="3"/>
      <c r="L1010" s="3"/>
      <c r="M1010" s="3"/>
    </row>
    <row r="1011" customFormat="false" ht="15" hidden="false" customHeight="false" outlineLevel="0" collapsed="false">
      <c r="A1011" s="28" t="n">
        <v>46301.5241258681</v>
      </c>
      <c r="B1011" s="31" t="n">
        <f aca="false">(A1011-$A$5)*86400</f>
        <v>40.836999379</v>
      </c>
      <c r="C1011" s="27" t="n">
        <v>1.1627</v>
      </c>
      <c r="D1011" s="27" t="n">
        <v>1.7043</v>
      </c>
      <c r="E1011" s="27" t="s">
        <v>603</v>
      </c>
      <c r="F1011" s="27" t="s">
        <v>145</v>
      </c>
      <c r="G1011" s="32" t="n">
        <f aca="false">(A1011-A1010)*86400000</f>
        <v>15.999586</v>
      </c>
      <c r="H1011" s="3"/>
      <c r="I1011" s="3"/>
      <c r="J1011" s="3"/>
      <c r="K1011" s="3"/>
      <c r="L1011" s="3"/>
      <c r="M1011" s="3"/>
    </row>
    <row r="1012" customFormat="false" ht="15" hidden="false" customHeight="false" outlineLevel="0" collapsed="false">
      <c r="A1012" s="28" t="n">
        <v>46301.5241260532</v>
      </c>
      <c r="B1012" s="31" t="n">
        <f aca="false">(A1012-$A$5)*86400</f>
        <v>40.853000222</v>
      </c>
      <c r="C1012" s="27" t="n">
        <v>1.164</v>
      </c>
      <c r="D1012" s="27" t="n">
        <v>1.7042</v>
      </c>
      <c r="E1012" s="27" t="s">
        <v>603</v>
      </c>
      <c r="F1012" s="27" t="s">
        <v>145</v>
      </c>
      <c r="G1012" s="32" t="n">
        <f aca="false">(A1012-A1011)*86400000</f>
        <v>16.000843</v>
      </c>
      <c r="H1012" s="3"/>
      <c r="I1012" s="3"/>
      <c r="J1012" s="3"/>
      <c r="K1012" s="3"/>
      <c r="L1012" s="3"/>
      <c r="M1012" s="3"/>
    </row>
    <row r="1013" customFormat="false" ht="15" hidden="false" customHeight="false" outlineLevel="0" collapsed="false">
      <c r="A1013" s="28" t="n">
        <v>46301.5241264352</v>
      </c>
      <c r="B1013" s="31" t="n">
        <f aca="false">(A1013-$A$5)*86400</f>
        <v>40.886000823</v>
      </c>
      <c r="C1013" s="27" t="n">
        <v>1.1712</v>
      </c>
      <c r="D1013" s="27" t="n">
        <v>1.7014</v>
      </c>
      <c r="E1013" s="27" t="s">
        <v>603</v>
      </c>
      <c r="F1013" s="27" t="s">
        <v>145</v>
      </c>
      <c r="G1013" s="32" t="n">
        <f aca="false">(A1013-A1012)*86400000</f>
        <v>33.0006</v>
      </c>
      <c r="H1013" s="3"/>
      <c r="I1013" s="3"/>
      <c r="J1013" s="3"/>
      <c r="K1013" s="3"/>
      <c r="L1013" s="3"/>
      <c r="M1013" s="3"/>
    </row>
    <row r="1014" customFormat="false" ht="15" hidden="false" customHeight="false" outlineLevel="0" collapsed="false">
      <c r="A1014" s="28" t="n">
        <v>46301.5241266204</v>
      </c>
      <c r="B1014" s="31" t="n">
        <f aca="false">(A1014-$A$5)*86400</f>
        <v>40.90199978</v>
      </c>
      <c r="C1014" s="27" t="n">
        <v>1.1762</v>
      </c>
      <c r="D1014" s="27" t="n">
        <v>1.6992</v>
      </c>
      <c r="E1014" s="27" t="s">
        <v>603</v>
      </c>
      <c r="F1014" s="27" t="s">
        <v>145</v>
      </c>
      <c r="G1014" s="32" t="n">
        <f aca="false">(A1014-A1013)*86400000</f>
        <v>15.998957</v>
      </c>
      <c r="H1014" s="3"/>
      <c r="I1014" s="3"/>
      <c r="J1014" s="3"/>
      <c r="K1014" s="3"/>
      <c r="L1014" s="3"/>
      <c r="M1014" s="3"/>
    </row>
    <row r="1015" customFormat="false" ht="15" hidden="false" customHeight="false" outlineLevel="0" collapsed="false">
      <c r="A1015" s="28" t="n">
        <v>46301.524126794</v>
      </c>
      <c r="B1015" s="31" t="n">
        <f aca="false">(A1015-$A$5)*86400</f>
        <v>40.916999825</v>
      </c>
      <c r="C1015" s="27" t="n">
        <v>1.1803</v>
      </c>
      <c r="D1015" s="27" t="n">
        <v>1.6973</v>
      </c>
      <c r="E1015" s="27" t="s">
        <v>603</v>
      </c>
      <c r="F1015" s="27" t="s">
        <v>145</v>
      </c>
      <c r="G1015" s="32" t="n">
        <f aca="false">(A1015-A1014)*86400000</f>
        <v>15.000044</v>
      </c>
      <c r="H1015" s="3"/>
      <c r="I1015" s="3"/>
      <c r="J1015" s="3"/>
      <c r="K1015" s="3"/>
      <c r="L1015" s="3"/>
      <c r="M1015" s="3"/>
    </row>
    <row r="1016" customFormat="false" ht="15" hidden="false" customHeight="false" outlineLevel="0" collapsed="false">
      <c r="A1016" s="28" t="n">
        <v>46301.5241269907</v>
      </c>
      <c r="B1016" s="31" t="n">
        <f aca="false">(A1016-$A$5)*86400</f>
        <v>40.93400021</v>
      </c>
      <c r="C1016" s="27" t="n">
        <v>1.1837</v>
      </c>
      <c r="D1016" s="27" t="n">
        <v>1.6957</v>
      </c>
      <c r="E1016" s="27" t="s">
        <v>603</v>
      </c>
      <c r="F1016" s="27" t="s">
        <v>145</v>
      </c>
      <c r="G1016" s="32" t="n">
        <f aca="false">(A1016-A1015)*86400000</f>
        <v>17.000385</v>
      </c>
      <c r="H1016" s="3"/>
      <c r="I1016" s="3"/>
      <c r="J1016" s="3"/>
      <c r="K1016" s="3"/>
      <c r="L1016" s="3"/>
      <c r="M1016" s="3"/>
    </row>
    <row r="1017" customFormat="false" ht="15" hidden="false" customHeight="false" outlineLevel="0" collapsed="false">
      <c r="A1017" s="28" t="n">
        <v>46301.5241271644</v>
      </c>
      <c r="B1017" s="31" t="n">
        <f aca="false">(A1017-$A$5)*86400</f>
        <v>40.949000255</v>
      </c>
      <c r="C1017" s="27" t="n">
        <v>1.1866</v>
      </c>
      <c r="D1017" s="27" t="n">
        <v>1.6944</v>
      </c>
      <c r="E1017" s="27" t="s">
        <v>603</v>
      </c>
      <c r="F1017" s="27" t="s">
        <v>145</v>
      </c>
      <c r="G1017" s="32" t="n">
        <f aca="false">(A1017-A1016)*86400000</f>
        <v>15.000044</v>
      </c>
      <c r="H1017" s="3"/>
      <c r="I1017" s="3"/>
      <c r="J1017" s="3"/>
      <c r="K1017" s="3"/>
      <c r="L1017" s="3"/>
      <c r="M1017" s="3"/>
    </row>
    <row r="1018" customFormat="false" ht="15" hidden="false" customHeight="false" outlineLevel="0" collapsed="false">
      <c r="A1018" s="28" t="n">
        <v>46301.5241273611</v>
      </c>
      <c r="B1018" s="31" t="n">
        <f aca="false">(A1018-$A$5)*86400</f>
        <v>40.966000012</v>
      </c>
      <c r="C1018" s="27" t="n">
        <v>1.1889</v>
      </c>
      <c r="D1018" s="27" t="n">
        <v>1.6934</v>
      </c>
      <c r="E1018" s="27" t="s">
        <v>603</v>
      </c>
      <c r="F1018" s="27" t="s">
        <v>145</v>
      </c>
      <c r="G1018" s="32" t="n">
        <f aca="false">(A1018-A1017)*86400000</f>
        <v>16.999756</v>
      </c>
      <c r="H1018" s="3"/>
      <c r="I1018" s="3"/>
      <c r="J1018" s="3"/>
      <c r="K1018" s="3"/>
      <c r="L1018" s="3"/>
      <c r="M1018" s="3"/>
    </row>
    <row r="1019" customFormat="false" ht="15" hidden="false" customHeight="false" outlineLevel="0" collapsed="false">
      <c r="A1019" s="28" t="n">
        <v>46301.5241277431</v>
      </c>
      <c r="B1019" s="31" t="n">
        <f aca="false">(A1019-$A$5)*86400</f>
        <v>40.998999355</v>
      </c>
      <c r="C1019" s="27" t="n">
        <v>1.1905</v>
      </c>
      <c r="D1019" s="27" t="n">
        <v>1.6923</v>
      </c>
      <c r="E1019" s="27" t="s">
        <v>603</v>
      </c>
      <c r="F1019" s="27" t="s">
        <v>145</v>
      </c>
      <c r="G1019" s="32" t="n">
        <f aca="false">(A1019-A1018)*86400000</f>
        <v>32.999343</v>
      </c>
      <c r="H1019" s="3"/>
      <c r="I1019" s="3"/>
      <c r="J1019" s="3"/>
      <c r="K1019" s="3"/>
      <c r="L1019" s="3"/>
      <c r="M1019" s="3"/>
    </row>
    <row r="1020" customFormat="false" ht="15" hidden="false" customHeight="false" outlineLevel="0" collapsed="false">
      <c r="A1020" s="28" t="n">
        <v>46301.5241281134</v>
      </c>
      <c r="B1020" s="31" t="n">
        <f aca="false">(A1020-$A$5)*86400</f>
        <v>41.031000413</v>
      </c>
      <c r="C1020" s="27" t="n">
        <v>1.1917</v>
      </c>
      <c r="D1020" s="27" t="n">
        <v>1.6916</v>
      </c>
      <c r="E1020" s="27" t="s">
        <v>603</v>
      </c>
      <c r="F1020" s="27" t="s">
        <v>145</v>
      </c>
      <c r="G1020" s="32" t="n">
        <f aca="false">(A1020-A1019)*86400000</f>
        <v>32.001058</v>
      </c>
      <c r="H1020" s="3"/>
      <c r="I1020" s="3"/>
      <c r="J1020" s="3"/>
      <c r="K1020" s="3"/>
      <c r="L1020" s="3"/>
      <c r="M1020" s="3"/>
    </row>
    <row r="1021" customFormat="false" ht="15" hidden="false" customHeight="false" outlineLevel="0" collapsed="false">
      <c r="A1021" s="28" t="n">
        <v>46301.5241284954</v>
      </c>
      <c r="B1021" s="31" t="n">
        <f aca="false">(A1021-$A$5)*86400</f>
        <v>41.064000385</v>
      </c>
      <c r="C1021" s="27" t="n">
        <v>1.1925</v>
      </c>
      <c r="D1021" s="27" t="n">
        <v>1.6911</v>
      </c>
      <c r="E1021" s="27" t="s">
        <v>603</v>
      </c>
      <c r="F1021" s="27" t="s">
        <v>145</v>
      </c>
      <c r="G1021" s="32" t="n">
        <f aca="false">(A1021-A1020)*86400000</f>
        <v>32.999971</v>
      </c>
      <c r="H1021" s="3"/>
      <c r="I1021" s="3"/>
      <c r="J1021" s="3"/>
      <c r="K1021" s="3"/>
      <c r="L1021" s="3"/>
      <c r="M1021" s="3"/>
    </row>
    <row r="1022" customFormat="false" ht="15" hidden="false" customHeight="false" outlineLevel="0" collapsed="false">
      <c r="A1022" s="28" t="n">
        <v>46301.5241286806</v>
      </c>
      <c r="B1022" s="31" t="n">
        <f aca="false">(A1022-$A$5)*86400</f>
        <v>41.079999343</v>
      </c>
      <c r="C1022" s="27" t="n">
        <v>1.1889</v>
      </c>
      <c r="D1022" s="27" t="n">
        <v>1.6908</v>
      </c>
      <c r="E1022" s="27" t="s">
        <v>603</v>
      </c>
      <c r="F1022" s="27" t="s">
        <v>145</v>
      </c>
      <c r="G1022" s="32" t="n">
        <f aca="false">(A1022-A1021)*86400000</f>
        <v>15.998957</v>
      </c>
      <c r="H1022" s="3"/>
      <c r="I1022" s="3"/>
      <c r="J1022" s="3"/>
      <c r="K1022" s="3"/>
      <c r="L1022" s="3"/>
      <c r="M1022" s="3"/>
    </row>
    <row r="1023" customFormat="false" ht="15" hidden="false" customHeight="false" outlineLevel="0" collapsed="false">
      <c r="A1023" s="28" t="n">
        <v>46301.5241288657</v>
      </c>
      <c r="B1023" s="31" t="n">
        <f aca="false">(A1023-$A$5)*86400</f>
        <v>41.096000187</v>
      </c>
      <c r="C1023" s="27" t="n">
        <v>1.186</v>
      </c>
      <c r="D1023" s="27" t="n">
        <v>1.6906</v>
      </c>
      <c r="E1023" s="27" t="s">
        <v>603</v>
      </c>
      <c r="F1023" s="27" t="s">
        <v>145</v>
      </c>
      <c r="G1023" s="32" t="n">
        <f aca="false">(A1023-A1022)*86400000</f>
        <v>16.000843</v>
      </c>
      <c r="H1023" s="3"/>
      <c r="I1023" s="3"/>
      <c r="J1023" s="3"/>
      <c r="K1023" s="3"/>
      <c r="L1023" s="3"/>
      <c r="M1023" s="3"/>
    </row>
    <row r="1024" customFormat="false" ht="15" hidden="false" customHeight="false" outlineLevel="0" collapsed="false">
      <c r="A1024" s="28" t="n">
        <v>46301.5241290394</v>
      </c>
      <c r="B1024" s="31" t="n">
        <f aca="false">(A1024-$A$5)*86400</f>
        <v>41.111000231</v>
      </c>
      <c r="C1024" s="27" t="n">
        <v>1.1836</v>
      </c>
      <c r="D1024" s="27" t="n">
        <v>1.6903</v>
      </c>
      <c r="E1024" s="27" t="s">
        <v>603</v>
      </c>
      <c r="F1024" s="27" t="s">
        <v>145</v>
      </c>
      <c r="G1024" s="32" t="n">
        <f aca="false">(A1024-A1023)*86400000</f>
        <v>15.000044</v>
      </c>
      <c r="H1024" s="3"/>
      <c r="I1024" s="3"/>
      <c r="J1024" s="3"/>
      <c r="K1024" s="3"/>
      <c r="L1024" s="3"/>
      <c r="M1024" s="3"/>
    </row>
    <row r="1025" customFormat="false" ht="15" hidden="false" customHeight="false" outlineLevel="0" collapsed="false">
      <c r="A1025" s="28" t="n">
        <v>46301.5241292361</v>
      </c>
      <c r="B1025" s="31" t="n">
        <f aca="false">(A1025-$A$5)*86400</f>
        <v>41.127999988</v>
      </c>
      <c r="C1025" s="27" t="n">
        <v>1.1814</v>
      </c>
      <c r="D1025" s="27" t="n">
        <v>1.6902</v>
      </c>
      <c r="E1025" s="27" t="s">
        <v>603</v>
      </c>
      <c r="F1025" s="27" t="s">
        <v>145</v>
      </c>
      <c r="G1025" s="32" t="n">
        <f aca="false">(A1025-A1024)*86400000</f>
        <v>16.999756</v>
      </c>
      <c r="H1025" s="3"/>
      <c r="I1025" s="3"/>
      <c r="J1025" s="3"/>
      <c r="K1025" s="3"/>
      <c r="L1025" s="3"/>
      <c r="M1025" s="3"/>
    </row>
    <row r="1026" customFormat="false" ht="15" hidden="false" customHeight="false" outlineLevel="0" collapsed="false">
      <c r="A1026" s="28" t="n">
        <v>46301.5241294329</v>
      </c>
      <c r="B1026" s="31" t="n">
        <f aca="false">(A1026-$A$5)*86400</f>
        <v>41.145000373</v>
      </c>
      <c r="C1026" s="27" t="n">
        <v>1.1798</v>
      </c>
      <c r="D1026" s="27" t="n">
        <v>1.69</v>
      </c>
      <c r="E1026" s="27" t="s">
        <v>603</v>
      </c>
      <c r="F1026" s="27" t="s">
        <v>145</v>
      </c>
      <c r="G1026" s="32" t="n">
        <f aca="false">(A1026-A1025)*86400000</f>
        <v>17.000385</v>
      </c>
      <c r="H1026" s="3"/>
      <c r="I1026" s="3"/>
      <c r="J1026" s="3"/>
      <c r="K1026" s="3"/>
      <c r="L1026" s="3"/>
      <c r="M1026" s="3"/>
    </row>
    <row r="1027" customFormat="false" ht="15" hidden="false" customHeight="false" outlineLevel="0" collapsed="false">
      <c r="A1027" s="28" t="n">
        <v>46301.5241296181</v>
      </c>
      <c r="B1027" s="31" t="n">
        <f aca="false">(A1027-$A$5)*86400</f>
        <v>41.160999331</v>
      </c>
      <c r="C1027" s="27" t="n">
        <v>1.1785</v>
      </c>
      <c r="D1027" s="27" t="n">
        <v>1.6899</v>
      </c>
      <c r="E1027" s="27" t="s">
        <v>603</v>
      </c>
      <c r="F1027" s="27" t="s">
        <v>145</v>
      </c>
      <c r="G1027" s="32" t="n">
        <f aca="false">(A1027-A1026)*86400000</f>
        <v>15.998957</v>
      </c>
      <c r="H1027" s="3"/>
      <c r="I1027" s="3"/>
      <c r="J1027" s="3"/>
      <c r="K1027" s="3"/>
      <c r="L1027" s="3"/>
      <c r="M1027" s="3"/>
    </row>
    <row r="1028" customFormat="false" ht="15" hidden="false" customHeight="false" outlineLevel="0" collapsed="false">
      <c r="A1028" s="28" t="n">
        <v>46301.5241298032</v>
      </c>
      <c r="B1028" s="31" t="n">
        <f aca="false">(A1028-$A$5)*86400</f>
        <v>41.177000175</v>
      </c>
      <c r="C1028" s="27" t="n">
        <v>1.1737</v>
      </c>
      <c r="D1028" s="27" t="n">
        <v>1.6865</v>
      </c>
      <c r="E1028" s="27" t="s">
        <v>603</v>
      </c>
      <c r="F1028" s="27" t="s">
        <v>145</v>
      </c>
      <c r="G1028" s="32" t="n">
        <f aca="false">(A1028-A1027)*86400000</f>
        <v>16.000843</v>
      </c>
      <c r="H1028" s="3"/>
      <c r="I1028" s="3"/>
      <c r="J1028" s="3"/>
      <c r="K1028" s="3"/>
      <c r="L1028" s="3"/>
      <c r="M1028" s="3"/>
    </row>
    <row r="1029" customFormat="false" ht="15" hidden="false" customHeight="false" outlineLevel="0" collapsed="false">
      <c r="A1029" s="28" t="n">
        <v>46301.5241299884</v>
      </c>
      <c r="B1029" s="31" t="n">
        <f aca="false">(A1029-$A$5)*86400</f>
        <v>41.19300039</v>
      </c>
      <c r="C1029" s="27" t="n">
        <v>1.1698</v>
      </c>
      <c r="D1029" s="27" t="n">
        <v>1.6837</v>
      </c>
      <c r="E1029" s="27" t="s">
        <v>603</v>
      </c>
      <c r="F1029" s="27" t="s">
        <v>145</v>
      </c>
      <c r="G1029" s="32" t="n">
        <f aca="false">(A1029-A1028)*86400000</f>
        <v>16.000214</v>
      </c>
      <c r="H1029" s="3"/>
      <c r="I1029" s="3"/>
      <c r="J1029" s="3"/>
      <c r="K1029" s="3"/>
      <c r="L1029" s="3"/>
      <c r="M1029" s="3"/>
    </row>
    <row r="1030" customFormat="false" ht="15" hidden="false" customHeight="false" outlineLevel="0" collapsed="false">
      <c r="A1030" s="28" t="n">
        <v>46301.5241301736</v>
      </c>
      <c r="B1030" s="31" t="n">
        <f aca="false">(A1030-$A$5)*86400</f>
        <v>41.208999976</v>
      </c>
      <c r="C1030" s="27" t="n">
        <v>1.1665</v>
      </c>
      <c r="D1030" s="27" t="n">
        <v>1.6814</v>
      </c>
      <c r="E1030" s="27" t="s">
        <v>603</v>
      </c>
      <c r="F1030" s="27" t="s">
        <v>145</v>
      </c>
      <c r="G1030" s="32" t="n">
        <f aca="false">(A1030-A1029)*86400000</f>
        <v>15.999586</v>
      </c>
      <c r="H1030" s="3"/>
      <c r="I1030" s="3"/>
      <c r="J1030" s="3"/>
      <c r="K1030" s="3"/>
      <c r="L1030" s="3"/>
      <c r="M1030" s="3"/>
    </row>
    <row r="1031" customFormat="false" ht="15" hidden="false" customHeight="false" outlineLevel="0" collapsed="false">
      <c r="A1031" s="28" t="n">
        <v>46301.5241303588</v>
      </c>
      <c r="B1031" s="31" t="n">
        <f aca="false">(A1031-$A$5)*86400</f>
        <v>41.225000191</v>
      </c>
      <c r="C1031" s="27" t="n">
        <v>1.1639</v>
      </c>
      <c r="D1031" s="27" t="n">
        <v>1.6795</v>
      </c>
      <c r="E1031" s="27" t="s">
        <v>603</v>
      </c>
      <c r="F1031" s="27" t="s">
        <v>145</v>
      </c>
      <c r="G1031" s="32" t="n">
        <f aca="false">(A1031-A1030)*86400000</f>
        <v>16.000214</v>
      </c>
      <c r="H1031" s="3"/>
      <c r="I1031" s="3"/>
      <c r="J1031" s="3"/>
      <c r="K1031" s="3"/>
      <c r="L1031" s="3"/>
      <c r="M1031" s="3"/>
    </row>
    <row r="1032" customFormat="false" ht="15" hidden="false" customHeight="false" outlineLevel="0" collapsed="false">
      <c r="A1032" s="28" t="n">
        <v>46301.524130544</v>
      </c>
      <c r="B1032" s="31" t="n">
        <f aca="false">(A1032-$A$5)*86400</f>
        <v>41.240999777</v>
      </c>
      <c r="C1032" s="27" t="n">
        <v>1.1616</v>
      </c>
      <c r="D1032" s="27" t="n">
        <v>1.6779</v>
      </c>
      <c r="E1032" s="27" t="s">
        <v>603</v>
      </c>
      <c r="F1032" s="27" t="s">
        <v>145</v>
      </c>
      <c r="G1032" s="32" t="n">
        <f aca="false">(A1032-A1031)*86400000</f>
        <v>15.999586</v>
      </c>
      <c r="H1032" s="3"/>
      <c r="I1032" s="3"/>
      <c r="J1032" s="3"/>
      <c r="K1032" s="3"/>
      <c r="L1032" s="3"/>
      <c r="M1032" s="3"/>
    </row>
    <row r="1033" customFormat="false" ht="15" hidden="false" customHeight="false" outlineLevel="0" collapsed="false">
      <c r="A1033" s="28" t="n">
        <v>46301.5241307176</v>
      </c>
      <c r="B1033" s="31" t="n">
        <f aca="false">(A1033-$A$5)*86400</f>
        <v>41.255999822</v>
      </c>
      <c r="C1033" s="27" t="n">
        <v>1.1598</v>
      </c>
      <c r="D1033" s="27" t="n">
        <v>1.6766</v>
      </c>
      <c r="E1033" s="27" t="s">
        <v>603</v>
      </c>
      <c r="F1033" s="27" t="s">
        <v>145</v>
      </c>
      <c r="G1033" s="32" t="n">
        <f aca="false">(A1033-A1032)*86400000</f>
        <v>15.000044</v>
      </c>
      <c r="H1033" s="3"/>
      <c r="I1033" s="3"/>
      <c r="J1033" s="3"/>
      <c r="K1033" s="3"/>
      <c r="L1033" s="3"/>
      <c r="M1033" s="3"/>
    </row>
    <row r="1034" customFormat="false" ht="15" hidden="false" customHeight="false" outlineLevel="0" collapsed="false">
      <c r="A1034" s="28" t="n">
        <v>46301.5241309144</v>
      </c>
      <c r="B1034" s="31" t="n">
        <f aca="false">(A1034-$A$5)*86400</f>
        <v>41.273000207</v>
      </c>
      <c r="C1034" s="27" t="n">
        <v>1.1583</v>
      </c>
      <c r="D1034" s="27" t="n">
        <v>1.6756</v>
      </c>
      <c r="E1034" s="27" t="s">
        <v>603</v>
      </c>
      <c r="F1034" s="27" t="s">
        <v>145</v>
      </c>
      <c r="G1034" s="32" t="n">
        <f aca="false">(A1034-A1033)*86400000</f>
        <v>17.000385</v>
      </c>
      <c r="H1034" s="3"/>
      <c r="I1034" s="3"/>
      <c r="J1034" s="3"/>
      <c r="K1034" s="3"/>
      <c r="L1034" s="3"/>
      <c r="M1034" s="3"/>
    </row>
    <row r="1035" customFormat="false" ht="15" hidden="false" customHeight="false" outlineLevel="0" collapsed="false">
      <c r="A1035" s="28" t="n">
        <v>46301.5241310995</v>
      </c>
      <c r="B1035" s="31" t="n">
        <f aca="false">(A1035-$A$5)*86400</f>
        <v>41.288999794</v>
      </c>
      <c r="C1035" s="27" t="n">
        <v>1.1627</v>
      </c>
      <c r="D1035" s="27" t="n">
        <v>1.6678</v>
      </c>
      <c r="E1035" s="27" t="s">
        <v>603</v>
      </c>
      <c r="F1035" s="27" t="s">
        <v>145</v>
      </c>
      <c r="G1035" s="32" t="n">
        <f aca="false">(A1035-A1034)*86400000</f>
        <v>15.999586</v>
      </c>
      <c r="H1035" s="3"/>
      <c r="I1035" s="3"/>
      <c r="J1035" s="3"/>
      <c r="K1035" s="3"/>
      <c r="L1035" s="3"/>
      <c r="M1035" s="3"/>
    </row>
    <row r="1036" customFormat="false" ht="15" hidden="false" customHeight="false" outlineLevel="0" collapsed="false">
      <c r="A1036" s="28" t="n">
        <v>46301.5241312847</v>
      </c>
      <c r="B1036" s="31" t="n">
        <f aca="false">(A1036-$A$5)*86400</f>
        <v>41.305000009</v>
      </c>
      <c r="C1036" s="27" t="n">
        <v>1.1664</v>
      </c>
      <c r="D1036" s="27" t="n">
        <v>1.6613</v>
      </c>
      <c r="E1036" s="27" t="s">
        <v>603</v>
      </c>
      <c r="F1036" s="27" t="s">
        <v>145</v>
      </c>
      <c r="G1036" s="32" t="n">
        <f aca="false">(A1036-A1035)*86400000</f>
        <v>16.000214</v>
      </c>
      <c r="H1036" s="3"/>
      <c r="I1036" s="3"/>
      <c r="J1036" s="3"/>
      <c r="K1036" s="3"/>
      <c r="L1036" s="3"/>
      <c r="M1036" s="3"/>
    </row>
    <row r="1037" customFormat="false" ht="15" hidden="false" customHeight="false" outlineLevel="0" collapsed="false">
      <c r="A1037" s="28" t="n">
        <v>46301.5241314699</v>
      </c>
      <c r="B1037" s="31" t="n">
        <f aca="false">(A1037-$A$5)*86400</f>
        <v>41.321000223</v>
      </c>
      <c r="C1037" s="27" t="n">
        <v>1.1694</v>
      </c>
      <c r="D1037" s="27" t="n">
        <v>1.656</v>
      </c>
      <c r="E1037" s="27" t="s">
        <v>603</v>
      </c>
      <c r="F1037" s="27" t="s">
        <v>145</v>
      </c>
      <c r="G1037" s="32" t="n">
        <f aca="false">(A1037-A1036)*86400000</f>
        <v>16.000214</v>
      </c>
      <c r="H1037" s="3"/>
      <c r="I1037" s="3"/>
      <c r="J1037" s="3"/>
      <c r="K1037" s="3"/>
      <c r="L1037" s="3"/>
      <c r="M1037" s="3"/>
    </row>
    <row r="1038" customFormat="false" ht="15" hidden="false" customHeight="false" outlineLevel="0" collapsed="false">
      <c r="A1038" s="28" t="n">
        <v>46301.5241316551</v>
      </c>
      <c r="B1038" s="31" t="n">
        <f aca="false">(A1038-$A$5)*86400</f>
        <v>41.33699981</v>
      </c>
      <c r="C1038" s="27" t="n">
        <v>1.172</v>
      </c>
      <c r="D1038" s="27" t="n">
        <v>1.6514</v>
      </c>
      <c r="E1038" s="27" t="s">
        <v>603</v>
      </c>
      <c r="F1038" s="27" t="s">
        <v>145</v>
      </c>
      <c r="G1038" s="32" t="n">
        <f aca="false">(A1038-A1037)*86400000</f>
        <v>15.999586</v>
      </c>
      <c r="H1038" s="3"/>
      <c r="I1038" s="3"/>
      <c r="J1038" s="3"/>
      <c r="K1038" s="3"/>
      <c r="L1038" s="3"/>
      <c r="M1038" s="3"/>
    </row>
    <row r="1039" customFormat="false" ht="15" hidden="false" customHeight="false" outlineLevel="0" collapsed="false">
      <c r="A1039" s="28" t="n">
        <v>46301.5241318519</v>
      </c>
      <c r="B1039" s="31" t="n">
        <f aca="false">(A1039-$A$5)*86400</f>
        <v>41.354000195</v>
      </c>
      <c r="C1039" s="27" t="n">
        <v>1.1741</v>
      </c>
      <c r="D1039" s="27" t="n">
        <v>1.6478</v>
      </c>
      <c r="E1039" s="27" t="s">
        <v>603</v>
      </c>
      <c r="F1039" s="27" t="s">
        <v>145</v>
      </c>
      <c r="G1039" s="32" t="n">
        <f aca="false">(A1039-A1038)*86400000</f>
        <v>17.000385</v>
      </c>
      <c r="H1039" s="3"/>
      <c r="I1039" s="3"/>
      <c r="J1039" s="3"/>
      <c r="K1039" s="3"/>
      <c r="L1039" s="3"/>
      <c r="M1039" s="3"/>
    </row>
    <row r="1040" customFormat="false" ht="15" hidden="false" customHeight="false" outlineLevel="0" collapsed="false">
      <c r="A1040" s="28" t="n">
        <v>46301.524132037</v>
      </c>
      <c r="B1040" s="31" t="n">
        <f aca="false">(A1040-$A$5)*86400</f>
        <v>41.37000041</v>
      </c>
      <c r="C1040" s="27" t="n">
        <v>1.1758</v>
      </c>
      <c r="D1040" s="27" t="n">
        <v>1.6446</v>
      </c>
      <c r="E1040" s="27" t="s">
        <v>603</v>
      </c>
      <c r="F1040" s="27" t="s">
        <v>145</v>
      </c>
      <c r="G1040" s="32" t="n">
        <f aca="false">(A1040-A1039)*86400000</f>
        <v>16.000214</v>
      </c>
      <c r="H1040" s="3"/>
      <c r="I1040" s="3"/>
      <c r="J1040" s="3"/>
      <c r="K1040" s="3"/>
      <c r="L1040" s="3"/>
      <c r="M1040" s="3"/>
    </row>
    <row r="1041" customFormat="false" ht="15" hidden="false" customHeight="false" outlineLevel="0" collapsed="false">
      <c r="A1041" s="28" t="n">
        <v>46301.5241322222</v>
      </c>
      <c r="B1041" s="31" t="n">
        <f aca="false">(A1041-$A$5)*86400</f>
        <v>41.385999997</v>
      </c>
      <c r="C1041" s="27" t="n">
        <v>1.1772</v>
      </c>
      <c r="D1041" s="27" t="n">
        <v>1.6422</v>
      </c>
      <c r="E1041" s="27" t="s">
        <v>603</v>
      </c>
      <c r="F1041" s="27" t="s">
        <v>145</v>
      </c>
      <c r="G1041" s="32" t="n">
        <f aca="false">(A1041-A1040)*86400000</f>
        <v>15.999586</v>
      </c>
      <c r="H1041" s="3"/>
      <c r="I1041" s="3"/>
      <c r="J1041" s="3"/>
      <c r="K1041" s="3"/>
      <c r="L1041" s="3"/>
      <c r="M1041" s="3"/>
    </row>
    <row r="1042" customFormat="false" ht="15" hidden="false" customHeight="false" outlineLevel="0" collapsed="false">
      <c r="A1042" s="28" t="n">
        <v>46301.524132419</v>
      </c>
      <c r="B1042" s="31" t="n">
        <f aca="false">(A1042-$A$5)*86400</f>
        <v>41.402999754</v>
      </c>
      <c r="C1042" s="27" t="n">
        <v>1.1783</v>
      </c>
      <c r="D1042" s="27" t="n">
        <v>1.6402</v>
      </c>
      <c r="E1042" s="27" t="s">
        <v>603</v>
      </c>
      <c r="F1042" s="27" t="s">
        <v>145</v>
      </c>
      <c r="G1042" s="32" t="n">
        <f aca="false">(A1042-A1041)*86400000</f>
        <v>16.999756</v>
      </c>
      <c r="H1042" s="3"/>
      <c r="I1042" s="3"/>
      <c r="J1042" s="3"/>
      <c r="K1042" s="3"/>
      <c r="L1042" s="3"/>
      <c r="M1042" s="3"/>
    </row>
    <row r="1043" customFormat="false" ht="15" hidden="false" customHeight="false" outlineLevel="0" collapsed="false">
      <c r="A1043" s="28" t="n">
        <v>46301.5241326042</v>
      </c>
      <c r="B1043" s="31" t="n">
        <f aca="false">(A1043-$A$5)*86400</f>
        <v>41.419000597</v>
      </c>
      <c r="C1043" s="27" t="n">
        <v>1.1792</v>
      </c>
      <c r="D1043" s="27" t="n">
        <v>1.6386</v>
      </c>
      <c r="E1043" s="27" t="s">
        <v>603</v>
      </c>
      <c r="F1043" s="27" t="s">
        <v>145</v>
      </c>
      <c r="G1043" s="32" t="n">
        <f aca="false">(A1043-A1042)*86400000</f>
        <v>16.000843</v>
      </c>
      <c r="H1043" s="3"/>
      <c r="I1043" s="3"/>
      <c r="J1043" s="3"/>
      <c r="K1043" s="3"/>
      <c r="L1043" s="3"/>
      <c r="M1043" s="3"/>
    </row>
    <row r="1044" customFormat="false" ht="15" hidden="false" customHeight="false" outlineLevel="0" collapsed="false">
      <c r="A1044" s="28" t="n">
        <v>46301.5241327894</v>
      </c>
      <c r="B1044" s="31" t="n">
        <f aca="false">(A1044-$A$5)*86400</f>
        <v>41.435000183</v>
      </c>
      <c r="C1044" s="27" t="n">
        <v>1.18</v>
      </c>
      <c r="D1044" s="27" t="n">
        <v>1.6372</v>
      </c>
      <c r="E1044" s="27" t="s">
        <v>603</v>
      </c>
      <c r="F1044" s="27" t="s">
        <v>145</v>
      </c>
      <c r="G1044" s="32" t="n">
        <f aca="false">(A1044-A1043)*86400000</f>
        <v>15.999586</v>
      </c>
      <c r="H1044" s="3"/>
      <c r="I1044" s="3"/>
      <c r="J1044" s="3"/>
      <c r="K1044" s="3"/>
      <c r="L1044" s="3"/>
      <c r="M1044" s="3"/>
    </row>
    <row r="1045" customFormat="false" ht="15" hidden="false" customHeight="false" outlineLevel="0" collapsed="false">
      <c r="A1045" s="28" t="n">
        <v>46301.5241329745</v>
      </c>
      <c r="B1045" s="31" t="n">
        <f aca="false">(A1045-$A$5)*86400</f>
        <v>41.451000398</v>
      </c>
      <c r="C1045" s="27" t="n">
        <v>1.1807</v>
      </c>
      <c r="D1045" s="27" t="n">
        <v>1.6361</v>
      </c>
      <c r="E1045" s="27" t="s">
        <v>603</v>
      </c>
      <c r="F1045" s="27" t="s">
        <v>145</v>
      </c>
      <c r="G1045" s="32" t="n">
        <f aca="false">(A1045-A1044)*86400000</f>
        <v>16.000214</v>
      </c>
      <c r="H1045" s="3"/>
      <c r="I1045" s="3"/>
      <c r="J1045" s="3"/>
      <c r="K1045" s="3"/>
      <c r="L1045" s="3"/>
      <c r="M1045" s="3"/>
    </row>
    <row r="1046" customFormat="false" ht="15" hidden="false" customHeight="false" outlineLevel="0" collapsed="false">
      <c r="A1046" s="28" t="n">
        <v>46301.5241335417</v>
      </c>
      <c r="B1046" s="31" t="n">
        <f aca="false">(A1046-$A$5)*86400</f>
        <v>41.499999328</v>
      </c>
      <c r="C1046" s="27" t="n">
        <v>1.182</v>
      </c>
      <c r="D1046" s="27" t="n">
        <v>1.6338</v>
      </c>
      <c r="E1046" s="27" t="s">
        <v>603</v>
      </c>
      <c r="F1046" s="27" t="s">
        <v>145</v>
      </c>
      <c r="G1046" s="32" t="n">
        <f aca="false">(A1046-A1045)*86400000</f>
        <v>48.998929</v>
      </c>
      <c r="H1046" s="3"/>
      <c r="I1046" s="3"/>
      <c r="J1046" s="3"/>
      <c r="K1046" s="3"/>
      <c r="L1046" s="3"/>
      <c r="M1046" s="3"/>
    </row>
    <row r="1047" customFormat="false" ht="15" hidden="false" customHeight="false" outlineLevel="0" collapsed="false">
      <c r="A1047" s="28" t="n">
        <v>46301.5241337269</v>
      </c>
      <c r="B1047" s="31" t="n">
        <f aca="false">(A1047-$A$5)*86400</f>
        <v>41.516000172</v>
      </c>
      <c r="C1047" s="27" t="n">
        <v>1.1823</v>
      </c>
      <c r="D1047" s="27" t="n">
        <v>1.6332</v>
      </c>
      <c r="E1047" s="27" t="s">
        <v>603</v>
      </c>
      <c r="F1047" s="27" t="s">
        <v>145</v>
      </c>
      <c r="G1047" s="32" t="n">
        <f aca="false">(A1047-A1046)*86400000</f>
        <v>16.000843</v>
      </c>
      <c r="H1047" s="3"/>
      <c r="I1047" s="3"/>
      <c r="J1047" s="3"/>
      <c r="K1047" s="3"/>
      <c r="L1047" s="3"/>
      <c r="M1047" s="3"/>
    </row>
    <row r="1048" customFormat="false" ht="15" hidden="false" customHeight="false" outlineLevel="0" collapsed="false">
      <c r="A1048" s="28" t="n">
        <v>46301.524134294</v>
      </c>
      <c r="B1048" s="31" t="n">
        <f aca="false">(A1048-$A$5)*86400</f>
        <v>41.56499973</v>
      </c>
      <c r="C1048" s="27" t="n">
        <v>1.1836</v>
      </c>
      <c r="D1048" s="27" t="n">
        <v>1.6308</v>
      </c>
      <c r="E1048" s="27" t="s">
        <v>603</v>
      </c>
      <c r="F1048" s="27" t="s">
        <v>145</v>
      </c>
      <c r="G1048" s="32" t="n">
        <f aca="false">(A1048-A1047)*86400000</f>
        <v>48.999558</v>
      </c>
      <c r="H1048" s="3"/>
      <c r="I1048" s="3"/>
      <c r="J1048" s="3"/>
      <c r="K1048" s="3"/>
      <c r="L1048" s="3"/>
      <c r="M1048" s="3"/>
    </row>
    <row r="1049" customFormat="false" ht="15" hidden="false" customHeight="false" outlineLevel="0" collapsed="false">
      <c r="A1049" s="28" t="n">
        <v>46301.524138588</v>
      </c>
      <c r="B1049" s="31" t="n">
        <f aca="false">(A1049-$A$5)*86400</f>
        <v>41.936000157</v>
      </c>
      <c r="C1049" s="27" t="n">
        <v>1.1966</v>
      </c>
      <c r="D1049" s="27" t="n">
        <v>1.5845</v>
      </c>
      <c r="E1049" s="27" t="s">
        <v>603</v>
      </c>
      <c r="F1049" s="27" t="s">
        <v>145</v>
      </c>
      <c r="G1049" s="32" t="n">
        <f aca="false">(A1049-A1048)*86400000</f>
        <v>371.000426</v>
      </c>
      <c r="H1049" s="3"/>
      <c r="I1049" s="3"/>
      <c r="J1049" s="3"/>
      <c r="K1049" s="3"/>
      <c r="L1049" s="3"/>
      <c r="M1049" s="3"/>
    </row>
    <row r="1050" customFormat="false" ht="15" hidden="false" customHeight="false" outlineLevel="0" collapsed="false">
      <c r="A1050" s="28" t="n">
        <v>46301.5241387732</v>
      </c>
      <c r="B1050" s="31" t="n">
        <f aca="false">(A1050-$A$5)*86400</f>
        <v>41.952000372</v>
      </c>
      <c r="C1050" s="27" t="n">
        <v>1.2073</v>
      </c>
      <c r="D1050" s="27" t="n">
        <v>1.5463</v>
      </c>
      <c r="E1050" s="27" t="s">
        <v>603</v>
      </c>
      <c r="F1050" s="27" t="s">
        <v>145</v>
      </c>
      <c r="G1050" s="32" t="n">
        <f aca="false">(A1050-A1049)*86400000</f>
        <v>16.000214</v>
      </c>
      <c r="H1050" s="3"/>
      <c r="I1050" s="3"/>
      <c r="J1050" s="3"/>
      <c r="K1050" s="3"/>
      <c r="L1050" s="3"/>
      <c r="M1050" s="3"/>
    </row>
    <row r="1051" customFormat="false" ht="15" hidden="false" customHeight="false" outlineLevel="0" collapsed="false">
      <c r="A1051" s="28" t="n">
        <v>46301.5241389583</v>
      </c>
      <c r="B1051" s="31" t="n">
        <f aca="false">(A1051-$A$5)*86400</f>
        <v>41.967999958</v>
      </c>
      <c r="C1051" s="27" t="n">
        <v>1.2156</v>
      </c>
      <c r="D1051" s="27" t="n">
        <v>1.5166</v>
      </c>
      <c r="E1051" s="27" t="s">
        <v>603</v>
      </c>
      <c r="F1051" s="27" t="s">
        <v>145</v>
      </c>
      <c r="G1051" s="32" t="n">
        <f aca="false">(A1051-A1050)*86400000</f>
        <v>15.999586</v>
      </c>
      <c r="H1051" s="3"/>
      <c r="I1051" s="3"/>
      <c r="J1051" s="3"/>
      <c r="K1051" s="3"/>
      <c r="L1051" s="3"/>
      <c r="M1051" s="3"/>
    </row>
    <row r="1052" customFormat="false" ht="15" hidden="false" customHeight="false" outlineLevel="0" collapsed="false">
      <c r="A1052" s="28" t="n">
        <v>46301.5241391435</v>
      </c>
      <c r="B1052" s="31" t="n">
        <f aca="false">(A1052-$A$5)*86400</f>
        <v>41.984000173</v>
      </c>
      <c r="C1052" s="27" t="n">
        <v>1.223</v>
      </c>
      <c r="D1052" s="27" t="n">
        <v>1.4902</v>
      </c>
      <c r="E1052" s="27" t="s">
        <v>603</v>
      </c>
      <c r="F1052" s="27" t="s">
        <v>145</v>
      </c>
      <c r="G1052" s="32" t="n">
        <f aca="false">(A1052-A1051)*86400000</f>
        <v>16.000214</v>
      </c>
      <c r="H1052" s="3"/>
      <c r="I1052" s="3"/>
      <c r="J1052" s="3"/>
      <c r="K1052" s="3"/>
      <c r="L1052" s="3"/>
      <c r="M1052" s="3"/>
    </row>
    <row r="1053" customFormat="false" ht="15" hidden="false" customHeight="false" outlineLevel="0" collapsed="false">
      <c r="A1053" s="28" t="n">
        <v>46301.5241393287</v>
      </c>
      <c r="B1053" s="31" t="n">
        <f aca="false">(A1053-$A$5)*86400</f>
        <v>42</v>
      </c>
      <c r="C1053" s="27" t="n">
        <v>1.2291</v>
      </c>
      <c r="D1053" s="27" t="n">
        <v>1.4685</v>
      </c>
      <c r="E1053" s="27" t="s">
        <v>603</v>
      </c>
      <c r="F1053" s="27" t="s">
        <v>145</v>
      </c>
      <c r="G1053" s="32" t="n">
        <f aca="false">(A1053-A1052)*86400000</f>
        <v>16.000214</v>
      </c>
      <c r="H1053" s="3"/>
      <c r="I1053" s="3"/>
      <c r="J1053" s="3"/>
      <c r="K1053" s="3"/>
      <c r="L1053" s="3"/>
      <c r="M1053" s="3"/>
    </row>
    <row r="1054" customFormat="false" ht="15" hidden="false" customHeight="false" outlineLevel="0" collapsed="false">
      <c r="A1054" s="28" t="n">
        <v>46301.5241395139</v>
      </c>
      <c r="B1054" s="31" t="n">
        <f aca="false">(A1054-$A$5)*86400</f>
        <v>42.015999974</v>
      </c>
      <c r="C1054" s="27" t="n">
        <v>1.2341</v>
      </c>
      <c r="D1054" s="27" t="n">
        <v>1.4505</v>
      </c>
      <c r="E1054" s="27" t="s">
        <v>603</v>
      </c>
      <c r="F1054" s="27" t="s">
        <v>145</v>
      </c>
      <c r="G1054" s="32" t="n">
        <f aca="false">(A1054-A1053)*86400000</f>
        <v>15.999586</v>
      </c>
      <c r="H1054" s="3"/>
      <c r="I1054" s="3"/>
      <c r="J1054" s="3"/>
      <c r="K1054" s="3"/>
      <c r="L1054" s="3"/>
      <c r="M1054" s="3"/>
    </row>
    <row r="1055" customFormat="false" ht="15" hidden="false" customHeight="false" outlineLevel="0" collapsed="false">
      <c r="A1055" s="28" t="n">
        <v>46301.5241396991</v>
      </c>
      <c r="B1055" s="31" t="n">
        <f aca="false">(A1055-$A$5)*86400</f>
        <v>42.032000818</v>
      </c>
      <c r="C1055" s="27" t="n">
        <v>1.2382</v>
      </c>
      <c r="D1055" s="27" t="n">
        <v>1.4357</v>
      </c>
      <c r="E1055" s="27" t="s">
        <v>603</v>
      </c>
      <c r="F1055" s="27" t="s">
        <v>145</v>
      </c>
      <c r="G1055" s="32" t="n">
        <f aca="false">(A1055-A1054)*86400000</f>
        <v>16.000843</v>
      </c>
      <c r="H1055" s="3"/>
      <c r="I1055" s="3"/>
      <c r="J1055" s="3"/>
      <c r="K1055" s="3"/>
      <c r="L1055" s="3"/>
      <c r="M1055" s="3"/>
    </row>
    <row r="1056" customFormat="false" ht="15" hidden="false" customHeight="false" outlineLevel="0" collapsed="false">
      <c r="A1056" s="28" t="n">
        <v>46301.5241398843</v>
      </c>
      <c r="B1056" s="31" t="n">
        <f aca="false">(A1056-$A$5)*86400</f>
        <v>42.048000404</v>
      </c>
      <c r="C1056" s="27" t="n">
        <v>1.2418</v>
      </c>
      <c r="D1056" s="27" t="n">
        <v>1.4228</v>
      </c>
      <c r="E1056" s="27" t="s">
        <v>603</v>
      </c>
      <c r="F1056" s="27" t="s">
        <v>145</v>
      </c>
      <c r="G1056" s="32" t="n">
        <f aca="false">(A1056-A1055)*86400000</f>
        <v>15.999586</v>
      </c>
      <c r="H1056" s="3"/>
      <c r="I1056" s="3"/>
      <c r="J1056" s="3"/>
      <c r="K1056" s="3"/>
      <c r="L1056" s="3"/>
      <c r="M1056" s="3"/>
    </row>
    <row r="1057" customFormat="false" ht="15" hidden="false" customHeight="false" outlineLevel="0" collapsed="false">
      <c r="A1057" s="28" t="n">
        <v>46301.524140081</v>
      </c>
      <c r="B1057" s="31" t="n">
        <f aca="false">(A1057-$A$5)*86400</f>
        <v>42.065000161</v>
      </c>
      <c r="C1057" s="27" t="n">
        <v>1.2446</v>
      </c>
      <c r="D1057" s="27" t="n">
        <v>1.4128</v>
      </c>
      <c r="E1057" s="27" t="s">
        <v>603</v>
      </c>
      <c r="F1057" s="27" t="s">
        <v>145</v>
      </c>
      <c r="G1057" s="32" t="n">
        <f aca="false">(A1057-A1056)*86400000</f>
        <v>16.999756</v>
      </c>
      <c r="H1057" s="3"/>
      <c r="I1057" s="3"/>
      <c r="J1057" s="3"/>
      <c r="K1057" s="3"/>
      <c r="L1057" s="3"/>
      <c r="M1057" s="3"/>
    </row>
    <row r="1058" customFormat="false" ht="15" hidden="false" customHeight="false" outlineLevel="0" collapsed="false">
      <c r="A1058" s="28" t="n">
        <v>46301.5241402662</v>
      </c>
      <c r="B1058" s="31" t="n">
        <f aca="false">(A1058-$A$5)*86400</f>
        <v>42.081000376</v>
      </c>
      <c r="C1058" s="27" t="n">
        <v>1.2469</v>
      </c>
      <c r="D1058" s="27" t="n">
        <v>1.4046</v>
      </c>
      <c r="E1058" s="27" t="s">
        <v>603</v>
      </c>
      <c r="F1058" s="27" t="s">
        <v>145</v>
      </c>
      <c r="G1058" s="32" t="n">
        <f aca="false">(A1058-A1057)*86400000</f>
        <v>16.000214</v>
      </c>
      <c r="H1058" s="3"/>
      <c r="I1058" s="3"/>
      <c r="J1058" s="3"/>
      <c r="K1058" s="3"/>
      <c r="L1058" s="3"/>
      <c r="M1058" s="3"/>
    </row>
    <row r="1059" customFormat="false" ht="15" hidden="false" customHeight="false" outlineLevel="0" collapsed="false">
      <c r="A1059" s="28" t="n">
        <v>46301.5241404514</v>
      </c>
      <c r="B1059" s="31" t="n">
        <f aca="false">(A1059-$A$5)*86400</f>
        <v>42.096999962</v>
      </c>
      <c r="C1059" s="27" t="n">
        <v>1.2488</v>
      </c>
      <c r="D1059" s="27" t="n">
        <v>1.3978</v>
      </c>
      <c r="E1059" s="27" t="s">
        <v>603</v>
      </c>
      <c r="F1059" s="27" t="s">
        <v>145</v>
      </c>
      <c r="G1059" s="32" t="n">
        <f aca="false">(A1059-A1058)*86400000</f>
        <v>15.999586</v>
      </c>
      <c r="H1059" s="3"/>
      <c r="I1059" s="3"/>
      <c r="J1059" s="3"/>
      <c r="K1059" s="3"/>
      <c r="L1059" s="3"/>
      <c r="M1059" s="3"/>
    </row>
    <row r="1060" customFormat="false" ht="15" hidden="false" customHeight="false" outlineLevel="0" collapsed="false">
      <c r="A1060" s="28" t="n">
        <v>46301.5241406366</v>
      </c>
      <c r="B1060" s="31" t="n">
        <f aca="false">(A1060-$A$5)*86400</f>
        <v>42.112999549</v>
      </c>
      <c r="C1060" s="27" t="n">
        <v>1.2504</v>
      </c>
      <c r="D1060" s="27" t="n">
        <v>1.3922</v>
      </c>
      <c r="E1060" s="27" t="s">
        <v>603</v>
      </c>
      <c r="F1060" s="27" t="s">
        <v>145</v>
      </c>
      <c r="G1060" s="32" t="n">
        <f aca="false">(A1060-A1059)*86400000</f>
        <v>15.999586</v>
      </c>
      <c r="H1060" s="3"/>
      <c r="I1060" s="3"/>
      <c r="J1060" s="3"/>
      <c r="K1060" s="3"/>
      <c r="L1060" s="3"/>
      <c r="M1060" s="3"/>
    </row>
    <row r="1061" customFormat="false" ht="15" hidden="false" customHeight="false" outlineLevel="0" collapsed="false">
      <c r="A1061" s="28" t="n">
        <v>46301.5241408218</v>
      </c>
      <c r="B1061" s="31" t="n">
        <f aca="false">(A1061-$A$5)*86400</f>
        <v>42.129000392</v>
      </c>
      <c r="C1061" s="27" t="n">
        <v>1.2517</v>
      </c>
      <c r="D1061" s="27" t="n">
        <v>1.3876</v>
      </c>
      <c r="E1061" s="27" t="s">
        <v>603</v>
      </c>
      <c r="F1061" s="27" t="s">
        <v>145</v>
      </c>
      <c r="G1061" s="32" t="n">
        <f aca="false">(A1061-A1060)*86400000</f>
        <v>16.000843</v>
      </c>
      <c r="H1061" s="3"/>
      <c r="I1061" s="3"/>
      <c r="J1061" s="3"/>
      <c r="K1061" s="3"/>
      <c r="L1061" s="3"/>
      <c r="M1061" s="3"/>
    </row>
    <row r="1062" customFormat="false" ht="15" hidden="false" customHeight="false" outlineLevel="0" collapsed="false">
      <c r="A1062" s="28" t="n">
        <v>46301.5241409954</v>
      </c>
      <c r="B1062" s="31" t="n">
        <f aca="false">(A1062-$A$5)*86400</f>
        <v>42.143999808</v>
      </c>
      <c r="C1062" s="27" t="n">
        <v>1.2527</v>
      </c>
      <c r="D1062" s="27" t="n">
        <v>1.3838</v>
      </c>
      <c r="E1062" s="27" t="s">
        <v>603</v>
      </c>
      <c r="F1062" s="27" t="s">
        <v>145</v>
      </c>
      <c r="G1062" s="32" t="n">
        <f aca="false">(A1062-A1061)*86400000</f>
        <v>14.999415</v>
      </c>
      <c r="H1062" s="3"/>
      <c r="I1062" s="3"/>
      <c r="J1062" s="3"/>
      <c r="K1062" s="3"/>
      <c r="L1062" s="3"/>
      <c r="M1062" s="3"/>
    </row>
    <row r="1063" customFormat="false" ht="15" hidden="false" customHeight="false" outlineLevel="0" collapsed="false">
      <c r="A1063" s="28" t="n">
        <v>46301.5241411921</v>
      </c>
      <c r="B1063" s="31" t="n">
        <f aca="false">(A1063-$A$5)*86400</f>
        <v>42.161000194</v>
      </c>
      <c r="C1063" s="27" t="n">
        <v>1.2537</v>
      </c>
      <c r="D1063" s="27" t="n">
        <v>1.3805</v>
      </c>
      <c r="E1063" s="27" t="s">
        <v>603</v>
      </c>
      <c r="F1063" s="27" t="s">
        <v>145</v>
      </c>
      <c r="G1063" s="32" t="n">
        <f aca="false">(A1063-A1062)*86400000</f>
        <v>17.000385</v>
      </c>
      <c r="H1063" s="3"/>
      <c r="I1063" s="3"/>
      <c r="J1063" s="3"/>
      <c r="K1063" s="3"/>
      <c r="L1063" s="3"/>
      <c r="M1063" s="3"/>
    </row>
    <row r="1064" customFormat="false" ht="15" hidden="false" customHeight="false" outlineLevel="0" collapsed="false">
      <c r="A1064" s="28" t="n">
        <v>46301.5241413889</v>
      </c>
      <c r="B1064" s="31" t="n">
        <f aca="false">(A1064-$A$5)*86400</f>
        <v>42.17799995</v>
      </c>
      <c r="C1064" s="27" t="n">
        <v>1.2544</v>
      </c>
      <c r="D1064" s="27" t="n">
        <v>1.3779</v>
      </c>
      <c r="E1064" s="27" t="s">
        <v>603</v>
      </c>
      <c r="F1064" s="27" t="s">
        <v>145</v>
      </c>
      <c r="G1064" s="32" t="n">
        <f aca="false">(A1064-A1063)*86400000</f>
        <v>16.999756</v>
      </c>
      <c r="H1064" s="3"/>
      <c r="I1064" s="3"/>
      <c r="J1064" s="3"/>
      <c r="K1064" s="3"/>
      <c r="L1064" s="3"/>
      <c r="M1064" s="3"/>
    </row>
    <row r="1065" customFormat="false" ht="15" hidden="false" customHeight="false" outlineLevel="0" collapsed="false">
      <c r="A1065" s="28" t="n">
        <v>46301.5241415625</v>
      </c>
      <c r="B1065" s="31" t="n">
        <f aca="false">(A1065-$A$5)*86400</f>
        <v>42.192999995</v>
      </c>
      <c r="C1065" s="27" t="n">
        <v>1.255</v>
      </c>
      <c r="D1065" s="27" t="n">
        <v>1.3758</v>
      </c>
      <c r="E1065" s="27" t="s">
        <v>603</v>
      </c>
      <c r="F1065" s="27" t="s">
        <v>145</v>
      </c>
      <c r="G1065" s="32" t="n">
        <f aca="false">(A1065-A1064)*86400000</f>
        <v>15.000044</v>
      </c>
      <c r="H1065" s="3"/>
      <c r="I1065" s="3"/>
      <c r="J1065" s="3"/>
      <c r="K1065" s="3"/>
      <c r="L1065" s="3"/>
      <c r="M1065" s="3"/>
    </row>
    <row r="1066" customFormat="false" ht="15" hidden="false" customHeight="false" outlineLevel="0" collapsed="false">
      <c r="A1066" s="28" t="n">
        <v>46301.5241419444</v>
      </c>
      <c r="B1066" s="31" t="n">
        <f aca="false">(A1066-$A$5)*86400</f>
        <v>42.225999967</v>
      </c>
      <c r="C1066" s="27" t="n">
        <v>1.2559</v>
      </c>
      <c r="D1066" s="27" t="n">
        <v>1.3726</v>
      </c>
      <c r="E1066" s="27" t="s">
        <v>603</v>
      </c>
      <c r="F1066" s="27" t="s">
        <v>145</v>
      </c>
      <c r="G1066" s="32" t="n">
        <f aca="false">(A1066-A1065)*86400000</f>
        <v>32.999971</v>
      </c>
      <c r="H1066" s="3"/>
      <c r="I1066" s="3"/>
      <c r="J1066" s="3"/>
      <c r="K1066" s="3"/>
      <c r="L1066" s="3"/>
      <c r="M1066" s="3"/>
    </row>
    <row r="1067" customFormat="false" ht="15" hidden="false" customHeight="false" outlineLevel="0" collapsed="false">
      <c r="A1067" s="28" t="n">
        <v>46301.5241421181</v>
      </c>
      <c r="B1067" s="31" t="n">
        <f aca="false">(A1067-$A$5)*86400</f>
        <v>42.240999382</v>
      </c>
      <c r="C1067" s="27" t="n">
        <v>1.2562</v>
      </c>
      <c r="D1067" s="27" t="n">
        <v>1.3714</v>
      </c>
      <c r="E1067" s="27" t="s">
        <v>603</v>
      </c>
      <c r="F1067" s="27" t="s">
        <v>145</v>
      </c>
      <c r="G1067" s="32" t="n">
        <f aca="false">(A1067-A1066)*86400000</f>
        <v>14.999415</v>
      </c>
      <c r="H1067" s="3"/>
      <c r="I1067" s="3"/>
      <c r="J1067" s="3"/>
      <c r="K1067" s="3"/>
      <c r="L1067" s="3"/>
      <c r="M1067" s="3"/>
    </row>
    <row r="1068" customFormat="false" ht="15" hidden="false" customHeight="false" outlineLevel="0" collapsed="false">
      <c r="A1068" s="28" t="n">
        <v>46301.5241426852</v>
      </c>
      <c r="B1068" s="31" t="n">
        <f aca="false">(A1068-$A$5)*86400</f>
        <v>42.290000827</v>
      </c>
      <c r="C1068" s="27" t="n">
        <v>1.2051</v>
      </c>
      <c r="D1068" s="27" t="n">
        <v>1.3419</v>
      </c>
      <c r="E1068" s="27" t="s">
        <v>603</v>
      </c>
      <c r="F1068" s="27" t="s">
        <v>145</v>
      </c>
      <c r="G1068" s="32" t="n">
        <f aca="false">(A1068-A1067)*86400000</f>
        <v>49.001444</v>
      </c>
      <c r="H1068" s="3"/>
      <c r="I1068" s="3"/>
      <c r="J1068" s="3"/>
      <c r="K1068" s="3"/>
      <c r="L1068" s="3"/>
      <c r="M1068" s="3"/>
    </row>
    <row r="1069" customFormat="false" ht="15" hidden="false" customHeight="false" outlineLevel="0" collapsed="false">
      <c r="A1069" s="28" t="n">
        <v>46301.5241428704</v>
      </c>
      <c r="B1069" s="31" t="n">
        <f aca="false">(A1069-$A$5)*86400</f>
        <v>42.305999784</v>
      </c>
      <c r="C1069" s="27" t="n">
        <v>1.1625</v>
      </c>
      <c r="D1069" s="27" t="n">
        <v>1.319</v>
      </c>
      <c r="E1069" s="27" t="s">
        <v>603</v>
      </c>
      <c r="F1069" s="27" t="s">
        <v>145</v>
      </c>
      <c r="G1069" s="32" t="n">
        <f aca="false">(A1069-A1068)*86400000</f>
        <v>15.998957</v>
      </c>
      <c r="H1069" s="3"/>
      <c r="I1069" s="3"/>
      <c r="J1069" s="3"/>
      <c r="K1069" s="3"/>
      <c r="L1069" s="3"/>
      <c r="M1069" s="3"/>
    </row>
    <row r="1070" customFormat="false" ht="15" hidden="false" customHeight="false" outlineLevel="0" collapsed="false">
      <c r="A1070" s="28" t="n">
        <v>46301.524143044</v>
      </c>
      <c r="B1070" s="31" t="n">
        <f aca="false">(A1070-$A$5)*86400</f>
        <v>42.320999829</v>
      </c>
      <c r="C1070" s="27" t="n">
        <v>1.1274</v>
      </c>
      <c r="D1070" s="27" t="n">
        <v>1.3002</v>
      </c>
      <c r="E1070" s="27" t="s">
        <v>603</v>
      </c>
      <c r="F1070" s="27" t="s">
        <v>145</v>
      </c>
      <c r="G1070" s="32" t="n">
        <f aca="false">(A1070-A1069)*86400000</f>
        <v>15.000044</v>
      </c>
      <c r="H1070" s="3"/>
      <c r="I1070" s="3"/>
      <c r="J1070" s="3"/>
      <c r="K1070" s="3"/>
      <c r="L1070" s="3"/>
      <c r="M1070" s="3"/>
    </row>
    <row r="1071" customFormat="false" ht="15" hidden="false" customHeight="false" outlineLevel="0" collapsed="false">
      <c r="A1071" s="28" t="n">
        <v>46301.5241432292</v>
      </c>
      <c r="B1071" s="31" t="n">
        <f aca="false">(A1071-$A$5)*86400</f>
        <v>42.337000672</v>
      </c>
      <c r="C1071" s="27" t="n">
        <v>1.0984</v>
      </c>
      <c r="D1071" s="27" t="n">
        <v>1.2846</v>
      </c>
      <c r="E1071" s="27" t="s">
        <v>603</v>
      </c>
      <c r="F1071" s="27" t="s">
        <v>145</v>
      </c>
      <c r="G1071" s="32" t="n">
        <f aca="false">(A1071-A1070)*86400000</f>
        <v>16.000843</v>
      </c>
      <c r="H1071" s="3"/>
      <c r="I1071" s="3"/>
      <c r="J1071" s="3"/>
      <c r="K1071" s="3"/>
      <c r="L1071" s="3"/>
      <c r="M1071" s="3"/>
    </row>
    <row r="1072" customFormat="false" ht="15" hidden="false" customHeight="false" outlineLevel="0" collapsed="false">
      <c r="A1072" s="28" t="n">
        <v>46301.5241434144</v>
      </c>
      <c r="B1072" s="31" t="n">
        <f aca="false">(A1072-$A$5)*86400</f>
        <v>42.353000259</v>
      </c>
      <c r="C1072" s="27" t="n">
        <v>1.0744</v>
      </c>
      <c r="D1072" s="27" t="n">
        <v>1.2717</v>
      </c>
      <c r="E1072" s="27" t="s">
        <v>603</v>
      </c>
      <c r="F1072" s="27" t="s">
        <v>145</v>
      </c>
      <c r="G1072" s="32" t="n">
        <f aca="false">(A1072-A1071)*86400000</f>
        <v>15.999586</v>
      </c>
      <c r="H1072" s="3"/>
      <c r="I1072" s="3"/>
      <c r="J1072" s="3"/>
      <c r="K1072" s="3"/>
      <c r="L1072" s="3"/>
      <c r="M1072" s="3"/>
    </row>
    <row r="1073" customFormat="false" ht="15" hidden="false" customHeight="false" outlineLevel="0" collapsed="false">
      <c r="A1073" s="28" t="n">
        <v>46301.5241436343</v>
      </c>
      <c r="B1073" s="31" t="n">
        <f aca="false">(A1073-$A$5)*86400</f>
        <v>42.372000357</v>
      </c>
      <c r="C1073" s="27" t="n">
        <v>1.0524</v>
      </c>
      <c r="D1073" s="27" t="n">
        <v>1.26</v>
      </c>
      <c r="E1073" s="27" t="s">
        <v>603</v>
      </c>
      <c r="F1073" s="27" t="s">
        <v>145</v>
      </c>
      <c r="G1073" s="32" t="n">
        <f aca="false">(A1073-A1072)*86400000</f>
        <v>19.000098</v>
      </c>
      <c r="H1073" s="3"/>
      <c r="I1073" s="3"/>
      <c r="J1073" s="3"/>
      <c r="K1073" s="3"/>
      <c r="L1073" s="3"/>
      <c r="M1073" s="3"/>
    </row>
    <row r="1074" customFormat="false" ht="15" hidden="false" customHeight="false" outlineLevel="0" collapsed="false">
      <c r="A1074" s="28" t="n">
        <v>46301.5241438194</v>
      </c>
      <c r="B1074" s="31" t="n">
        <f aca="false">(A1074-$A$5)*86400</f>
        <v>42.387999943</v>
      </c>
      <c r="C1074" s="27" t="n">
        <v>1.0365</v>
      </c>
      <c r="D1074" s="27" t="n">
        <v>1.2514</v>
      </c>
      <c r="E1074" s="27" t="s">
        <v>603</v>
      </c>
      <c r="F1074" s="27" t="s">
        <v>145</v>
      </c>
      <c r="G1074" s="32" t="n">
        <f aca="false">(A1074-A1073)*86400000</f>
        <v>15.999586</v>
      </c>
      <c r="H1074" s="3"/>
      <c r="I1074" s="3"/>
      <c r="J1074" s="3"/>
      <c r="K1074" s="3"/>
      <c r="L1074" s="3"/>
      <c r="M1074" s="3"/>
    </row>
    <row r="1075" customFormat="false" ht="15" hidden="false" customHeight="false" outlineLevel="0" collapsed="false">
      <c r="A1075" s="28" t="n">
        <v>46301.5241440046</v>
      </c>
      <c r="B1075" s="31" t="n">
        <f aca="false">(A1075-$A$5)*86400</f>
        <v>42.404000158</v>
      </c>
      <c r="C1075" s="27" t="n">
        <v>1.0234</v>
      </c>
      <c r="D1075" s="27" t="n">
        <v>1.2444</v>
      </c>
      <c r="E1075" s="27" t="s">
        <v>603</v>
      </c>
      <c r="F1075" s="27" t="s">
        <v>145</v>
      </c>
      <c r="G1075" s="32" t="n">
        <f aca="false">(A1075-A1074)*86400000</f>
        <v>16.000214</v>
      </c>
      <c r="H1075" s="3"/>
      <c r="I1075" s="3"/>
      <c r="J1075" s="3"/>
      <c r="K1075" s="3"/>
      <c r="L1075" s="3"/>
      <c r="M1075" s="3"/>
    </row>
    <row r="1076" customFormat="false" ht="15" hidden="false" customHeight="false" outlineLevel="0" collapsed="false">
      <c r="A1076" s="28" t="n">
        <v>46301.5241441898</v>
      </c>
      <c r="B1076" s="31" t="n">
        <f aca="false">(A1076-$A$5)*86400</f>
        <v>42.420000373</v>
      </c>
      <c r="C1076" s="27" t="n">
        <v>1.0125</v>
      </c>
      <c r="D1076" s="27" t="n">
        <v>1.2385</v>
      </c>
      <c r="E1076" s="27" t="s">
        <v>603</v>
      </c>
      <c r="F1076" s="27" t="s">
        <v>145</v>
      </c>
      <c r="G1076" s="32" t="n">
        <f aca="false">(A1076-A1075)*86400000</f>
        <v>16.000214</v>
      </c>
      <c r="H1076" s="3"/>
      <c r="I1076" s="3"/>
      <c r="J1076" s="3"/>
      <c r="K1076" s="3"/>
      <c r="L1076" s="3"/>
      <c r="M1076" s="3"/>
    </row>
    <row r="1077" customFormat="false" ht="15" hidden="false" customHeight="false" outlineLevel="0" collapsed="false">
      <c r="A1077" s="28" t="n">
        <v>46301.524144375</v>
      </c>
      <c r="B1077" s="31" t="n">
        <f aca="false">(A1077-$A$5)*86400</f>
        <v>42.435999959</v>
      </c>
      <c r="C1077" s="27" t="n">
        <v>1.0036</v>
      </c>
      <c r="D1077" s="27" t="n">
        <v>1.2337</v>
      </c>
      <c r="E1077" s="27" t="s">
        <v>603</v>
      </c>
      <c r="F1077" s="27" t="s">
        <v>145</v>
      </c>
      <c r="G1077" s="32" t="n">
        <f aca="false">(A1077-A1076)*86400000</f>
        <v>15.999586</v>
      </c>
      <c r="H1077" s="3"/>
      <c r="I1077" s="3"/>
      <c r="J1077" s="3"/>
      <c r="K1077" s="3"/>
      <c r="L1077" s="3"/>
      <c r="M1077" s="3"/>
    </row>
    <row r="1078" customFormat="false" ht="15" hidden="false" customHeight="false" outlineLevel="0" collapsed="false">
      <c r="A1078" s="28" t="n">
        <v>46301.5241445602</v>
      </c>
      <c r="B1078" s="31" t="n">
        <f aca="false">(A1078-$A$5)*86400</f>
        <v>42.452000803</v>
      </c>
      <c r="C1078" s="27" t="n">
        <v>0.9962</v>
      </c>
      <c r="D1078" s="27" t="n">
        <v>1.2298</v>
      </c>
      <c r="E1078" s="27" t="s">
        <v>603</v>
      </c>
      <c r="F1078" s="27" t="s">
        <v>145</v>
      </c>
      <c r="G1078" s="32" t="n">
        <f aca="false">(A1078-A1077)*86400000</f>
        <v>16.000843</v>
      </c>
      <c r="H1078" s="3"/>
      <c r="I1078" s="3"/>
      <c r="J1078" s="3"/>
      <c r="K1078" s="3"/>
      <c r="L1078" s="3"/>
      <c r="M1078" s="3"/>
    </row>
    <row r="1079" customFormat="false" ht="15" hidden="false" customHeight="false" outlineLevel="0" collapsed="false">
      <c r="A1079" s="28" t="n">
        <v>46301.5241447569</v>
      </c>
      <c r="B1079" s="31" t="n">
        <f aca="false">(A1079-$A$5)*86400</f>
        <v>42.468999931</v>
      </c>
      <c r="C1079" s="27" t="n">
        <v>0.9898</v>
      </c>
      <c r="D1079" s="27" t="n">
        <v>1.2263</v>
      </c>
      <c r="E1079" s="27" t="s">
        <v>603</v>
      </c>
      <c r="F1079" s="27" t="s">
        <v>145</v>
      </c>
      <c r="G1079" s="32" t="n">
        <f aca="false">(A1079-A1078)*86400000</f>
        <v>16.999128</v>
      </c>
      <c r="H1079" s="3"/>
      <c r="I1079" s="3"/>
      <c r="J1079" s="3"/>
      <c r="K1079" s="3"/>
      <c r="L1079" s="3"/>
      <c r="M1079" s="3"/>
    </row>
    <row r="1080" customFormat="false" ht="15" hidden="false" customHeight="false" outlineLevel="0" collapsed="false">
      <c r="A1080" s="28" t="n">
        <v>46301.5241449421</v>
      </c>
      <c r="B1080" s="31" t="n">
        <f aca="false">(A1080-$A$5)*86400</f>
        <v>42.485000146</v>
      </c>
      <c r="C1080" s="27" t="n">
        <v>0.9848</v>
      </c>
      <c r="D1080" s="27" t="n">
        <v>1.2236</v>
      </c>
      <c r="E1080" s="27" t="s">
        <v>603</v>
      </c>
      <c r="F1080" s="27" t="s">
        <v>145</v>
      </c>
      <c r="G1080" s="32" t="n">
        <f aca="false">(A1080-A1079)*86400000</f>
        <v>16.000214</v>
      </c>
      <c r="H1080" s="3"/>
      <c r="I1080" s="3"/>
      <c r="J1080" s="3"/>
      <c r="K1080" s="3"/>
      <c r="L1080" s="3"/>
      <c r="M1080" s="3"/>
    </row>
    <row r="1081" customFormat="false" ht="15" hidden="false" customHeight="false" outlineLevel="0" collapsed="false">
      <c r="A1081" s="28" t="n">
        <v>46301.5241451273</v>
      </c>
      <c r="B1081" s="31" t="n">
        <f aca="false">(A1081-$A$5)*86400</f>
        <v>42.501000361</v>
      </c>
      <c r="C1081" s="27" t="n">
        <v>0.9807</v>
      </c>
      <c r="D1081" s="27" t="n">
        <v>1.2214</v>
      </c>
      <c r="E1081" s="27" t="s">
        <v>603</v>
      </c>
      <c r="F1081" s="27" t="s">
        <v>145</v>
      </c>
      <c r="G1081" s="32" t="n">
        <f aca="false">(A1081-A1080)*86400000</f>
        <v>16.000214</v>
      </c>
      <c r="H1081" s="3"/>
      <c r="I1081" s="3"/>
      <c r="J1081" s="3"/>
      <c r="K1081" s="3"/>
      <c r="L1081" s="3"/>
      <c r="M1081" s="3"/>
    </row>
    <row r="1082" customFormat="false" ht="15" hidden="false" customHeight="false" outlineLevel="0" collapsed="false">
      <c r="A1082" s="28" t="n">
        <v>46301.5241453125</v>
      </c>
      <c r="B1082" s="31" t="n">
        <f aca="false">(A1082-$A$5)*86400</f>
        <v>42.516999947</v>
      </c>
      <c r="C1082" s="27" t="n">
        <v>0.9706</v>
      </c>
      <c r="D1082" s="27" t="n">
        <v>1.2093</v>
      </c>
      <c r="E1082" s="27" t="s">
        <v>603</v>
      </c>
      <c r="F1082" s="27" t="s">
        <v>145</v>
      </c>
      <c r="G1082" s="32" t="n">
        <f aca="false">(A1082-A1081)*86400000</f>
        <v>15.999586</v>
      </c>
      <c r="H1082" s="3"/>
      <c r="I1082" s="3"/>
      <c r="J1082" s="3"/>
      <c r="K1082" s="3"/>
      <c r="L1082" s="3"/>
      <c r="M1082" s="3"/>
    </row>
    <row r="1083" customFormat="false" ht="15" hidden="false" customHeight="false" outlineLevel="0" collapsed="false">
      <c r="A1083" s="28" t="n">
        <v>46301.5241454861</v>
      </c>
      <c r="B1083" s="31" t="n">
        <f aca="false">(A1083-$A$5)*86400</f>
        <v>42.531999992</v>
      </c>
      <c r="C1083" s="27" t="n">
        <v>0.9622</v>
      </c>
      <c r="D1083" s="27" t="n">
        <v>1.1993</v>
      </c>
      <c r="E1083" s="27" t="s">
        <v>603</v>
      </c>
      <c r="F1083" s="27" t="s">
        <v>145</v>
      </c>
      <c r="G1083" s="32" t="n">
        <f aca="false">(A1083-A1082)*86400000</f>
        <v>15.000044</v>
      </c>
      <c r="H1083" s="3"/>
      <c r="I1083" s="3"/>
      <c r="J1083" s="3"/>
      <c r="K1083" s="3"/>
      <c r="L1083" s="3"/>
      <c r="M1083" s="3"/>
    </row>
    <row r="1084" customFormat="false" ht="15" hidden="false" customHeight="false" outlineLevel="0" collapsed="false">
      <c r="A1084" s="28" t="n">
        <v>46301.5241456829</v>
      </c>
      <c r="B1084" s="31" t="n">
        <f aca="false">(A1084-$A$5)*86400</f>
        <v>42.549000377</v>
      </c>
      <c r="C1084" s="27" t="n">
        <v>0.9554</v>
      </c>
      <c r="D1084" s="27" t="n">
        <v>1.1911</v>
      </c>
      <c r="E1084" s="27" t="s">
        <v>603</v>
      </c>
      <c r="F1084" s="27" t="s">
        <v>145</v>
      </c>
      <c r="G1084" s="32" t="n">
        <f aca="false">(A1084-A1083)*86400000</f>
        <v>17.000385</v>
      </c>
      <c r="H1084" s="3"/>
      <c r="I1084" s="3"/>
      <c r="J1084" s="3"/>
      <c r="K1084" s="3"/>
      <c r="L1084" s="3"/>
      <c r="M1084" s="3"/>
    </row>
    <row r="1085" customFormat="false" ht="15" hidden="false" customHeight="false" outlineLevel="0" collapsed="false">
      <c r="A1085" s="28" t="n">
        <v>46301.5241458681</v>
      </c>
      <c r="B1085" s="31" t="n">
        <f aca="false">(A1085-$A$5)*86400</f>
        <v>42.564999335</v>
      </c>
      <c r="C1085" s="27" t="n">
        <v>0.9497</v>
      </c>
      <c r="D1085" s="27" t="n">
        <v>1.1843</v>
      </c>
      <c r="E1085" s="27" t="s">
        <v>603</v>
      </c>
      <c r="F1085" s="27" t="s">
        <v>145</v>
      </c>
      <c r="G1085" s="32" t="n">
        <f aca="false">(A1085-A1084)*86400000</f>
        <v>15.998957</v>
      </c>
      <c r="H1085" s="3"/>
      <c r="I1085" s="3"/>
      <c r="J1085" s="3"/>
      <c r="K1085" s="3"/>
      <c r="L1085" s="3"/>
      <c r="M1085" s="3"/>
    </row>
    <row r="1086" customFormat="false" ht="15" hidden="false" customHeight="false" outlineLevel="0" collapsed="false">
      <c r="A1086" s="28" t="n">
        <v>46301.5241460532</v>
      </c>
      <c r="B1086" s="31" t="n">
        <f aca="false">(A1086-$A$5)*86400</f>
        <v>42.581000179</v>
      </c>
      <c r="C1086" s="27" t="n">
        <v>0.9447</v>
      </c>
      <c r="D1086" s="27" t="n">
        <v>1.1783</v>
      </c>
      <c r="E1086" s="27" t="s">
        <v>603</v>
      </c>
      <c r="F1086" s="27" t="s">
        <v>145</v>
      </c>
      <c r="G1086" s="32" t="n">
        <f aca="false">(A1086-A1085)*86400000</f>
        <v>16.000843</v>
      </c>
      <c r="H1086" s="3"/>
      <c r="I1086" s="3"/>
      <c r="J1086" s="3"/>
      <c r="K1086" s="3"/>
      <c r="L1086" s="3"/>
      <c r="M1086" s="3"/>
    </row>
    <row r="1087" customFormat="false" ht="15" hidden="false" customHeight="false" outlineLevel="0" collapsed="false">
      <c r="A1087" s="28" t="n">
        <v>46301.5241462384</v>
      </c>
      <c r="B1087" s="31" t="n">
        <f aca="false">(A1087-$A$5)*86400</f>
        <v>42.597000394</v>
      </c>
      <c r="C1087" s="27" t="n">
        <v>0.9407</v>
      </c>
      <c r="D1087" s="27" t="n">
        <v>1.1735</v>
      </c>
      <c r="E1087" s="27" t="s">
        <v>603</v>
      </c>
      <c r="F1087" s="27" t="s">
        <v>145</v>
      </c>
      <c r="G1087" s="32" t="n">
        <f aca="false">(A1087-A1086)*86400000</f>
        <v>16.000214</v>
      </c>
      <c r="H1087" s="3"/>
      <c r="I1087" s="3"/>
      <c r="J1087" s="3"/>
      <c r="K1087" s="3"/>
      <c r="L1087" s="3"/>
      <c r="M1087" s="3"/>
    </row>
    <row r="1088" customFormat="false" ht="15" hidden="false" customHeight="false" outlineLevel="0" collapsed="false">
      <c r="A1088" s="28" t="n">
        <v>46301.5241464352</v>
      </c>
      <c r="B1088" s="31" t="n">
        <f aca="false">(A1088-$A$5)*86400</f>
        <v>42.614000779</v>
      </c>
      <c r="C1088" s="27" t="n">
        <v>0.9376</v>
      </c>
      <c r="D1088" s="27" t="n">
        <v>1.1697</v>
      </c>
      <c r="E1088" s="27" t="s">
        <v>603</v>
      </c>
      <c r="F1088" s="27" t="s">
        <v>145</v>
      </c>
      <c r="G1088" s="32" t="n">
        <f aca="false">(A1088-A1087)*86400000</f>
        <v>17.000385</v>
      </c>
      <c r="H1088" s="3"/>
      <c r="I1088" s="3"/>
      <c r="J1088" s="3"/>
      <c r="K1088" s="3"/>
      <c r="L1088" s="3"/>
      <c r="M1088" s="3"/>
    </row>
    <row r="1089" customFormat="false" ht="15" hidden="false" customHeight="false" outlineLevel="0" collapsed="false">
      <c r="A1089" s="28" t="n">
        <v>46301.5241466204</v>
      </c>
      <c r="B1089" s="31" t="n">
        <f aca="false">(A1089-$A$5)*86400</f>
        <v>42.630000365</v>
      </c>
      <c r="C1089" s="27" t="n">
        <v>0.935</v>
      </c>
      <c r="D1089" s="27" t="n">
        <v>1.1667</v>
      </c>
      <c r="E1089" s="27" t="s">
        <v>603</v>
      </c>
      <c r="F1089" s="27" t="s">
        <v>145</v>
      </c>
      <c r="G1089" s="32" t="n">
        <f aca="false">(A1089-A1088)*86400000</f>
        <v>15.999586</v>
      </c>
      <c r="H1089" s="3"/>
      <c r="I1089" s="3"/>
      <c r="J1089" s="3"/>
      <c r="K1089" s="3"/>
      <c r="L1089" s="3"/>
      <c r="M1089" s="3"/>
    </row>
    <row r="1090" customFormat="false" ht="15" hidden="false" customHeight="false" outlineLevel="0" collapsed="false">
      <c r="A1090" s="28" t="n">
        <v>46301.5241468056</v>
      </c>
      <c r="B1090" s="31" t="n">
        <f aca="false">(A1090-$A$5)*86400</f>
        <v>42.645999323</v>
      </c>
      <c r="C1090" s="27" t="n">
        <v>0.9329</v>
      </c>
      <c r="D1090" s="27" t="n">
        <v>1.1641</v>
      </c>
      <c r="E1090" s="27" t="s">
        <v>603</v>
      </c>
      <c r="F1090" s="27" t="s">
        <v>145</v>
      </c>
      <c r="G1090" s="32" t="n">
        <f aca="false">(A1090-A1089)*86400000</f>
        <v>15.998957</v>
      </c>
      <c r="H1090" s="3"/>
      <c r="I1090" s="3"/>
      <c r="J1090" s="3"/>
      <c r="K1090" s="3"/>
      <c r="L1090" s="3"/>
      <c r="M1090" s="3"/>
    </row>
    <row r="1091" customFormat="false" ht="15" hidden="false" customHeight="false" outlineLevel="0" collapsed="false">
      <c r="A1091" s="28" t="n">
        <v>46301.5241470023</v>
      </c>
      <c r="B1091" s="31" t="n">
        <f aca="false">(A1091-$A$5)*86400</f>
        <v>42.663000337</v>
      </c>
      <c r="C1091" s="27" t="n">
        <v>0.931</v>
      </c>
      <c r="D1091" s="27" t="n">
        <v>1.1619</v>
      </c>
      <c r="E1091" s="27" t="s">
        <v>603</v>
      </c>
      <c r="F1091" s="27" t="s">
        <v>145</v>
      </c>
      <c r="G1091" s="32" t="n">
        <f aca="false">(A1091-A1090)*86400000</f>
        <v>17.001014</v>
      </c>
      <c r="H1091" s="3"/>
      <c r="I1091" s="3"/>
      <c r="J1091" s="3"/>
      <c r="K1091" s="3"/>
      <c r="L1091" s="3"/>
      <c r="M1091" s="3"/>
    </row>
    <row r="1092" customFormat="false" ht="15" hidden="false" customHeight="false" outlineLevel="0" collapsed="false">
      <c r="A1092" s="28" t="n">
        <v>46301.5241471875</v>
      </c>
      <c r="B1092" s="31" t="n">
        <f aca="false">(A1092-$A$5)*86400</f>
        <v>42.678999924</v>
      </c>
      <c r="C1092" s="27" t="n">
        <v>0.9296</v>
      </c>
      <c r="D1092" s="27" t="n">
        <v>1.1602</v>
      </c>
      <c r="E1092" s="27" t="s">
        <v>603</v>
      </c>
      <c r="F1092" s="27" t="s">
        <v>145</v>
      </c>
      <c r="G1092" s="32" t="n">
        <f aca="false">(A1092-A1091)*86400000</f>
        <v>15.999586</v>
      </c>
      <c r="H1092" s="3"/>
      <c r="I1092" s="3"/>
      <c r="J1092" s="3"/>
      <c r="K1092" s="3"/>
      <c r="L1092" s="3"/>
      <c r="M1092" s="3"/>
    </row>
    <row r="1093" customFormat="false" ht="15" hidden="false" customHeight="false" outlineLevel="0" collapsed="false">
      <c r="A1093" s="28" t="n">
        <v>46301.5241473727</v>
      </c>
      <c r="B1093" s="31" t="n">
        <f aca="false">(A1093-$A$5)*86400</f>
        <v>42.695000767</v>
      </c>
      <c r="C1093" s="27" t="n">
        <v>0.9284</v>
      </c>
      <c r="D1093" s="27" t="n">
        <v>1.1588</v>
      </c>
      <c r="E1093" s="27" t="s">
        <v>603</v>
      </c>
      <c r="F1093" s="27" t="s">
        <v>145</v>
      </c>
      <c r="G1093" s="32" t="n">
        <f aca="false">(A1093-A1092)*86400000</f>
        <v>16.000843</v>
      </c>
      <c r="H1093" s="3"/>
      <c r="I1093" s="3"/>
      <c r="J1093" s="3"/>
      <c r="K1093" s="3"/>
      <c r="L1093" s="3"/>
      <c r="M1093" s="3"/>
    </row>
    <row r="1094" customFormat="false" ht="15" hidden="false" customHeight="false" outlineLevel="0" collapsed="false">
      <c r="A1094" s="28" t="n">
        <v>46301.5241475579</v>
      </c>
      <c r="B1094" s="31" t="n">
        <f aca="false">(A1094-$A$5)*86400</f>
        <v>42.711000354</v>
      </c>
      <c r="C1094" s="27" t="n">
        <v>0.9275</v>
      </c>
      <c r="D1094" s="27" t="n">
        <v>1.1576</v>
      </c>
      <c r="E1094" s="27" t="s">
        <v>603</v>
      </c>
      <c r="F1094" s="27" t="s">
        <v>145</v>
      </c>
      <c r="G1094" s="32" t="n">
        <f aca="false">(A1094-A1093)*86400000</f>
        <v>15.999586</v>
      </c>
      <c r="H1094" s="3"/>
      <c r="I1094" s="3"/>
      <c r="J1094" s="3"/>
      <c r="K1094" s="3"/>
      <c r="L1094" s="3"/>
      <c r="M1094" s="3"/>
    </row>
    <row r="1095" customFormat="false" ht="15" hidden="false" customHeight="false" outlineLevel="0" collapsed="false">
      <c r="A1095" s="28" t="n">
        <v>46301.5241477431</v>
      </c>
      <c r="B1095" s="31" t="n">
        <f aca="false">(A1095-$A$5)*86400</f>
        <v>42.72699994</v>
      </c>
      <c r="C1095" s="27" t="n">
        <v>0.9227</v>
      </c>
      <c r="D1095" s="27" t="n">
        <v>1.1489</v>
      </c>
      <c r="E1095" s="27" t="s">
        <v>603</v>
      </c>
      <c r="F1095" s="27" t="s">
        <v>145</v>
      </c>
      <c r="G1095" s="32" t="n">
        <f aca="false">(A1095-A1094)*86400000</f>
        <v>15.999586</v>
      </c>
      <c r="H1095" s="3"/>
      <c r="I1095" s="3"/>
      <c r="J1095" s="3"/>
      <c r="K1095" s="3"/>
      <c r="L1095" s="3"/>
      <c r="M1095" s="3"/>
    </row>
    <row r="1096" customFormat="false" ht="15" hidden="false" customHeight="false" outlineLevel="0" collapsed="false">
      <c r="A1096" s="28" t="n">
        <v>46301.5241479282</v>
      </c>
      <c r="B1096" s="31" t="n">
        <f aca="false">(A1096-$A$5)*86400</f>
        <v>42.743000155</v>
      </c>
      <c r="C1096" s="27" t="n">
        <v>0.9187</v>
      </c>
      <c r="D1096" s="27" t="n">
        <v>1.1418</v>
      </c>
      <c r="E1096" s="27" t="s">
        <v>603</v>
      </c>
      <c r="F1096" s="27" t="s">
        <v>145</v>
      </c>
      <c r="G1096" s="32" t="n">
        <f aca="false">(A1096-A1095)*86400000</f>
        <v>16.000214</v>
      </c>
      <c r="H1096" s="3"/>
      <c r="I1096" s="3"/>
      <c r="J1096" s="3"/>
      <c r="K1096" s="3"/>
      <c r="L1096" s="3"/>
      <c r="M1096" s="3"/>
    </row>
    <row r="1097" customFormat="false" ht="15" hidden="false" customHeight="false" outlineLevel="0" collapsed="false">
      <c r="A1097" s="28" t="n">
        <v>46301.5241481134</v>
      </c>
      <c r="B1097" s="31" t="n">
        <f aca="false">(A1097-$A$5)*86400</f>
        <v>42.75900037</v>
      </c>
      <c r="C1097" s="27" t="n">
        <v>0.9154</v>
      </c>
      <c r="D1097" s="27" t="n">
        <v>1.1359</v>
      </c>
      <c r="E1097" s="27" t="s">
        <v>603</v>
      </c>
      <c r="F1097" s="27" t="s">
        <v>145</v>
      </c>
      <c r="G1097" s="32" t="n">
        <f aca="false">(A1097-A1096)*86400000</f>
        <v>16.000214</v>
      </c>
      <c r="H1097" s="3"/>
      <c r="I1097" s="3"/>
      <c r="J1097" s="3"/>
      <c r="K1097" s="3"/>
      <c r="L1097" s="3"/>
      <c r="M1097" s="3"/>
    </row>
    <row r="1098" customFormat="false" ht="15" hidden="false" customHeight="false" outlineLevel="0" collapsed="false">
      <c r="A1098" s="28" t="n">
        <v>46301.5241482986</v>
      </c>
      <c r="B1098" s="31" t="n">
        <f aca="false">(A1098-$A$5)*86400</f>
        <v>42.774999956</v>
      </c>
      <c r="C1098" s="27" t="n">
        <v>0.9127</v>
      </c>
      <c r="D1098" s="27" t="n">
        <v>1.131</v>
      </c>
      <c r="E1098" s="27" t="s">
        <v>603</v>
      </c>
      <c r="F1098" s="27" t="s">
        <v>145</v>
      </c>
      <c r="G1098" s="32" t="n">
        <f aca="false">(A1098-A1097)*86400000</f>
        <v>15.999586</v>
      </c>
      <c r="H1098" s="3"/>
      <c r="I1098" s="3"/>
      <c r="J1098" s="3"/>
      <c r="K1098" s="3"/>
      <c r="L1098" s="3"/>
      <c r="M1098" s="3"/>
    </row>
    <row r="1099" customFormat="false" ht="15" hidden="false" customHeight="false" outlineLevel="0" collapsed="false">
      <c r="A1099" s="28" t="n">
        <v>46301.5241484838</v>
      </c>
      <c r="B1099" s="31" t="n">
        <f aca="false">(A1099-$A$5)*86400</f>
        <v>42.791000171</v>
      </c>
      <c r="C1099" s="27" t="n">
        <v>0.9105</v>
      </c>
      <c r="D1099" s="27" t="n">
        <v>1.127</v>
      </c>
      <c r="E1099" s="27" t="s">
        <v>603</v>
      </c>
      <c r="F1099" s="27" t="s">
        <v>145</v>
      </c>
      <c r="G1099" s="32" t="n">
        <f aca="false">(A1099-A1098)*86400000</f>
        <v>16.000214</v>
      </c>
      <c r="H1099" s="3"/>
      <c r="I1099" s="3"/>
      <c r="J1099" s="3"/>
      <c r="K1099" s="3"/>
      <c r="L1099" s="3"/>
      <c r="M1099" s="3"/>
    </row>
    <row r="1100" customFormat="false" ht="15" hidden="false" customHeight="false" outlineLevel="0" collapsed="false">
      <c r="A1100" s="28" t="n">
        <v>46301.524148669</v>
      </c>
      <c r="B1100" s="31" t="n">
        <f aca="false">(A1100-$A$5)*86400</f>
        <v>42.806999757</v>
      </c>
      <c r="C1100" s="27" t="n">
        <v>0.9087</v>
      </c>
      <c r="D1100" s="27" t="n">
        <v>1.1236</v>
      </c>
      <c r="E1100" s="27" t="s">
        <v>603</v>
      </c>
      <c r="F1100" s="27" t="s">
        <v>145</v>
      </c>
      <c r="G1100" s="32" t="n">
        <f aca="false">(A1100-A1099)*86400000</f>
        <v>15.999586</v>
      </c>
      <c r="H1100" s="3"/>
      <c r="I1100" s="3"/>
      <c r="J1100" s="3"/>
      <c r="K1100" s="3"/>
      <c r="L1100" s="3"/>
      <c r="M1100" s="3"/>
    </row>
    <row r="1101" customFormat="false" ht="15" hidden="false" customHeight="false" outlineLevel="0" collapsed="false">
      <c r="A1101" s="28" t="n">
        <v>46301.5241488542</v>
      </c>
      <c r="B1101" s="31" t="n">
        <f aca="false">(A1101-$A$5)*86400</f>
        <v>42.823000601</v>
      </c>
      <c r="C1101" s="27" t="n">
        <v>0.9125</v>
      </c>
      <c r="D1101" s="27" t="n">
        <v>1.1152</v>
      </c>
      <c r="E1101" s="27" t="s">
        <v>603</v>
      </c>
      <c r="F1101" s="27" t="s">
        <v>145</v>
      </c>
      <c r="G1101" s="32" t="n">
        <f aca="false">(A1101-A1100)*86400000</f>
        <v>16.000843</v>
      </c>
      <c r="H1101" s="3"/>
      <c r="I1101" s="3"/>
      <c r="J1101" s="3"/>
      <c r="K1101" s="3"/>
      <c r="L1101" s="3"/>
      <c r="M1101" s="3"/>
    </row>
    <row r="1102" customFormat="false" ht="15" hidden="false" customHeight="false" outlineLevel="0" collapsed="false">
      <c r="A1102" s="28" t="n">
        <v>46301.5241490394</v>
      </c>
      <c r="B1102" s="31" t="n">
        <f aca="false">(A1102-$A$5)*86400</f>
        <v>42.839000187</v>
      </c>
      <c r="C1102" s="27" t="n">
        <v>0.9158</v>
      </c>
      <c r="D1102" s="27" t="n">
        <v>1.1078</v>
      </c>
      <c r="E1102" s="27" t="s">
        <v>603</v>
      </c>
      <c r="F1102" s="27" t="s">
        <v>145</v>
      </c>
      <c r="G1102" s="32" t="n">
        <f aca="false">(A1102-A1101)*86400000</f>
        <v>15.999586</v>
      </c>
      <c r="H1102" s="3"/>
      <c r="I1102" s="3"/>
      <c r="J1102" s="3"/>
      <c r="K1102" s="3"/>
      <c r="L1102" s="3"/>
      <c r="M1102" s="3"/>
    </row>
    <row r="1103" customFormat="false" ht="15" hidden="false" customHeight="false" outlineLevel="0" collapsed="false">
      <c r="A1103" s="28" t="n">
        <v>46301.5241492361</v>
      </c>
      <c r="B1103" s="31" t="n">
        <f aca="false">(A1103-$A$5)*86400</f>
        <v>42.855999944</v>
      </c>
      <c r="C1103" s="27" t="n">
        <v>0.9184</v>
      </c>
      <c r="D1103" s="27" t="n">
        <v>1.1021</v>
      </c>
      <c r="E1103" s="27" t="s">
        <v>603</v>
      </c>
      <c r="F1103" s="27" t="s">
        <v>145</v>
      </c>
      <c r="G1103" s="32" t="n">
        <f aca="false">(A1103-A1102)*86400000</f>
        <v>16.999756</v>
      </c>
      <c r="H1103" s="3"/>
      <c r="I1103" s="3"/>
      <c r="J1103" s="3"/>
      <c r="K1103" s="3"/>
      <c r="L1103" s="3"/>
      <c r="M1103" s="3"/>
    </row>
    <row r="1104" customFormat="false" ht="15" hidden="false" customHeight="false" outlineLevel="0" collapsed="false">
      <c r="A1104" s="28" t="n">
        <v>46301.5241494213</v>
      </c>
      <c r="B1104" s="31" t="n">
        <f aca="false">(A1104-$A$5)*86400</f>
        <v>42.872000159</v>
      </c>
      <c r="C1104" s="27" t="n">
        <v>0.9205</v>
      </c>
      <c r="D1104" s="27" t="n">
        <v>1.0975</v>
      </c>
      <c r="E1104" s="27" t="s">
        <v>603</v>
      </c>
      <c r="F1104" s="27" t="s">
        <v>145</v>
      </c>
      <c r="G1104" s="32" t="n">
        <f aca="false">(A1104-A1103)*86400000</f>
        <v>16.000214</v>
      </c>
      <c r="H1104" s="3"/>
      <c r="I1104" s="3"/>
      <c r="J1104" s="3"/>
      <c r="K1104" s="3"/>
      <c r="L1104" s="3"/>
      <c r="M1104" s="3"/>
    </row>
    <row r="1105" customFormat="false" ht="15" hidden="false" customHeight="false" outlineLevel="0" collapsed="false">
      <c r="A1105" s="28" t="n">
        <v>46301.5241496065</v>
      </c>
      <c r="B1105" s="31" t="n">
        <f aca="false">(A1105-$A$5)*86400</f>
        <v>42.887999746</v>
      </c>
      <c r="C1105" s="27" t="n">
        <v>0.9222</v>
      </c>
      <c r="D1105" s="27" t="n">
        <v>1.0936</v>
      </c>
      <c r="E1105" s="27" t="s">
        <v>603</v>
      </c>
      <c r="F1105" s="27" t="s">
        <v>145</v>
      </c>
      <c r="G1105" s="32" t="n">
        <f aca="false">(A1105-A1104)*86400000</f>
        <v>15.999586</v>
      </c>
      <c r="H1105" s="3"/>
      <c r="I1105" s="3"/>
      <c r="J1105" s="3"/>
      <c r="K1105" s="3"/>
      <c r="L1105" s="3"/>
      <c r="M1105" s="3"/>
    </row>
    <row r="1106" customFormat="false" ht="15" hidden="false" customHeight="false" outlineLevel="0" collapsed="false">
      <c r="A1106" s="28" t="n">
        <v>46301.5241497917</v>
      </c>
      <c r="B1106" s="31" t="n">
        <f aca="false">(A1106-$A$5)*86400</f>
        <v>42.903999332</v>
      </c>
      <c r="C1106" s="27" t="n">
        <v>0.9237</v>
      </c>
      <c r="D1106" s="27" t="n">
        <v>1.0902</v>
      </c>
      <c r="E1106" s="27" t="s">
        <v>603</v>
      </c>
      <c r="F1106" s="27" t="s">
        <v>145</v>
      </c>
      <c r="G1106" s="32" t="n">
        <f aca="false">(A1106-A1105)*86400000</f>
        <v>15.999586</v>
      </c>
      <c r="H1106" s="3"/>
      <c r="I1106" s="3"/>
      <c r="J1106" s="3"/>
      <c r="K1106" s="3"/>
      <c r="L1106" s="3"/>
      <c r="M1106" s="3"/>
    </row>
    <row r="1107" customFormat="false" ht="15" hidden="false" customHeight="false" outlineLevel="0" collapsed="false">
      <c r="A1107" s="28" t="n">
        <v>46301.5241499884</v>
      </c>
      <c r="B1107" s="31" t="n">
        <f aca="false">(A1107-$A$5)*86400</f>
        <v>42.921000346</v>
      </c>
      <c r="C1107" s="27" t="n">
        <v>0.9267</v>
      </c>
      <c r="D1107" s="27" t="n">
        <v>1.0857</v>
      </c>
      <c r="E1107" s="27" t="s">
        <v>603</v>
      </c>
      <c r="F1107" s="27" t="s">
        <v>145</v>
      </c>
      <c r="G1107" s="32" t="n">
        <f aca="false">(A1107-A1106)*86400000</f>
        <v>17.001014</v>
      </c>
      <c r="H1107" s="3"/>
      <c r="I1107" s="3"/>
      <c r="J1107" s="3"/>
      <c r="K1107" s="3"/>
      <c r="L1107" s="3"/>
      <c r="M1107" s="3"/>
    </row>
    <row r="1108" customFormat="false" ht="15" hidden="false" customHeight="false" outlineLevel="0" collapsed="false">
      <c r="A1108" s="28" t="n">
        <v>46301.5241501736</v>
      </c>
      <c r="B1108" s="31" t="n">
        <f aca="false">(A1108-$A$5)*86400</f>
        <v>42.936999932</v>
      </c>
      <c r="C1108" s="27" t="n">
        <v>0.9292</v>
      </c>
      <c r="D1108" s="27" t="n">
        <v>1.082</v>
      </c>
      <c r="E1108" s="27" t="s">
        <v>603</v>
      </c>
      <c r="F1108" s="27" t="s">
        <v>145</v>
      </c>
      <c r="G1108" s="32" t="n">
        <f aca="false">(A1108-A1107)*86400000</f>
        <v>15.999586</v>
      </c>
      <c r="H1108" s="3"/>
      <c r="I1108" s="3"/>
      <c r="J1108" s="3"/>
      <c r="K1108" s="3"/>
      <c r="L1108" s="3"/>
      <c r="M1108" s="3"/>
    </row>
    <row r="1109" customFormat="false" ht="15" hidden="false" customHeight="false" outlineLevel="0" collapsed="false">
      <c r="A1109" s="28" t="n">
        <v>46301.5241503588</v>
      </c>
      <c r="B1109" s="31" t="n">
        <f aca="false">(A1109-$A$5)*86400</f>
        <v>42.953000147</v>
      </c>
      <c r="C1109" s="27" t="n">
        <v>0.9312</v>
      </c>
      <c r="D1109" s="27" t="n">
        <v>1.079</v>
      </c>
      <c r="E1109" s="27" t="s">
        <v>603</v>
      </c>
      <c r="F1109" s="27" t="s">
        <v>145</v>
      </c>
      <c r="G1109" s="32" t="n">
        <f aca="false">(A1109-A1108)*86400000</f>
        <v>16.000214</v>
      </c>
      <c r="H1109" s="3"/>
      <c r="I1109" s="3"/>
      <c r="J1109" s="3"/>
      <c r="K1109" s="3"/>
      <c r="L1109" s="3"/>
      <c r="M1109" s="3"/>
    </row>
    <row r="1110" customFormat="false" ht="15" hidden="false" customHeight="false" outlineLevel="0" collapsed="false">
      <c r="A1110" s="28" t="n">
        <v>46301.524150544</v>
      </c>
      <c r="B1110" s="31" t="n">
        <f aca="false">(A1110-$A$5)*86400</f>
        <v>42.968999734</v>
      </c>
      <c r="C1110" s="27" t="n">
        <v>0.9328</v>
      </c>
      <c r="D1110" s="27" t="n">
        <v>1.0766</v>
      </c>
      <c r="E1110" s="27" t="s">
        <v>603</v>
      </c>
      <c r="F1110" s="27" t="s">
        <v>145</v>
      </c>
      <c r="G1110" s="32" t="n">
        <f aca="false">(A1110-A1109)*86400000</f>
        <v>15.999586</v>
      </c>
      <c r="H1110" s="3"/>
      <c r="I1110" s="3"/>
      <c r="J1110" s="3"/>
      <c r="K1110" s="3"/>
      <c r="L1110" s="3"/>
      <c r="M1110" s="3"/>
    </row>
    <row r="1111" customFormat="false" ht="15" hidden="false" customHeight="false" outlineLevel="0" collapsed="false">
      <c r="A1111" s="28" t="n">
        <v>46301.5241507292</v>
      </c>
      <c r="B1111" s="31" t="n">
        <f aca="false">(A1111-$A$5)*86400</f>
        <v>42.98499932</v>
      </c>
      <c r="C1111" s="27" t="n">
        <v>0.9343</v>
      </c>
      <c r="D1111" s="27" t="n">
        <v>1.0744</v>
      </c>
      <c r="E1111" s="27" t="s">
        <v>603</v>
      </c>
      <c r="F1111" s="27" t="s">
        <v>145</v>
      </c>
      <c r="G1111" s="32" t="n">
        <f aca="false">(A1111-A1110)*86400000</f>
        <v>15.999586</v>
      </c>
      <c r="H1111" s="3"/>
      <c r="I1111" s="3"/>
      <c r="J1111" s="3"/>
      <c r="K1111" s="3"/>
      <c r="L1111" s="3"/>
      <c r="M1111" s="3"/>
    </row>
    <row r="1112" customFormat="false" ht="15" hidden="false" customHeight="false" outlineLevel="0" collapsed="false">
      <c r="A1112" s="28" t="n">
        <v>46301.5241509259</v>
      </c>
      <c r="B1112" s="31" t="n">
        <f aca="false">(A1112-$A$5)*86400</f>
        <v>43.002000334</v>
      </c>
      <c r="C1112" s="27" t="n">
        <v>0.9354</v>
      </c>
      <c r="D1112" s="27" t="n">
        <v>1.0727</v>
      </c>
      <c r="E1112" s="27" t="s">
        <v>603</v>
      </c>
      <c r="F1112" s="27" t="s">
        <v>145</v>
      </c>
      <c r="G1112" s="32" t="n">
        <f aca="false">(A1112-A1111)*86400000</f>
        <v>17.001014</v>
      </c>
      <c r="H1112" s="3"/>
      <c r="I1112" s="3"/>
      <c r="J1112" s="3"/>
      <c r="K1112" s="3"/>
      <c r="L1112" s="3"/>
      <c r="M1112" s="3"/>
    </row>
    <row r="1113" customFormat="false" ht="15" hidden="false" customHeight="false" outlineLevel="0" collapsed="false">
      <c r="A1113" s="28" t="n">
        <v>46301.5241513079</v>
      </c>
      <c r="B1113" s="31" t="n">
        <f aca="false">(A1113-$A$5)*86400</f>
        <v>43.035000306</v>
      </c>
      <c r="C1113" s="27" t="n">
        <v>0.9382</v>
      </c>
      <c r="D1113" s="27" t="n">
        <v>1.0689</v>
      </c>
      <c r="E1113" s="27" t="s">
        <v>603</v>
      </c>
      <c r="F1113" s="27" t="s">
        <v>145</v>
      </c>
      <c r="G1113" s="32" t="n">
        <f aca="false">(A1113-A1112)*86400000</f>
        <v>32.999971</v>
      </c>
      <c r="H1113" s="3"/>
      <c r="I1113" s="3"/>
      <c r="J1113" s="3"/>
      <c r="K1113" s="3"/>
      <c r="L1113" s="3"/>
      <c r="M1113" s="3"/>
    </row>
    <row r="1114" customFormat="false" ht="15" hidden="false" customHeight="false" outlineLevel="0" collapsed="false">
      <c r="A1114" s="28" t="n">
        <v>46301.5241514931</v>
      </c>
      <c r="B1114" s="31" t="n">
        <f aca="false">(A1114-$A$5)*86400</f>
        <v>43.050999892</v>
      </c>
      <c r="C1114" s="27" t="n">
        <v>0.9396</v>
      </c>
      <c r="D1114" s="27" t="n">
        <v>1.0671</v>
      </c>
      <c r="E1114" s="27" t="s">
        <v>603</v>
      </c>
      <c r="F1114" s="27" t="s">
        <v>145</v>
      </c>
      <c r="G1114" s="32" t="n">
        <f aca="false">(A1114-A1113)*86400000</f>
        <v>15.999586</v>
      </c>
      <c r="H1114" s="3"/>
      <c r="I1114" s="3"/>
      <c r="J1114" s="3"/>
      <c r="K1114" s="3"/>
      <c r="L1114" s="3"/>
      <c r="M1114" s="3"/>
    </row>
    <row r="1115" customFormat="false" ht="15" hidden="false" customHeight="false" outlineLevel="0" collapsed="false">
      <c r="A1115" s="28" t="n">
        <v>46301.5241516782</v>
      </c>
      <c r="B1115" s="31" t="n">
        <f aca="false">(A1115-$A$5)*86400</f>
        <v>43.067000107</v>
      </c>
      <c r="C1115" s="27" t="n">
        <v>0.9407</v>
      </c>
      <c r="D1115" s="27" t="n">
        <v>1.0656</v>
      </c>
      <c r="E1115" s="27" t="s">
        <v>603</v>
      </c>
      <c r="F1115" s="27" t="s">
        <v>145</v>
      </c>
      <c r="G1115" s="32" t="n">
        <f aca="false">(A1115-A1114)*86400000</f>
        <v>16.000214</v>
      </c>
      <c r="H1115" s="3"/>
      <c r="I1115" s="3"/>
      <c r="J1115" s="3"/>
      <c r="K1115" s="3"/>
      <c r="L1115" s="3"/>
      <c r="M1115" s="3"/>
    </row>
    <row r="1116" customFormat="false" ht="15" hidden="false" customHeight="false" outlineLevel="0" collapsed="false">
      <c r="A1116" s="28" t="n">
        <v>46301.5241518634</v>
      </c>
      <c r="B1116" s="31" t="n">
        <f aca="false">(A1116-$A$5)*86400</f>
        <v>43.083000322</v>
      </c>
      <c r="C1116" s="27" t="n">
        <v>0.9417</v>
      </c>
      <c r="D1116" s="27" t="n">
        <v>1.0643</v>
      </c>
      <c r="E1116" s="27" t="s">
        <v>603</v>
      </c>
      <c r="F1116" s="27" t="s">
        <v>145</v>
      </c>
      <c r="G1116" s="32" t="n">
        <f aca="false">(A1116-A1115)*86400000</f>
        <v>16.000214</v>
      </c>
      <c r="H1116" s="3"/>
      <c r="I1116" s="3"/>
      <c r="J1116" s="3"/>
      <c r="K1116" s="3"/>
      <c r="L1116" s="3"/>
      <c r="M1116" s="3"/>
    </row>
    <row r="1117" customFormat="false" ht="15" hidden="false" customHeight="false" outlineLevel="0" collapsed="false">
      <c r="A1117" s="28" t="n">
        <v>46301.5241520602</v>
      </c>
      <c r="B1117" s="31" t="n">
        <f aca="false">(A1117-$A$5)*86400</f>
        <v>43.099999451</v>
      </c>
      <c r="C1117" s="27" t="n">
        <v>0.9425</v>
      </c>
      <c r="D1117" s="27" t="n">
        <v>1.0633</v>
      </c>
      <c r="E1117" s="27" t="s">
        <v>603</v>
      </c>
      <c r="F1117" s="27" t="s">
        <v>145</v>
      </c>
      <c r="G1117" s="32" t="n">
        <f aca="false">(A1117-A1116)*86400000</f>
        <v>16.999128</v>
      </c>
      <c r="H1117" s="3"/>
      <c r="I1117" s="3"/>
      <c r="J1117" s="3"/>
      <c r="K1117" s="3"/>
      <c r="L1117" s="3"/>
      <c r="M1117" s="3"/>
    </row>
    <row r="1118" customFormat="false" ht="15" hidden="false" customHeight="false" outlineLevel="0" collapsed="false">
      <c r="A1118" s="28" t="n">
        <v>46301.524152419</v>
      </c>
      <c r="B1118" s="31" t="n">
        <f aca="false">(A1118-$A$5)*86400</f>
        <v>43.13099971</v>
      </c>
      <c r="C1118" s="27" t="n">
        <v>0.9405</v>
      </c>
      <c r="D1118" s="27" t="n">
        <v>1.0626</v>
      </c>
      <c r="E1118" s="27" t="s">
        <v>603</v>
      </c>
      <c r="F1118" s="27" t="s">
        <v>145</v>
      </c>
      <c r="G1118" s="32" t="n">
        <f aca="false">(A1118-A1117)*86400000</f>
        <v>31.000259</v>
      </c>
      <c r="H1118" s="3"/>
      <c r="I1118" s="3"/>
      <c r="J1118" s="3"/>
      <c r="K1118" s="3"/>
      <c r="L1118" s="3"/>
      <c r="M1118" s="3"/>
    </row>
    <row r="1119" customFormat="false" ht="15" hidden="false" customHeight="false" outlineLevel="0" collapsed="false">
      <c r="A1119" s="28" t="n">
        <v>46301.5241540972</v>
      </c>
      <c r="B1119" s="31" t="n">
        <f aca="false">(A1119-$A$5)*86400</f>
        <v>43.275999929</v>
      </c>
      <c r="C1119" s="27" t="n">
        <v>0.9399</v>
      </c>
      <c r="D1119" s="27" t="n">
        <v>1.0631</v>
      </c>
      <c r="E1119" s="27" t="s">
        <v>603</v>
      </c>
      <c r="F1119" s="27" t="s">
        <v>145</v>
      </c>
      <c r="G1119" s="32" t="n">
        <f aca="false">(A1119-A1118)*86400000</f>
        <v>145.000219</v>
      </c>
      <c r="H1119" s="3"/>
      <c r="I1119" s="3"/>
      <c r="J1119" s="3"/>
      <c r="K1119" s="3"/>
      <c r="L1119" s="3"/>
      <c r="M1119" s="3"/>
    </row>
    <row r="1120" customFormat="false" ht="15" hidden="false" customHeight="false" outlineLevel="0" collapsed="false">
      <c r="A1120" s="28" t="n">
        <v>46301.524154838</v>
      </c>
      <c r="B1120" s="31" t="n">
        <f aca="false">(A1120-$A$5)*86400</f>
        <v>43.34000016</v>
      </c>
      <c r="C1120" s="27" t="n">
        <v>0.9373</v>
      </c>
      <c r="D1120" s="27" t="n">
        <v>1.0653</v>
      </c>
      <c r="E1120" s="27" t="s">
        <v>603</v>
      </c>
      <c r="F1120" s="27" t="s">
        <v>145</v>
      </c>
      <c r="G1120" s="32" t="n">
        <f aca="false">(A1120-A1119)*86400000</f>
        <v>64.000231</v>
      </c>
      <c r="H1120" s="3"/>
      <c r="I1120" s="3"/>
      <c r="J1120" s="3"/>
      <c r="K1120" s="3"/>
      <c r="L1120" s="3"/>
      <c r="M1120" s="3"/>
    </row>
    <row r="1121" customFormat="false" ht="15" hidden="false" customHeight="false" outlineLevel="0" collapsed="false">
      <c r="A1121" s="28" t="n">
        <v>46301.5241561343</v>
      </c>
      <c r="B1121" s="31" t="n">
        <f aca="false">(A1121-$A$5)*86400</f>
        <v>43.452000408</v>
      </c>
      <c r="C1121" s="27" t="n">
        <v>0.9424</v>
      </c>
      <c r="D1121" s="27" t="n">
        <v>1.0674</v>
      </c>
      <c r="E1121" s="27" t="s">
        <v>603</v>
      </c>
      <c r="F1121" s="27" t="s">
        <v>145</v>
      </c>
      <c r="G1121" s="32" t="n">
        <f aca="false">(A1121-A1120)*86400000</f>
        <v>112.000247</v>
      </c>
      <c r="H1121" s="3"/>
      <c r="I1121" s="3"/>
      <c r="J1121" s="3"/>
      <c r="K1121" s="3"/>
      <c r="L1121" s="3"/>
      <c r="M1121" s="3"/>
    </row>
    <row r="1122" customFormat="false" ht="15" hidden="false" customHeight="false" outlineLevel="0" collapsed="false">
      <c r="A1122" s="28" t="n">
        <v>46301.5241563194</v>
      </c>
      <c r="B1122" s="31" t="n">
        <f aca="false">(A1122-$A$5)*86400</f>
        <v>43.467999994</v>
      </c>
      <c r="C1122" s="27" t="n">
        <v>0.9467</v>
      </c>
      <c r="D1122" s="27" t="n">
        <v>1.0691</v>
      </c>
      <c r="E1122" s="27" t="s">
        <v>603</v>
      </c>
      <c r="F1122" s="27" t="s">
        <v>145</v>
      </c>
      <c r="G1122" s="32" t="n">
        <f aca="false">(A1122-A1121)*86400000</f>
        <v>15.999586</v>
      </c>
      <c r="H1122" s="3"/>
      <c r="I1122" s="3"/>
      <c r="J1122" s="3"/>
      <c r="K1122" s="3"/>
      <c r="L1122" s="3"/>
      <c r="M1122" s="3"/>
    </row>
    <row r="1123" customFormat="false" ht="15" hidden="false" customHeight="false" outlineLevel="0" collapsed="false">
      <c r="A1123" s="28" t="n">
        <v>46301.5241565046</v>
      </c>
      <c r="B1123" s="31" t="n">
        <f aca="false">(A1123-$A$5)*86400</f>
        <v>43.484000209</v>
      </c>
      <c r="C1123" s="27" t="n">
        <v>0.9502</v>
      </c>
      <c r="D1123" s="27" t="n">
        <v>1.0704</v>
      </c>
      <c r="E1123" s="27" t="s">
        <v>603</v>
      </c>
      <c r="F1123" s="27" t="s">
        <v>145</v>
      </c>
      <c r="G1123" s="32" t="n">
        <f aca="false">(A1123-A1122)*86400000</f>
        <v>16.000214</v>
      </c>
      <c r="H1123" s="3"/>
      <c r="I1123" s="3"/>
      <c r="J1123" s="3"/>
      <c r="K1123" s="3"/>
      <c r="L1123" s="3"/>
      <c r="M1123" s="3"/>
    </row>
    <row r="1124" customFormat="false" ht="15" hidden="false" customHeight="false" outlineLevel="0" collapsed="false">
      <c r="A1124" s="28" t="n">
        <v>46301.5241566898</v>
      </c>
      <c r="B1124" s="31" t="n">
        <f aca="false">(A1124-$A$5)*86400</f>
        <v>43.499999796</v>
      </c>
      <c r="C1124" s="27" t="n">
        <v>0.953</v>
      </c>
      <c r="D1124" s="27" t="n">
        <v>1.0716</v>
      </c>
      <c r="E1124" s="27" t="s">
        <v>603</v>
      </c>
      <c r="F1124" s="27" t="s">
        <v>145</v>
      </c>
      <c r="G1124" s="32" t="n">
        <f aca="false">(A1124-A1123)*86400000</f>
        <v>15.999586</v>
      </c>
      <c r="H1124" s="3"/>
      <c r="I1124" s="3"/>
      <c r="J1124" s="3"/>
      <c r="K1124" s="3"/>
      <c r="L1124" s="3"/>
      <c r="M1124" s="3"/>
    </row>
    <row r="1125" customFormat="false" ht="15" hidden="false" customHeight="false" outlineLevel="0" collapsed="false">
      <c r="A1125" s="28" t="n">
        <v>46301.5241568866</v>
      </c>
      <c r="B1125" s="31" t="n">
        <f aca="false">(A1125-$A$5)*86400</f>
        <v>43.516999552</v>
      </c>
      <c r="C1125" s="27" t="n">
        <v>0.9556</v>
      </c>
      <c r="D1125" s="27" t="n">
        <v>1.0726</v>
      </c>
      <c r="E1125" s="27" t="s">
        <v>603</v>
      </c>
      <c r="F1125" s="27" t="s">
        <v>145</v>
      </c>
      <c r="G1125" s="32" t="n">
        <f aca="false">(A1125-A1124)*86400000</f>
        <v>16.999756</v>
      </c>
      <c r="H1125" s="3"/>
      <c r="I1125" s="3"/>
      <c r="J1125" s="3"/>
      <c r="K1125" s="3"/>
      <c r="L1125" s="3"/>
      <c r="M1125" s="3"/>
    </row>
    <row r="1126" customFormat="false" ht="15" hidden="false" customHeight="false" outlineLevel="0" collapsed="false">
      <c r="A1126" s="28" t="n">
        <v>46301.5241570718</v>
      </c>
      <c r="B1126" s="31" t="n">
        <f aca="false">(A1126-$A$5)*86400</f>
        <v>43.533000396</v>
      </c>
      <c r="C1126" s="27" t="n">
        <v>0.9575</v>
      </c>
      <c r="D1126" s="27" t="n">
        <v>1.0733</v>
      </c>
      <c r="E1126" s="27" t="s">
        <v>603</v>
      </c>
      <c r="F1126" s="27" t="s">
        <v>145</v>
      </c>
      <c r="G1126" s="32" t="n">
        <f aca="false">(A1126-A1125)*86400000</f>
        <v>16.000843</v>
      </c>
      <c r="H1126" s="3"/>
      <c r="I1126" s="3"/>
      <c r="J1126" s="3"/>
      <c r="K1126" s="3"/>
      <c r="L1126" s="3"/>
      <c r="M1126" s="3"/>
    </row>
    <row r="1127" customFormat="false" ht="15" hidden="false" customHeight="false" outlineLevel="0" collapsed="false">
      <c r="A1127" s="28" t="n">
        <v>46301.5241572569</v>
      </c>
      <c r="B1127" s="31" t="n">
        <f aca="false">(A1127-$A$5)*86400</f>
        <v>43.548999982</v>
      </c>
      <c r="C1127" s="27" t="n">
        <v>0.9591</v>
      </c>
      <c r="D1127" s="27" t="n">
        <v>1.074</v>
      </c>
      <c r="E1127" s="27" t="s">
        <v>603</v>
      </c>
      <c r="F1127" s="27" t="s">
        <v>145</v>
      </c>
      <c r="G1127" s="32" t="n">
        <f aca="false">(A1127-A1126)*86400000</f>
        <v>15.999586</v>
      </c>
      <c r="H1127" s="3"/>
      <c r="I1127" s="3"/>
      <c r="J1127" s="3"/>
      <c r="K1127" s="3"/>
      <c r="L1127" s="3"/>
      <c r="M1127" s="3"/>
    </row>
    <row r="1128" customFormat="false" ht="15" hidden="false" customHeight="false" outlineLevel="0" collapsed="false">
      <c r="A1128" s="28" t="n">
        <v>46301.5241574421</v>
      </c>
      <c r="B1128" s="31" t="n">
        <f aca="false">(A1128-$A$5)*86400</f>
        <v>43.565000197</v>
      </c>
      <c r="C1128" s="27" t="n">
        <v>0.9604</v>
      </c>
      <c r="D1128" s="27" t="n">
        <v>1.0745</v>
      </c>
      <c r="E1128" s="27" t="s">
        <v>603</v>
      </c>
      <c r="F1128" s="27" t="s">
        <v>145</v>
      </c>
      <c r="G1128" s="32" t="n">
        <f aca="false">(A1128-A1127)*86400000</f>
        <v>16.000214</v>
      </c>
      <c r="H1128" s="3"/>
      <c r="I1128" s="3"/>
      <c r="J1128" s="3"/>
      <c r="K1128" s="3"/>
      <c r="L1128" s="3"/>
      <c r="M1128" s="3"/>
    </row>
    <row r="1129" customFormat="false" ht="15" hidden="false" customHeight="false" outlineLevel="0" collapsed="false">
      <c r="A1129" s="28" t="n">
        <v>46301.5241578125</v>
      </c>
      <c r="B1129" s="31" t="n">
        <f aca="false">(A1129-$A$5)*86400</f>
        <v>43.596999999</v>
      </c>
      <c r="C1129" s="27" t="n">
        <v>0.9625</v>
      </c>
      <c r="D1129" s="27" t="n">
        <v>1.0753</v>
      </c>
      <c r="E1129" s="27" t="s">
        <v>603</v>
      </c>
      <c r="F1129" s="27" t="s">
        <v>145</v>
      </c>
      <c r="G1129" s="32" t="n">
        <f aca="false">(A1129-A1128)*86400000</f>
        <v>31.999801</v>
      </c>
      <c r="H1129" s="3"/>
      <c r="I1129" s="3"/>
      <c r="J1129" s="3"/>
      <c r="K1129" s="3"/>
      <c r="L1129" s="3"/>
      <c r="M1129" s="3"/>
    </row>
    <row r="1130" customFormat="false" ht="15" hidden="false" customHeight="false" outlineLevel="0" collapsed="false">
      <c r="A1130" s="28" t="n">
        <v>46301.5241579977</v>
      </c>
      <c r="B1130" s="31" t="n">
        <f aca="false">(A1130-$A$5)*86400</f>
        <v>43.613000214</v>
      </c>
      <c r="C1130" s="27" t="n">
        <v>0.9677</v>
      </c>
      <c r="D1130" s="27" t="n">
        <v>1.0732</v>
      </c>
      <c r="E1130" s="27" t="s">
        <v>603</v>
      </c>
      <c r="F1130" s="27" t="s">
        <v>145</v>
      </c>
      <c r="G1130" s="32" t="n">
        <f aca="false">(A1130-A1129)*86400000</f>
        <v>16.000214</v>
      </c>
      <c r="H1130" s="3"/>
      <c r="I1130" s="3"/>
      <c r="J1130" s="3"/>
      <c r="K1130" s="3"/>
      <c r="L1130" s="3"/>
      <c r="M1130" s="3"/>
    </row>
    <row r="1131" customFormat="false" ht="15" hidden="false" customHeight="false" outlineLevel="0" collapsed="false">
      <c r="A1131" s="28" t="n">
        <v>46301.5241581829</v>
      </c>
      <c r="B1131" s="31" t="n">
        <f aca="false">(A1131-$A$5)*86400</f>
        <v>43.6289998</v>
      </c>
      <c r="C1131" s="27" t="n">
        <v>0.972</v>
      </c>
      <c r="D1131" s="27" t="n">
        <v>1.0715</v>
      </c>
      <c r="E1131" s="27" t="s">
        <v>603</v>
      </c>
      <c r="F1131" s="27" t="s">
        <v>145</v>
      </c>
      <c r="G1131" s="32" t="n">
        <f aca="false">(A1131-A1130)*86400000</f>
        <v>15.999586</v>
      </c>
      <c r="H1131" s="3"/>
      <c r="I1131" s="3"/>
      <c r="J1131" s="3"/>
      <c r="K1131" s="3"/>
      <c r="L1131" s="3"/>
      <c r="M1131" s="3"/>
    </row>
    <row r="1132" customFormat="false" ht="15" hidden="false" customHeight="false" outlineLevel="0" collapsed="false">
      <c r="A1132" s="28" t="n">
        <v>46301.5241583681</v>
      </c>
      <c r="B1132" s="31" t="n">
        <f aca="false">(A1132-$A$5)*86400</f>
        <v>43.644999386</v>
      </c>
      <c r="C1132" s="27" t="n">
        <v>0.9755</v>
      </c>
      <c r="D1132" s="27" t="n">
        <v>1.0701</v>
      </c>
      <c r="E1132" s="27" t="s">
        <v>603</v>
      </c>
      <c r="F1132" s="27" t="s">
        <v>145</v>
      </c>
      <c r="G1132" s="32" t="n">
        <f aca="false">(A1132-A1131)*86400000</f>
        <v>15.999586</v>
      </c>
      <c r="H1132" s="3"/>
      <c r="I1132" s="3"/>
      <c r="J1132" s="3"/>
      <c r="K1132" s="3"/>
      <c r="L1132" s="3"/>
      <c r="M1132" s="3"/>
    </row>
    <row r="1133" customFormat="false" ht="15" hidden="false" customHeight="false" outlineLevel="0" collapsed="false">
      <c r="A1133" s="28" t="n">
        <v>46301.5241585532</v>
      </c>
      <c r="B1133" s="31" t="n">
        <f aca="false">(A1133-$A$5)*86400</f>
        <v>43.66100023</v>
      </c>
      <c r="C1133" s="27" t="n">
        <v>0.9785</v>
      </c>
      <c r="D1133" s="27" t="n">
        <v>1.0689</v>
      </c>
      <c r="E1133" s="27" t="s">
        <v>603</v>
      </c>
      <c r="F1133" s="27" t="s">
        <v>145</v>
      </c>
      <c r="G1133" s="32" t="n">
        <f aca="false">(A1133-A1132)*86400000</f>
        <v>16.000843</v>
      </c>
      <c r="H1133" s="3"/>
      <c r="I1133" s="3"/>
      <c r="J1133" s="3"/>
      <c r="K1133" s="3"/>
      <c r="L1133" s="3"/>
      <c r="M1133" s="3"/>
    </row>
    <row r="1134" customFormat="false" ht="15" hidden="false" customHeight="false" outlineLevel="0" collapsed="false">
      <c r="A1134" s="28" t="n">
        <v>46301.5241587384</v>
      </c>
      <c r="B1134" s="31" t="n">
        <f aca="false">(A1134-$A$5)*86400</f>
        <v>43.676999816</v>
      </c>
      <c r="C1134" s="27" t="n">
        <v>0.9809</v>
      </c>
      <c r="D1134" s="27" t="n">
        <v>1.0679</v>
      </c>
      <c r="E1134" s="27" t="s">
        <v>603</v>
      </c>
      <c r="F1134" s="27" t="s">
        <v>145</v>
      </c>
      <c r="G1134" s="32" t="n">
        <f aca="false">(A1134-A1133)*86400000</f>
        <v>15.999586</v>
      </c>
      <c r="H1134" s="3"/>
      <c r="I1134" s="3"/>
      <c r="J1134" s="3"/>
      <c r="K1134" s="3"/>
      <c r="L1134" s="3"/>
      <c r="M1134" s="3"/>
    </row>
    <row r="1135" customFormat="false" ht="15" hidden="false" customHeight="false" outlineLevel="0" collapsed="false">
      <c r="A1135" s="28" t="n">
        <v>46301.5241589236</v>
      </c>
      <c r="B1135" s="31" t="n">
        <f aca="false">(A1135-$A$5)*86400</f>
        <v>43.693000031</v>
      </c>
      <c r="C1135" s="27" t="n">
        <v>0.9829</v>
      </c>
      <c r="D1135" s="27" t="n">
        <v>1.0671</v>
      </c>
      <c r="E1135" s="27" t="s">
        <v>603</v>
      </c>
      <c r="F1135" s="27" t="s">
        <v>145</v>
      </c>
      <c r="G1135" s="32" t="n">
        <f aca="false">(A1135-A1134)*86400000</f>
        <v>16.000214</v>
      </c>
      <c r="H1135" s="3"/>
      <c r="I1135" s="3"/>
      <c r="J1135" s="3"/>
      <c r="K1135" s="3"/>
      <c r="L1135" s="3"/>
      <c r="M1135" s="3"/>
    </row>
    <row r="1136" customFormat="false" ht="15" hidden="false" customHeight="false" outlineLevel="0" collapsed="false">
      <c r="A1136" s="28" t="n">
        <v>46301.5241591088</v>
      </c>
      <c r="B1136" s="31" t="n">
        <f aca="false">(A1136-$A$5)*86400</f>
        <v>43.709000246</v>
      </c>
      <c r="C1136" s="27" t="n">
        <v>0.9855</v>
      </c>
      <c r="D1136" s="27" t="n">
        <v>1.0661</v>
      </c>
      <c r="E1136" s="27" t="s">
        <v>603</v>
      </c>
      <c r="F1136" s="27" t="s">
        <v>145</v>
      </c>
      <c r="G1136" s="32" t="n">
        <f aca="false">(A1136-A1135)*86400000</f>
        <v>16.000214</v>
      </c>
      <c r="H1136" s="3"/>
      <c r="I1136" s="3"/>
      <c r="J1136" s="3"/>
      <c r="K1136" s="3"/>
      <c r="L1136" s="3"/>
      <c r="M1136" s="3"/>
    </row>
    <row r="1137" customFormat="false" ht="15" hidden="false" customHeight="false" outlineLevel="0" collapsed="false">
      <c r="A1137" s="28" t="n">
        <v>46301.524159294</v>
      </c>
      <c r="B1137" s="31" t="n">
        <f aca="false">(A1137-$A$5)*86400</f>
        <v>43.724999832</v>
      </c>
      <c r="C1137" s="27" t="n">
        <v>0.9877</v>
      </c>
      <c r="D1137" s="27" t="n">
        <v>1.0653</v>
      </c>
      <c r="E1137" s="27" t="s">
        <v>603</v>
      </c>
      <c r="F1137" s="27" t="s">
        <v>145</v>
      </c>
      <c r="G1137" s="32" t="n">
        <f aca="false">(A1137-A1136)*86400000</f>
        <v>15.999586</v>
      </c>
      <c r="H1137" s="3"/>
      <c r="I1137" s="3"/>
      <c r="J1137" s="3"/>
      <c r="K1137" s="3"/>
      <c r="L1137" s="3"/>
      <c r="M1137" s="3"/>
    </row>
    <row r="1138" customFormat="false" ht="15" hidden="false" customHeight="false" outlineLevel="0" collapsed="false">
      <c r="A1138" s="28" t="n">
        <v>46301.5241594792</v>
      </c>
      <c r="B1138" s="31" t="n">
        <f aca="false">(A1138-$A$5)*86400</f>
        <v>43.741000676</v>
      </c>
      <c r="C1138" s="27" t="n">
        <v>0.9895</v>
      </c>
      <c r="D1138" s="27" t="n">
        <v>1.0646</v>
      </c>
      <c r="E1138" s="27" t="s">
        <v>603</v>
      </c>
      <c r="F1138" s="27" t="s">
        <v>145</v>
      </c>
      <c r="G1138" s="32" t="n">
        <f aca="false">(A1138-A1137)*86400000</f>
        <v>16.000843</v>
      </c>
      <c r="H1138" s="3"/>
      <c r="I1138" s="3"/>
      <c r="J1138" s="3"/>
      <c r="K1138" s="3"/>
      <c r="L1138" s="3"/>
      <c r="M1138" s="3"/>
    </row>
    <row r="1139" customFormat="false" ht="15" hidden="false" customHeight="false" outlineLevel="0" collapsed="false">
      <c r="A1139" s="28" t="n">
        <v>46301.5241596644</v>
      </c>
      <c r="B1139" s="31" t="n">
        <f aca="false">(A1139-$A$5)*86400</f>
        <v>43.756999634</v>
      </c>
      <c r="C1139" s="27" t="n">
        <v>0.991</v>
      </c>
      <c r="D1139" s="27" t="n">
        <v>1.064</v>
      </c>
      <c r="E1139" s="27" t="s">
        <v>603</v>
      </c>
      <c r="F1139" s="27" t="s">
        <v>145</v>
      </c>
      <c r="G1139" s="32" t="n">
        <f aca="false">(A1139-A1138)*86400000</f>
        <v>15.998957</v>
      </c>
      <c r="H1139" s="3"/>
      <c r="I1139" s="3"/>
      <c r="J1139" s="3"/>
      <c r="K1139" s="3"/>
      <c r="L1139" s="3"/>
      <c r="M1139" s="3"/>
    </row>
    <row r="1140" customFormat="false" ht="15" hidden="false" customHeight="false" outlineLevel="0" collapsed="false">
      <c r="A1140" s="28" t="n">
        <v>46301.5241598495</v>
      </c>
      <c r="B1140" s="31" t="n">
        <f aca="false">(A1140-$A$5)*86400</f>
        <v>43.77299922</v>
      </c>
      <c r="C1140" s="27" t="n">
        <v>0.9922</v>
      </c>
      <c r="D1140" s="27" t="n">
        <v>1.0635</v>
      </c>
      <c r="E1140" s="27" t="s">
        <v>603</v>
      </c>
      <c r="F1140" s="27" t="s">
        <v>145</v>
      </c>
      <c r="G1140" s="32" t="n">
        <f aca="false">(A1140-A1139)*86400000</f>
        <v>15.999586</v>
      </c>
      <c r="H1140" s="3"/>
      <c r="I1140" s="3"/>
      <c r="J1140" s="3"/>
      <c r="K1140" s="3"/>
      <c r="L1140" s="3"/>
      <c r="M1140" s="3"/>
    </row>
    <row r="1141" customFormat="false" ht="15" hidden="false" customHeight="false" outlineLevel="0" collapsed="false">
      <c r="A1141" s="28" t="n">
        <v>46301.5241602315</v>
      </c>
      <c r="B1141" s="31" t="n">
        <f aca="false">(A1141-$A$5)*86400</f>
        <v>43.805999821</v>
      </c>
      <c r="C1141" s="27" t="n">
        <v>0.9941</v>
      </c>
      <c r="D1141" s="27" t="n">
        <v>1.0627</v>
      </c>
      <c r="E1141" s="27" t="s">
        <v>603</v>
      </c>
      <c r="F1141" s="27" t="s">
        <v>145</v>
      </c>
      <c r="G1141" s="32" t="n">
        <f aca="false">(A1141-A1140)*86400000</f>
        <v>33.0006</v>
      </c>
      <c r="H1141" s="3"/>
      <c r="I1141" s="3"/>
      <c r="J1141" s="3"/>
      <c r="K1141" s="3"/>
      <c r="L1141" s="3"/>
      <c r="M1141" s="3"/>
    </row>
    <row r="1142" customFormat="false" ht="15" hidden="false" customHeight="false" outlineLevel="0" collapsed="false">
      <c r="A1142" s="28" t="n">
        <v>46301.5241604282</v>
      </c>
      <c r="B1142" s="31" t="n">
        <f aca="false">(A1142-$A$5)*86400</f>
        <v>43.823000206</v>
      </c>
      <c r="C1142" s="27" t="n">
        <v>0.9945</v>
      </c>
      <c r="D1142" s="27" t="n">
        <v>1.0622</v>
      </c>
      <c r="E1142" s="27" t="s">
        <v>603</v>
      </c>
      <c r="F1142" s="27" t="s">
        <v>145</v>
      </c>
      <c r="G1142" s="32" t="n">
        <f aca="false">(A1142-A1141)*86400000</f>
        <v>17.000385</v>
      </c>
      <c r="H1142" s="3"/>
      <c r="I1142" s="3"/>
      <c r="J1142" s="3"/>
      <c r="K1142" s="3"/>
      <c r="L1142" s="3"/>
      <c r="M1142" s="3"/>
    </row>
    <row r="1143" customFormat="false" ht="15" hidden="false" customHeight="false" outlineLevel="0" collapsed="false">
      <c r="A1143" s="28" t="n">
        <v>46301.5241609838</v>
      </c>
      <c r="B1143" s="31" t="n">
        <f aca="false">(A1143-$A$5)*86400</f>
        <v>43.871000222</v>
      </c>
      <c r="C1143" s="27" t="n">
        <v>0.9954</v>
      </c>
      <c r="D1143" s="27" t="n">
        <v>1.0611</v>
      </c>
      <c r="E1143" s="27" t="s">
        <v>603</v>
      </c>
      <c r="F1143" s="27" t="s">
        <v>145</v>
      </c>
      <c r="G1143" s="32" t="n">
        <f aca="false">(A1143-A1142)*86400000</f>
        <v>48.000016</v>
      </c>
      <c r="H1143" s="3"/>
      <c r="I1143" s="3"/>
      <c r="J1143" s="3"/>
      <c r="K1143" s="3"/>
      <c r="L1143" s="3"/>
      <c r="M1143" s="3"/>
    </row>
    <row r="1144" customFormat="false" ht="15" hidden="false" customHeight="false" outlineLevel="0" collapsed="false">
      <c r="A1144" s="28" t="n">
        <v>46301.524161169</v>
      </c>
      <c r="B1144" s="31" t="n">
        <f aca="false">(A1144-$A$5)*86400</f>
        <v>43.886999809</v>
      </c>
      <c r="C1144" s="27" t="n">
        <v>0.9965</v>
      </c>
      <c r="D1144" s="27" t="n">
        <v>1.0596</v>
      </c>
      <c r="E1144" s="27" t="s">
        <v>603</v>
      </c>
      <c r="F1144" s="27" t="s">
        <v>145</v>
      </c>
      <c r="G1144" s="32" t="n">
        <f aca="false">(A1144-A1143)*86400000</f>
        <v>15.999586</v>
      </c>
      <c r="H1144" s="3"/>
      <c r="I1144" s="3"/>
      <c r="J1144" s="3"/>
      <c r="K1144" s="3"/>
      <c r="L1144" s="3"/>
      <c r="M1144" s="3"/>
    </row>
    <row r="1145" customFormat="false" ht="15" hidden="false" customHeight="false" outlineLevel="0" collapsed="false">
      <c r="A1145" s="28" t="n">
        <v>46301.5241617245</v>
      </c>
      <c r="B1145" s="31" t="n">
        <f aca="false">(A1145-$A$5)*86400</f>
        <v>43.934999196</v>
      </c>
      <c r="C1145" s="27" t="n">
        <v>0.9911</v>
      </c>
      <c r="D1145" s="27" t="n">
        <v>1.0641</v>
      </c>
      <c r="E1145" s="27" t="s">
        <v>603</v>
      </c>
      <c r="F1145" s="27" t="s">
        <v>145</v>
      </c>
      <c r="G1145" s="32" t="n">
        <f aca="false">(A1145-A1144)*86400000</f>
        <v>47.999387</v>
      </c>
      <c r="H1145" s="3"/>
      <c r="I1145" s="3"/>
      <c r="J1145" s="3"/>
      <c r="K1145" s="3"/>
      <c r="L1145" s="3"/>
      <c r="M1145" s="3"/>
    </row>
    <row r="1146" customFormat="false" ht="15" hidden="false" customHeight="false" outlineLevel="0" collapsed="false">
      <c r="A1146" s="28" t="n">
        <v>46301.5241619097</v>
      </c>
      <c r="B1146" s="31" t="n">
        <f aca="false">(A1146-$A$5)*86400</f>
        <v>43.95100004</v>
      </c>
      <c r="C1146" s="27" t="n">
        <v>0.9867</v>
      </c>
      <c r="D1146" s="27" t="n">
        <v>1.0677</v>
      </c>
      <c r="E1146" s="27" t="s">
        <v>603</v>
      </c>
      <c r="F1146" s="27" t="s">
        <v>145</v>
      </c>
      <c r="G1146" s="32" t="n">
        <f aca="false">(A1146-A1145)*86400000</f>
        <v>16.000843</v>
      </c>
      <c r="H1146" s="3"/>
      <c r="I1146" s="3"/>
      <c r="J1146" s="3"/>
      <c r="K1146" s="3"/>
      <c r="L1146" s="3"/>
      <c r="M1146" s="3"/>
    </row>
    <row r="1147" customFormat="false" ht="15" hidden="false" customHeight="false" outlineLevel="0" collapsed="false">
      <c r="A1147" s="28" t="n">
        <v>46301.5241620949</v>
      </c>
      <c r="B1147" s="31" t="n">
        <f aca="false">(A1147-$A$5)*86400</f>
        <v>43.967000255</v>
      </c>
      <c r="C1147" s="27" t="n">
        <v>0.9833</v>
      </c>
      <c r="D1147" s="27" t="n">
        <v>1.0706</v>
      </c>
      <c r="E1147" s="27" t="s">
        <v>603</v>
      </c>
      <c r="F1147" s="27" t="s">
        <v>145</v>
      </c>
      <c r="G1147" s="32" t="n">
        <f aca="false">(A1147-A1146)*86400000</f>
        <v>16.000214</v>
      </c>
      <c r="H1147" s="3"/>
      <c r="I1147" s="3"/>
      <c r="J1147" s="3"/>
      <c r="K1147" s="3"/>
      <c r="L1147" s="3"/>
      <c r="M1147" s="3"/>
    </row>
    <row r="1148" customFormat="false" ht="15" hidden="false" customHeight="false" outlineLevel="0" collapsed="false">
      <c r="A1148" s="28" t="n">
        <v>46301.5241622801</v>
      </c>
      <c r="B1148" s="31" t="n">
        <f aca="false">(A1148-$A$5)*86400</f>
        <v>43.982999841</v>
      </c>
      <c r="C1148" s="27" t="n">
        <v>0.9802</v>
      </c>
      <c r="D1148" s="27" t="n">
        <v>1.0731</v>
      </c>
      <c r="E1148" s="27" t="s">
        <v>603</v>
      </c>
      <c r="F1148" s="27" t="s">
        <v>145</v>
      </c>
      <c r="G1148" s="32" t="n">
        <f aca="false">(A1148-A1147)*86400000</f>
        <v>15.999586</v>
      </c>
      <c r="H1148" s="3"/>
      <c r="I1148" s="3"/>
      <c r="J1148" s="3"/>
      <c r="K1148" s="3"/>
      <c r="L1148" s="3"/>
      <c r="M1148" s="3"/>
    </row>
    <row r="1149" customFormat="false" ht="15" hidden="false" customHeight="false" outlineLevel="0" collapsed="false">
      <c r="A1149" s="28" t="n">
        <v>46301.5241624653</v>
      </c>
      <c r="B1149" s="31" t="n">
        <f aca="false">(A1149-$A$5)*86400</f>
        <v>43.999000056</v>
      </c>
      <c r="C1149" s="27" t="n">
        <v>0.9777</v>
      </c>
      <c r="D1149" s="27" t="n">
        <v>1.0752</v>
      </c>
      <c r="E1149" s="27" t="s">
        <v>603</v>
      </c>
      <c r="F1149" s="27" t="s">
        <v>145</v>
      </c>
      <c r="G1149" s="32" t="n">
        <f aca="false">(A1149-A1148)*86400000</f>
        <v>16.000214</v>
      </c>
      <c r="H1149" s="3"/>
      <c r="I1149" s="3"/>
      <c r="J1149" s="3"/>
      <c r="K1149" s="3"/>
      <c r="L1149" s="3"/>
      <c r="M1149" s="3"/>
    </row>
    <row r="1150" customFormat="false" ht="15" hidden="false" customHeight="false" outlineLevel="0" collapsed="false">
      <c r="A1150" s="28" t="n">
        <v>46301.524162662</v>
      </c>
      <c r="B1150" s="31" t="n">
        <f aca="false">(A1150-$A$5)*86400</f>
        <v>44.015999813</v>
      </c>
      <c r="C1150" s="27" t="n">
        <v>0.9755</v>
      </c>
      <c r="D1150" s="27" t="n">
        <v>1.077</v>
      </c>
      <c r="E1150" s="27" t="s">
        <v>603</v>
      </c>
      <c r="F1150" s="27" t="s">
        <v>145</v>
      </c>
      <c r="G1150" s="32" t="n">
        <f aca="false">(A1150-A1149)*86400000</f>
        <v>16.999756</v>
      </c>
      <c r="H1150" s="3"/>
      <c r="I1150" s="3"/>
      <c r="J1150" s="3"/>
      <c r="K1150" s="3"/>
      <c r="L1150" s="3"/>
      <c r="M1150" s="3"/>
    </row>
    <row r="1151" customFormat="false" ht="15" hidden="false" customHeight="false" outlineLevel="0" collapsed="false">
      <c r="A1151" s="28" t="n">
        <v>46301.5241628472</v>
      </c>
      <c r="B1151" s="31" t="n">
        <f aca="false">(A1151-$A$5)*86400</f>
        <v>44.032000028</v>
      </c>
      <c r="C1151" s="27" t="n">
        <v>0.9738</v>
      </c>
      <c r="D1151" s="27" t="n">
        <v>1.0784</v>
      </c>
      <c r="E1151" s="27" t="s">
        <v>603</v>
      </c>
      <c r="F1151" s="27" t="s">
        <v>145</v>
      </c>
      <c r="G1151" s="32" t="n">
        <f aca="false">(A1151-A1150)*86400000</f>
        <v>16.000214</v>
      </c>
      <c r="H1151" s="3"/>
      <c r="I1151" s="3"/>
      <c r="J1151" s="3"/>
      <c r="K1151" s="3"/>
      <c r="L1151" s="3"/>
      <c r="M1151" s="3"/>
    </row>
    <row r="1152" customFormat="false" ht="15" hidden="false" customHeight="false" outlineLevel="0" collapsed="false">
      <c r="A1152" s="28" t="n">
        <v>46301.5241630324</v>
      </c>
      <c r="B1152" s="31" t="n">
        <f aca="false">(A1152-$A$5)*86400</f>
        <v>44.048000243</v>
      </c>
      <c r="C1152" s="27" t="n">
        <v>0.9706</v>
      </c>
      <c r="D1152" s="27" t="n">
        <v>1.0825</v>
      </c>
      <c r="E1152" s="27" t="s">
        <v>603</v>
      </c>
      <c r="F1152" s="27" t="s">
        <v>145</v>
      </c>
      <c r="G1152" s="32" t="n">
        <f aca="false">(A1152-A1151)*86400000</f>
        <v>16.000214</v>
      </c>
      <c r="H1152" s="3"/>
      <c r="I1152" s="3"/>
      <c r="J1152" s="3"/>
      <c r="K1152" s="3"/>
      <c r="L1152" s="3"/>
      <c r="M1152" s="3"/>
    </row>
    <row r="1153" customFormat="false" ht="15" hidden="false" customHeight="false" outlineLevel="0" collapsed="false">
      <c r="A1153" s="28" t="n">
        <v>46301.5241632176</v>
      </c>
      <c r="B1153" s="31" t="n">
        <f aca="false">(A1153-$A$5)*86400</f>
        <v>44.063999829</v>
      </c>
      <c r="C1153" s="27" t="n">
        <v>0.968</v>
      </c>
      <c r="D1153" s="27" t="n">
        <v>1.0858</v>
      </c>
      <c r="E1153" s="27" t="s">
        <v>603</v>
      </c>
      <c r="F1153" s="27" t="s">
        <v>145</v>
      </c>
      <c r="G1153" s="32" t="n">
        <f aca="false">(A1153-A1152)*86400000</f>
        <v>15.999586</v>
      </c>
      <c r="H1153" s="3"/>
      <c r="I1153" s="3"/>
      <c r="J1153" s="3"/>
      <c r="K1153" s="3"/>
      <c r="L1153" s="3"/>
      <c r="M1153" s="3"/>
    </row>
    <row r="1154" customFormat="false" ht="15" hidden="false" customHeight="false" outlineLevel="0" collapsed="false">
      <c r="A1154" s="28" t="n">
        <v>46301.5241634028</v>
      </c>
      <c r="B1154" s="31" t="n">
        <f aca="false">(A1154-$A$5)*86400</f>
        <v>44.080000044</v>
      </c>
      <c r="C1154" s="27" t="n">
        <v>0.9658</v>
      </c>
      <c r="D1154" s="27" t="n">
        <v>1.0885</v>
      </c>
      <c r="E1154" s="27" t="s">
        <v>603</v>
      </c>
      <c r="F1154" s="27" t="s">
        <v>145</v>
      </c>
      <c r="G1154" s="32" t="n">
        <f aca="false">(A1154-A1153)*86400000</f>
        <v>16.000214</v>
      </c>
      <c r="H1154" s="3"/>
      <c r="I1154" s="3"/>
      <c r="J1154" s="3"/>
      <c r="K1154" s="3"/>
      <c r="L1154" s="3"/>
      <c r="M1154" s="3"/>
    </row>
    <row r="1155" customFormat="false" ht="15" hidden="false" customHeight="false" outlineLevel="0" collapsed="false">
      <c r="A1155" s="28" t="n">
        <v>46301.524163588</v>
      </c>
      <c r="B1155" s="31" t="n">
        <f aca="false">(A1155-$A$5)*86400</f>
        <v>44.095999631</v>
      </c>
      <c r="C1155" s="27" t="n">
        <v>0.964</v>
      </c>
      <c r="D1155" s="27" t="n">
        <v>1.0907</v>
      </c>
      <c r="E1155" s="27" t="s">
        <v>603</v>
      </c>
      <c r="F1155" s="27" t="s">
        <v>145</v>
      </c>
      <c r="G1155" s="32" t="n">
        <f aca="false">(A1155-A1154)*86400000</f>
        <v>15.999586</v>
      </c>
      <c r="H1155" s="3"/>
      <c r="I1155" s="3"/>
      <c r="J1155" s="3"/>
      <c r="K1155" s="3"/>
      <c r="L1155" s="3"/>
      <c r="M1155" s="3"/>
    </row>
    <row r="1156" customFormat="false" ht="15" hidden="false" customHeight="false" outlineLevel="0" collapsed="false">
      <c r="A1156" s="28" t="n">
        <v>46301.5241637732</v>
      </c>
      <c r="B1156" s="31" t="n">
        <f aca="false">(A1156-$A$5)*86400</f>
        <v>44.112000474</v>
      </c>
      <c r="C1156" s="27" t="n">
        <v>0.9625</v>
      </c>
      <c r="D1156" s="27" t="n">
        <v>1.0926</v>
      </c>
      <c r="E1156" s="27" t="s">
        <v>603</v>
      </c>
      <c r="F1156" s="27" t="s">
        <v>145</v>
      </c>
      <c r="G1156" s="32" t="n">
        <f aca="false">(A1156-A1155)*86400000</f>
        <v>16.000843</v>
      </c>
      <c r="H1156" s="3"/>
      <c r="I1156" s="3"/>
      <c r="J1156" s="3"/>
      <c r="K1156" s="3"/>
      <c r="L1156" s="3"/>
      <c r="M1156" s="3"/>
    </row>
    <row r="1157" customFormat="false" ht="15" hidden="false" customHeight="false" outlineLevel="0" collapsed="false">
      <c r="A1157" s="28" t="n">
        <v>46301.5241639583</v>
      </c>
      <c r="B1157" s="31" t="n">
        <f aca="false">(A1157-$A$5)*86400</f>
        <v>44.128000061</v>
      </c>
      <c r="C1157" s="27" t="n">
        <v>0.9613</v>
      </c>
      <c r="D1157" s="27" t="n">
        <v>1.0941</v>
      </c>
      <c r="E1157" s="27" t="s">
        <v>603</v>
      </c>
      <c r="F1157" s="27" t="s">
        <v>145</v>
      </c>
      <c r="G1157" s="32" t="n">
        <f aca="false">(A1157-A1156)*86400000</f>
        <v>15.999586</v>
      </c>
      <c r="H1157" s="3"/>
      <c r="I1157" s="3"/>
      <c r="J1157" s="3"/>
      <c r="K1157" s="3"/>
      <c r="L1157" s="3"/>
      <c r="M1157" s="3"/>
    </row>
    <row r="1158" customFormat="false" ht="15" hidden="false" customHeight="false" outlineLevel="0" collapsed="false">
      <c r="A1158" s="28" t="n">
        <v>46301.5241643403</v>
      </c>
      <c r="B1158" s="31" t="n">
        <f aca="false">(A1158-$A$5)*86400</f>
        <v>44.161000032</v>
      </c>
      <c r="C1158" s="27" t="n">
        <v>0.9632</v>
      </c>
      <c r="D1158" s="27" t="n">
        <v>1.0992</v>
      </c>
      <c r="E1158" s="27" t="s">
        <v>603</v>
      </c>
      <c r="F1158" s="27" t="s">
        <v>145</v>
      </c>
      <c r="G1158" s="32" t="n">
        <f aca="false">(A1158-A1157)*86400000</f>
        <v>32.999971</v>
      </c>
      <c r="H1158" s="3"/>
      <c r="I1158" s="3"/>
      <c r="J1158" s="3"/>
      <c r="K1158" s="3"/>
      <c r="L1158" s="3"/>
      <c r="M1158" s="3"/>
    </row>
    <row r="1159" customFormat="false" ht="15" hidden="false" customHeight="false" outlineLevel="0" collapsed="false">
      <c r="A1159" s="28" t="n">
        <v>46301.5241645255</v>
      </c>
      <c r="B1159" s="31" t="n">
        <f aca="false">(A1159-$A$5)*86400</f>
        <v>44.176999619</v>
      </c>
      <c r="C1159" s="27" t="n">
        <v>0.9654</v>
      </c>
      <c r="D1159" s="27" t="n">
        <v>1.1021</v>
      </c>
      <c r="E1159" s="27" t="s">
        <v>603</v>
      </c>
      <c r="F1159" s="27" t="s">
        <v>145</v>
      </c>
      <c r="G1159" s="32" t="n">
        <f aca="false">(A1159-A1158)*86400000</f>
        <v>15.999586</v>
      </c>
      <c r="H1159" s="3"/>
      <c r="I1159" s="3"/>
      <c r="J1159" s="3"/>
      <c r="K1159" s="3"/>
      <c r="L1159" s="3"/>
      <c r="M1159" s="3"/>
    </row>
    <row r="1160" customFormat="false" ht="15" hidden="false" customHeight="false" outlineLevel="0" collapsed="false">
      <c r="A1160" s="28" t="n">
        <v>46301.5241647106</v>
      </c>
      <c r="B1160" s="31" t="n">
        <f aca="false">(A1160-$A$5)*86400</f>
        <v>44.192999205</v>
      </c>
      <c r="C1160" s="27" t="n">
        <v>0.9673</v>
      </c>
      <c r="D1160" s="27" t="n">
        <v>1.1046</v>
      </c>
      <c r="E1160" s="27" t="s">
        <v>603</v>
      </c>
      <c r="F1160" s="27" t="s">
        <v>145</v>
      </c>
      <c r="G1160" s="32" t="n">
        <f aca="false">(A1160-A1159)*86400000</f>
        <v>15.999586</v>
      </c>
      <c r="H1160" s="3"/>
      <c r="I1160" s="3"/>
      <c r="J1160" s="3"/>
      <c r="K1160" s="3"/>
      <c r="L1160" s="3"/>
      <c r="M1160" s="3"/>
    </row>
    <row r="1161" customFormat="false" ht="15" hidden="false" customHeight="false" outlineLevel="0" collapsed="false">
      <c r="A1161" s="28" t="n">
        <v>46301.5241649074</v>
      </c>
      <c r="B1161" s="31" t="n">
        <f aca="false">(A1161-$A$5)*86400</f>
        <v>44.210000219</v>
      </c>
      <c r="C1161" s="27" t="n">
        <v>0.9688</v>
      </c>
      <c r="D1161" s="27" t="n">
        <v>1.1066</v>
      </c>
      <c r="E1161" s="27" t="s">
        <v>603</v>
      </c>
      <c r="F1161" s="27" t="s">
        <v>145</v>
      </c>
      <c r="G1161" s="32" t="n">
        <f aca="false">(A1161-A1160)*86400000</f>
        <v>17.001014</v>
      </c>
      <c r="H1161" s="3"/>
      <c r="I1161" s="3"/>
      <c r="J1161" s="3"/>
      <c r="K1161" s="3"/>
      <c r="L1161" s="3"/>
      <c r="M1161" s="3"/>
    </row>
    <row r="1162" customFormat="false" ht="15" hidden="false" customHeight="false" outlineLevel="0" collapsed="false">
      <c r="A1162" s="28" t="n">
        <v>46301.5241650926</v>
      </c>
      <c r="B1162" s="31" t="n">
        <f aca="false">(A1162-$A$5)*86400</f>
        <v>44.225999806</v>
      </c>
      <c r="C1162" s="27" t="n">
        <v>0.9701</v>
      </c>
      <c r="D1162" s="27" t="n">
        <v>1.1083</v>
      </c>
      <c r="E1162" s="27" t="s">
        <v>603</v>
      </c>
      <c r="F1162" s="27" t="s">
        <v>145</v>
      </c>
      <c r="G1162" s="32" t="n">
        <f aca="false">(A1162-A1161)*86400000</f>
        <v>15.999586</v>
      </c>
      <c r="H1162" s="3"/>
      <c r="I1162" s="3"/>
      <c r="J1162" s="3"/>
      <c r="K1162" s="3"/>
      <c r="L1162" s="3"/>
      <c r="M1162" s="3"/>
    </row>
    <row r="1163" customFormat="false" ht="15" hidden="false" customHeight="false" outlineLevel="0" collapsed="false">
      <c r="A1163" s="28" t="n">
        <v>46301.5241652778</v>
      </c>
      <c r="B1163" s="31" t="n">
        <f aca="false">(A1163-$A$5)*86400</f>
        <v>44.242000021</v>
      </c>
      <c r="C1163" s="27" t="n">
        <v>0.971</v>
      </c>
      <c r="D1163" s="27" t="n">
        <v>1.1095</v>
      </c>
      <c r="E1163" s="27" t="s">
        <v>603</v>
      </c>
      <c r="F1163" s="27" t="s">
        <v>145</v>
      </c>
      <c r="G1163" s="32" t="n">
        <f aca="false">(A1163-A1162)*86400000</f>
        <v>16.000214</v>
      </c>
      <c r="H1163" s="3"/>
      <c r="I1163" s="3"/>
      <c r="J1163" s="3"/>
      <c r="K1163" s="3"/>
      <c r="L1163" s="3"/>
      <c r="M1163" s="3"/>
    </row>
    <row r="1164" customFormat="false" ht="15" hidden="false" customHeight="false" outlineLevel="0" collapsed="false">
      <c r="A1164" s="28" t="n">
        <v>46301.5241656481</v>
      </c>
      <c r="B1164" s="31" t="n">
        <f aca="false">(A1164-$A$5)*86400</f>
        <v>44.273999193</v>
      </c>
      <c r="C1164" s="27" t="n">
        <v>0.9725</v>
      </c>
      <c r="D1164" s="27" t="n">
        <v>1.1116</v>
      </c>
      <c r="E1164" s="27" t="s">
        <v>603</v>
      </c>
      <c r="F1164" s="27" t="s">
        <v>145</v>
      </c>
      <c r="G1164" s="32" t="n">
        <f aca="false">(A1164-A1163)*86400000</f>
        <v>31.999172</v>
      </c>
      <c r="H1164" s="3"/>
      <c r="I1164" s="3"/>
      <c r="J1164" s="3"/>
      <c r="K1164" s="3"/>
      <c r="L1164" s="3"/>
      <c r="M1164" s="3"/>
    </row>
    <row r="1165" customFormat="false" ht="15" hidden="false" customHeight="false" outlineLevel="0" collapsed="false">
      <c r="A1165" s="28" t="n">
        <v>46301.5241660185</v>
      </c>
      <c r="B1165" s="31" t="n">
        <f aca="false">(A1165-$A$5)*86400</f>
        <v>44.306000252</v>
      </c>
      <c r="C1165" s="27" t="n">
        <v>0.9736</v>
      </c>
      <c r="D1165" s="27" t="n">
        <v>1.113</v>
      </c>
      <c r="E1165" s="27" t="s">
        <v>603</v>
      </c>
      <c r="F1165" s="27" t="s">
        <v>145</v>
      </c>
      <c r="G1165" s="32" t="n">
        <f aca="false">(A1165-A1164)*86400000</f>
        <v>32.001058</v>
      </c>
      <c r="H1165" s="3"/>
      <c r="I1165" s="3"/>
      <c r="J1165" s="3"/>
      <c r="K1165" s="3"/>
      <c r="L1165" s="3"/>
      <c r="M1165" s="3"/>
    </row>
    <row r="1166" customFormat="false" ht="15" hidden="false" customHeight="false" outlineLevel="0" collapsed="false">
      <c r="A1166" s="28" t="n">
        <v>46301.5241662153</v>
      </c>
      <c r="B1166" s="31" t="n">
        <f aca="false">(A1166-$A$5)*86400</f>
        <v>44.323000009</v>
      </c>
      <c r="C1166" s="27" t="n">
        <v>0.974</v>
      </c>
      <c r="D1166" s="27" t="n">
        <v>1.1135</v>
      </c>
      <c r="E1166" s="27" t="s">
        <v>603</v>
      </c>
      <c r="F1166" s="27" t="s">
        <v>145</v>
      </c>
      <c r="G1166" s="32" t="n">
        <f aca="false">(A1166-A1165)*86400000</f>
        <v>16.999756</v>
      </c>
      <c r="H1166" s="3"/>
      <c r="I1166" s="3"/>
      <c r="J1166" s="3"/>
      <c r="K1166" s="3"/>
      <c r="L1166" s="3"/>
      <c r="M1166" s="3"/>
    </row>
    <row r="1167" customFormat="false" ht="15" hidden="false" customHeight="false" outlineLevel="0" collapsed="false">
      <c r="A1167" s="28" t="n">
        <v>46301.5241669676</v>
      </c>
      <c r="B1167" s="31" t="n">
        <f aca="false">(A1167-$A$5)*86400</f>
        <v>44.388001039</v>
      </c>
      <c r="C1167" s="27" t="n">
        <v>0.9758</v>
      </c>
      <c r="D1167" s="27" t="n">
        <v>1.1159</v>
      </c>
      <c r="E1167" s="27" t="s">
        <v>603</v>
      </c>
      <c r="F1167" s="27" t="s">
        <v>145</v>
      </c>
      <c r="G1167" s="32" t="n">
        <f aca="false">(A1167-A1166)*86400000</f>
        <v>65.00103</v>
      </c>
      <c r="H1167" s="3"/>
      <c r="I1167" s="3"/>
      <c r="J1167" s="3"/>
      <c r="K1167" s="3"/>
      <c r="L1167" s="3"/>
      <c r="M1167" s="3"/>
    </row>
    <row r="1168" customFormat="false" ht="15" hidden="false" customHeight="false" outlineLevel="0" collapsed="false">
      <c r="A1168" s="28" t="n">
        <v>46301.524181088</v>
      </c>
      <c r="B1168" s="31" t="n">
        <f aca="false">(A1168-$A$5)*86400</f>
        <v>45.607999828</v>
      </c>
      <c r="C1168" s="27" t="n">
        <v>0.9377</v>
      </c>
      <c r="D1168" s="27" t="n">
        <v>1.1606</v>
      </c>
      <c r="E1168" s="27" t="s">
        <v>603</v>
      </c>
      <c r="F1168" s="27" t="s">
        <v>145</v>
      </c>
      <c r="G1168" s="32" t="n">
        <f aca="false">(A1168-A1167)*86400000</f>
        <v>1219.998789</v>
      </c>
      <c r="H1168" s="3"/>
      <c r="I1168" s="3"/>
      <c r="J1168" s="3"/>
      <c r="K1168" s="3"/>
      <c r="L1168" s="3"/>
      <c r="M1168" s="3"/>
    </row>
    <row r="1169" customFormat="false" ht="15" hidden="false" customHeight="false" outlineLevel="0" collapsed="false">
      <c r="A1169" s="28" t="n">
        <v>46301.5241812732</v>
      </c>
      <c r="B1169" s="31" t="n">
        <f aca="false">(A1169-$A$5)*86400</f>
        <v>45.624000043</v>
      </c>
      <c r="C1169" s="27" t="n">
        <v>0.9063</v>
      </c>
      <c r="D1169" s="27" t="n">
        <v>1.1975</v>
      </c>
      <c r="E1169" s="27" t="s">
        <v>603</v>
      </c>
      <c r="F1169" s="27" t="s">
        <v>145</v>
      </c>
      <c r="G1169" s="32" t="n">
        <f aca="false">(A1169-A1168)*86400000</f>
        <v>16.000214</v>
      </c>
      <c r="H1169" s="3"/>
      <c r="I1169" s="3"/>
      <c r="J1169" s="3"/>
      <c r="K1169" s="3"/>
      <c r="L1169" s="3"/>
      <c r="M1169" s="3"/>
    </row>
    <row r="1170" customFormat="false" ht="15" hidden="false" customHeight="false" outlineLevel="0" collapsed="false">
      <c r="A1170" s="28" t="n">
        <v>46301.5241814583</v>
      </c>
      <c r="B1170" s="31" t="n">
        <f aca="false">(A1170-$A$5)*86400</f>
        <v>45.640000887</v>
      </c>
      <c r="C1170" s="27" t="n">
        <v>0.8804</v>
      </c>
      <c r="D1170" s="27" t="n">
        <v>1.228</v>
      </c>
      <c r="E1170" s="27" t="s">
        <v>603</v>
      </c>
      <c r="F1170" s="27" t="s">
        <v>145</v>
      </c>
      <c r="G1170" s="32" t="n">
        <f aca="false">(A1170-A1169)*86400000</f>
        <v>16.000843</v>
      </c>
      <c r="H1170" s="3"/>
      <c r="I1170" s="3"/>
      <c r="J1170" s="3"/>
      <c r="K1170" s="3"/>
      <c r="L1170" s="3"/>
      <c r="M1170" s="3"/>
    </row>
    <row r="1171" customFormat="false" ht="15" hidden="false" customHeight="false" outlineLevel="0" collapsed="false">
      <c r="A1171" s="28" t="n">
        <v>46301.5241816435</v>
      </c>
      <c r="B1171" s="31" t="n">
        <f aca="false">(A1171-$A$5)*86400</f>
        <v>45.656000473</v>
      </c>
      <c r="C1171" s="27" t="n">
        <v>0.859</v>
      </c>
      <c r="D1171" s="27" t="n">
        <v>1.2531</v>
      </c>
      <c r="E1171" s="27" t="s">
        <v>603</v>
      </c>
      <c r="F1171" s="27" t="s">
        <v>145</v>
      </c>
      <c r="G1171" s="32" t="n">
        <f aca="false">(A1171-A1170)*86400000</f>
        <v>15.999586</v>
      </c>
      <c r="H1171" s="3"/>
      <c r="I1171" s="3"/>
      <c r="J1171" s="3"/>
      <c r="K1171" s="3"/>
      <c r="L1171" s="3"/>
      <c r="M1171" s="3"/>
    </row>
    <row r="1172" customFormat="false" ht="15" hidden="false" customHeight="false" outlineLevel="0" collapsed="false">
      <c r="A1172" s="28" t="n">
        <v>46301.5241818287</v>
      </c>
      <c r="B1172" s="31" t="n">
        <f aca="false">(A1172-$A$5)*86400</f>
        <v>45.672000059</v>
      </c>
      <c r="C1172" s="27" t="n">
        <v>0.8413</v>
      </c>
      <c r="D1172" s="27" t="n">
        <v>1.2739</v>
      </c>
      <c r="E1172" s="27" t="s">
        <v>603</v>
      </c>
      <c r="F1172" s="27" t="s">
        <v>145</v>
      </c>
      <c r="G1172" s="32" t="n">
        <f aca="false">(A1172-A1171)*86400000</f>
        <v>15.999586</v>
      </c>
      <c r="H1172" s="3"/>
      <c r="I1172" s="3"/>
      <c r="J1172" s="3"/>
      <c r="K1172" s="3"/>
      <c r="L1172" s="3"/>
      <c r="M1172" s="3"/>
    </row>
    <row r="1173" customFormat="false" ht="15" hidden="false" customHeight="false" outlineLevel="0" collapsed="false">
      <c r="A1173" s="28" t="n">
        <v>46301.5241820139</v>
      </c>
      <c r="B1173" s="31" t="n">
        <f aca="false">(A1173-$A$5)*86400</f>
        <v>45.688000274</v>
      </c>
      <c r="C1173" s="27" t="n">
        <v>0.8267</v>
      </c>
      <c r="D1173" s="27" t="n">
        <v>1.291</v>
      </c>
      <c r="E1173" s="27" t="s">
        <v>603</v>
      </c>
      <c r="F1173" s="27" t="s">
        <v>145</v>
      </c>
      <c r="G1173" s="32" t="n">
        <f aca="false">(A1173-A1172)*86400000</f>
        <v>16.000214</v>
      </c>
      <c r="H1173" s="3"/>
      <c r="I1173" s="3"/>
      <c r="J1173" s="3"/>
      <c r="K1173" s="3"/>
      <c r="L1173" s="3"/>
      <c r="M1173" s="3"/>
    </row>
    <row r="1174" customFormat="false" ht="15" hidden="false" customHeight="false" outlineLevel="0" collapsed="false">
      <c r="A1174" s="28" t="n">
        <v>46301.5241821991</v>
      </c>
      <c r="B1174" s="31" t="n">
        <f aca="false">(A1174-$A$5)*86400</f>
        <v>45.703999861</v>
      </c>
      <c r="C1174" s="27" t="n">
        <v>0.8147</v>
      </c>
      <c r="D1174" s="27" t="n">
        <v>1.3051</v>
      </c>
      <c r="E1174" s="27" t="s">
        <v>603</v>
      </c>
      <c r="F1174" s="27" t="s">
        <v>145</v>
      </c>
      <c r="G1174" s="32" t="n">
        <f aca="false">(A1174-A1173)*86400000</f>
        <v>15.999586</v>
      </c>
      <c r="H1174" s="3"/>
      <c r="I1174" s="3"/>
      <c r="J1174" s="3"/>
      <c r="K1174" s="3"/>
      <c r="L1174" s="3"/>
      <c r="M1174" s="3"/>
    </row>
    <row r="1175" customFormat="false" ht="15" hidden="false" customHeight="false" outlineLevel="0" collapsed="false">
      <c r="A1175" s="28" t="n">
        <v>46301.5241823843</v>
      </c>
      <c r="B1175" s="31" t="n">
        <f aca="false">(A1175-$A$5)*86400</f>
        <v>45.720000076</v>
      </c>
      <c r="C1175" s="27" t="n">
        <v>0.8048</v>
      </c>
      <c r="D1175" s="27" t="n">
        <v>1.3168</v>
      </c>
      <c r="E1175" s="27" t="s">
        <v>603</v>
      </c>
      <c r="F1175" s="27" t="s">
        <v>145</v>
      </c>
      <c r="G1175" s="32" t="n">
        <f aca="false">(A1175-A1174)*86400000</f>
        <v>16.000214</v>
      </c>
      <c r="H1175" s="3"/>
      <c r="I1175" s="3"/>
      <c r="J1175" s="3"/>
      <c r="K1175" s="3"/>
      <c r="L1175" s="3"/>
      <c r="M1175" s="3"/>
    </row>
    <row r="1176" customFormat="false" ht="15" hidden="false" customHeight="false" outlineLevel="0" collapsed="false">
      <c r="A1176" s="28" t="n">
        <v>46301.5241825695</v>
      </c>
      <c r="B1176" s="31" t="n">
        <f aca="false">(A1176-$A$5)*86400</f>
        <v>45.736000291</v>
      </c>
      <c r="C1176" s="27" t="n">
        <v>0.7966</v>
      </c>
      <c r="D1176" s="27" t="n">
        <v>1.3264</v>
      </c>
      <c r="E1176" s="27" t="s">
        <v>603</v>
      </c>
      <c r="F1176" s="27" t="s">
        <v>145</v>
      </c>
      <c r="G1176" s="32" t="n">
        <f aca="false">(A1176-A1175)*86400000</f>
        <v>16.000214</v>
      </c>
      <c r="H1176" s="3"/>
      <c r="I1176" s="3"/>
      <c r="J1176" s="3"/>
      <c r="K1176" s="3"/>
      <c r="L1176" s="3"/>
      <c r="M1176" s="3"/>
    </row>
    <row r="1177" customFormat="false" ht="15" hidden="false" customHeight="false" outlineLevel="0" collapsed="false">
      <c r="A1177" s="28" t="n">
        <v>46301.5241827546</v>
      </c>
      <c r="B1177" s="31" t="n">
        <f aca="false">(A1177-$A$5)*86400</f>
        <v>45.751999877</v>
      </c>
      <c r="C1177" s="27" t="n">
        <v>0.7898</v>
      </c>
      <c r="D1177" s="27" t="n">
        <v>1.3344</v>
      </c>
      <c r="E1177" s="27" t="s">
        <v>603</v>
      </c>
      <c r="F1177" s="27" t="s">
        <v>145</v>
      </c>
      <c r="G1177" s="32" t="n">
        <f aca="false">(A1177-A1176)*86400000</f>
        <v>15.999586</v>
      </c>
      <c r="H1177" s="3"/>
      <c r="I1177" s="3"/>
      <c r="J1177" s="3"/>
      <c r="K1177" s="3"/>
      <c r="L1177" s="3"/>
      <c r="M1177" s="3"/>
    </row>
    <row r="1178" customFormat="false" ht="15" hidden="false" customHeight="false" outlineLevel="0" collapsed="false">
      <c r="A1178" s="28" t="n">
        <v>46301.5241829398</v>
      </c>
      <c r="B1178" s="31" t="n">
        <f aca="false">(A1178-$A$5)*86400</f>
        <v>45.767999463</v>
      </c>
      <c r="C1178" s="27" t="n">
        <v>0.7842</v>
      </c>
      <c r="D1178" s="27" t="n">
        <v>1.3409</v>
      </c>
      <c r="E1178" s="27" t="s">
        <v>603</v>
      </c>
      <c r="F1178" s="27" t="s">
        <v>145</v>
      </c>
      <c r="G1178" s="32" t="n">
        <f aca="false">(A1178-A1177)*86400000</f>
        <v>15.999586</v>
      </c>
      <c r="H1178" s="3"/>
      <c r="I1178" s="3"/>
      <c r="J1178" s="3"/>
      <c r="K1178" s="3"/>
      <c r="L1178" s="3"/>
      <c r="M1178" s="3"/>
    </row>
    <row r="1179" customFormat="false" ht="15" hidden="false" customHeight="false" outlineLevel="0" collapsed="false">
      <c r="A1179" s="28" t="n">
        <v>46301.524183125</v>
      </c>
      <c r="B1179" s="31" t="n">
        <f aca="false">(A1179-$A$5)*86400</f>
        <v>45.784000307</v>
      </c>
      <c r="C1179" s="27" t="n">
        <v>0.7796</v>
      </c>
      <c r="D1179" s="27" t="n">
        <v>1.3463</v>
      </c>
      <c r="E1179" s="27" t="s">
        <v>603</v>
      </c>
      <c r="F1179" s="27" t="s">
        <v>145</v>
      </c>
      <c r="G1179" s="32" t="n">
        <f aca="false">(A1179-A1178)*86400000</f>
        <v>16.000843</v>
      </c>
      <c r="H1179" s="3"/>
      <c r="I1179" s="3"/>
      <c r="J1179" s="3"/>
      <c r="K1179" s="3"/>
      <c r="L1179" s="3"/>
      <c r="M1179" s="3"/>
    </row>
    <row r="1180" customFormat="false" ht="15" hidden="false" customHeight="false" outlineLevel="0" collapsed="false">
      <c r="A1180" s="28" t="n">
        <v>46301.5241833102</v>
      </c>
      <c r="B1180" s="31" t="n">
        <f aca="false">(A1180-$A$5)*86400</f>
        <v>45.799999893</v>
      </c>
      <c r="C1180" s="27" t="n">
        <v>0.7758</v>
      </c>
      <c r="D1180" s="27" t="n">
        <v>1.3508</v>
      </c>
      <c r="E1180" s="27" t="s">
        <v>603</v>
      </c>
      <c r="F1180" s="27" t="s">
        <v>145</v>
      </c>
      <c r="G1180" s="32" t="n">
        <f aca="false">(A1180-A1179)*86400000</f>
        <v>15.999586</v>
      </c>
      <c r="H1180" s="3"/>
      <c r="I1180" s="3"/>
      <c r="J1180" s="3"/>
      <c r="K1180" s="3"/>
      <c r="L1180" s="3"/>
      <c r="M1180" s="3"/>
    </row>
    <row r="1181" customFormat="false" ht="15" hidden="false" customHeight="false" outlineLevel="0" collapsed="false">
      <c r="A1181" s="28" t="n">
        <v>46301.5241834954</v>
      </c>
      <c r="B1181" s="31" t="n">
        <f aca="false">(A1181-$A$5)*86400</f>
        <v>45.816000108</v>
      </c>
      <c r="C1181" s="27" t="n">
        <v>0.7727</v>
      </c>
      <c r="D1181" s="27" t="n">
        <v>1.3545</v>
      </c>
      <c r="E1181" s="27" t="s">
        <v>603</v>
      </c>
      <c r="F1181" s="27" t="s">
        <v>145</v>
      </c>
      <c r="G1181" s="32" t="n">
        <f aca="false">(A1181-A1180)*86400000</f>
        <v>16.000214</v>
      </c>
      <c r="H1181" s="3"/>
      <c r="I1181" s="3"/>
      <c r="J1181" s="3"/>
      <c r="K1181" s="3"/>
      <c r="L1181" s="3"/>
      <c r="M1181" s="3"/>
    </row>
    <row r="1182" customFormat="false" ht="15" hidden="false" customHeight="false" outlineLevel="0" collapsed="false">
      <c r="A1182" s="28" t="n">
        <v>46301.5241836806</v>
      </c>
      <c r="B1182" s="31" t="n">
        <f aca="false">(A1182-$A$5)*86400</f>
        <v>45.832000323</v>
      </c>
      <c r="C1182" s="27" t="n">
        <v>0.7701</v>
      </c>
      <c r="D1182" s="27" t="n">
        <v>1.3575</v>
      </c>
      <c r="E1182" s="27" t="s">
        <v>603</v>
      </c>
      <c r="F1182" s="27" t="s">
        <v>145</v>
      </c>
      <c r="G1182" s="32" t="n">
        <f aca="false">(A1182-A1181)*86400000</f>
        <v>16.000214</v>
      </c>
      <c r="H1182" s="3"/>
      <c r="I1182" s="3"/>
      <c r="J1182" s="3"/>
      <c r="K1182" s="3"/>
      <c r="L1182" s="3"/>
      <c r="M1182" s="3"/>
    </row>
    <row r="1183" customFormat="false" ht="15" hidden="false" customHeight="false" outlineLevel="0" collapsed="false">
      <c r="A1183" s="28" t="n">
        <v>46301.5241838657</v>
      </c>
      <c r="B1183" s="31" t="n">
        <f aca="false">(A1183-$A$5)*86400</f>
        <v>45.847999909</v>
      </c>
      <c r="C1183" s="27" t="n">
        <v>0.7679</v>
      </c>
      <c r="D1183" s="27" t="n">
        <v>1.36</v>
      </c>
      <c r="E1183" s="27" t="s">
        <v>603</v>
      </c>
      <c r="F1183" s="27" t="s">
        <v>145</v>
      </c>
      <c r="G1183" s="32" t="n">
        <f aca="false">(A1183-A1182)*86400000</f>
        <v>15.999586</v>
      </c>
      <c r="H1183" s="3"/>
      <c r="I1183" s="3"/>
      <c r="J1183" s="3"/>
      <c r="K1183" s="3"/>
      <c r="L1183" s="3"/>
      <c r="M1183" s="3"/>
    </row>
    <row r="1184" customFormat="false" ht="15" hidden="false" customHeight="false" outlineLevel="0" collapsed="false">
      <c r="A1184" s="28" t="n">
        <v>46301.5241840509</v>
      </c>
      <c r="B1184" s="31" t="n">
        <f aca="false">(A1184-$A$5)*86400</f>
        <v>45.864000753</v>
      </c>
      <c r="C1184" s="27" t="n">
        <v>0.7662</v>
      </c>
      <c r="D1184" s="27" t="n">
        <v>1.3621</v>
      </c>
      <c r="E1184" s="27" t="s">
        <v>603</v>
      </c>
      <c r="F1184" s="27" t="s">
        <v>145</v>
      </c>
      <c r="G1184" s="32" t="n">
        <f aca="false">(A1184-A1183)*86400000</f>
        <v>16.000843</v>
      </c>
      <c r="H1184" s="3"/>
      <c r="I1184" s="3"/>
      <c r="J1184" s="3"/>
      <c r="K1184" s="3"/>
      <c r="L1184" s="3"/>
      <c r="M1184" s="3"/>
    </row>
    <row r="1185" customFormat="false" ht="15" hidden="false" customHeight="false" outlineLevel="0" collapsed="false">
      <c r="A1185" s="28" t="n">
        <v>46301.5241842361</v>
      </c>
      <c r="B1185" s="31" t="n">
        <f aca="false">(A1185-$A$5)*86400</f>
        <v>45.879999711</v>
      </c>
      <c r="C1185" s="27" t="n">
        <v>0.7647</v>
      </c>
      <c r="D1185" s="27" t="n">
        <v>1.3638</v>
      </c>
      <c r="E1185" s="27" t="s">
        <v>603</v>
      </c>
      <c r="F1185" s="27" t="s">
        <v>145</v>
      </c>
      <c r="G1185" s="32" t="n">
        <f aca="false">(A1185-A1184)*86400000</f>
        <v>15.998957</v>
      </c>
      <c r="H1185" s="3"/>
      <c r="I1185" s="3"/>
      <c r="J1185" s="3"/>
      <c r="K1185" s="3"/>
      <c r="L1185" s="3"/>
      <c r="M1185" s="3"/>
    </row>
    <row r="1186" customFormat="false" ht="15" hidden="false" customHeight="false" outlineLevel="0" collapsed="false">
      <c r="A1186" s="28" t="n">
        <v>46301.5241844213</v>
      </c>
      <c r="B1186" s="31" t="n">
        <f aca="false">(A1186-$A$5)*86400</f>
        <v>45.895999297</v>
      </c>
      <c r="C1186" s="27" t="n">
        <v>0.7635</v>
      </c>
      <c r="D1186" s="27" t="n">
        <v>1.3652</v>
      </c>
      <c r="E1186" s="27" t="s">
        <v>603</v>
      </c>
      <c r="F1186" s="27" t="s">
        <v>145</v>
      </c>
      <c r="G1186" s="32" t="n">
        <f aca="false">(A1186-A1185)*86400000</f>
        <v>15.999586</v>
      </c>
      <c r="H1186" s="3"/>
      <c r="I1186" s="3"/>
      <c r="J1186" s="3"/>
      <c r="K1186" s="3"/>
      <c r="L1186" s="3"/>
      <c r="M1186" s="3"/>
    </row>
    <row r="1187" customFormat="false" ht="15" hidden="false" customHeight="false" outlineLevel="0" collapsed="false">
      <c r="A1187" s="28" t="n">
        <v>46301.5241846065</v>
      </c>
      <c r="B1187" s="31" t="n">
        <f aca="false">(A1187-$A$5)*86400</f>
        <v>45.912000141</v>
      </c>
      <c r="C1187" s="27" t="n">
        <v>0.7625</v>
      </c>
      <c r="D1187" s="27" t="n">
        <v>1.3664</v>
      </c>
      <c r="E1187" s="27" t="s">
        <v>603</v>
      </c>
      <c r="F1187" s="27" t="s">
        <v>145</v>
      </c>
      <c r="G1187" s="32" t="n">
        <f aca="false">(A1187-A1186)*86400000</f>
        <v>16.000843</v>
      </c>
      <c r="H1187" s="3"/>
      <c r="I1187" s="3"/>
      <c r="J1187" s="3"/>
      <c r="K1187" s="3"/>
      <c r="L1187" s="3"/>
      <c r="M1187" s="3"/>
    </row>
    <row r="1188" customFormat="false" ht="15" hidden="false" customHeight="false" outlineLevel="0" collapsed="false">
      <c r="A1188" s="28" t="n">
        <v>46301.5241847917</v>
      </c>
      <c r="B1188" s="31" t="n">
        <f aca="false">(A1188-$A$5)*86400</f>
        <v>45.928000356</v>
      </c>
      <c r="C1188" s="27" t="n">
        <v>0.7617</v>
      </c>
      <c r="D1188" s="27" t="n">
        <v>1.3674</v>
      </c>
      <c r="E1188" s="27" t="s">
        <v>603</v>
      </c>
      <c r="F1188" s="27" t="s">
        <v>145</v>
      </c>
      <c r="G1188" s="32" t="n">
        <f aca="false">(A1188-A1187)*86400000</f>
        <v>16.000214</v>
      </c>
      <c r="H1188" s="3"/>
      <c r="I1188" s="3"/>
      <c r="J1188" s="3"/>
      <c r="K1188" s="3"/>
      <c r="L1188" s="3"/>
      <c r="M1188" s="3"/>
    </row>
    <row r="1189" customFormat="false" ht="15" hidden="false" customHeight="false" outlineLevel="0" collapsed="false">
      <c r="A1189" s="28" t="n">
        <v>46301.5241849769</v>
      </c>
      <c r="B1189" s="31" t="n">
        <f aca="false">(A1189-$A$5)*86400</f>
        <v>45.943999942</v>
      </c>
      <c r="C1189" s="27" t="n">
        <v>0.761</v>
      </c>
      <c r="D1189" s="27" t="n">
        <v>1.3682</v>
      </c>
      <c r="E1189" s="27" t="s">
        <v>603</v>
      </c>
      <c r="F1189" s="27" t="s">
        <v>145</v>
      </c>
      <c r="G1189" s="32" t="n">
        <f aca="false">(A1189-A1188)*86400000</f>
        <v>15.999586</v>
      </c>
      <c r="H1189" s="3"/>
      <c r="I1189" s="3"/>
      <c r="J1189" s="3"/>
      <c r="K1189" s="3"/>
      <c r="L1189" s="3"/>
      <c r="M1189" s="3"/>
    </row>
    <row r="1190" customFormat="false" ht="15" hidden="false" customHeight="false" outlineLevel="0" collapsed="false">
      <c r="A1190" s="28" t="n">
        <v>46301.5241853704</v>
      </c>
      <c r="B1190" s="31" t="n">
        <f aca="false">(A1190-$A$5)*86400</f>
        <v>45.978000084</v>
      </c>
      <c r="C1190" s="27" t="n">
        <v>0.76</v>
      </c>
      <c r="D1190" s="27" t="n">
        <v>1.3694</v>
      </c>
      <c r="E1190" s="27" t="s">
        <v>603</v>
      </c>
      <c r="F1190" s="27" t="s">
        <v>145</v>
      </c>
      <c r="G1190" s="32" t="n">
        <f aca="false">(A1190-A1189)*86400000</f>
        <v>34.000142</v>
      </c>
      <c r="H1190" s="3"/>
      <c r="I1190" s="3"/>
      <c r="J1190" s="3"/>
      <c r="K1190" s="3"/>
      <c r="L1190" s="3"/>
      <c r="M1190" s="3"/>
    </row>
    <row r="1191" customFormat="false" ht="15" hidden="false" customHeight="false" outlineLevel="0" collapsed="false">
      <c r="A1191" s="28" t="n">
        <v>46301.5241855556</v>
      </c>
      <c r="B1191" s="31" t="n">
        <f aca="false">(A1191-$A$5)*86400</f>
        <v>45.994000299</v>
      </c>
      <c r="C1191" s="27" t="n">
        <v>0.7596</v>
      </c>
      <c r="D1191" s="27" t="n">
        <v>1.3698</v>
      </c>
      <c r="E1191" s="27" t="s">
        <v>603</v>
      </c>
      <c r="F1191" s="27" t="s">
        <v>145</v>
      </c>
      <c r="G1191" s="32" t="n">
        <f aca="false">(A1191-A1190)*86400000</f>
        <v>16.000214</v>
      </c>
      <c r="H1191" s="3"/>
      <c r="I1191" s="3"/>
      <c r="J1191" s="3"/>
      <c r="K1191" s="3"/>
      <c r="L1191" s="3"/>
      <c r="M1191" s="3"/>
    </row>
    <row r="1192" customFormat="false" ht="15" hidden="false" customHeight="false" outlineLevel="0" collapsed="false">
      <c r="A1192" s="28" t="n">
        <v>46301.5241860995</v>
      </c>
      <c r="B1192" s="31" t="n">
        <f aca="false">(A1192-$A$5)*86400</f>
        <v>46.041000145</v>
      </c>
      <c r="C1192" s="27" t="n">
        <v>0.7578</v>
      </c>
      <c r="D1192" s="27" t="n">
        <v>1.3719</v>
      </c>
      <c r="E1192" s="27" t="s">
        <v>603</v>
      </c>
      <c r="F1192" s="27" t="s">
        <v>145</v>
      </c>
      <c r="G1192" s="32" t="n">
        <f aca="false">(A1192-A1191)*86400000</f>
        <v>46.999845</v>
      </c>
      <c r="H1192" s="3"/>
      <c r="I1192" s="3"/>
      <c r="J1192" s="3"/>
      <c r="K1192" s="3"/>
      <c r="L1192" s="3"/>
      <c r="M1192" s="3"/>
    </row>
    <row r="1193" customFormat="false" ht="15" hidden="false" customHeight="false" outlineLevel="0" collapsed="false">
      <c r="A1193" s="28" t="n">
        <v>46301.5241881713</v>
      </c>
      <c r="B1193" s="31" t="n">
        <f aca="false">(A1193-$A$5)*86400</f>
        <v>46.21999925</v>
      </c>
      <c r="C1193" s="27" t="n">
        <v>0.7558</v>
      </c>
      <c r="D1193" s="27" t="n">
        <v>1.3743</v>
      </c>
      <c r="E1193" s="27" t="s">
        <v>603</v>
      </c>
      <c r="F1193" s="27" t="s">
        <v>145</v>
      </c>
      <c r="G1193" s="32" t="n">
        <f aca="false">(A1193-A1192)*86400000</f>
        <v>178.999104</v>
      </c>
      <c r="H1193" s="3"/>
      <c r="I1193" s="3"/>
      <c r="J1193" s="3"/>
      <c r="K1193" s="3"/>
      <c r="L1193" s="3"/>
      <c r="M1193" s="3"/>
    </row>
    <row r="1194" customFormat="false" ht="15" hidden="false" customHeight="false" outlineLevel="0" collapsed="false">
      <c r="A1194" s="28" t="n">
        <v>46301.5241883449</v>
      </c>
      <c r="B1194" s="31" t="n">
        <f aca="false">(A1194-$A$5)*86400</f>
        <v>46.235000551</v>
      </c>
      <c r="C1194" s="27" t="n">
        <v>0.7541</v>
      </c>
      <c r="D1194" s="27" t="n">
        <v>1.3763</v>
      </c>
      <c r="E1194" s="27" t="s">
        <v>603</v>
      </c>
      <c r="F1194" s="27" t="s">
        <v>145</v>
      </c>
      <c r="G1194" s="32" t="n">
        <f aca="false">(A1194-A1193)*86400000</f>
        <v>15.001301</v>
      </c>
      <c r="H1194" s="3"/>
      <c r="I1194" s="3"/>
      <c r="J1194" s="3"/>
      <c r="K1194" s="3"/>
      <c r="L1194" s="3"/>
      <c r="M1194" s="3"/>
    </row>
    <row r="1195" customFormat="false" ht="15" hidden="false" customHeight="false" outlineLevel="0" collapsed="false">
      <c r="A1195" s="28" t="n">
        <v>46301.5241885301</v>
      </c>
      <c r="B1195" s="31" t="n">
        <f aca="false">(A1195-$A$5)*86400</f>
        <v>46.251000137</v>
      </c>
      <c r="C1195" s="27" t="n">
        <v>0.7527</v>
      </c>
      <c r="D1195" s="27" t="n">
        <v>1.3779</v>
      </c>
      <c r="E1195" s="27" t="s">
        <v>603</v>
      </c>
      <c r="F1195" s="27" t="s">
        <v>145</v>
      </c>
      <c r="G1195" s="32" t="n">
        <f aca="false">(A1195-A1194)*86400000</f>
        <v>15.999586</v>
      </c>
      <c r="H1195" s="3"/>
      <c r="I1195" s="3"/>
      <c r="J1195" s="3"/>
      <c r="K1195" s="3"/>
      <c r="L1195" s="3"/>
      <c r="M1195" s="3"/>
    </row>
    <row r="1196" customFormat="false" ht="15" hidden="false" customHeight="false" outlineLevel="0" collapsed="false">
      <c r="A1196" s="28" t="n">
        <v>46301.5241887153</v>
      </c>
      <c r="B1196" s="31" t="n">
        <f aca="false">(A1196-$A$5)*86400</f>
        <v>46.267000352</v>
      </c>
      <c r="C1196" s="27" t="n">
        <v>0.7516</v>
      </c>
      <c r="D1196" s="27" t="n">
        <v>1.3793</v>
      </c>
      <c r="E1196" s="27" t="s">
        <v>603</v>
      </c>
      <c r="F1196" s="27" t="s">
        <v>145</v>
      </c>
      <c r="G1196" s="32" t="n">
        <f aca="false">(A1196-A1195)*86400000</f>
        <v>16.000214</v>
      </c>
      <c r="H1196" s="3"/>
      <c r="I1196" s="3"/>
      <c r="J1196" s="3"/>
      <c r="K1196" s="3"/>
      <c r="L1196" s="3"/>
      <c r="M1196" s="3"/>
    </row>
    <row r="1197" customFormat="false" ht="15" hidden="false" customHeight="false" outlineLevel="0" collapsed="false">
      <c r="A1197" s="28" t="n">
        <v>46301.5241890857</v>
      </c>
      <c r="B1197" s="31" t="n">
        <f aca="false">(A1197-$A$5)*86400</f>
        <v>46.299000154</v>
      </c>
      <c r="C1197" s="27" t="n">
        <v>0.7499</v>
      </c>
      <c r="D1197" s="27" t="n">
        <v>1.3813</v>
      </c>
      <c r="E1197" s="27" t="s">
        <v>603</v>
      </c>
      <c r="F1197" s="27" t="s">
        <v>145</v>
      </c>
      <c r="G1197" s="32" t="n">
        <f aca="false">(A1197-A1196)*86400000</f>
        <v>31.999801</v>
      </c>
      <c r="H1197" s="3"/>
      <c r="I1197" s="3"/>
      <c r="J1197" s="3"/>
      <c r="K1197" s="3"/>
      <c r="L1197" s="3"/>
      <c r="M1197" s="3"/>
    </row>
    <row r="1198" customFormat="false" ht="15" hidden="false" customHeight="false" outlineLevel="0" collapsed="false">
      <c r="A1198" s="28" t="n">
        <v>46301.524189456</v>
      </c>
      <c r="B1198" s="31" t="n">
        <f aca="false">(A1198-$A$5)*86400</f>
        <v>46.330999955</v>
      </c>
      <c r="C1198" s="27" t="n">
        <v>0.7487</v>
      </c>
      <c r="D1198" s="27" t="n">
        <v>1.3827</v>
      </c>
      <c r="E1198" s="27" t="s">
        <v>603</v>
      </c>
      <c r="F1198" s="27" t="s">
        <v>145</v>
      </c>
      <c r="G1198" s="32" t="n">
        <f aca="false">(A1198-A1197)*86400000</f>
        <v>31.999801</v>
      </c>
      <c r="H1198" s="3"/>
      <c r="I1198" s="3"/>
      <c r="J1198" s="3"/>
      <c r="K1198" s="3"/>
      <c r="L1198" s="3"/>
      <c r="M1198" s="3"/>
    </row>
    <row r="1199" customFormat="false" ht="15" hidden="false" customHeight="false" outlineLevel="0" collapsed="false">
      <c r="A1199" s="28" t="n">
        <v>46301.5241896412</v>
      </c>
      <c r="B1199" s="31" t="n">
        <f aca="false">(A1199-$A$5)*86400</f>
        <v>46.346999541</v>
      </c>
      <c r="C1199" s="27" t="n">
        <v>0.7482</v>
      </c>
      <c r="D1199" s="27" t="n">
        <v>1.3832</v>
      </c>
      <c r="E1199" s="27" t="s">
        <v>603</v>
      </c>
      <c r="F1199" s="27" t="s">
        <v>145</v>
      </c>
      <c r="G1199" s="32" t="n">
        <f aca="false">(A1199-A1198)*86400000</f>
        <v>15.999586</v>
      </c>
      <c r="H1199" s="3"/>
      <c r="I1199" s="3"/>
      <c r="J1199" s="3"/>
      <c r="K1199" s="3"/>
      <c r="L1199" s="3"/>
      <c r="M1199" s="3"/>
    </row>
    <row r="1200" customFormat="false" ht="15" hidden="false" customHeight="false" outlineLevel="0" collapsed="false">
      <c r="A1200" s="28" t="n">
        <v>46301.524190382</v>
      </c>
      <c r="B1200" s="31" t="n">
        <f aca="false">(A1200-$A$5)*86400</f>
        <v>46.411000401</v>
      </c>
      <c r="C1200" s="27" t="n">
        <v>0.7462</v>
      </c>
      <c r="D1200" s="27" t="n">
        <v>1.3856</v>
      </c>
      <c r="E1200" s="27" t="s">
        <v>603</v>
      </c>
      <c r="F1200" s="27" t="s">
        <v>145</v>
      </c>
      <c r="G1200" s="32" t="n">
        <f aca="false">(A1200-A1199)*86400000</f>
        <v>64.000859</v>
      </c>
      <c r="H1200" s="3"/>
      <c r="I1200" s="3"/>
      <c r="J1200" s="3"/>
      <c r="K1200" s="3"/>
      <c r="L1200" s="3"/>
      <c r="M1200" s="3"/>
    </row>
    <row r="1201" customFormat="false" ht="15" hidden="false" customHeight="false" outlineLevel="0" collapsed="false">
      <c r="A1201" s="28" t="n">
        <v>46301.5241946412</v>
      </c>
      <c r="B1201" s="31" t="n">
        <f aca="false">(A1201-$A$5)*86400</f>
        <v>46.779000945</v>
      </c>
      <c r="C1201" s="27" t="n">
        <v>0.7887</v>
      </c>
      <c r="D1201" s="27" t="n">
        <v>1.4386</v>
      </c>
      <c r="E1201" s="27" t="s">
        <v>603</v>
      </c>
      <c r="F1201" s="27" t="s">
        <v>145</v>
      </c>
      <c r="G1201" s="32" t="n">
        <f aca="false">(A1201-A1200)*86400000</f>
        <v>368.000543</v>
      </c>
      <c r="H1201" s="3"/>
      <c r="I1201" s="3"/>
      <c r="J1201" s="3"/>
      <c r="K1201" s="3"/>
      <c r="L1201" s="3"/>
      <c r="M1201" s="3"/>
    </row>
    <row r="1202" customFormat="false" ht="15" hidden="false" customHeight="false" outlineLevel="0" collapsed="false">
      <c r="A1202" s="28" t="n">
        <v>46301.5241948264</v>
      </c>
      <c r="B1202" s="31" t="n">
        <f aca="false">(A1202-$A$5)*86400</f>
        <v>46.794999903</v>
      </c>
      <c r="C1202" s="27" t="n">
        <v>0.8238</v>
      </c>
      <c r="D1202" s="27" t="n">
        <v>1.4824</v>
      </c>
      <c r="E1202" s="27" t="s">
        <v>603</v>
      </c>
      <c r="F1202" s="27" t="s">
        <v>145</v>
      </c>
      <c r="G1202" s="32" t="n">
        <f aca="false">(A1202-A1201)*86400000</f>
        <v>15.998957</v>
      </c>
      <c r="H1202" s="3"/>
      <c r="I1202" s="3"/>
      <c r="J1202" s="3"/>
      <c r="K1202" s="3"/>
      <c r="L1202" s="3"/>
      <c r="M1202" s="3"/>
    </row>
    <row r="1203" customFormat="false" ht="15" hidden="false" customHeight="false" outlineLevel="0" collapsed="false">
      <c r="A1203" s="28" t="n">
        <v>46301.5241950116</v>
      </c>
      <c r="B1203" s="31" t="n">
        <f aca="false">(A1203-$A$5)*86400</f>
        <v>46.810999489</v>
      </c>
      <c r="C1203" s="27" t="n">
        <v>0.8528</v>
      </c>
      <c r="D1203" s="27" t="n">
        <v>1.5185</v>
      </c>
      <c r="E1203" s="27" t="s">
        <v>603</v>
      </c>
      <c r="F1203" s="27" t="s">
        <v>145</v>
      </c>
      <c r="G1203" s="32" t="n">
        <f aca="false">(A1203-A1202)*86400000</f>
        <v>15.999586</v>
      </c>
      <c r="H1203" s="3"/>
      <c r="I1203" s="3"/>
      <c r="J1203" s="3"/>
      <c r="K1203" s="3"/>
      <c r="L1203" s="3"/>
      <c r="M1203" s="3"/>
    </row>
    <row r="1204" customFormat="false" ht="15" hidden="false" customHeight="false" outlineLevel="0" collapsed="false">
      <c r="A1204" s="28" t="n">
        <v>46301.5241951968</v>
      </c>
      <c r="B1204" s="31" t="n">
        <f aca="false">(A1204-$A$5)*86400</f>
        <v>46.827000332</v>
      </c>
      <c r="C1204" s="27" t="n">
        <v>0.8767</v>
      </c>
      <c r="D1204" s="27" t="n">
        <v>1.5483</v>
      </c>
      <c r="E1204" s="27" t="s">
        <v>603</v>
      </c>
      <c r="F1204" s="27" t="s">
        <v>145</v>
      </c>
      <c r="G1204" s="32" t="n">
        <f aca="false">(A1204-A1203)*86400000</f>
        <v>16.000843</v>
      </c>
      <c r="H1204" s="3"/>
      <c r="I1204" s="3"/>
      <c r="J1204" s="3"/>
      <c r="K1204" s="3"/>
      <c r="L1204" s="3"/>
      <c r="M1204" s="3"/>
    </row>
    <row r="1205" customFormat="false" ht="15" hidden="false" customHeight="false" outlineLevel="0" collapsed="false">
      <c r="A1205" s="28" t="n">
        <v>46301.5241953819</v>
      </c>
      <c r="B1205" s="31" t="n">
        <f aca="false">(A1205-$A$5)*86400</f>
        <v>46.842999919</v>
      </c>
      <c r="C1205" s="27" t="n">
        <v>0.8965</v>
      </c>
      <c r="D1205" s="27" t="n">
        <v>1.5729</v>
      </c>
      <c r="E1205" s="27" t="s">
        <v>603</v>
      </c>
      <c r="F1205" s="27" t="s">
        <v>145</v>
      </c>
      <c r="G1205" s="32" t="n">
        <f aca="false">(A1205-A1204)*86400000</f>
        <v>15.999586</v>
      </c>
      <c r="H1205" s="3"/>
      <c r="I1205" s="3"/>
      <c r="J1205" s="3"/>
      <c r="K1205" s="3"/>
      <c r="L1205" s="3"/>
      <c r="M1205" s="3"/>
    </row>
    <row r="1206" customFormat="false" ht="15" hidden="false" customHeight="false" outlineLevel="0" collapsed="false">
      <c r="A1206" s="28" t="n">
        <v>46301.5241955671</v>
      </c>
      <c r="B1206" s="31" t="n">
        <f aca="false">(A1206-$A$5)*86400</f>
        <v>46.859000134</v>
      </c>
      <c r="C1206" s="27" t="n">
        <v>0.9128</v>
      </c>
      <c r="D1206" s="27" t="n">
        <v>1.5932</v>
      </c>
      <c r="E1206" s="27" t="s">
        <v>603</v>
      </c>
      <c r="F1206" s="27" t="s">
        <v>145</v>
      </c>
      <c r="G1206" s="32" t="n">
        <f aca="false">(A1206-A1205)*86400000</f>
        <v>16.000214</v>
      </c>
      <c r="H1206" s="3"/>
      <c r="I1206" s="3"/>
      <c r="J1206" s="3"/>
      <c r="K1206" s="3"/>
      <c r="L1206" s="3"/>
      <c r="M1206" s="3"/>
    </row>
    <row r="1207" customFormat="false" ht="15" hidden="false" customHeight="false" outlineLevel="0" collapsed="false">
      <c r="A1207" s="28" t="n">
        <v>46301.5241957523</v>
      </c>
      <c r="B1207" s="31" t="n">
        <f aca="false">(A1207-$A$5)*86400</f>
        <v>46.875000349</v>
      </c>
      <c r="C1207" s="27" t="n">
        <v>0.9262</v>
      </c>
      <c r="D1207" s="27" t="n">
        <v>1.6099</v>
      </c>
      <c r="E1207" s="27" t="s">
        <v>603</v>
      </c>
      <c r="F1207" s="27" t="s">
        <v>145</v>
      </c>
      <c r="G1207" s="32" t="n">
        <f aca="false">(A1207-A1206)*86400000</f>
        <v>16.000214</v>
      </c>
      <c r="H1207" s="3"/>
      <c r="I1207" s="3"/>
      <c r="J1207" s="3"/>
      <c r="K1207" s="3"/>
      <c r="L1207" s="3"/>
      <c r="M1207" s="3"/>
    </row>
    <row r="1208" customFormat="false" ht="15" hidden="false" customHeight="false" outlineLevel="0" collapsed="false">
      <c r="A1208" s="28" t="n">
        <v>46301.5241959375</v>
      </c>
      <c r="B1208" s="31" t="n">
        <f aca="false">(A1208-$A$5)*86400</f>
        <v>46.890999935</v>
      </c>
      <c r="C1208" s="27" t="n">
        <v>0.9373</v>
      </c>
      <c r="D1208" s="27" t="n">
        <v>1.6238</v>
      </c>
      <c r="E1208" s="27" t="s">
        <v>603</v>
      </c>
      <c r="F1208" s="27" t="s">
        <v>145</v>
      </c>
      <c r="G1208" s="32" t="n">
        <f aca="false">(A1208-A1207)*86400000</f>
        <v>15.999586</v>
      </c>
      <c r="H1208" s="3"/>
      <c r="I1208" s="3"/>
      <c r="J1208" s="3"/>
      <c r="K1208" s="3"/>
      <c r="L1208" s="3"/>
      <c r="M1208" s="3"/>
    </row>
    <row r="1209" customFormat="false" ht="15" hidden="false" customHeight="false" outlineLevel="0" collapsed="false">
      <c r="A1209" s="28" t="n">
        <v>46301.5241961227</v>
      </c>
      <c r="B1209" s="31" t="n">
        <f aca="false">(A1209-$A$5)*86400</f>
        <v>46.907000779</v>
      </c>
      <c r="C1209" s="27" t="n">
        <v>0.9465</v>
      </c>
      <c r="D1209" s="27" t="n">
        <v>1.6352</v>
      </c>
      <c r="E1209" s="27" t="s">
        <v>603</v>
      </c>
      <c r="F1209" s="27" t="s">
        <v>146</v>
      </c>
      <c r="G1209" s="32" t="n">
        <f aca="false">(A1209-A1208)*86400000</f>
        <v>16.000843</v>
      </c>
      <c r="H1209" s="3"/>
      <c r="I1209" s="3"/>
      <c r="J1209" s="3"/>
      <c r="K1209" s="3"/>
      <c r="L1209" s="3"/>
      <c r="M1209" s="3"/>
    </row>
    <row r="1210" customFormat="false" ht="15" hidden="false" customHeight="false" outlineLevel="0" collapsed="false">
      <c r="A1210" s="28" t="n">
        <v>46301.5241963079</v>
      </c>
      <c r="B1210" s="31" t="n">
        <f aca="false">(A1210-$A$5)*86400</f>
        <v>46.923000365</v>
      </c>
      <c r="C1210" s="27" t="n">
        <v>0.954</v>
      </c>
      <c r="D1210" s="27" t="n">
        <v>1.6446</v>
      </c>
      <c r="E1210" s="27" t="s">
        <v>603</v>
      </c>
      <c r="F1210" s="27" t="s">
        <v>146</v>
      </c>
      <c r="G1210" s="32" t="n">
        <f aca="false">(A1210-A1209)*86400000</f>
        <v>15.999586</v>
      </c>
      <c r="H1210" s="3"/>
      <c r="I1210" s="3"/>
      <c r="J1210" s="3"/>
      <c r="K1210" s="3"/>
      <c r="L1210" s="3"/>
      <c r="M1210" s="3"/>
    </row>
    <row r="1211" customFormat="false" ht="15" hidden="false" customHeight="false" outlineLevel="0" collapsed="false">
      <c r="A1211" s="28" t="n">
        <v>46301.5241964931</v>
      </c>
      <c r="B1211" s="31" t="n">
        <f aca="false">(A1211-$A$5)*86400</f>
        <v>46.938999323</v>
      </c>
      <c r="C1211" s="27" t="n">
        <v>0.9603</v>
      </c>
      <c r="D1211" s="27" t="n">
        <v>1.6524</v>
      </c>
      <c r="E1211" s="27" t="s">
        <v>603</v>
      </c>
      <c r="F1211" s="27" t="s">
        <v>146</v>
      </c>
      <c r="G1211" s="32" t="n">
        <f aca="false">(A1211-A1210)*86400000</f>
        <v>15.998957</v>
      </c>
      <c r="H1211" s="3"/>
      <c r="I1211" s="3"/>
      <c r="J1211" s="3"/>
      <c r="K1211" s="3"/>
      <c r="L1211" s="3"/>
      <c r="M1211" s="3"/>
    </row>
    <row r="1212" customFormat="false" ht="15" hidden="false" customHeight="false" outlineLevel="0" collapsed="false">
      <c r="A1212" s="28" t="n">
        <v>46301.5241966782</v>
      </c>
      <c r="B1212" s="31" t="n">
        <f aca="false">(A1212-$A$5)*86400</f>
        <v>46.955000166</v>
      </c>
      <c r="C1212" s="27" t="n">
        <v>0.9654</v>
      </c>
      <c r="D1212" s="27" t="n">
        <v>1.6588</v>
      </c>
      <c r="E1212" s="27" t="s">
        <v>603</v>
      </c>
      <c r="F1212" s="27" t="s">
        <v>146</v>
      </c>
      <c r="G1212" s="32" t="n">
        <f aca="false">(A1212-A1211)*86400000</f>
        <v>16.000843</v>
      </c>
      <c r="H1212" s="3"/>
      <c r="I1212" s="3"/>
      <c r="J1212" s="3"/>
      <c r="K1212" s="3"/>
      <c r="L1212" s="3"/>
      <c r="M1212" s="3"/>
    </row>
    <row r="1213" customFormat="false" ht="15" hidden="false" customHeight="false" outlineLevel="0" collapsed="false">
      <c r="A1213" s="28" t="n">
        <v>46301.5241968634</v>
      </c>
      <c r="B1213" s="31" t="n">
        <f aca="false">(A1213-$A$5)*86400</f>
        <v>46.971000381</v>
      </c>
      <c r="C1213" s="27" t="n">
        <v>0.9694</v>
      </c>
      <c r="D1213" s="27" t="n">
        <v>1.6638</v>
      </c>
      <c r="E1213" s="27" t="s">
        <v>603</v>
      </c>
      <c r="F1213" s="27" t="s">
        <v>146</v>
      </c>
      <c r="G1213" s="32" t="n">
        <f aca="false">(A1213-A1212)*86400000</f>
        <v>16.000214</v>
      </c>
      <c r="H1213" s="3"/>
      <c r="I1213" s="3"/>
      <c r="J1213" s="3"/>
      <c r="K1213" s="3"/>
      <c r="L1213" s="3"/>
      <c r="M1213" s="3"/>
    </row>
    <row r="1214" customFormat="false" ht="15" hidden="false" customHeight="false" outlineLevel="0" collapsed="false">
      <c r="A1214" s="28" t="n">
        <v>46301.5241970486</v>
      </c>
      <c r="B1214" s="31" t="n">
        <f aca="false">(A1214-$A$5)*86400</f>
        <v>46.986999968</v>
      </c>
      <c r="C1214" s="27" t="n">
        <v>0.973</v>
      </c>
      <c r="D1214" s="27" t="n">
        <v>1.6682</v>
      </c>
      <c r="E1214" s="27" t="s">
        <v>603</v>
      </c>
      <c r="F1214" s="27" t="s">
        <v>146</v>
      </c>
      <c r="G1214" s="32" t="n">
        <f aca="false">(A1214-A1213)*86400000</f>
        <v>15.999586</v>
      </c>
      <c r="H1214" s="3"/>
      <c r="I1214" s="3"/>
      <c r="J1214" s="3"/>
      <c r="K1214" s="3"/>
      <c r="L1214" s="3"/>
      <c r="M1214" s="3"/>
    </row>
    <row r="1215" customFormat="false" ht="15" hidden="false" customHeight="false" outlineLevel="0" collapsed="false">
      <c r="A1215" s="28" t="n">
        <v>46301.5241972454</v>
      </c>
      <c r="B1215" s="31" t="n">
        <f aca="false">(A1215-$A$5)*86400</f>
        <v>47.004000353</v>
      </c>
      <c r="C1215" s="27" t="n">
        <v>0.9761</v>
      </c>
      <c r="D1215" s="27" t="n">
        <v>1.672</v>
      </c>
      <c r="E1215" s="27" t="s">
        <v>603</v>
      </c>
      <c r="F1215" s="27" t="s">
        <v>146</v>
      </c>
      <c r="G1215" s="32" t="n">
        <f aca="false">(A1215-A1214)*86400000</f>
        <v>17.000385</v>
      </c>
      <c r="H1215" s="3"/>
      <c r="I1215" s="3"/>
      <c r="J1215" s="3"/>
      <c r="K1215" s="3"/>
      <c r="L1215" s="3"/>
      <c r="M1215" s="3"/>
    </row>
    <row r="1216" customFormat="false" ht="15" hidden="false" customHeight="false" outlineLevel="0" collapsed="false">
      <c r="A1216" s="28" t="n">
        <v>46301.5241974306</v>
      </c>
      <c r="B1216" s="31" t="n">
        <f aca="false">(A1216-$A$5)*86400</f>
        <v>47.019999939</v>
      </c>
      <c r="C1216" s="27" t="n">
        <v>0.9785</v>
      </c>
      <c r="D1216" s="27" t="n">
        <v>1.675</v>
      </c>
      <c r="E1216" s="27" t="s">
        <v>603</v>
      </c>
      <c r="F1216" s="27" t="s">
        <v>146</v>
      </c>
      <c r="G1216" s="32" t="n">
        <f aca="false">(A1216-A1215)*86400000</f>
        <v>15.999586</v>
      </c>
      <c r="H1216" s="3"/>
      <c r="I1216" s="3"/>
      <c r="J1216" s="3"/>
      <c r="K1216" s="3"/>
      <c r="L1216" s="3"/>
      <c r="M1216" s="3"/>
    </row>
    <row r="1217" customFormat="false" ht="15" hidden="false" customHeight="false" outlineLevel="0" collapsed="false">
      <c r="A1217" s="28" t="n">
        <v>46301.5241976157</v>
      </c>
      <c r="B1217" s="31" t="n">
        <f aca="false">(A1217-$A$5)*86400</f>
        <v>47.036000154</v>
      </c>
      <c r="C1217" s="27" t="n">
        <v>0.9804</v>
      </c>
      <c r="D1217" s="27" t="n">
        <v>1.6775</v>
      </c>
      <c r="E1217" s="27" t="s">
        <v>603</v>
      </c>
      <c r="F1217" s="27" t="s">
        <v>146</v>
      </c>
      <c r="G1217" s="32" t="n">
        <f aca="false">(A1217-A1216)*86400000</f>
        <v>16.000214</v>
      </c>
      <c r="H1217" s="3"/>
      <c r="I1217" s="3"/>
      <c r="J1217" s="3"/>
      <c r="K1217" s="3"/>
      <c r="L1217" s="3"/>
      <c r="M1217" s="3"/>
    </row>
    <row r="1218" customFormat="false" ht="15" hidden="false" customHeight="false" outlineLevel="0" collapsed="false">
      <c r="A1218" s="28" t="n">
        <v>46301.5241978009</v>
      </c>
      <c r="B1218" s="31" t="n">
        <f aca="false">(A1218-$A$5)*86400</f>
        <v>47.052000369</v>
      </c>
      <c r="C1218" s="27" t="n">
        <v>0.9821</v>
      </c>
      <c r="D1218" s="27" t="n">
        <v>1.6795</v>
      </c>
      <c r="E1218" s="27" t="s">
        <v>603</v>
      </c>
      <c r="F1218" s="27" t="s">
        <v>146</v>
      </c>
      <c r="G1218" s="32" t="n">
        <f aca="false">(A1218-A1217)*86400000</f>
        <v>16.000214</v>
      </c>
      <c r="H1218" s="3"/>
      <c r="I1218" s="3"/>
      <c r="J1218" s="3"/>
      <c r="K1218" s="3"/>
      <c r="L1218" s="3"/>
      <c r="M1218" s="3"/>
    </row>
    <row r="1219" customFormat="false" ht="15" hidden="false" customHeight="false" outlineLevel="0" collapsed="false">
      <c r="A1219" s="28" t="n">
        <v>46301.5241979861</v>
      </c>
      <c r="B1219" s="31" t="n">
        <f aca="false">(A1219-$A$5)*86400</f>
        <v>47.067999956</v>
      </c>
      <c r="C1219" s="27" t="n">
        <v>0.9834</v>
      </c>
      <c r="D1219" s="27" t="n">
        <v>1.6812</v>
      </c>
      <c r="E1219" s="27" t="s">
        <v>603</v>
      </c>
      <c r="F1219" s="27" t="s">
        <v>146</v>
      </c>
      <c r="G1219" s="32" t="n">
        <f aca="false">(A1219-A1218)*86400000</f>
        <v>15.999586</v>
      </c>
      <c r="H1219" s="3"/>
      <c r="I1219" s="3"/>
      <c r="J1219" s="3"/>
      <c r="K1219" s="3"/>
      <c r="L1219" s="3"/>
      <c r="M1219" s="3"/>
    </row>
    <row r="1220" customFormat="false" ht="15" hidden="false" customHeight="false" outlineLevel="0" collapsed="false">
      <c r="A1220" s="28" t="n">
        <v>46301.5241981829</v>
      </c>
      <c r="B1220" s="31" t="n">
        <f aca="false">(A1220-$A$5)*86400</f>
        <v>47.085000341</v>
      </c>
      <c r="C1220" s="27" t="n">
        <v>0.9847</v>
      </c>
      <c r="D1220" s="27" t="n">
        <v>1.6835</v>
      </c>
      <c r="E1220" s="27" t="s">
        <v>603</v>
      </c>
      <c r="F1220" s="27" t="s">
        <v>146</v>
      </c>
      <c r="G1220" s="32" t="n">
        <f aca="false">(A1220-A1219)*86400000</f>
        <v>17.000385</v>
      </c>
      <c r="H1220" s="3"/>
      <c r="I1220" s="3"/>
      <c r="J1220" s="3"/>
      <c r="K1220" s="3"/>
      <c r="L1220" s="3"/>
      <c r="M1220" s="3"/>
    </row>
    <row r="1221" customFormat="false" ht="15" hidden="false" customHeight="false" outlineLevel="0" collapsed="false">
      <c r="A1221" s="28" t="n">
        <v>46301.5241983565</v>
      </c>
      <c r="B1221" s="31" t="n">
        <f aca="false">(A1221-$A$5)*86400</f>
        <v>47.099999757</v>
      </c>
      <c r="C1221" s="27" t="n">
        <v>0.9858</v>
      </c>
      <c r="D1221" s="27" t="n">
        <v>1.6854</v>
      </c>
      <c r="E1221" s="27" t="s">
        <v>603</v>
      </c>
      <c r="F1221" s="27" t="s">
        <v>146</v>
      </c>
      <c r="G1221" s="32" t="n">
        <f aca="false">(A1221-A1220)*86400000</f>
        <v>14.999415</v>
      </c>
      <c r="H1221" s="3"/>
      <c r="I1221" s="3"/>
      <c r="J1221" s="3"/>
      <c r="K1221" s="3"/>
      <c r="L1221" s="3"/>
      <c r="M1221" s="3"/>
    </row>
    <row r="1222" customFormat="false" ht="15" hidden="false" customHeight="false" outlineLevel="0" collapsed="false">
      <c r="A1222" s="28" t="n">
        <v>46301.5241987384</v>
      </c>
      <c r="B1222" s="31" t="n">
        <f aca="false">(A1222-$A$5)*86400</f>
        <v>47.133000358</v>
      </c>
      <c r="C1222" s="27" t="n">
        <v>0.9874</v>
      </c>
      <c r="D1222" s="27" t="n">
        <v>1.6883</v>
      </c>
      <c r="E1222" s="27" t="s">
        <v>603</v>
      </c>
      <c r="F1222" s="27" t="s">
        <v>146</v>
      </c>
      <c r="G1222" s="32" t="n">
        <f aca="false">(A1222-A1221)*86400000</f>
        <v>33.0006</v>
      </c>
      <c r="H1222" s="3"/>
      <c r="I1222" s="3"/>
      <c r="J1222" s="3"/>
      <c r="K1222" s="3"/>
      <c r="L1222" s="3"/>
      <c r="M1222" s="3"/>
    </row>
    <row r="1223" customFormat="false" ht="15" hidden="false" customHeight="false" outlineLevel="0" collapsed="false">
      <c r="A1223" s="28" t="n">
        <v>46301.5241991088</v>
      </c>
      <c r="B1223" s="31" t="n">
        <f aca="false">(A1223-$A$5)*86400</f>
        <v>47.165000159</v>
      </c>
      <c r="C1223" s="27" t="n">
        <v>0.9885</v>
      </c>
      <c r="D1223" s="27" t="n">
        <v>1.6902</v>
      </c>
      <c r="E1223" s="27" t="s">
        <v>603</v>
      </c>
      <c r="F1223" s="27" t="s">
        <v>146</v>
      </c>
      <c r="G1223" s="32" t="n">
        <f aca="false">(A1223-A1222)*86400000</f>
        <v>31.999801</v>
      </c>
      <c r="H1223" s="3"/>
      <c r="I1223" s="3"/>
      <c r="J1223" s="3"/>
      <c r="K1223" s="3"/>
      <c r="L1223" s="3"/>
      <c r="M1223" s="3"/>
    </row>
    <row r="1224" customFormat="false" ht="15" hidden="false" customHeight="false" outlineLevel="0" collapsed="false">
      <c r="A1224" s="28" t="n">
        <v>46301.524199294</v>
      </c>
      <c r="B1224" s="31" t="n">
        <f aca="false">(A1224-$A$5)*86400</f>
        <v>47.180999745</v>
      </c>
      <c r="C1224" s="27" t="n">
        <v>0.9889</v>
      </c>
      <c r="D1224" s="27" t="n">
        <v>1.691</v>
      </c>
      <c r="E1224" s="27" t="s">
        <v>603</v>
      </c>
      <c r="F1224" s="27" t="s">
        <v>146</v>
      </c>
      <c r="G1224" s="32" t="n">
        <f aca="false">(A1224-A1223)*86400000</f>
        <v>15.999586</v>
      </c>
      <c r="H1224" s="3"/>
      <c r="I1224" s="3"/>
      <c r="J1224" s="3"/>
      <c r="K1224" s="3"/>
      <c r="L1224" s="3"/>
      <c r="M1224" s="3"/>
    </row>
    <row r="1225" customFormat="false" ht="15" hidden="false" customHeight="false" outlineLevel="0" collapsed="false">
      <c r="A1225" s="28" t="n">
        <v>46301.5241996759</v>
      </c>
      <c r="B1225" s="31" t="n">
        <f aca="false">(A1225-$A$5)*86400</f>
        <v>47.214000346</v>
      </c>
      <c r="C1225" s="27" t="n">
        <v>1.0193</v>
      </c>
      <c r="D1225" s="27" t="n">
        <v>1.6832</v>
      </c>
      <c r="E1225" s="27" t="s">
        <v>603</v>
      </c>
      <c r="F1225" s="27" t="s">
        <v>146</v>
      </c>
      <c r="G1225" s="32" t="n">
        <f aca="false">(A1225-A1224)*86400000</f>
        <v>33.0006</v>
      </c>
      <c r="H1225" s="3"/>
      <c r="I1225" s="3"/>
      <c r="J1225" s="3"/>
      <c r="K1225" s="3"/>
      <c r="L1225" s="3"/>
      <c r="M1225" s="3"/>
    </row>
    <row r="1226" customFormat="false" ht="15" hidden="false" customHeight="false" outlineLevel="0" collapsed="false">
      <c r="A1226" s="28" t="n">
        <v>46301.5241998495</v>
      </c>
      <c r="B1226" s="31" t="n">
        <f aca="false">(A1226-$A$5)*86400</f>
        <v>47.22900039</v>
      </c>
      <c r="C1226" s="27" t="n">
        <v>1.0441</v>
      </c>
      <c r="D1226" s="27" t="n">
        <v>1.6762</v>
      </c>
      <c r="E1226" s="27" t="s">
        <v>603</v>
      </c>
      <c r="F1226" s="27" t="s">
        <v>146</v>
      </c>
      <c r="G1226" s="32" t="n">
        <f aca="false">(A1226-A1225)*86400000</f>
        <v>15.000044</v>
      </c>
      <c r="H1226" s="3"/>
      <c r="I1226" s="3"/>
      <c r="J1226" s="3"/>
      <c r="K1226" s="3"/>
      <c r="L1226" s="3"/>
      <c r="M1226" s="3"/>
    </row>
    <row r="1227" customFormat="false" ht="15" hidden="false" customHeight="false" outlineLevel="0" collapsed="false">
      <c r="A1227" s="28" t="n">
        <v>46301.5242000463</v>
      </c>
      <c r="B1227" s="31" t="n">
        <f aca="false">(A1227-$A$5)*86400</f>
        <v>47.246000147</v>
      </c>
      <c r="C1227" s="27" t="n">
        <v>1.0657</v>
      </c>
      <c r="D1227" s="27" t="n">
        <v>1.6702</v>
      </c>
      <c r="E1227" s="27" t="s">
        <v>603</v>
      </c>
      <c r="F1227" s="27" t="s">
        <v>146</v>
      </c>
      <c r="G1227" s="32" t="n">
        <f aca="false">(A1227-A1226)*86400000</f>
        <v>16.999756</v>
      </c>
      <c r="H1227" s="3"/>
      <c r="I1227" s="3"/>
      <c r="J1227" s="3"/>
      <c r="K1227" s="3"/>
      <c r="L1227" s="3"/>
      <c r="M1227" s="3"/>
    </row>
    <row r="1228" customFormat="false" ht="15" hidden="false" customHeight="false" outlineLevel="0" collapsed="false">
      <c r="A1228" s="28" t="n">
        <v>46301.5242002315</v>
      </c>
      <c r="B1228" s="31" t="n">
        <f aca="false">(A1228-$A$5)*86400</f>
        <v>47.261999733</v>
      </c>
      <c r="C1228" s="27" t="n">
        <v>1.0824</v>
      </c>
      <c r="D1228" s="27" t="n">
        <v>1.6655</v>
      </c>
      <c r="E1228" s="27" t="s">
        <v>603</v>
      </c>
      <c r="F1228" s="27" t="s">
        <v>146</v>
      </c>
      <c r="G1228" s="32" t="n">
        <f aca="false">(A1228-A1227)*86400000</f>
        <v>15.999586</v>
      </c>
      <c r="H1228" s="3"/>
      <c r="I1228" s="3"/>
      <c r="J1228" s="3"/>
      <c r="K1228" s="3"/>
      <c r="L1228" s="3"/>
      <c r="M1228" s="3"/>
    </row>
    <row r="1229" customFormat="false" ht="15" hidden="false" customHeight="false" outlineLevel="0" collapsed="false">
      <c r="A1229" s="28" t="n">
        <v>46301.5242004167</v>
      </c>
      <c r="B1229" s="31" t="n">
        <f aca="false">(A1229-$A$5)*86400</f>
        <v>47.27799932</v>
      </c>
      <c r="C1229" s="27" t="n">
        <v>1.0961</v>
      </c>
      <c r="D1229" s="27" t="n">
        <v>1.6617</v>
      </c>
      <c r="E1229" s="27" t="s">
        <v>603</v>
      </c>
      <c r="F1229" s="27" t="s">
        <v>146</v>
      </c>
      <c r="G1229" s="32" t="n">
        <f aca="false">(A1229-A1228)*86400000</f>
        <v>15.999586</v>
      </c>
      <c r="H1229" s="3"/>
      <c r="I1229" s="3"/>
      <c r="J1229" s="3"/>
      <c r="K1229" s="3"/>
      <c r="L1229" s="3"/>
      <c r="M1229" s="3"/>
    </row>
    <row r="1230" customFormat="false" ht="15" hidden="false" customHeight="false" outlineLevel="0" collapsed="false">
      <c r="A1230" s="28" t="n">
        <v>46301.5242006019</v>
      </c>
      <c r="B1230" s="31" t="n">
        <f aca="false">(A1230-$A$5)*86400</f>
        <v>47.294000163</v>
      </c>
      <c r="C1230" s="27" t="n">
        <v>1.1075</v>
      </c>
      <c r="D1230" s="27" t="n">
        <v>1.6585</v>
      </c>
      <c r="E1230" s="27" t="s">
        <v>603</v>
      </c>
      <c r="F1230" s="27" t="s">
        <v>146</v>
      </c>
      <c r="G1230" s="32" t="n">
        <f aca="false">(A1230-A1229)*86400000</f>
        <v>16.000843</v>
      </c>
      <c r="H1230" s="3"/>
      <c r="I1230" s="3"/>
      <c r="J1230" s="3"/>
      <c r="K1230" s="3"/>
      <c r="L1230" s="3"/>
      <c r="M1230" s="3"/>
    </row>
    <row r="1231" customFormat="false" ht="15" hidden="false" customHeight="false" outlineLevel="0" collapsed="false">
      <c r="A1231" s="28" t="n">
        <v>46301.524200787</v>
      </c>
      <c r="B1231" s="31" t="n">
        <f aca="false">(A1231-$A$5)*86400</f>
        <v>47.310000378</v>
      </c>
      <c r="C1231" s="27" t="n">
        <v>1.1169</v>
      </c>
      <c r="D1231" s="27" t="n">
        <v>1.6559</v>
      </c>
      <c r="E1231" s="27" t="s">
        <v>603</v>
      </c>
      <c r="F1231" s="27" t="s">
        <v>146</v>
      </c>
      <c r="G1231" s="32" t="n">
        <f aca="false">(A1231-A1230)*86400000</f>
        <v>16.000214</v>
      </c>
      <c r="H1231" s="3"/>
      <c r="I1231" s="3"/>
      <c r="J1231" s="3"/>
      <c r="K1231" s="3"/>
      <c r="L1231" s="3"/>
      <c r="M1231" s="3"/>
    </row>
    <row r="1232" customFormat="false" ht="15" hidden="false" customHeight="false" outlineLevel="0" collapsed="false">
      <c r="A1232" s="28" t="n">
        <v>46301.5242009838</v>
      </c>
      <c r="B1232" s="31" t="n">
        <f aca="false">(A1232-$A$5)*86400</f>
        <v>47.327000135</v>
      </c>
      <c r="C1232" s="27" t="n">
        <v>1.1246</v>
      </c>
      <c r="D1232" s="27" t="n">
        <v>1.6537</v>
      </c>
      <c r="E1232" s="27" t="s">
        <v>603</v>
      </c>
      <c r="F1232" s="27" t="s">
        <v>146</v>
      </c>
      <c r="G1232" s="32" t="n">
        <f aca="false">(A1232-A1231)*86400000</f>
        <v>16.999756</v>
      </c>
      <c r="H1232" s="3"/>
      <c r="I1232" s="3"/>
      <c r="J1232" s="3"/>
      <c r="K1232" s="3"/>
      <c r="L1232" s="3"/>
      <c r="M1232" s="3"/>
    </row>
    <row r="1233" customFormat="false" ht="15" hidden="false" customHeight="false" outlineLevel="0" collapsed="false">
      <c r="A1233" s="28" t="n">
        <v>46301.5242011574</v>
      </c>
      <c r="B1233" s="31" t="n">
        <f aca="false">(A1233-$A$5)*86400</f>
        <v>47.342000179</v>
      </c>
      <c r="C1233" s="27" t="n">
        <v>1.131</v>
      </c>
      <c r="D1233" s="27" t="n">
        <v>1.6519</v>
      </c>
      <c r="E1233" s="27" t="s">
        <v>603</v>
      </c>
      <c r="F1233" s="27" t="s">
        <v>146</v>
      </c>
      <c r="G1233" s="32" t="n">
        <f aca="false">(A1233-A1232)*86400000</f>
        <v>15.000044</v>
      </c>
      <c r="H1233" s="3"/>
      <c r="I1233" s="3"/>
      <c r="J1233" s="3"/>
      <c r="K1233" s="3"/>
      <c r="L1233" s="3"/>
      <c r="M1233" s="3"/>
    </row>
    <row r="1234" customFormat="false" ht="15" hidden="false" customHeight="false" outlineLevel="0" collapsed="false">
      <c r="A1234" s="28" t="n">
        <v>46301.5242013426</v>
      </c>
      <c r="B1234" s="31" t="n">
        <f aca="false">(A1234-$A$5)*86400</f>
        <v>47.358001023</v>
      </c>
      <c r="C1234" s="27" t="n">
        <v>1.1363</v>
      </c>
      <c r="D1234" s="27" t="n">
        <v>1.6504</v>
      </c>
      <c r="E1234" s="27" t="s">
        <v>603</v>
      </c>
      <c r="F1234" s="27" t="s">
        <v>146</v>
      </c>
      <c r="G1234" s="32" t="n">
        <f aca="false">(A1234-A1233)*86400000</f>
        <v>16.000843</v>
      </c>
      <c r="H1234" s="3"/>
      <c r="I1234" s="3"/>
      <c r="J1234" s="3"/>
      <c r="K1234" s="3"/>
      <c r="L1234" s="3"/>
      <c r="M1234" s="3"/>
    </row>
    <row r="1235" customFormat="false" ht="15" hidden="false" customHeight="false" outlineLevel="0" collapsed="false">
      <c r="A1235" s="28" t="n">
        <v>46301.5242015278</v>
      </c>
      <c r="B1235" s="31" t="n">
        <f aca="false">(A1235-$A$5)*86400</f>
        <v>47.374000609</v>
      </c>
      <c r="C1235" s="27" t="n">
        <v>1.1406</v>
      </c>
      <c r="D1235" s="27" t="n">
        <v>1.6492</v>
      </c>
      <c r="E1235" s="27" t="s">
        <v>603</v>
      </c>
      <c r="F1235" s="27" t="s">
        <v>146</v>
      </c>
      <c r="G1235" s="32" t="n">
        <f aca="false">(A1235-A1234)*86400000</f>
        <v>15.999586</v>
      </c>
      <c r="H1235" s="3"/>
      <c r="I1235" s="3"/>
      <c r="J1235" s="3"/>
      <c r="K1235" s="3"/>
      <c r="L1235" s="3"/>
      <c r="M1235" s="3"/>
    </row>
    <row r="1236" customFormat="false" ht="15" hidden="false" customHeight="false" outlineLevel="0" collapsed="false">
      <c r="A1236" s="28" t="n">
        <v>46301.524201713</v>
      </c>
      <c r="B1236" s="31" t="n">
        <f aca="false">(A1236-$A$5)*86400</f>
        <v>47.389999567</v>
      </c>
      <c r="C1236" s="27" t="n">
        <v>1.1442</v>
      </c>
      <c r="D1236" s="27" t="n">
        <v>1.6482</v>
      </c>
      <c r="E1236" s="27" t="s">
        <v>603</v>
      </c>
      <c r="F1236" s="27" t="s">
        <v>146</v>
      </c>
      <c r="G1236" s="32" t="n">
        <f aca="false">(A1236-A1235)*86400000</f>
        <v>15.998957</v>
      </c>
      <c r="H1236" s="3"/>
      <c r="I1236" s="3"/>
      <c r="J1236" s="3"/>
      <c r="K1236" s="3"/>
      <c r="L1236" s="3"/>
      <c r="M1236" s="3"/>
    </row>
    <row r="1237" customFormat="false" ht="15" hidden="false" customHeight="false" outlineLevel="0" collapsed="false">
      <c r="A1237" s="28" t="n">
        <v>46301.5242018982</v>
      </c>
      <c r="B1237" s="31" t="n">
        <f aca="false">(A1237-$A$5)*86400</f>
        <v>47.406000411</v>
      </c>
      <c r="C1237" s="27" t="n">
        <v>1.1472</v>
      </c>
      <c r="D1237" s="27" t="n">
        <v>1.6474</v>
      </c>
      <c r="E1237" s="27" t="s">
        <v>603</v>
      </c>
      <c r="F1237" s="27" t="s">
        <v>146</v>
      </c>
      <c r="G1237" s="32" t="n">
        <f aca="false">(A1237-A1236)*86400000</f>
        <v>16.000843</v>
      </c>
      <c r="H1237" s="3"/>
      <c r="I1237" s="3"/>
      <c r="J1237" s="3"/>
      <c r="K1237" s="3"/>
      <c r="L1237" s="3"/>
      <c r="M1237" s="3"/>
    </row>
    <row r="1238" customFormat="false" ht="15" hidden="false" customHeight="false" outlineLevel="0" collapsed="false">
      <c r="A1238" s="28" t="n">
        <v>46301.5242020833</v>
      </c>
      <c r="B1238" s="31" t="n">
        <f aca="false">(A1238-$A$5)*86400</f>
        <v>47.421999997</v>
      </c>
      <c r="C1238" s="27" t="n">
        <v>1.1496</v>
      </c>
      <c r="D1238" s="27" t="n">
        <v>1.6467</v>
      </c>
      <c r="E1238" s="27" t="s">
        <v>603</v>
      </c>
      <c r="F1238" s="27" t="s">
        <v>146</v>
      </c>
      <c r="G1238" s="32" t="n">
        <f aca="false">(A1238-A1237)*86400000</f>
        <v>15.999586</v>
      </c>
      <c r="H1238" s="3"/>
      <c r="I1238" s="3"/>
      <c r="J1238" s="3"/>
      <c r="K1238" s="3"/>
      <c r="L1238" s="3"/>
      <c r="M1238" s="3"/>
    </row>
    <row r="1239" customFormat="false" ht="15" hidden="false" customHeight="false" outlineLevel="0" collapsed="false">
      <c r="A1239" s="28" t="n">
        <v>46301.5242022801</v>
      </c>
      <c r="B1239" s="31" t="n">
        <f aca="false">(A1239-$A$5)*86400</f>
        <v>47.439001011</v>
      </c>
      <c r="C1239" s="27" t="n">
        <v>1.1518</v>
      </c>
      <c r="D1239" s="27" t="n">
        <v>1.6461</v>
      </c>
      <c r="E1239" s="27" t="s">
        <v>603</v>
      </c>
      <c r="F1239" s="27" t="s">
        <v>146</v>
      </c>
      <c r="G1239" s="32" t="n">
        <f aca="false">(A1239-A1238)*86400000</f>
        <v>17.001014</v>
      </c>
      <c r="H1239" s="3"/>
      <c r="I1239" s="3"/>
      <c r="J1239" s="3"/>
      <c r="K1239" s="3"/>
      <c r="L1239" s="3"/>
      <c r="M1239" s="3"/>
    </row>
    <row r="1240" customFormat="false" ht="15" hidden="false" customHeight="false" outlineLevel="0" collapsed="false">
      <c r="A1240" s="28" t="n">
        <v>46301.5242024653</v>
      </c>
      <c r="B1240" s="31" t="n">
        <f aca="false">(A1240-$A$5)*86400</f>
        <v>47.455000597</v>
      </c>
      <c r="C1240" s="27" t="n">
        <v>1.1895</v>
      </c>
      <c r="D1240" s="27" t="n">
        <v>1.6444</v>
      </c>
      <c r="E1240" s="27" t="s">
        <v>603</v>
      </c>
      <c r="F1240" s="27" t="s">
        <v>146</v>
      </c>
      <c r="G1240" s="32" t="n">
        <f aca="false">(A1240-A1239)*86400000</f>
        <v>15.999586</v>
      </c>
      <c r="H1240" s="3"/>
      <c r="I1240" s="3"/>
      <c r="J1240" s="3"/>
      <c r="K1240" s="3"/>
      <c r="L1240" s="3"/>
      <c r="M1240" s="3"/>
    </row>
    <row r="1241" customFormat="false" ht="15" hidden="false" customHeight="false" outlineLevel="0" collapsed="false">
      <c r="A1241" s="28" t="n">
        <v>46301.5242026505</v>
      </c>
      <c r="B1241" s="31" t="n">
        <f aca="false">(A1241-$A$5)*86400</f>
        <v>47.470999555</v>
      </c>
      <c r="C1241" s="27" t="n">
        <v>1.2206</v>
      </c>
      <c r="D1241" s="27" t="n">
        <v>1.643</v>
      </c>
      <c r="E1241" s="27" t="s">
        <v>603</v>
      </c>
      <c r="F1241" s="27" t="s">
        <v>146</v>
      </c>
      <c r="G1241" s="32" t="n">
        <f aca="false">(A1241-A1240)*86400000</f>
        <v>15.998957</v>
      </c>
      <c r="H1241" s="3"/>
      <c r="I1241" s="3"/>
      <c r="J1241" s="3"/>
      <c r="K1241" s="3"/>
      <c r="L1241" s="3"/>
      <c r="M1241" s="3"/>
    </row>
    <row r="1242" customFormat="false" ht="15" hidden="false" customHeight="false" outlineLevel="0" collapsed="false">
      <c r="A1242" s="28" t="n">
        <v>46301.5242028357</v>
      </c>
      <c r="B1242" s="31" t="n">
        <f aca="false">(A1242-$A$5)*86400</f>
        <v>47.487000399</v>
      </c>
      <c r="C1242" s="27" t="n">
        <v>1.2463</v>
      </c>
      <c r="D1242" s="27" t="n">
        <v>1.6418</v>
      </c>
      <c r="E1242" s="27" t="s">
        <v>603</v>
      </c>
      <c r="F1242" s="27" t="s">
        <v>146</v>
      </c>
      <c r="G1242" s="32" t="n">
        <f aca="false">(A1242-A1241)*86400000</f>
        <v>16.000843</v>
      </c>
      <c r="H1242" s="3"/>
      <c r="I1242" s="3"/>
      <c r="J1242" s="3"/>
      <c r="K1242" s="3"/>
      <c r="L1242" s="3"/>
      <c r="M1242" s="3"/>
    </row>
    <row r="1243" customFormat="false" ht="15" hidden="false" customHeight="false" outlineLevel="0" collapsed="false">
      <c r="A1243" s="28" t="n">
        <v>46301.5242030208</v>
      </c>
      <c r="B1243" s="31" t="n">
        <f aca="false">(A1243-$A$5)*86400</f>
        <v>47.502999985</v>
      </c>
      <c r="C1243" s="27" t="n">
        <v>1.2675</v>
      </c>
      <c r="D1243" s="27" t="n">
        <v>1.6409</v>
      </c>
      <c r="E1243" s="27" t="s">
        <v>603</v>
      </c>
      <c r="F1243" s="27" t="s">
        <v>146</v>
      </c>
      <c r="G1243" s="32" t="n">
        <f aca="false">(A1243-A1242)*86400000</f>
        <v>15.999586</v>
      </c>
      <c r="H1243" s="3"/>
      <c r="I1243" s="3"/>
      <c r="J1243" s="3"/>
      <c r="K1243" s="3"/>
      <c r="L1243" s="3"/>
      <c r="M1243" s="3"/>
    </row>
    <row r="1244" customFormat="false" ht="15" hidden="false" customHeight="false" outlineLevel="0" collapsed="false">
      <c r="A1244" s="28" t="n">
        <v>46301.524203206</v>
      </c>
      <c r="B1244" s="31" t="n">
        <f aca="false">(A1244-$A$5)*86400</f>
        <v>47.5190002</v>
      </c>
      <c r="C1244" s="27" t="n">
        <v>1.285</v>
      </c>
      <c r="D1244" s="27" t="n">
        <v>1.6401</v>
      </c>
      <c r="E1244" s="27" t="s">
        <v>603</v>
      </c>
      <c r="F1244" s="27" t="s">
        <v>146</v>
      </c>
      <c r="G1244" s="32" t="n">
        <f aca="false">(A1244-A1243)*86400000</f>
        <v>16.000214</v>
      </c>
      <c r="H1244" s="3"/>
      <c r="I1244" s="3"/>
      <c r="J1244" s="3"/>
      <c r="K1244" s="3"/>
      <c r="L1244" s="3"/>
      <c r="M1244" s="3"/>
    </row>
    <row r="1245" customFormat="false" ht="15" hidden="false" customHeight="false" outlineLevel="0" collapsed="false">
      <c r="A1245" s="28" t="n">
        <v>46301.5242033912</v>
      </c>
      <c r="B1245" s="31" t="n">
        <f aca="false">(A1245-$A$5)*86400</f>
        <v>47.535000415</v>
      </c>
      <c r="C1245" s="27" t="n">
        <v>1.2995</v>
      </c>
      <c r="D1245" s="27" t="n">
        <v>1.6395</v>
      </c>
      <c r="E1245" s="27" t="s">
        <v>603</v>
      </c>
      <c r="F1245" s="27" t="s">
        <v>146</v>
      </c>
      <c r="G1245" s="32" t="n">
        <f aca="false">(A1245-A1244)*86400000</f>
        <v>16.000214</v>
      </c>
      <c r="H1245" s="3"/>
      <c r="I1245" s="3"/>
      <c r="J1245" s="3"/>
      <c r="K1245" s="3"/>
      <c r="L1245" s="3"/>
      <c r="M1245" s="3"/>
    </row>
    <row r="1246" customFormat="false" ht="15" hidden="false" customHeight="false" outlineLevel="0" collapsed="false">
      <c r="A1246" s="28" t="n">
        <v>46301.524203588</v>
      </c>
      <c r="B1246" s="31" t="n">
        <f aca="false">(A1246-$A$5)*86400</f>
        <v>47.551999543</v>
      </c>
      <c r="C1246" s="27" t="n">
        <v>1.314</v>
      </c>
      <c r="D1246" s="27" t="n">
        <v>1.6391</v>
      </c>
      <c r="E1246" s="27" t="s">
        <v>603</v>
      </c>
      <c r="F1246" s="27" t="s">
        <v>146</v>
      </c>
      <c r="G1246" s="32" t="n">
        <f aca="false">(A1246-A1245)*86400000</f>
        <v>16.999128</v>
      </c>
      <c r="H1246" s="3"/>
      <c r="I1246" s="3"/>
      <c r="J1246" s="3"/>
      <c r="K1246" s="3"/>
      <c r="L1246" s="3"/>
      <c r="M1246" s="3"/>
    </row>
    <row r="1247" customFormat="false" ht="15" hidden="false" customHeight="false" outlineLevel="0" collapsed="false">
      <c r="A1247" s="28" t="n">
        <v>46301.5242037616</v>
      </c>
      <c r="B1247" s="31" t="n">
        <f aca="false">(A1247-$A$5)*86400</f>
        <v>47.567000845</v>
      </c>
      <c r="C1247" s="27" t="n">
        <v>1.3259</v>
      </c>
      <c r="D1247" s="27" t="n">
        <v>1.6388</v>
      </c>
      <c r="E1247" s="27" t="s">
        <v>603</v>
      </c>
      <c r="F1247" s="27" t="s">
        <v>146</v>
      </c>
      <c r="G1247" s="32" t="n">
        <f aca="false">(A1247-A1246)*86400000</f>
        <v>15.001301</v>
      </c>
      <c r="H1247" s="3"/>
      <c r="I1247" s="3"/>
      <c r="J1247" s="3"/>
      <c r="K1247" s="3"/>
      <c r="L1247" s="3"/>
      <c r="M1247" s="3"/>
    </row>
    <row r="1248" customFormat="false" ht="15" hidden="false" customHeight="false" outlineLevel="0" collapsed="false">
      <c r="A1248" s="28" t="n">
        <v>46301.5242039468</v>
      </c>
      <c r="B1248" s="31" t="n">
        <f aca="false">(A1248-$A$5)*86400</f>
        <v>47.583000431</v>
      </c>
      <c r="C1248" s="27" t="n">
        <v>1.3364</v>
      </c>
      <c r="D1248" s="27" t="n">
        <v>1.6385</v>
      </c>
      <c r="E1248" s="27" t="s">
        <v>603</v>
      </c>
      <c r="F1248" s="27" t="s">
        <v>146</v>
      </c>
      <c r="G1248" s="32" t="n">
        <f aca="false">(A1248-A1247)*86400000</f>
        <v>15.999586</v>
      </c>
      <c r="H1248" s="3"/>
      <c r="I1248" s="3"/>
      <c r="J1248" s="3"/>
      <c r="K1248" s="3"/>
      <c r="L1248" s="3"/>
      <c r="M1248" s="3"/>
    </row>
    <row r="1249" customFormat="false" ht="15" hidden="false" customHeight="false" outlineLevel="0" collapsed="false">
      <c r="A1249" s="28" t="n">
        <v>46301.5242041319</v>
      </c>
      <c r="B1249" s="31" t="n">
        <f aca="false">(A1249-$A$5)*86400</f>
        <v>47.599000018</v>
      </c>
      <c r="C1249" s="27" t="n">
        <v>1.3444</v>
      </c>
      <c r="D1249" s="27" t="n">
        <v>1.6383</v>
      </c>
      <c r="E1249" s="27" t="s">
        <v>603</v>
      </c>
      <c r="F1249" s="27" t="s">
        <v>146</v>
      </c>
      <c r="G1249" s="32" t="n">
        <f aca="false">(A1249-A1248)*86400000</f>
        <v>15.999586</v>
      </c>
      <c r="H1249" s="3"/>
      <c r="I1249" s="3"/>
      <c r="J1249" s="3"/>
      <c r="K1249" s="3"/>
      <c r="L1249" s="3"/>
      <c r="M1249" s="3"/>
    </row>
    <row r="1250" customFormat="false" ht="15" hidden="false" customHeight="false" outlineLevel="0" collapsed="false">
      <c r="A1250" s="28" t="n">
        <v>46301.5242043171</v>
      </c>
      <c r="B1250" s="31" t="n">
        <f aca="false">(A1250-$A$5)*86400</f>
        <v>47.615000233</v>
      </c>
      <c r="C1250" s="27" t="n">
        <v>1.351</v>
      </c>
      <c r="D1250" s="27" t="n">
        <v>1.6381</v>
      </c>
      <c r="E1250" s="27" t="s">
        <v>603</v>
      </c>
      <c r="F1250" s="27" t="s">
        <v>146</v>
      </c>
      <c r="G1250" s="32" t="n">
        <f aca="false">(A1250-A1249)*86400000</f>
        <v>16.000214</v>
      </c>
      <c r="H1250" s="3"/>
      <c r="I1250" s="3"/>
      <c r="J1250" s="3"/>
      <c r="K1250" s="3"/>
      <c r="L1250" s="3"/>
      <c r="M1250" s="3"/>
    </row>
    <row r="1251" customFormat="false" ht="15" hidden="false" customHeight="false" outlineLevel="0" collapsed="false">
      <c r="A1251" s="28" t="n">
        <v>46301.5242045139</v>
      </c>
      <c r="B1251" s="31" t="n">
        <f aca="false">(A1251-$A$5)*86400</f>
        <v>47.631999989</v>
      </c>
      <c r="C1251" s="27" t="n">
        <v>1.3568</v>
      </c>
      <c r="D1251" s="27" t="n">
        <v>1.638</v>
      </c>
      <c r="E1251" s="27" t="s">
        <v>603</v>
      </c>
      <c r="F1251" s="27" t="s">
        <v>146</v>
      </c>
      <c r="G1251" s="32" t="n">
        <f aca="false">(A1251-A1250)*86400000</f>
        <v>16.999756</v>
      </c>
      <c r="H1251" s="3"/>
      <c r="I1251" s="3"/>
      <c r="J1251" s="3"/>
      <c r="K1251" s="3"/>
      <c r="L1251" s="3"/>
      <c r="M1251" s="3"/>
    </row>
    <row r="1252" customFormat="false" ht="15" hidden="false" customHeight="false" outlineLevel="0" collapsed="false">
      <c r="A1252" s="28" t="n">
        <v>46301.5242046875</v>
      </c>
      <c r="B1252" s="31" t="n">
        <f aca="false">(A1252-$A$5)*86400</f>
        <v>47.647000034</v>
      </c>
      <c r="C1252" s="27" t="n">
        <v>1.361</v>
      </c>
      <c r="D1252" s="27" t="n">
        <v>1.6379</v>
      </c>
      <c r="E1252" s="27" t="s">
        <v>603</v>
      </c>
      <c r="F1252" s="27" t="s">
        <v>146</v>
      </c>
      <c r="G1252" s="32" t="n">
        <f aca="false">(A1252-A1251)*86400000</f>
        <v>15.000044</v>
      </c>
      <c r="H1252" s="3"/>
      <c r="I1252" s="3"/>
      <c r="J1252" s="3"/>
      <c r="K1252" s="3"/>
      <c r="L1252" s="3"/>
      <c r="M1252" s="3"/>
    </row>
    <row r="1253" customFormat="false" ht="15" hidden="false" customHeight="false" outlineLevel="0" collapsed="false">
      <c r="A1253" s="28" t="n">
        <v>46301.5242048843</v>
      </c>
      <c r="B1253" s="31" t="n">
        <f aca="false">(A1253-$A$5)*86400</f>
        <v>47.664000419</v>
      </c>
      <c r="C1253" s="27" t="n">
        <v>1.365</v>
      </c>
      <c r="D1253" s="27" t="n">
        <v>1.6378</v>
      </c>
      <c r="E1253" s="27" t="s">
        <v>603</v>
      </c>
      <c r="F1253" s="27" t="s">
        <v>146</v>
      </c>
      <c r="G1253" s="32" t="n">
        <f aca="false">(A1253-A1252)*86400000</f>
        <v>17.000385</v>
      </c>
      <c r="H1253" s="3"/>
      <c r="I1253" s="3"/>
      <c r="J1253" s="3"/>
      <c r="K1253" s="3"/>
      <c r="L1253" s="3"/>
      <c r="M1253" s="3"/>
    </row>
    <row r="1254" customFormat="false" ht="15" hidden="false" customHeight="false" outlineLevel="0" collapsed="false">
      <c r="A1254" s="28" t="n">
        <v>46301.5242050694</v>
      </c>
      <c r="B1254" s="31" t="n">
        <f aca="false">(A1254-$A$5)*86400</f>
        <v>47.680000006</v>
      </c>
      <c r="C1254" s="27" t="n">
        <v>1.368</v>
      </c>
      <c r="D1254" s="27" t="n">
        <v>1.6377</v>
      </c>
      <c r="E1254" s="27" t="s">
        <v>603</v>
      </c>
      <c r="F1254" s="27" t="s">
        <v>146</v>
      </c>
      <c r="G1254" s="32" t="n">
        <f aca="false">(A1254-A1253)*86400000</f>
        <v>15.999586</v>
      </c>
      <c r="H1254" s="3"/>
      <c r="I1254" s="3"/>
      <c r="J1254" s="3"/>
      <c r="K1254" s="3"/>
      <c r="L1254" s="3"/>
      <c r="M1254" s="3"/>
    </row>
    <row r="1255" customFormat="false" ht="15" hidden="false" customHeight="false" outlineLevel="0" collapsed="false">
      <c r="A1255" s="28" t="n">
        <v>46301.5242052662</v>
      </c>
      <c r="B1255" s="31" t="n">
        <f aca="false">(A1255-$A$5)*86400</f>
        <v>47.697000391</v>
      </c>
      <c r="C1255" s="27" t="n">
        <v>1.3705</v>
      </c>
      <c r="D1255" s="27" t="n">
        <v>1.6376</v>
      </c>
      <c r="E1255" s="27" t="s">
        <v>603</v>
      </c>
      <c r="F1255" s="27" t="s">
        <v>146</v>
      </c>
      <c r="G1255" s="32" t="n">
        <f aca="false">(A1255-A1254)*86400000</f>
        <v>17.000385</v>
      </c>
      <c r="H1255" s="3"/>
      <c r="I1255" s="3"/>
      <c r="J1255" s="3"/>
      <c r="K1255" s="3"/>
      <c r="L1255" s="3"/>
      <c r="M1255" s="3"/>
    </row>
    <row r="1256" customFormat="false" ht="15" hidden="false" customHeight="false" outlineLevel="0" collapsed="false">
      <c r="A1256" s="28" t="n">
        <v>46301.5242054398</v>
      </c>
      <c r="B1256" s="31" t="n">
        <f aca="false">(A1256-$A$5)*86400</f>
        <v>47.711999807</v>
      </c>
      <c r="C1256" s="27" t="n">
        <v>1.3726</v>
      </c>
      <c r="D1256" s="27" t="n">
        <v>1.6376</v>
      </c>
      <c r="E1256" s="27" t="s">
        <v>603</v>
      </c>
      <c r="F1256" s="27" t="s">
        <v>146</v>
      </c>
      <c r="G1256" s="32" t="n">
        <f aca="false">(A1256-A1255)*86400000</f>
        <v>14.999415</v>
      </c>
      <c r="H1256" s="3"/>
      <c r="I1256" s="3"/>
      <c r="J1256" s="3"/>
      <c r="K1256" s="3"/>
      <c r="L1256" s="3"/>
      <c r="M1256" s="3"/>
    </row>
    <row r="1257" customFormat="false" ht="15" hidden="false" customHeight="false" outlineLevel="0" collapsed="false">
      <c r="A1257" s="28" t="n">
        <v>46301.524205625</v>
      </c>
      <c r="B1257" s="31" t="n">
        <f aca="false">(A1257-$A$5)*86400</f>
        <v>47.728000022</v>
      </c>
      <c r="C1257" s="27" t="n">
        <v>1.3743</v>
      </c>
      <c r="D1257" s="27" t="n">
        <v>1.6375</v>
      </c>
      <c r="E1257" s="27" t="s">
        <v>603</v>
      </c>
      <c r="F1257" s="27" t="s">
        <v>146</v>
      </c>
      <c r="G1257" s="32" t="n">
        <f aca="false">(A1257-A1256)*86400000</f>
        <v>16.000214</v>
      </c>
      <c r="H1257" s="3"/>
      <c r="I1257" s="3"/>
      <c r="J1257" s="3"/>
      <c r="K1257" s="3"/>
      <c r="L1257" s="3"/>
      <c r="M1257" s="3"/>
    </row>
    <row r="1258" customFormat="false" ht="15" hidden="false" customHeight="false" outlineLevel="0" collapsed="false">
      <c r="A1258" s="28" t="n">
        <v>46301.5242058102</v>
      </c>
      <c r="B1258" s="31" t="n">
        <f aca="false">(A1258-$A$5)*86400</f>
        <v>47.744000237</v>
      </c>
      <c r="C1258" s="27" t="n">
        <v>1.3757</v>
      </c>
      <c r="D1258" s="27" t="n">
        <v>1.6375</v>
      </c>
      <c r="E1258" s="27" t="s">
        <v>603</v>
      </c>
      <c r="F1258" s="27" t="s">
        <v>146</v>
      </c>
      <c r="G1258" s="32" t="n">
        <f aca="false">(A1258-A1257)*86400000</f>
        <v>16.000214</v>
      </c>
      <c r="H1258" s="3"/>
      <c r="I1258" s="3"/>
      <c r="J1258" s="3"/>
      <c r="K1258" s="3"/>
      <c r="L1258" s="3"/>
      <c r="M1258" s="3"/>
    </row>
    <row r="1259" customFormat="false" ht="15" hidden="false" customHeight="false" outlineLevel="0" collapsed="false">
      <c r="A1259" s="28" t="n">
        <v>46301.5242061806</v>
      </c>
      <c r="B1259" s="31" t="n">
        <f aca="false">(A1259-$A$5)*86400</f>
        <v>47.77599941</v>
      </c>
      <c r="C1259" s="27" t="n">
        <v>1.3779</v>
      </c>
      <c r="D1259" s="27" t="n">
        <v>1.6374</v>
      </c>
      <c r="E1259" s="27" t="s">
        <v>603</v>
      </c>
      <c r="F1259" s="27" t="s">
        <v>146</v>
      </c>
      <c r="G1259" s="32" t="n">
        <f aca="false">(A1259-A1258)*86400000</f>
        <v>31.999172</v>
      </c>
      <c r="H1259" s="3"/>
      <c r="I1259" s="3"/>
      <c r="J1259" s="3"/>
      <c r="K1259" s="3"/>
      <c r="L1259" s="3"/>
      <c r="M1259" s="3"/>
    </row>
    <row r="1260" customFormat="false" ht="15" hidden="false" customHeight="false" outlineLevel="0" collapsed="false">
      <c r="A1260" s="28" t="n">
        <v>46301.5242065509</v>
      </c>
      <c r="B1260" s="31" t="n">
        <f aca="false">(A1260-$A$5)*86400</f>
        <v>47.80799984</v>
      </c>
      <c r="C1260" s="27" t="n">
        <v>1.3793</v>
      </c>
      <c r="D1260" s="27" t="n">
        <v>1.6374</v>
      </c>
      <c r="E1260" s="27" t="s">
        <v>603</v>
      </c>
      <c r="F1260" s="27" t="s">
        <v>146</v>
      </c>
      <c r="G1260" s="32" t="n">
        <f aca="false">(A1260-A1259)*86400000</f>
        <v>32.000429</v>
      </c>
      <c r="H1260" s="3"/>
      <c r="I1260" s="3"/>
      <c r="J1260" s="3"/>
      <c r="K1260" s="3"/>
      <c r="L1260" s="3"/>
      <c r="M1260" s="3"/>
    </row>
    <row r="1261" customFormat="false" ht="15" hidden="false" customHeight="false" outlineLevel="0" collapsed="false">
      <c r="A1261" s="28" t="n">
        <v>46301.5242072917</v>
      </c>
      <c r="B1261" s="31" t="n">
        <f aca="false">(A1261-$A$5)*86400</f>
        <v>47.872000699</v>
      </c>
      <c r="C1261" s="27" t="n">
        <v>1.3824</v>
      </c>
      <c r="D1261" s="27" t="n">
        <v>1.6373</v>
      </c>
      <c r="E1261" s="27" t="s">
        <v>603</v>
      </c>
      <c r="F1261" s="27" t="s">
        <v>146</v>
      </c>
      <c r="G1261" s="32" t="n">
        <f aca="false">(A1261-A1260)*86400000</f>
        <v>64.000859</v>
      </c>
      <c r="H1261" s="3"/>
      <c r="I1261" s="3"/>
      <c r="J1261" s="3"/>
      <c r="K1261" s="3"/>
      <c r="L1261" s="3"/>
      <c r="M1261" s="3"/>
    </row>
    <row r="1262" customFormat="false" ht="15" hidden="false" customHeight="false" outlineLevel="0" collapsed="false">
      <c r="A1262" s="28" t="n">
        <v>46301.5242091667</v>
      </c>
      <c r="B1262" s="31" t="n">
        <f aca="false">(A1262-$A$5)*86400</f>
        <v>48.034000676</v>
      </c>
      <c r="C1262" s="27" t="n">
        <v>1.3751</v>
      </c>
      <c r="D1262" s="27" t="n">
        <v>1.638</v>
      </c>
      <c r="E1262" s="27" t="s">
        <v>603</v>
      </c>
      <c r="F1262" s="27" t="s">
        <v>146</v>
      </c>
      <c r="G1262" s="32" t="n">
        <f aca="false">(A1262-A1261)*86400000</f>
        <v>161.999976</v>
      </c>
      <c r="H1262" s="3"/>
      <c r="I1262" s="3"/>
      <c r="J1262" s="3"/>
      <c r="K1262" s="3"/>
      <c r="L1262" s="3"/>
      <c r="M1262" s="3"/>
    </row>
    <row r="1263" customFormat="false" ht="15" hidden="false" customHeight="false" outlineLevel="0" collapsed="false">
      <c r="A1263" s="28" t="n">
        <v>46301.5242093519</v>
      </c>
      <c r="B1263" s="31" t="n">
        <f aca="false">(A1263-$A$5)*86400</f>
        <v>48.049999633</v>
      </c>
      <c r="C1263" s="27" t="n">
        <v>1.3686</v>
      </c>
      <c r="D1263" s="27" t="n">
        <v>1.6387</v>
      </c>
      <c r="E1263" s="27" t="s">
        <v>603</v>
      </c>
      <c r="F1263" s="27" t="s">
        <v>146</v>
      </c>
      <c r="G1263" s="32" t="n">
        <f aca="false">(A1263-A1262)*86400000</f>
        <v>15.998957</v>
      </c>
      <c r="H1263" s="3"/>
      <c r="I1263" s="3"/>
      <c r="J1263" s="3"/>
      <c r="K1263" s="3"/>
      <c r="L1263" s="3"/>
      <c r="M1263" s="3"/>
    </row>
    <row r="1264" customFormat="false" ht="15" hidden="false" customHeight="false" outlineLevel="0" collapsed="false">
      <c r="A1264" s="28" t="n">
        <v>46301.5242095486</v>
      </c>
      <c r="B1264" s="31" t="n">
        <f aca="false">(A1264-$A$5)*86400</f>
        <v>48.067000019</v>
      </c>
      <c r="C1264" s="27" t="n">
        <v>1.3637</v>
      </c>
      <c r="D1264" s="27" t="n">
        <v>1.6391</v>
      </c>
      <c r="E1264" s="27" t="s">
        <v>603</v>
      </c>
      <c r="F1264" s="27" t="s">
        <v>146</v>
      </c>
      <c r="G1264" s="32" t="n">
        <f aca="false">(A1264-A1263)*86400000</f>
        <v>17.000385</v>
      </c>
      <c r="H1264" s="3"/>
      <c r="I1264" s="3"/>
      <c r="J1264" s="3"/>
      <c r="K1264" s="3"/>
      <c r="L1264" s="3"/>
      <c r="M1264" s="3"/>
    </row>
    <row r="1265" customFormat="false" ht="15" hidden="false" customHeight="false" outlineLevel="0" collapsed="false">
      <c r="A1265" s="28" t="n">
        <v>46301.5242097338</v>
      </c>
      <c r="B1265" s="31" t="n">
        <f aca="false">(A1265-$A$5)*86400</f>
        <v>48.083000234</v>
      </c>
      <c r="C1265" s="27" t="n">
        <v>1.3594</v>
      </c>
      <c r="D1265" s="27" t="n">
        <v>1.6396</v>
      </c>
      <c r="E1265" s="27" t="s">
        <v>603</v>
      </c>
      <c r="F1265" s="27" t="s">
        <v>146</v>
      </c>
      <c r="G1265" s="32" t="n">
        <f aca="false">(A1265-A1264)*86400000</f>
        <v>16.000214</v>
      </c>
      <c r="H1265" s="3"/>
      <c r="I1265" s="3"/>
      <c r="J1265" s="3"/>
      <c r="K1265" s="3"/>
      <c r="L1265" s="3"/>
      <c r="M1265" s="3"/>
    </row>
    <row r="1266" customFormat="false" ht="15" hidden="false" customHeight="false" outlineLevel="0" collapsed="false">
      <c r="A1266" s="28" t="n">
        <v>46301.524209919</v>
      </c>
      <c r="B1266" s="31" t="n">
        <f aca="false">(A1266-$A$5)*86400</f>
        <v>48.09899982</v>
      </c>
      <c r="C1266" s="27" t="n">
        <v>1.3561</v>
      </c>
      <c r="D1266" s="27" t="n">
        <v>1.6399</v>
      </c>
      <c r="E1266" s="27" t="s">
        <v>603</v>
      </c>
      <c r="F1266" s="27" t="s">
        <v>146</v>
      </c>
      <c r="G1266" s="32" t="n">
        <f aca="false">(A1266-A1265)*86400000</f>
        <v>15.999586</v>
      </c>
      <c r="H1266" s="3"/>
      <c r="I1266" s="3"/>
      <c r="J1266" s="3"/>
      <c r="K1266" s="3"/>
      <c r="L1266" s="3"/>
      <c r="M1266" s="3"/>
    </row>
    <row r="1267" customFormat="false" ht="15" hidden="false" customHeight="false" outlineLevel="0" collapsed="false">
      <c r="A1267" s="28" t="n">
        <v>46301.5242101042</v>
      </c>
      <c r="B1267" s="31" t="n">
        <f aca="false">(A1267-$A$5)*86400</f>
        <v>48.115000664</v>
      </c>
      <c r="C1267" s="27" t="n">
        <v>1.3533</v>
      </c>
      <c r="D1267" s="27" t="n">
        <v>1.6402</v>
      </c>
      <c r="E1267" s="27" t="s">
        <v>603</v>
      </c>
      <c r="F1267" s="27" t="s">
        <v>146</v>
      </c>
      <c r="G1267" s="32" t="n">
        <f aca="false">(A1267-A1266)*86400000</f>
        <v>16.000843</v>
      </c>
      <c r="H1267" s="3"/>
      <c r="I1267" s="3"/>
      <c r="J1267" s="3"/>
      <c r="K1267" s="3"/>
      <c r="L1267" s="3"/>
      <c r="M1267" s="3"/>
    </row>
    <row r="1268" customFormat="false" ht="15" hidden="false" customHeight="false" outlineLevel="0" collapsed="false">
      <c r="A1268" s="28" t="n">
        <v>46301.5242102894</v>
      </c>
      <c r="B1268" s="31" t="n">
        <f aca="false">(A1268-$A$5)*86400</f>
        <v>48.13100025</v>
      </c>
      <c r="C1268" s="27" t="n">
        <v>1.351</v>
      </c>
      <c r="D1268" s="27" t="n">
        <v>1.6404</v>
      </c>
      <c r="E1268" s="27" t="s">
        <v>603</v>
      </c>
      <c r="F1268" s="27" t="s">
        <v>146</v>
      </c>
      <c r="G1268" s="32" t="n">
        <f aca="false">(A1268-A1267)*86400000</f>
        <v>15.999586</v>
      </c>
      <c r="H1268" s="3"/>
      <c r="I1268" s="3"/>
      <c r="J1268" s="3"/>
      <c r="K1268" s="3"/>
      <c r="L1268" s="3"/>
      <c r="M1268" s="3"/>
    </row>
    <row r="1269" customFormat="false" ht="15" hidden="false" customHeight="false" outlineLevel="0" collapsed="false">
      <c r="A1269" s="28" t="n">
        <v>46301.5242104861</v>
      </c>
      <c r="B1269" s="31" t="n">
        <f aca="false">(A1269-$A$5)*86400</f>
        <v>48.148000007</v>
      </c>
      <c r="C1269" s="27" t="n">
        <v>1.3492</v>
      </c>
      <c r="D1269" s="27" t="n">
        <v>1.6406</v>
      </c>
      <c r="E1269" s="27" t="s">
        <v>603</v>
      </c>
      <c r="F1269" s="27" t="s">
        <v>146</v>
      </c>
      <c r="G1269" s="32" t="n">
        <f aca="false">(A1269-A1268)*86400000</f>
        <v>16.999756</v>
      </c>
      <c r="H1269" s="3"/>
      <c r="I1269" s="3"/>
      <c r="J1269" s="3"/>
      <c r="K1269" s="3"/>
      <c r="L1269" s="3"/>
      <c r="M1269" s="3"/>
    </row>
    <row r="1270" customFormat="false" ht="15" hidden="false" customHeight="false" outlineLevel="0" collapsed="false">
      <c r="A1270" s="28" t="n">
        <v>46301.5242106597</v>
      </c>
      <c r="B1270" s="31" t="n">
        <f aca="false">(A1270-$A$5)*86400</f>
        <v>48.163000051</v>
      </c>
      <c r="C1270" s="27" t="n">
        <v>1.3476</v>
      </c>
      <c r="D1270" s="27" t="n">
        <v>1.6407</v>
      </c>
      <c r="E1270" s="27" t="s">
        <v>603</v>
      </c>
      <c r="F1270" s="27" t="s">
        <v>146</v>
      </c>
      <c r="G1270" s="32" t="n">
        <f aca="false">(A1270-A1269)*86400000</f>
        <v>15.000044</v>
      </c>
      <c r="H1270" s="3"/>
      <c r="I1270" s="3"/>
      <c r="J1270" s="3"/>
      <c r="K1270" s="3"/>
      <c r="L1270" s="3"/>
      <c r="M1270" s="3"/>
    </row>
    <row r="1271" customFormat="false" ht="15" hidden="false" customHeight="false" outlineLevel="0" collapsed="false">
      <c r="A1271" s="28" t="n">
        <v>46301.5242108449</v>
      </c>
      <c r="B1271" s="31" t="n">
        <f aca="false">(A1271-$A$5)*86400</f>
        <v>48.179000266</v>
      </c>
      <c r="C1271" s="27" t="n">
        <v>1.3463</v>
      </c>
      <c r="D1271" s="27" t="n">
        <v>1.6408</v>
      </c>
      <c r="E1271" s="27" t="s">
        <v>603</v>
      </c>
      <c r="F1271" s="27" t="s">
        <v>146</v>
      </c>
      <c r="G1271" s="32" t="n">
        <f aca="false">(A1271-A1270)*86400000</f>
        <v>16.000214</v>
      </c>
      <c r="H1271" s="3"/>
      <c r="I1271" s="3"/>
      <c r="J1271" s="3"/>
      <c r="K1271" s="3"/>
      <c r="L1271" s="3"/>
      <c r="M1271" s="3"/>
    </row>
    <row r="1272" customFormat="false" ht="15" hidden="false" customHeight="false" outlineLevel="0" collapsed="false">
      <c r="A1272" s="28" t="n">
        <v>46301.5242110301</v>
      </c>
      <c r="B1272" s="31" t="n">
        <f aca="false">(A1272-$A$5)*86400</f>
        <v>48.194999853</v>
      </c>
      <c r="C1272" s="27" t="n">
        <v>1.3453</v>
      </c>
      <c r="D1272" s="27" t="n">
        <v>1.6409</v>
      </c>
      <c r="E1272" s="27" t="s">
        <v>603</v>
      </c>
      <c r="F1272" s="27" t="s">
        <v>146</v>
      </c>
      <c r="G1272" s="32" t="n">
        <f aca="false">(A1272-A1271)*86400000</f>
        <v>15.999586</v>
      </c>
      <c r="H1272" s="3"/>
      <c r="I1272" s="3"/>
      <c r="J1272" s="3"/>
      <c r="K1272" s="3"/>
      <c r="L1272" s="3"/>
      <c r="M1272" s="3"/>
    </row>
    <row r="1273" customFormat="false" ht="15" hidden="false" customHeight="false" outlineLevel="0" collapsed="false">
      <c r="A1273" s="28" t="n">
        <v>46301.5242114005</v>
      </c>
      <c r="B1273" s="31" t="n">
        <f aca="false">(A1273-$A$5)*86400</f>
        <v>48.226999654</v>
      </c>
      <c r="C1273" s="27" t="n">
        <v>1.3437</v>
      </c>
      <c r="D1273" s="27" t="n">
        <v>1.6411</v>
      </c>
      <c r="E1273" s="27" t="s">
        <v>603</v>
      </c>
      <c r="F1273" s="27" t="s">
        <v>146</v>
      </c>
      <c r="G1273" s="32" t="n">
        <f aca="false">(A1273-A1272)*86400000</f>
        <v>31.999801</v>
      </c>
      <c r="H1273" s="3"/>
      <c r="I1273" s="3"/>
      <c r="J1273" s="3"/>
      <c r="K1273" s="3"/>
      <c r="L1273" s="3"/>
      <c r="M1273" s="3"/>
    </row>
    <row r="1274" customFormat="false" ht="15" hidden="false" customHeight="false" outlineLevel="0" collapsed="false">
      <c r="A1274" s="28" t="n">
        <v>46301.5242115857</v>
      </c>
      <c r="B1274" s="31" t="n">
        <f aca="false">(A1274-$A$5)*86400</f>
        <v>48.243000498</v>
      </c>
      <c r="C1274" s="27" t="n">
        <v>1.3573</v>
      </c>
      <c r="D1274" s="27" t="n">
        <v>1.6179</v>
      </c>
      <c r="E1274" s="27" t="s">
        <v>603</v>
      </c>
      <c r="F1274" s="27" t="s">
        <v>146</v>
      </c>
      <c r="G1274" s="32" t="n">
        <f aca="false">(A1274-A1273)*86400000</f>
        <v>16.000843</v>
      </c>
      <c r="H1274" s="3"/>
      <c r="I1274" s="3"/>
      <c r="J1274" s="3"/>
      <c r="K1274" s="3"/>
      <c r="L1274" s="3"/>
      <c r="M1274" s="3"/>
    </row>
    <row r="1275" customFormat="false" ht="15" hidden="false" customHeight="false" outlineLevel="0" collapsed="false">
      <c r="A1275" s="28" t="n">
        <v>46301.5242117824</v>
      </c>
      <c r="B1275" s="31" t="n">
        <f aca="false">(A1275-$A$5)*86400</f>
        <v>48.260000254</v>
      </c>
      <c r="C1275" s="27" t="n">
        <v>1.3685</v>
      </c>
      <c r="D1275" s="27" t="n">
        <v>1.5988</v>
      </c>
      <c r="E1275" s="27" t="s">
        <v>603</v>
      </c>
      <c r="F1275" s="27" t="s">
        <v>146</v>
      </c>
      <c r="G1275" s="32" t="n">
        <f aca="false">(A1275-A1274)*86400000</f>
        <v>16.999756</v>
      </c>
      <c r="H1275" s="3"/>
      <c r="I1275" s="3"/>
      <c r="J1275" s="3"/>
      <c r="K1275" s="3"/>
      <c r="L1275" s="3"/>
      <c r="M1275" s="3"/>
    </row>
    <row r="1276" customFormat="false" ht="15" hidden="false" customHeight="false" outlineLevel="0" collapsed="false">
      <c r="A1276" s="28" t="n">
        <v>46301.524211956</v>
      </c>
      <c r="B1276" s="31" t="n">
        <f aca="false">(A1276-$A$5)*86400</f>
        <v>48.275000299</v>
      </c>
      <c r="C1276" s="27" t="n">
        <v>1.3778</v>
      </c>
      <c r="D1276" s="27" t="n">
        <v>1.583</v>
      </c>
      <c r="E1276" s="27" t="s">
        <v>603</v>
      </c>
      <c r="F1276" s="27" t="s">
        <v>146</v>
      </c>
      <c r="G1276" s="32" t="n">
        <f aca="false">(A1276-A1275)*86400000</f>
        <v>15.000044</v>
      </c>
      <c r="H1276" s="3"/>
      <c r="I1276" s="3"/>
      <c r="J1276" s="3"/>
      <c r="K1276" s="3"/>
      <c r="L1276" s="3"/>
      <c r="M1276" s="3"/>
    </row>
    <row r="1277" customFormat="false" ht="15" hidden="false" customHeight="false" outlineLevel="0" collapsed="false">
      <c r="A1277" s="28" t="n">
        <v>46301.5242121528</v>
      </c>
      <c r="B1277" s="31" t="n">
        <f aca="false">(A1277-$A$5)*86400</f>
        <v>48.292000056</v>
      </c>
      <c r="C1277" s="27" t="n">
        <v>1.3855</v>
      </c>
      <c r="D1277" s="27" t="n">
        <v>1.5699</v>
      </c>
      <c r="E1277" s="27" t="s">
        <v>603</v>
      </c>
      <c r="F1277" s="27" t="s">
        <v>146</v>
      </c>
      <c r="G1277" s="32" t="n">
        <f aca="false">(A1277-A1276)*86400000</f>
        <v>16.999756</v>
      </c>
      <c r="H1277" s="3"/>
      <c r="I1277" s="3"/>
      <c r="J1277" s="3"/>
      <c r="K1277" s="3"/>
      <c r="L1277" s="3"/>
      <c r="M1277" s="3"/>
    </row>
    <row r="1278" customFormat="false" ht="15" hidden="false" customHeight="false" outlineLevel="0" collapsed="false">
      <c r="A1278" s="28" t="n">
        <v>46301.524212338</v>
      </c>
      <c r="B1278" s="31" t="n">
        <f aca="false">(A1278-$A$5)*86400</f>
        <v>48.307999642</v>
      </c>
      <c r="C1278" s="27" t="n">
        <v>1.3918</v>
      </c>
      <c r="D1278" s="27" t="n">
        <v>1.5592</v>
      </c>
      <c r="E1278" s="27" t="s">
        <v>603</v>
      </c>
      <c r="F1278" s="27" t="s">
        <v>146</v>
      </c>
      <c r="G1278" s="32" t="n">
        <f aca="false">(A1278-A1277)*86400000</f>
        <v>15.999586</v>
      </c>
      <c r="H1278" s="3"/>
      <c r="I1278" s="3"/>
      <c r="J1278" s="3"/>
      <c r="K1278" s="3"/>
      <c r="L1278" s="3"/>
      <c r="M1278" s="3"/>
    </row>
    <row r="1279" customFormat="false" ht="15" hidden="false" customHeight="false" outlineLevel="0" collapsed="false">
      <c r="A1279" s="28" t="n">
        <v>46301.5242125116</v>
      </c>
      <c r="B1279" s="31" t="n">
        <f aca="false">(A1279-$A$5)*86400</f>
        <v>48.323000315</v>
      </c>
      <c r="C1279" s="27" t="n">
        <v>1.397</v>
      </c>
      <c r="D1279" s="27" t="n">
        <v>1.5503</v>
      </c>
      <c r="E1279" s="27" t="s">
        <v>603</v>
      </c>
      <c r="F1279" s="27" t="s">
        <v>146</v>
      </c>
      <c r="G1279" s="32" t="n">
        <f aca="false">(A1279-A1278)*86400000</f>
        <v>15.000673</v>
      </c>
      <c r="H1279" s="3"/>
      <c r="I1279" s="3"/>
      <c r="J1279" s="3"/>
      <c r="K1279" s="3"/>
      <c r="L1279" s="3"/>
      <c r="M1279" s="3"/>
    </row>
    <row r="1280" customFormat="false" ht="15" hidden="false" customHeight="false" outlineLevel="0" collapsed="false">
      <c r="A1280" s="28" t="n">
        <v>46301.5242127083</v>
      </c>
      <c r="B1280" s="31" t="n">
        <f aca="false">(A1280-$A$5)*86400</f>
        <v>48.340000072</v>
      </c>
      <c r="C1280" s="27" t="n">
        <v>1.4015</v>
      </c>
      <c r="D1280" s="27" t="n">
        <v>1.5425</v>
      </c>
      <c r="E1280" s="27" t="s">
        <v>603</v>
      </c>
      <c r="F1280" s="27" t="s">
        <v>146</v>
      </c>
      <c r="G1280" s="32" t="n">
        <f aca="false">(A1280-A1279)*86400000</f>
        <v>16.999756</v>
      </c>
      <c r="H1280" s="3"/>
      <c r="I1280" s="3"/>
      <c r="J1280" s="3"/>
      <c r="K1280" s="3"/>
      <c r="L1280" s="3"/>
      <c r="M1280" s="3"/>
    </row>
    <row r="1281" customFormat="false" ht="15" hidden="false" customHeight="false" outlineLevel="0" collapsed="false">
      <c r="A1281" s="28" t="n">
        <v>46301.5242128935</v>
      </c>
      <c r="B1281" s="31" t="n">
        <f aca="false">(A1281-$A$5)*86400</f>
        <v>48.356000287</v>
      </c>
      <c r="C1281" s="27" t="n">
        <v>1.4069</v>
      </c>
      <c r="D1281" s="27" t="n">
        <v>1.5338</v>
      </c>
      <c r="E1281" s="27" t="s">
        <v>603</v>
      </c>
      <c r="F1281" s="27" t="s">
        <v>146</v>
      </c>
      <c r="G1281" s="32" t="n">
        <f aca="false">(A1281-A1280)*86400000</f>
        <v>16.000214</v>
      </c>
      <c r="H1281" s="3"/>
      <c r="I1281" s="3"/>
      <c r="J1281" s="3"/>
      <c r="K1281" s="3"/>
      <c r="L1281" s="3"/>
      <c r="M1281" s="3"/>
    </row>
    <row r="1282" customFormat="false" ht="15" hidden="false" customHeight="false" outlineLevel="0" collapsed="false">
      <c r="A1282" s="28" t="n">
        <v>46301.5242130787</v>
      </c>
      <c r="B1282" s="31" t="n">
        <f aca="false">(A1282-$A$5)*86400</f>
        <v>48.371999873</v>
      </c>
      <c r="C1282" s="27" t="n">
        <v>1.4114</v>
      </c>
      <c r="D1282" s="27" t="n">
        <v>1.5265</v>
      </c>
      <c r="E1282" s="27" t="s">
        <v>603</v>
      </c>
      <c r="F1282" s="27" t="s">
        <v>146</v>
      </c>
      <c r="G1282" s="32" t="n">
        <f aca="false">(A1282-A1281)*86400000</f>
        <v>15.999586</v>
      </c>
      <c r="H1282" s="3"/>
      <c r="I1282" s="3"/>
      <c r="J1282" s="3"/>
      <c r="K1282" s="3"/>
      <c r="L1282" s="3"/>
      <c r="M1282" s="3"/>
    </row>
    <row r="1283" customFormat="false" ht="15" hidden="false" customHeight="false" outlineLevel="0" collapsed="false">
      <c r="A1283" s="28" t="n">
        <v>46301.5242132639</v>
      </c>
      <c r="B1283" s="31" t="n">
        <f aca="false">(A1283-$A$5)*86400</f>
        <v>48.388000088</v>
      </c>
      <c r="C1283" s="27" t="n">
        <v>1.4151</v>
      </c>
      <c r="D1283" s="27" t="n">
        <v>1.5206</v>
      </c>
      <c r="E1283" s="27" t="s">
        <v>603</v>
      </c>
      <c r="F1283" s="27" t="s">
        <v>146</v>
      </c>
      <c r="G1283" s="32" t="n">
        <f aca="false">(A1283-A1282)*86400000</f>
        <v>16.000214</v>
      </c>
      <c r="H1283" s="3"/>
      <c r="I1283" s="3"/>
      <c r="J1283" s="3"/>
      <c r="K1283" s="3"/>
      <c r="L1283" s="3"/>
      <c r="M1283" s="3"/>
    </row>
    <row r="1284" customFormat="false" ht="15" hidden="false" customHeight="false" outlineLevel="0" collapsed="false">
      <c r="A1284" s="28" t="n">
        <v>46301.5242134491</v>
      </c>
      <c r="B1284" s="31" t="n">
        <f aca="false">(A1284-$A$5)*86400</f>
        <v>48.404000932</v>
      </c>
      <c r="C1284" s="27" t="n">
        <v>1.4181</v>
      </c>
      <c r="D1284" s="27" t="n">
        <v>1.5156</v>
      </c>
      <c r="E1284" s="27" t="s">
        <v>603</v>
      </c>
      <c r="F1284" s="27" t="s">
        <v>146</v>
      </c>
      <c r="G1284" s="32" t="n">
        <f aca="false">(A1284-A1283)*86400000</f>
        <v>16.000843</v>
      </c>
      <c r="H1284" s="3"/>
      <c r="I1284" s="3"/>
      <c r="J1284" s="3"/>
      <c r="K1284" s="3"/>
      <c r="L1284" s="3"/>
      <c r="M1284" s="3"/>
    </row>
    <row r="1285" customFormat="false" ht="15" hidden="false" customHeight="false" outlineLevel="0" collapsed="false">
      <c r="A1285" s="28" t="n">
        <v>46301.5242136343</v>
      </c>
      <c r="B1285" s="31" t="n">
        <f aca="false">(A1285-$A$5)*86400</f>
        <v>48.41999989</v>
      </c>
      <c r="C1285" s="27" t="n">
        <v>1.4206</v>
      </c>
      <c r="D1285" s="27" t="n">
        <v>1.5116</v>
      </c>
      <c r="E1285" s="27" t="s">
        <v>603</v>
      </c>
      <c r="F1285" s="27" t="s">
        <v>146</v>
      </c>
      <c r="G1285" s="32" t="n">
        <f aca="false">(A1285-A1284)*86400000</f>
        <v>15.998957</v>
      </c>
      <c r="H1285" s="3"/>
      <c r="I1285" s="3"/>
      <c r="J1285" s="3"/>
      <c r="K1285" s="3"/>
      <c r="L1285" s="3"/>
      <c r="M1285" s="3"/>
    </row>
    <row r="1286" customFormat="false" ht="15" hidden="false" customHeight="false" outlineLevel="0" collapsed="false">
      <c r="A1286" s="28" t="n">
        <v>46301.5242138194</v>
      </c>
      <c r="B1286" s="31" t="n">
        <f aca="false">(A1286-$A$5)*86400</f>
        <v>48.435999476</v>
      </c>
      <c r="C1286" s="27" t="n">
        <v>1.4227</v>
      </c>
      <c r="D1286" s="27" t="n">
        <v>1.5082</v>
      </c>
      <c r="E1286" s="27" t="s">
        <v>603</v>
      </c>
      <c r="F1286" s="27" t="s">
        <v>146</v>
      </c>
      <c r="G1286" s="32" t="n">
        <f aca="false">(A1286-A1285)*86400000</f>
        <v>15.999586</v>
      </c>
      <c r="H1286" s="3"/>
      <c r="I1286" s="3"/>
      <c r="J1286" s="3"/>
      <c r="K1286" s="3"/>
      <c r="L1286" s="3"/>
      <c r="M1286" s="3"/>
    </row>
    <row r="1287" customFormat="false" ht="15" hidden="false" customHeight="false" outlineLevel="0" collapsed="false">
      <c r="A1287" s="28" t="n">
        <v>46301.5242140046</v>
      </c>
      <c r="B1287" s="31" t="n">
        <f aca="false">(A1287-$A$5)*86400</f>
        <v>48.452000319</v>
      </c>
      <c r="C1287" s="27" t="n">
        <v>1.4244</v>
      </c>
      <c r="D1287" s="27" t="n">
        <v>1.5055</v>
      </c>
      <c r="E1287" s="27" t="s">
        <v>603</v>
      </c>
      <c r="F1287" s="27" t="s">
        <v>146</v>
      </c>
      <c r="G1287" s="32" t="n">
        <f aca="false">(A1287-A1286)*86400000</f>
        <v>16.000843</v>
      </c>
      <c r="H1287" s="3"/>
      <c r="I1287" s="3"/>
      <c r="J1287" s="3"/>
      <c r="K1287" s="3"/>
      <c r="L1287" s="3"/>
      <c r="M1287" s="3"/>
    </row>
    <row r="1288" customFormat="false" ht="15" hidden="false" customHeight="false" outlineLevel="0" collapsed="false">
      <c r="A1288" s="28" t="n">
        <v>46301.5242142014</v>
      </c>
      <c r="B1288" s="31" t="n">
        <f aca="false">(A1288-$A$5)*86400</f>
        <v>48.469000076</v>
      </c>
      <c r="C1288" s="27" t="n">
        <v>1.4258</v>
      </c>
      <c r="D1288" s="27" t="n">
        <v>1.5032</v>
      </c>
      <c r="E1288" s="27" t="s">
        <v>603</v>
      </c>
      <c r="F1288" s="27" t="s">
        <v>146</v>
      </c>
      <c r="G1288" s="32" t="n">
        <f aca="false">(A1288-A1287)*86400000</f>
        <v>16.999756</v>
      </c>
      <c r="H1288" s="3"/>
      <c r="I1288" s="3"/>
      <c r="J1288" s="3"/>
      <c r="K1288" s="3"/>
      <c r="L1288" s="3"/>
      <c r="M1288" s="3"/>
    </row>
    <row r="1289" customFormat="false" ht="15" hidden="false" customHeight="false" outlineLevel="0" collapsed="false">
      <c r="A1289" s="28" t="n">
        <v>46301.5242143866</v>
      </c>
      <c r="B1289" s="31" t="n">
        <f aca="false">(A1289-$A$5)*86400</f>
        <v>48.48500092</v>
      </c>
      <c r="C1289" s="27" t="n">
        <v>1.427</v>
      </c>
      <c r="D1289" s="27" t="n">
        <v>1.5013</v>
      </c>
      <c r="E1289" s="27" t="s">
        <v>603</v>
      </c>
      <c r="F1289" s="27" t="s">
        <v>146</v>
      </c>
      <c r="G1289" s="32" t="n">
        <f aca="false">(A1289-A1288)*86400000</f>
        <v>16.000843</v>
      </c>
      <c r="H1289" s="3"/>
      <c r="I1289" s="3"/>
      <c r="J1289" s="3"/>
      <c r="K1289" s="3"/>
      <c r="L1289" s="3"/>
      <c r="M1289" s="3"/>
    </row>
    <row r="1290" customFormat="false" ht="15" hidden="false" customHeight="false" outlineLevel="0" collapsed="false">
      <c r="A1290" s="28" t="n">
        <v>46301.5242145602</v>
      </c>
      <c r="B1290" s="31" t="n">
        <f aca="false">(A1290-$A$5)*86400</f>
        <v>48.500000336</v>
      </c>
      <c r="C1290" s="27" t="n">
        <v>1.4279</v>
      </c>
      <c r="D1290" s="27" t="n">
        <v>1.4997</v>
      </c>
      <c r="E1290" s="27" t="s">
        <v>603</v>
      </c>
      <c r="F1290" s="27" t="s">
        <v>146</v>
      </c>
      <c r="G1290" s="32" t="n">
        <f aca="false">(A1290-A1289)*86400000</f>
        <v>14.999415</v>
      </c>
      <c r="H1290" s="3"/>
      <c r="I1290" s="3"/>
      <c r="J1290" s="3"/>
      <c r="K1290" s="3"/>
      <c r="L1290" s="3"/>
      <c r="M1290" s="3"/>
    </row>
    <row r="1291" customFormat="false" ht="15" hidden="false" customHeight="false" outlineLevel="0" collapsed="false">
      <c r="A1291" s="28" t="n">
        <v>46301.5242149421</v>
      </c>
      <c r="B1291" s="31" t="n">
        <f aca="false">(A1291-$A$5)*86400</f>
        <v>48.533000308</v>
      </c>
      <c r="C1291" s="27" t="n">
        <v>1.4294</v>
      </c>
      <c r="D1291" s="27" t="n">
        <v>1.4974</v>
      </c>
      <c r="E1291" s="27" t="s">
        <v>603</v>
      </c>
      <c r="F1291" s="27" t="s">
        <v>146</v>
      </c>
      <c r="G1291" s="32" t="n">
        <f aca="false">(A1291-A1290)*86400000</f>
        <v>32.999971</v>
      </c>
      <c r="H1291" s="3"/>
      <c r="I1291" s="3"/>
      <c r="J1291" s="3"/>
      <c r="K1291" s="3"/>
      <c r="L1291" s="3"/>
      <c r="M1291" s="3"/>
    </row>
    <row r="1292" customFormat="false" ht="15" hidden="false" customHeight="false" outlineLevel="0" collapsed="false">
      <c r="A1292" s="28" t="n">
        <v>46301.5242153009</v>
      </c>
      <c r="B1292" s="31" t="n">
        <f aca="false">(A1292-$A$5)*86400</f>
        <v>48.56399931</v>
      </c>
      <c r="C1292" s="27" t="n">
        <v>1.4303</v>
      </c>
      <c r="D1292" s="27" t="n">
        <v>1.4958</v>
      </c>
      <c r="E1292" s="27" t="s">
        <v>603</v>
      </c>
      <c r="F1292" s="27" t="s">
        <v>146</v>
      </c>
      <c r="G1292" s="32" t="n">
        <f aca="false">(A1292-A1291)*86400000</f>
        <v>30.999002</v>
      </c>
      <c r="H1292" s="3"/>
      <c r="I1292" s="3"/>
      <c r="J1292" s="3"/>
      <c r="K1292" s="3"/>
      <c r="L1292" s="3"/>
      <c r="M1292" s="3"/>
    </row>
    <row r="1293" customFormat="false" ht="15" hidden="false" customHeight="false" outlineLevel="0" collapsed="false">
      <c r="A1293" s="28" t="n">
        <v>46301.5242154977</v>
      </c>
      <c r="B1293" s="31" t="n">
        <f aca="false">(A1293-$A$5)*86400</f>
        <v>48.581000324</v>
      </c>
      <c r="C1293" s="27" t="n">
        <v>1.4331</v>
      </c>
      <c r="D1293" s="27" t="n">
        <v>1.4922</v>
      </c>
      <c r="E1293" s="27" t="s">
        <v>603</v>
      </c>
      <c r="F1293" s="27" t="s">
        <v>146</v>
      </c>
      <c r="G1293" s="32" t="n">
        <f aca="false">(A1293-A1292)*86400000</f>
        <v>17.001014</v>
      </c>
      <c r="H1293" s="3"/>
      <c r="I1293" s="3"/>
      <c r="J1293" s="3"/>
      <c r="K1293" s="3"/>
      <c r="L1293" s="3"/>
      <c r="M1293" s="3"/>
    </row>
    <row r="1294" customFormat="false" ht="15" hidden="false" customHeight="false" outlineLevel="0" collapsed="false">
      <c r="A1294" s="28" t="n">
        <v>46301.5242156713</v>
      </c>
      <c r="B1294" s="31" t="n">
        <f aca="false">(A1294-$A$5)*86400</f>
        <v>48.596000368</v>
      </c>
      <c r="C1294" s="27" t="n">
        <v>1.4352</v>
      </c>
      <c r="D1294" s="27" t="n">
        <v>1.4894</v>
      </c>
      <c r="E1294" s="27" t="s">
        <v>603</v>
      </c>
      <c r="F1294" s="27" t="s">
        <v>146</v>
      </c>
      <c r="G1294" s="32" t="n">
        <f aca="false">(A1294-A1293)*86400000</f>
        <v>15.000044</v>
      </c>
      <c r="H1294" s="3"/>
      <c r="I1294" s="3"/>
      <c r="J1294" s="3"/>
      <c r="K1294" s="3"/>
      <c r="L1294" s="3"/>
      <c r="M1294" s="3"/>
    </row>
    <row r="1295" customFormat="false" ht="15" hidden="false" customHeight="false" outlineLevel="0" collapsed="false">
      <c r="A1295" s="28" t="n">
        <v>46301.5242158681</v>
      </c>
      <c r="B1295" s="31" t="n">
        <f aca="false">(A1295-$A$5)*86400</f>
        <v>48.613000754</v>
      </c>
      <c r="C1295" s="27" t="n">
        <v>1.4371</v>
      </c>
      <c r="D1295" s="27" t="n">
        <v>1.4869</v>
      </c>
      <c r="E1295" s="27" t="s">
        <v>603</v>
      </c>
      <c r="F1295" s="27" t="s">
        <v>146</v>
      </c>
      <c r="G1295" s="32" t="n">
        <f aca="false">(A1295-A1294)*86400000</f>
        <v>17.000385</v>
      </c>
      <c r="H1295" s="3"/>
      <c r="I1295" s="3"/>
      <c r="J1295" s="3"/>
      <c r="K1295" s="3"/>
      <c r="L1295" s="3"/>
      <c r="M1295" s="3"/>
    </row>
    <row r="1296" customFormat="false" ht="15" hidden="false" customHeight="false" outlineLevel="0" collapsed="false">
      <c r="A1296" s="28" t="n">
        <v>46301.5242160648</v>
      </c>
      <c r="B1296" s="31" t="n">
        <f aca="false">(A1296-$A$5)*86400</f>
        <v>48.629999882</v>
      </c>
      <c r="C1296" s="27" t="n">
        <v>1.4385</v>
      </c>
      <c r="D1296" s="27" t="n">
        <v>1.485</v>
      </c>
      <c r="E1296" s="27" t="s">
        <v>603</v>
      </c>
      <c r="F1296" s="27" t="s">
        <v>146</v>
      </c>
      <c r="G1296" s="32" t="n">
        <f aca="false">(A1296-A1295)*86400000</f>
        <v>16.999128</v>
      </c>
      <c r="H1296" s="3"/>
      <c r="I1296" s="3"/>
      <c r="J1296" s="3"/>
      <c r="K1296" s="3"/>
      <c r="L1296" s="3"/>
      <c r="M1296" s="3"/>
    </row>
    <row r="1297" customFormat="false" ht="15" hidden="false" customHeight="false" outlineLevel="0" collapsed="false">
      <c r="A1297" s="28" t="n">
        <v>46301.5242162384</v>
      </c>
      <c r="B1297" s="31" t="n">
        <f aca="false">(A1297-$A$5)*86400</f>
        <v>48.644999298</v>
      </c>
      <c r="C1297" s="27" t="n">
        <v>1.4397</v>
      </c>
      <c r="D1297" s="27" t="n">
        <v>1.4835</v>
      </c>
      <c r="E1297" s="27" t="s">
        <v>603</v>
      </c>
      <c r="F1297" s="27" t="s">
        <v>146</v>
      </c>
      <c r="G1297" s="32" t="n">
        <f aca="false">(A1297-A1296)*86400000</f>
        <v>14.999415</v>
      </c>
      <c r="H1297" s="3"/>
      <c r="I1297" s="3"/>
      <c r="J1297" s="3"/>
      <c r="K1297" s="3"/>
      <c r="L1297" s="3"/>
      <c r="M1297" s="3"/>
    </row>
    <row r="1298" customFormat="false" ht="15" hidden="false" customHeight="false" outlineLevel="0" collapsed="false">
      <c r="A1298" s="28" t="n">
        <v>46301.5242164236</v>
      </c>
      <c r="B1298" s="31" t="n">
        <f aca="false">(A1298-$A$5)*86400</f>
        <v>48.661000141</v>
      </c>
      <c r="C1298" s="27" t="n">
        <v>1.4407</v>
      </c>
      <c r="D1298" s="27" t="n">
        <v>1.4822</v>
      </c>
      <c r="E1298" s="27" t="s">
        <v>603</v>
      </c>
      <c r="F1298" s="27" t="s">
        <v>146</v>
      </c>
      <c r="G1298" s="32" t="n">
        <f aca="false">(A1298-A1297)*86400000</f>
        <v>16.000843</v>
      </c>
      <c r="H1298" s="3"/>
      <c r="I1298" s="3"/>
      <c r="J1298" s="3"/>
      <c r="K1298" s="3"/>
      <c r="L1298" s="3"/>
      <c r="M1298" s="3"/>
    </row>
    <row r="1299" customFormat="false" ht="15" hidden="false" customHeight="false" outlineLevel="0" collapsed="false">
      <c r="A1299" s="28" t="n">
        <v>46301.5242166088</v>
      </c>
      <c r="B1299" s="31" t="n">
        <f aca="false">(A1299-$A$5)*86400</f>
        <v>48.677000356</v>
      </c>
      <c r="C1299" s="27" t="n">
        <v>1.4415</v>
      </c>
      <c r="D1299" s="27" t="n">
        <v>1.4811</v>
      </c>
      <c r="E1299" s="27" t="s">
        <v>603</v>
      </c>
      <c r="F1299" s="27" t="s">
        <v>146</v>
      </c>
      <c r="G1299" s="32" t="n">
        <f aca="false">(A1299-A1298)*86400000</f>
        <v>16.000214</v>
      </c>
      <c r="H1299" s="3"/>
      <c r="I1299" s="3"/>
      <c r="J1299" s="3"/>
      <c r="K1299" s="3"/>
      <c r="L1299" s="3"/>
      <c r="M1299" s="3"/>
    </row>
    <row r="1300" customFormat="false" ht="15" hidden="false" customHeight="false" outlineLevel="0" collapsed="false">
      <c r="A1300" s="28" t="n">
        <v>46301.524216794</v>
      </c>
      <c r="B1300" s="31" t="n">
        <f aca="false">(A1300-$A$5)*86400</f>
        <v>48.692999943</v>
      </c>
      <c r="C1300" s="27" t="n">
        <v>1.4421</v>
      </c>
      <c r="D1300" s="27" t="n">
        <v>1.4803</v>
      </c>
      <c r="E1300" s="27" t="s">
        <v>603</v>
      </c>
      <c r="F1300" s="27" t="s">
        <v>146</v>
      </c>
      <c r="G1300" s="32" t="n">
        <f aca="false">(A1300-A1299)*86400000</f>
        <v>15.999586</v>
      </c>
      <c r="H1300" s="3"/>
      <c r="I1300" s="3"/>
      <c r="J1300" s="3"/>
      <c r="K1300" s="3"/>
      <c r="L1300" s="3"/>
      <c r="M1300" s="3"/>
    </row>
    <row r="1301" customFormat="false" ht="15" hidden="false" customHeight="false" outlineLevel="0" collapsed="false">
      <c r="A1301" s="28" t="n">
        <v>46301.5242169907</v>
      </c>
      <c r="B1301" s="31" t="n">
        <f aca="false">(A1301-$A$5)*86400</f>
        <v>48.710000328</v>
      </c>
      <c r="C1301" s="27" t="n">
        <v>1.4427</v>
      </c>
      <c r="D1301" s="27" t="n">
        <v>1.4795</v>
      </c>
      <c r="E1301" s="27" t="s">
        <v>603</v>
      </c>
      <c r="F1301" s="27" t="s">
        <v>146</v>
      </c>
      <c r="G1301" s="32" t="n">
        <f aca="false">(A1301-A1300)*86400000</f>
        <v>17.000385</v>
      </c>
      <c r="H1301" s="3"/>
      <c r="I1301" s="3"/>
      <c r="J1301" s="3"/>
      <c r="K1301" s="3"/>
      <c r="L1301" s="3"/>
      <c r="M1301" s="3"/>
    </row>
    <row r="1302" customFormat="false" ht="15" hidden="false" customHeight="false" outlineLevel="0" collapsed="false">
      <c r="A1302" s="28" t="n">
        <v>46301.5242175463</v>
      </c>
      <c r="B1302" s="31" t="n">
        <f aca="false">(A1302-$A$5)*86400</f>
        <v>48.758000344</v>
      </c>
      <c r="C1302" s="27" t="n">
        <v>1.4438</v>
      </c>
      <c r="D1302" s="27" t="n">
        <v>1.478</v>
      </c>
      <c r="E1302" s="27" t="s">
        <v>603</v>
      </c>
      <c r="F1302" s="27" t="s">
        <v>146</v>
      </c>
      <c r="G1302" s="32" t="n">
        <f aca="false">(A1302-A1301)*86400000</f>
        <v>48.000016</v>
      </c>
      <c r="H1302" s="3"/>
      <c r="I1302" s="3"/>
      <c r="J1302" s="3"/>
      <c r="K1302" s="3"/>
      <c r="L1302" s="3"/>
      <c r="M1302" s="3"/>
    </row>
    <row r="1303" customFormat="false" ht="15" hidden="false" customHeight="false" outlineLevel="0" collapsed="false">
      <c r="A1303" s="28" t="n">
        <v>46301.5242179282</v>
      </c>
      <c r="B1303" s="31" t="n">
        <f aca="false">(A1303-$A$5)*86400</f>
        <v>48.791000316</v>
      </c>
      <c r="C1303" s="27" t="n">
        <v>1.4453</v>
      </c>
      <c r="D1303" s="27" t="n">
        <v>1.4761</v>
      </c>
      <c r="E1303" s="27" t="s">
        <v>603</v>
      </c>
      <c r="F1303" s="27" t="s">
        <v>146</v>
      </c>
      <c r="G1303" s="32" t="n">
        <f aca="false">(A1303-A1302)*86400000</f>
        <v>32.999971</v>
      </c>
      <c r="H1303" s="3"/>
      <c r="I1303" s="3"/>
      <c r="J1303" s="3"/>
      <c r="K1303" s="3"/>
      <c r="L1303" s="3"/>
      <c r="M1303" s="3"/>
    </row>
    <row r="1304" customFormat="false" ht="15" hidden="false" customHeight="false" outlineLevel="0" collapsed="false">
      <c r="A1304" s="28" t="n">
        <v>46301.5242330324</v>
      </c>
      <c r="B1304" s="31" t="n">
        <f aca="false">(A1304-$A$5)*86400</f>
        <v>50.096000405</v>
      </c>
      <c r="C1304" s="27" t="n">
        <v>1.2286</v>
      </c>
      <c r="D1304" s="27" t="n">
        <v>1.5418</v>
      </c>
      <c r="E1304" s="27" t="s">
        <v>603</v>
      </c>
      <c r="F1304" s="27" t="s">
        <v>146</v>
      </c>
      <c r="G1304" s="32" t="n">
        <f aca="false">(A1304-A1303)*86400000</f>
        <v>1305.000088</v>
      </c>
      <c r="H1304" s="3"/>
      <c r="I1304" s="3"/>
      <c r="J1304" s="3"/>
      <c r="K1304" s="3"/>
      <c r="L1304" s="3"/>
      <c r="M1304" s="3"/>
    </row>
    <row r="1305" customFormat="false" ht="15" hidden="false" customHeight="false" outlineLevel="0" collapsed="false">
      <c r="A1305" s="28" t="n">
        <v>46301.5242332292</v>
      </c>
      <c r="B1305" s="31" t="n">
        <f aca="false">(A1305-$A$5)*86400</f>
        <v>50.113000161</v>
      </c>
      <c r="C1305" s="27" t="n">
        <v>1.0396</v>
      </c>
      <c r="D1305" s="27" t="n">
        <v>1.5991</v>
      </c>
      <c r="E1305" s="27" t="s">
        <v>603</v>
      </c>
      <c r="F1305" s="27" t="s">
        <v>146</v>
      </c>
      <c r="G1305" s="32" t="n">
        <f aca="false">(A1305-A1304)*86400000</f>
        <v>16.999756</v>
      </c>
      <c r="H1305" s="3"/>
      <c r="I1305" s="3"/>
      <c r="J1305" s="3"/>
      <c r="K1305" s="3"/>
      <c r="L1305" s="3"/>
      <c r="M1305" s="3"/>
    </row>
    <row r="1306" customFormat="false" ht="15" hidden="false" customHeight="false" outlineLevel="0" collapsed="false">
      <c r="A1306" s="28" t="n">
        <v>46301.5242334144</v>
      </c>
      <c r="B1306" s="31" t="n">
        <f aca="false">(A1306-$A$5)*86400</f>
        <v>50.128999748</v>
      </c>
      <c r="C1306" s="27" t="n">
        <v>0.8938</v>
      </c>
      <c r="D1306" s="27" t="n">
        <v>1.6433</v>
      </c>
      <c r="E1306" s="27" t="s">
        <v>603</v>
      </c>
      <c r="F1306" s="27" t="s">
        <v>146</v>
      </c>
      <c r="G1306" s="32" t="n">
        <f aca="false">(A1306-A1305)*86400000</f>
        <v>15.999586</v>
      </c>
      <c r="H1306" s="3"/>
      <c r="I1306" s="3"/>
      <c r="J1306" s="3"/>
      <c r="K1306" s="3"/>
      <c r="L1306" s="3"/>
      <c r="M1306" s="3"/>
    </row>
    <row r="1307" customFormat="false" ht="15" hidden="false" customHeight="false" outlineLevel="0" collapsed="false">
      <c r="A1307" s="28" t="n">
        <v>46301.5242335995</v>
      </c>
      <c r="B1307" s="31" t="n">
        <f aca="false">(A1307-$A$5)*86400</f>
        <v>50.145000591</v>
      </c>
      <c r="C1307" s="27" t="n">
        <v>0.7734</v>
      </c>
      <c r="D1307" s="27" t="n">
        <v>1.6798</v>
      </c>
      <c r="E1307" s="27" t="s">
        <v>603</v>
      </c>
      <c r="F1307" s="27" t="s">
        <v>146</v>
      </c>
      <c r="G1307" s="32" t="n">
        <f aca="false">(A1307-A1306)*86400000</f>
        <v>16.000843</v>
      </c>
      <c r="H1307" s="3"/>
      <c r="I1307" s="3"/>
      <c r="J1307" s="3"/>
      <c r="K1307" s="3"/>
      <c r="L1307" s="3"/>
      <c r="M1307" s="3"/>
    </row>
    <row r="1308" customFormat="false" ht="15" hidden="false" customHeight="false" outlineLevel="0" collapsed="false">
      <c r="A1308" s="28" t="n">
        <v>46301.5242337963</v>
      </c>
      <c r="B1308" s="31" t="n">
        <f aca="false">(A1308-$A$5)*86400</f>
        <v>50.162000348</v>
      </c>
      <c r="C1308" s="27" t="n">
        <v>0.6741</v>
      </c>
      <c r="D1308" s="27" t="n">
        <v>1.7099</v>
      </c>
      <c r="E1308" s="27" t="s">
        <v>603</v>
      </c>
      <c r="F1308" s="27" t="s">
        <v>146</v>
      </c>
      <c r="G1308" s="32" t="n">
        <f aca="false">(A1308-A1307)*86400000</f>
        <v>16.999756</v>
      </c>
      <c r="H1308" s="3"/>
      <c r="I1308" s="3"/>
      <c r="J1308" s="3"/>
      <c r="K1308" s="3"/>
      <c r="L1308" s="3"/>
      <c r="M1308" s="3"/>
    </row>
    <row r="1309" customFormat="false" ht="15" hidden="false" customHeight="false" outlineLevel="0" collapsed="false">
      <c r="A1309" s="28" t="n">
        <v>46301.5242339815</v>
      </c>
      <c r="B1309" s="31" t="n">
        <f aca="false">(A1309-$A$5)*86400</f>
        <v>50.177999935</v>
      </c>
      <c r="C1309" s="27" t="n">
        <v>0.5875</v>
      </c>
      <c r="D1309" s="27" t="n">
        <v>1.7362</v>
      </c>
      <c r="E1309" s="27" t="s">
        <v>603</v>
      </c>
      <c r="F1309" s="27" t="s">
        <v>146</v>
      </c>
      <c r="G1309" s="32" t="n">
        <f aca="false">(A1309-A1308)*86400000</f>
        <v>15.999586</v>
      </c>
      <c r="H1309" s="3"/>
      <c r="I1309" s="3"/>
      <c r="J1309" s="3"/>
      <c r="K1309" s="3"/>
      <c r="L1309" s="3"/>
      <c r="M1309" s="3"/>
    </row>
    <row r="1310" customFormat="false" ht="15" hidden="false" customHeight="false" outlineLevel="0" collapsed="false">
      <c r="A1310" s="28" t="n">
        <v>46301.5242341667</v>
      </c>
      <c r="B1310" s="31" t="n">
        <f aca="false">(A1310-$A$5)*86400</f>
        <v>50.19400015</v>
      </c>
      <c r="C1310" s="27" t="n">
        <v>0.5206</v>
      </c>
      <c r="D1310" s="27" t="n">
        <v>1.7565</v>
      </c>
      <c r="E1310" s="27" t="s">
        <v>603</v>
      </c>
      <c r="F1310" s="27" t="s">
        <v>146</v>
      </c>
      <c r="G1310" s="32" t="n">
        <f aca="false">(A1310-A1309)*86400000</f>
        <v>16.000214</v>
      </c>
      <c r="H1310" s="3"/>
      <c r="I1310" s="3"/>
      <c r="J1310" s="3"/>
      <c r="K1310" s="3"/>
      <c r="L1310" s="3"/>
      <c r="M1310" s="3"/>
    </row>
    <row r="1311" customFormat="false" ht="15" hidden="false" customHeight="false" outlineLevel="0" collapsed="false">
      <c r="A1311" s="28" t="n">
        <v>46301.5242343519</v>
      </c>
      <c r="B1311" s="31" t="n">
        <f aca="false">(A1311-$A$5)*86400</f>
        <v>50.209999736</v>
      </c>
      <c r="C1311" s="27" t="n">
        <v>0.4654</v>
      </c>
      <c r="D1311" s="27" t="n">
        <v>1.7732</v>
      </c>
      <c r="E1311" s="27" t="s">
        <v>603</v>
      </c>
      <c r="F1311" s="27" t="s">
        <v>146</v>
      </c>
      <c r="G1311" s="32" t="n">
        <f aca="false">(A1311-A1310)*86400000</f>
        <v>15.999586</v>
      </c>
      <c r="H1311" s="3"/>
      <c r="I1311" s="3"/>
      <c r="J1311" s="3"/>
      <c r="K1311" s="3"/>
      <c r="L1311" s="3"/>
      <c r="M1311" s="3"/>
    </row>
    <row r="1312" customFormat="false" ht="15" hidden="false" customHeight="false" outlineLevel="0" collapsed="false">
      <c r="A1312" s="28" t="n">
        <v>46301.524234537</v>
      </c>
      <c r="B1312" s="31" t="n">
        <f aca="false">(A1312-$A$5)*86400</f>
        <v>50.22600058</v>
      </c>
      <c r="C1312" s="27" t="n">
        <v>0.4199</v>
      </c>
      <c r="D1312" s="27" t="n">
        <v>1.787</v>
      </c>
      <c r="E1312" s="27" t="s">
        <v>603</v>
      </c>
      <c r="F1312" s="27" t="s">
        <v>146</v>
      </c>
      <c r="G1312" s="32" t="n">
        <f aca="false">(A1312-A1311)*86400000</f>
        <v>16.000843</v>
      </c>
      <c r="H1312" s="3"/>
      <c r="I1312" s="3"/>
      <c r="J1312" s="3"/>
      <c r="K1312" s="3"/>
      <c r="L1312" s="3"/>
      <c r="M1312" s="3"/>
    </row>
    <row r="1313" customFormat="false" ht="15" hidden="false" customHeight="false" outlineLevel="0" collapsed="false">
      <c r="A1313" s="28" t="n">
        <v>46301.5242347338</v>
      </c>
      <c r="B1313" s="31" t="n">
        <f aca="false">(A1313-$A$5)*86400</f>
        <v>50.243000336</v>
      </c>
      <c r="C1313" s="27" t="n">
        <v>0.3802</v>
      </c>
      <c r="D1313" s="27" t="n">
        <v>1.799</v>
      </c>
      <c r="E1313" s="27" t="s">
        <v>603</v>
      </c>
      <c r="F1313" s="27" t="s">
        <v>146</v>
      </c>
      <c r="G1313" s="32" t="n">
        <f aca="false">(A1313-A1312)*86400000</f>
        <v>16.999756</v>
      </c>
      <c r="H1313" s="3"/>
      <c r="I1313" s="3"/>
      <c r="J1313" s="3"/>
      <c r="K1313" s="3"/>
      <c r="L1313" s="3"/>
      <c r="M1313" s="3"/>
    </row>
    <row r="1314" customFormat="false" ht="15" hidden="false" customHeight="false" outlineLevel="0" collapsed="false">
      <c r="A1314" s="28" t="n">
        <v>46301.524234919</v>
      </c>
      <c r="B1314" s="31" t="n">
        <f aca="false">(A1314-$A$5)*86400</f>
        <v>50.258999923</v>
      </c>
      <c r="C1314" s="27" t="n">
        <v>0.3495</v>
      </c>
      <c r="D1314" s="27" t="n">
        <v>1.8083</v>
      </c>
      <c r="E1314" s="27" t="s">
        <v>603</v>
      </c>
      <c r="F1314" s="27" t="s">
        <v>146</v>
      </c>
      <c r="G1314" s="32" t="n">
        <f aca="false">(A1314-A1313)*86400000</f>
        <v>15.999586</v>
      </c>
      <c r="H1314" s="3"/>
      <c r="I1314" s="3"/>
      <c r="J1314" s="3"/>
      <c r="K1314" s="3"/>
      <c r="L1314" s="3"/>
      <c r="M1314" s="3"/>
    </row>
    <row r="1315" customFormat="false" ht="15" hidden="false" customHeight="false" outlineLevel="0" collapsed="false">
      <c r="A1315" s="28" t="n">
        <v>46301.5242351157</v>
      </c>
      <c r="B1315" s="31" t="n">
        <f aca="false">(A1315-$A$5)*86400</f>
        <v>50.276000308</v>
      </c>
      <c r="C1315" s="27" t="n">
        <v>0.3242</v>
      </c>
      <c r="D1315" s="27" t="n">
        <v>1.816</v>
      </c>
      <c r="E1315" s="27" t="s">
        <v>603</v>
      </c>
      <c r="F1315" s="27" t="s">
        <v>146</v>
      </c>
      <c r="G1315" s="32" t="n">
        <f aca="false">(A1315-A1314)*86400000</f>
        <v>17.000385</v>
      </c>
      <c r="H1315" s="3"/>
      <c r="I1315" s="3"/>
      <c r="J1315" s="3"/>
      <c r="K1315" s="3"/>
      <c r="L1315" s="3"/>
      <c r="M1315" s="3"/>
    </row>
    <row r="1316" customFormat="false" ht="15" hidden="false" customHeight="false" outlineLevel="0" collapsed="false">
      <c r="A1316" s="28" t="n">
        <v>46301.5242352894</v>
      </c>
      <c r="B1316" s="31" t="n">
        <f aca="false">(A1316-$A$5)*86400</f>
        <v>50.290999724</v>
      </c>
      <c r="C1316" s="27" t="n">
        <v>0.3034</v>
      </c>
      <c r="D1316" s="27" t="n">
        <v>1.8223</v>
      </c>
      <c r="E1316" s="27" t="s">
        <v>603</v>
      </c>
      <c r="F1316" s="27" t="s">
        <v>146</v>
      </c>
      <c r="G1316" s="32" t="n">
        <f aca="false">(A1316-A1315)*86400000</f>
        <v>14.999415</v>
      </c>
      <c r="H1316" s="3"/>
      <c r="I1316" s="3"/>
      <c r="J1316" s="3"/>
      <c r="K1316" s="3"/>
      <c r="L1316" s="3"/>
      <c r="M1316" s="3"/>
    </row>
    <row r="1317" customFormat="false" ht="15" hidden="false" customHeight="false" outlineLevel="0" collapsed="false">
      <c r="A1317" s="28" t="n">
        <v>46301.5242354861</v>
      </c>
      <c r="B1317" s="31" t="n">
        <f aca="false">(A1317-$A$5)*86400</f>
        <v>50.30800011</v>
      </c>
      <c r="C1317" s="27" t="n">
        <v>0.2861</v>
      </c>
      <c r="D1317" s="27" t="n">
        <v>1.8275</v>
      </c>
      <c r="E1317" s="27" t="s">
        <v>603</v>
      </c>
      <c r="F1317" s="27" t="s">
        <v>146</v>
      </c>
      <c r="G1317" s="32" t="n">
        <f aca="false">(A1317-A1316)*86400000</f>
        <v>17.000385</v>
      </c>
      <c r="H1317" s="3"/>
      <c r="I1317" s="3"/>
      <c r="J1317" s="3"/>
      <c r="K1317" s="3"/>
      <c r="L1317" s="3"/>
      <c r="M1317" s="3"/>
    </row>
    <row r="1318" customFormat="false" ht="15" hidden="false" customHeight="false" outlineLevel="0" collapsed="false">
      <c r="A1318" s="28" t="n">
        <v>46301.5242356597</v>
      </c>
      <c r="B1318" s="31" t="n">
        <f aca="false">(A1318-$A$5)*86400</f>
        <v>50.323000154</v>
      </c>
      <c r="C1318" s="27" t="n">
        <v>0.2735</v>
      </c>
      <c r="D1318" s="27" t="n">
        <v>1.8279</v>
      </c>
      <c r="E1318" s="27" t="s">
        <v>603</v>
      </c>
      <c r="F1318" s="27" t="s">
        <v>146</v>
      </c>
      <c r="G1318" s="32" t="n">
        <f aca="false">(A1318-A1317)*86400000</f>
        <v>15.000044</v>
      </c>
      <c r="H1318" s="3"/>
      <c r="I1318" s="3"/>
      <c r="J1318" s="3"/>
      <c r="K1318" s="3"/>
      <c r="L1318" s="3"/>
      <c r="M1318" s="3"/>
    </row>
    <row r="1319" customFormat="false" ht="15" hidden="false" customHeight="false" outlineLevel="0" collapsed="false">
      <c r="A1319" s="28" t="n">
        <v>46301.5242358449</v>
      </c>
      <c r="B1319" s="31" t="n">
        <f aca="false">(A1319-$A$5)*86400</f>
        <v>50.339000369</v>
      </c>
      <c r="C1319" s="27" t="n">
        <v>0.2631</v>
      </c>
      <c r="D1319" s="27" t="n">
        <v>1.8282</v>
      </c>
      <c r="E1319" s="27" t="s">
        <v>603</v>
      </c>
      <c r="F1319" s="27" t="s">
        <v>146</v>
      </c>
      <c r="G1319" s="32" t="n">
        <f aca="false">(A1319-A1318)*86400000</f>
        <v>16.000214</v>
      </c>
      <c r="H1319" s="3"/>
      <c r="I1319" s="3"/>
      <c r="J1319" s="3"/>
      <c r="K1319" s="3"/>
      <c r="L1319" s="3"/>
      <c r="M1319" s="3"/>
    </row>
    <row r="1320" customFormat="false" ht="15" hidden="false" customHeight="false" outlineLevel="0" collapsed="false">
      <c r="A1320" s="28" t="n">
        <v>46301.5242360301</v>
      </c>
      <c r="B1320" s="31" t="n">
        <f aca="false">(A1320-$A$5)*86400</f>
        <v>50.354999955</v>
      </c>
      <c r="C1320" s="27" t="n">
        <v>0.2545</v>
      </c>
      <c r="D1320" s="27" t="n">
        <v>1.8285</v>
      </c>
      <c r="E1320" s="27" t="s">
        <v>603</v>
      </c>
      <c r="F1320" s="27" t="s">
        <v>146</v>
      </c>
      <c r="G1320" s="32" t="n">
        <f aca="false">(A1320-A1319)*86400000</f>
        <v>15.999586</v>
      </c>
      <c r="H1320" s="3"/>
      <c r="I1320" s="3"/>
      <c r="J1320" s="3"/>
      <c r="K1320" s="3"/>
      <c r="L1320" s="3"/>
      <c r="M1320" s="3"/>
    </row>
    <row r="1321" customFormat="false" ht="15" hidden="false" customHeight="false" outlineLevel="0" collapsed="false">
      <c r="A1321" s="28" t="n">
        <v>46301.5242362153</v>
      </c>
      <c r="B1321" s="31" t="n">
        <f aca="false">(A1321-$A$5)*86400</f>
        <v>50.37100017</v>
      </c>
      <c r="C1321" s="27" t="n">
        <v>0.2474</v>
      </c>
      <c r="D1321" s="27" t="n">
        <v>1.8287</v>
      </c>
      <c r="E1321" s="27" t="s">
        <v>603</v>
      </c>
      <c r="F1321" s="27" t="s">
        <v>146</v>
      </c>
      <c r="G1321" s="32" t="n">
        <f aca="false">(A1321-A1320)*86400000</f>
        <v>16.000214</v>
      </c>
      <c r="H1321" s="3"/>
      <c r="I1321" s="3"/>
      <c r="J1321" s="3"/>
      <c r="K1321" s="3"/>
      <c r="L1321" s="3"/>
      <c r="M1321" s="3"/>
    </row>
    <row r="1322" customFormat="false" ht="15" hidden="false" customHeight="false" outlineLevel="0" collapsed="false">
      <c r="A1322" s="28" t="n">
        <v>46301.5242364005</v>
      </c>
      <c r="B1322" s="31" t="n">
        <f aca="false">(A1322-$A$5)*86400</f>
        <v>50.387001014</v>
      </c>
      <c r="C1322" s="27" t="n">
        <v>0.2415</v>
      </c>
      <c r="D1322" s="27" t="n">
        <v>1.8288</v>
      </c>
      <c r="E1322" s="27" t="s">
        <v>603</v>
      </c>
      <c r="F1322" s="27" t="s">
        <v>146</v>
      </c>
      <c r="G1322" s="32" t="n">
        <f aca="false">(A1322-A1321)*86400000</f>
        <v>16.000843</v>
      </c>
      <c r="H1322" s="3"/>
      <c r="I1322" s="3"/>
      <c r="J1322" s="3"/>
      <c r="K1322" s="3"/>
      <c r="L1322" s="3"/>
      <c r="M1322" s="3"/>
    </row>
    <row r="1323" customFormat="false" ht="15" hidden="false" customHeight="false" outlineLevel="0" collapsed="false">
      <c r="A1323" s="28" t="n">
        <v>46301.5242365972</v>
      </c>
      <c r="B1323" s="31" t="n">
        <f aca="false">(A1323-$A$5)*86400</f>
        <v>50.404000142</v>
      </c>
      <c r="C1323" s="27" t="n">
        <v>0.2367</v>
      </c>
      <c r="D1323" s="27" t="n">
        <v>1.829</v>
      </c>
      <c r="E1323" s="27" t="s">
        <v>603</v>
      </c>
      <c r="F1323" s="27" t="s">
        <v>146</v>
      </c>
      <c r="G1323" s="32" t="n">
        <f aca="false">(A1323-A1322)*86400000</f>
        <v>16.999128</v>
      </c>
      <c r="H1323" s="3"/>
      <c r="I1323" s="3"/>
      <c r="J1323" s="3"/>
      <c r="K1323" s="3"/>
      <c r="L1323" s="3"/>
      <c r="M1323" s="3"/>
    </row>
    <row r="1324" customFormat="false" ht="15" hidden="false" customHeight="false" outlineLevel="0" collapsed="false">
      <c r="A1324" s="28" t="n">
        <v>46301.5242367824</v>
      </c>
      <c r="B1324" s="31" t="n">
        <f aca="false">(A1324-$A$5)*86400</f>
        <v>50.420000357</v>
      </c>
      <c r="C1324" s="27" t="n">
        <v>0.2325</v>
      </c>
      <c r="D1324" s="27" t="n">
        <v>1.8291</v>
      </c>
      <c r="E1324" s="27" t="s">
        <v>603</v>
      </c>
      <c r="F1324" s="27" t="s">
        <v>146</v>
      </c>
      <c r="G1324" s="32" t="n">
        <f aca="false">(A1324-A1323)*86400000</f>
        <v>16.000214</v>
      </c>
      <c r="H1324" s="3"/>
      <c r="I1324" s="3"/>
      <c r="J1324" s="3"/>
      <c r="K1324" s="3"/>
      <c r="L1324" s="3"/>
      <c r="M1324" s="3"/>
    </row>
    <row r="1325" customFormat="false" ht="15" hidden="false" customHeight="false" outlineLevel="0" collapsed="false">
      <c r="A1325" s="28" t="n">
        <v>46301.5242369676</v>
      </c>
      <c r="B1325" s="31" t="n">
        <f aca="false">(A1325-$A$5)*86400</f>
        <v>50.435999943</v>
      </c>
      <c r="C1325" s="27" t="n">
        <v>0.2292</v>
      </c>
      <c r="D1325" s="27" t="n">
        <v>1.8292</v>
      </c>
      <c r="E1325" s="27" t="s">
        <v>603</v>
      </c>
      <c r="F1325" s="27" t="s">
        <v>146</v>
      </c>
      <c r="G1325" s="32" t="n">
        <f aca="false">(A1325-A1324)*86400000</f>
        <v>15.999586</v>
      </c>
      <c r="H1325" s="3"/>
      <c r="I1325" s="3"/>
      <c r="J1325" s="3"/>
      <c r="K1325" s="3"/>
      <c r="L1325" s="3"/>
      <c r="M1325" s="3"/>
    </row>
    <row r="1326" customFormat="false" ht="15" hidden="false" customHeight="false" outlineLevel="0" collapsed="false">
      <c r="A1326" s="28" t="n">
        <v>46301.5242371528</v>
      </c>
      <c r="B1326" s="31" t="n">
        <f aca="false">(A1326-$A$5)*86400</f>
        <v>50.452000158</v>
      </c>
      <c r="C1326" s="27" t="n">
        <v>0.2265</v>
      </c>
      <c r="D1326" s="27" t="n">
        <v>1.8293</v>
      </c>
      <c r="E1326" s="27" t="s">
        <v>603</v>
      </c>
      <c r="F1326" s="27" t="s">
        <v>146</v>
      </c>
      <c r="G1326" s="32" t="n">
        <f aca="false">(A1326-A1325)*86400000</f>
        <v>16.000214</v>
      </c>
      <c r="H1326" s="3"/>
      <c r="I1326" s="3"/>
      <c r="J1326" s="3"/>
      <c r="K1326" s="3"/>
      <c r="L1326" s="3"/>
      <c r="M1326" s="3"/>
    </row>
    <row r="1327" customFormat="false" ht="15" hidden="false" customHeight="false" outlineLevel="0" collapsed="false">
      <c r="A1327" s="28" t="n">
        <v>46301.5242373495</v>
      </c>
      <c r="B1327" s="31" t="n">
        <f aca="false">(A1327-$A$5)*86400</f>
        <v>50.468999287</v>
      </c>
      <c r="C1327" s="27" t="n">
        <v>0.2243</v>
      </c>
      <c r="D1327" s="27" t="n">
        <v>1.8293</v>
      </c>
      <c r="E1327" s="27" t="s">
        <v>603</v>
      </c>
      <c r="F1327" s="27" t="s">
        <v>146</v>
      </c>
      <c r="G1327" s="32" t="n">
        <f aca="false">(A1327-A1326)*86400000</f>
        <v>16.999128</v>
      </c>
      <c r="H1327" s="3"/>
      <c r="I1327" s="3"/>
      <c r="J1327" s="3"/>
      <c r="K1327" s="3"/>
      <c r="L1327" s="3"/>
      <c r="M1327" s="3"/>
    </row>
    <row r="1328" customFormat="false" ht="15" hidden="false" customHeight="false" outlineLevel="0" collapsed="false">
      <c r="A1328" s="28" t="n">
        <v>46301.5242375232</v>
      </c>
      <c r="B1328" s="31" t="n">
        <f aca="false">(A1328-$A$5)*86400</f>
        <v>50.48399996</v>
      </c>
      <c r="C1328" s="27" t="n">
        <v>0.2225</v>
      </c>
      <c r="D1328" s="27" t="n">
        <v>1.8294</v>
      </c>
      <c r="E1328" s="27" t="s">
        <v>603</v>
      </c>
      <c r="F1328" s="27" t="s">
        <v>146</v>
      </c>
      <c r="G1328" s="32" t="n">
        <f aca="false">(A1328-A1327)*86400000</f>
        <v>15.000673</v>
      </c>
      <c r="H1328" s="3"/>
      <c r="I1328" s="3"/>
      <c r="J1328" s="3"/>
      <c r="K1328" s="3"/>
      <c r="L1328" s="3"/>
      <c r="M1328" s="3"/>
    </row>
    <row r="1329" customFormat="false" ht="15" hidden="false" customHeight="false" outlineLevel="0" collapsed="false">
      <c r="A1329" s="28" t="n">
        <v>46301.5242377083</v>
      </c>
      <c r="B1329" s="31" t="n">
        <f aca="false">(A1329-$A$5)*86400</f>
        <v>50.499999546</v>
      </c>
      <c r="C1329" s="27" t="n">
        <v>0.221</v>
      </c>
      <c r="D1329" s="27" t="n">
        <v>1.8294</v>
      </c>
      <c r="E1329" s="27" t="s">
        <v>603</v>
      </c>
      <c r="F1329" s="27" t="s">
        <v>146</v>
      </c>
      <c r="G1329" s="32" t="n">
        <f aca="false">(A1329-A1328)*86400000</f>
        <v>15.999586</v>
      </c>
      <c r="H1329" s="3"/>
      <c r="I1329" s="3"/>
      <c r="J1329" s="3"/>
      <c r="K1329" s="3"/>
      <c r="L1329" s="3"/>
      <c r="M1329" s="3"/>
    </row>
    <row r="1330" customFormat="false" ht="15" hidden="false" customHeight="false" outlineLevel="0" collapsed="false">
      <c r="A1330" s="28" t="n">
        <v>46301.5242380903</v>
      </c>
      <c r="B1330" s="31" t="n">
        <f aca="false">(A1330-$A$5)*86400</f>
        <v>50.533000146</v>
      </c>
      <c r="C1330" s="27" t="n">
        <v>0.2186</v>
      </c>
      <c r="D1330" s="27" t="n">
        <v>1.8295</v>
      </c>
      <c r="E1330" s="27" t="s">
        <v>603</v>
      </c>
      <c r="F1330" s="27" t="s">
        <v>146</v>
      </c>
      <c r="G1330" s="32" t="n">
        <f aca="false">(A1330-A1329)*86400000</f>
        <v>33.0006</v>
      </c>
      <c r="H1330" s="3"/>
      <c r="I1330" s="3"/>
      <c r="J1330" s="3"/>
      <c r="K1330" s="3"/>
      <c r="L1330" s="3"/>
      <c r="M1330" s="3"/>
    </row>
    <row r="1331" customFormat="false" ht="15" hidden="false" customHeight="false" outlineLevel="0" collapsed="false">
      <c r="A1331" s="28" t="n">
        <v>46301.5242384722</v>
      </c>
      <c r="B1331" s="31" t="n">
        <f aca="false">(A1331-$A$5)*86400</f>
        <v>50.566000118</v>
      </c>
      <c r="C1331" s="27" t="n">
        <v>0.2171</v>
      </c>
      <c r="D1331" s="27" t="n">
        <v>1.8295</v>
      </c>
      <c r="E1331" s="27" t="s">
        <v>603</v>
      </c>
      <c r="F1331" s="27" t="s">
        <v>146</v>
      </c>
      <c r="G1331" s="32" t="n">
        <f aca="false">(A1331-A1330)*86400000</f>
        <v>32.999971</v>
      </c>
      <c r="H1331" s="3"/>
      <c r="I1331" s="3"/>
      <c r="J1331" s="3"/>
      <c r="K1331" s="3"/>
      <c r="L1331" s="3"/>
      <c r="M1331" s="3"/>
    </row>
    <row r="1332" customFormat="false" ht="15" hidden="false" customHeight="false" outlineLevel="0" collapsed="false">
      <c r="A1332" s="28" t="n">
        <v>46301.5242386574</v>
      </c>
      <c r="B1332" s="31" t="n">
        <f aca="false">(A1332-$A$5)*86400</f>
        <v>50.582000333</v>
      </c>
      <c r="C1332" s="27" t="n">
        <v>0.216</v>
      </c>
      <c r="D1332" s="27" t="n">
        <v>1.8309</v>
      </c>
      <c r="E1332" s="27" t="s">
        <v>603</v>
      </c>
      <c r="F1332" s="27" t="s">
        <v>146</v>
      </c>
      <c r="G1332" s="32" t="n">
        <f aca="false">(A1332-A1331)*86400000</f>
        <v>16.000214</v>
      </c>
      <c r="H1332" s="3"/>
      <c r="I1332" s="3"/>
      <c r="J1332" s="3"/>
      <c r="K1332" s="3"/>
      <c r="L1332" s="3"/>
      <c r="M1332" s="3"/>
    </row>
    <row r="1333" customFormat="false" ht="15" hidden="false" customHeight="false" outlineLevel="0" collapsed="false">
      <c r="A1333" s="28" t="n">
        <v>46301.5242390394</v>
      </c>
      <c r="B1333" s="31" t="n">
        <f aca="false">(A1333-$A$5)*86400</f>
        <v>50.614999677</v>
      </c>
      <c r="C1333" s="27" t="n">
        <v>0.2144</v>
      </c>
      <c r="D1333" s="27" t="n">
        <v>1.8327</v>
      </c>
      <c r="E1333" s="27" t="s">
        <v>603</v>
      </c>
      <c r="F1333" s="27" t="s">
        <v>146</v>
      </c>
      <c r="G1333" s="32" t="n">
        <f aca="false">(A1333-A1332)*86400000</f>
        <v>32.999343</v>
      </c>
      <c r="H1333" s="3"/>
      <c r="I1333" s="3"/>
      <c r="J1333" s="3"/>
      <c r="K1333" s="3"/>
      <c r="L1333" s="3"/>
      <c r="M1333" s="3"/>
    </row>
    <row r="1334" customFormat="false" ht="15" hidden="false" customHeight="false" outlineLevel="0" collapsed="false">
      <c r="A1334" s="28" t="n">
        <v>46301.5242395949</v>
      </c>
      <c r="B1334" s="31" t="n">
        <f aca="false">(A1334-$A$5)*86400</f>
        <v>50.663000321</v>
      </c>
      <c r="C1334" s="27" t="n">
        <v>0.213</v>
      </c>
      <c r="D1334" s="27" t="n">
        <v>1.8343</v>
      </c>
      <c r="E1334" s="27" t="s">
        <v>603</v>
      </c>
      <c r="F1334" s="27" t="s">
        <v>146</v>
      </c>
      <c r="G1334" s="32" t="n">
        <f aca="false">(A1334-A1333)*86400000</f>
        <v>48.000644</v>
      </c>
      <c r="H1334" s="3"/>
      <c r="I1334" s="3"/>
      <c r="J1334" s="3"/>
      <c r="K1334" s="3"/>
      <c r="L1334" s="3"/>
      <c r="M1334" s="3"/>
    </row>
    <row r="1335" customFormat="false" ht="15" hidden="false" customHeight="false" outlineLevel="0" collapsed="false">
      <c r="A1335" s="28" t="n">
        <v>46301.5242397685</v>
      </c>
      <c r="B1335" s="31" t="n">
        <f aca="false">(A1335-$A$5)*86400</f>
        <v>50.678000366</v>
      </c>
      <c r="C1335" s="27" t="n">
        <v>0.2126</v>
      </c>
      <c r="D1335" s="27" t="n">
        <v>1.8346</v>
      </c>
      <c r="E1335" s="27" t="s">
        <v>603</v>
      </c>
      <c r="F1335" s="27" t="s">
        <v>146</v>
      </c>
      <c r="G1335" s="32" t="n">
        <f aca="false">(A1335-A1334)*86400000</f>
        <v>15.000044</v>
      </c>
      <c r="H1335" s="3"/>
      <c r="I1335" s="3"/>
      <c r="J1335" s="3"/>
      <c r="K1335" s="3"/>
      <c r="L1335" s="3"/>
      <c r="M1335" s="3"/>
    </row>
    <row r="1336" customFormat="false" ht="15" hidden="false" customHeight="false" outlineLevel="0" collapsed="false">
      <c r="A1336" s="28" t="n">
        <v>46301.5242427546</v>
      </c>
      <c r="B1336" s="31" t="n">
        <f aca="false">(A1336-$A$5)*86400</f>
        <v>50.936000375</v>
      </c>
      <c r="C1336" s="27" t="n">
        <v>0.2106</v>
      </c>
      <c r="D1336" s="27" t="n">
        <v>1.8377</v>
      </c>
      <c r="E1336" s="27" t="s">
        <v>603</v>
      </c>
      <c r="F1336" s="27" t="s">
        <v>146</v>
      </c>
      <c r="G1336" s="32" t="n">
        <f aca="false">(A1336-A1335)*86400000</f>
        <v>258.000008</v>
      </c>
      <c r="H1336" s="3"/>
      <c r="I1336" s="3"/>
      <c r="J1336" s="3"/>
      <c r="K1336" s="3"/>
      <c r="L1336" s="3"/>
      <c r="M1336" s="3"/>
    </row>
    <row r="1337" customFormat="false" ht="15" hidden="false" customHeight="false" outlineLevel="0" collapsed="false">
      <c r="A1337" s="28" t="n">
        <v>46301.5242440509</v>
      </c>
      <c r="B1337" s="31" t="n">
        <f aca="false">(A1337-$A$5)*86400</f>
        <v>51.047999365</v>
      </c>
      <c r="C1337" s="27" t="n">
        <v>0.2128</v>
      </c>
      <c r="D1337" s="27" t="n">
        <v>1.8387</v>
      </c>
      <c r="E1337" s="27" t="s">
        <v>603</v>
      </c>
      <c r="F1337" s="27" t="s">
        <v>146</v>
      </c>
      <c r="G1337" s="32" t="n">
        <f aca="false">(A1337-A1336)*86400000</f>
        <v>111.99899</v>
      </c>
      <c r="H1337" s="3"/>
      <c r="I1337" s="3"/>
      <c r="J1337" s="3"/>
      <c r="K1337" s="3"/>
      <c r="L1337" s="3"/>
      <c r="M1337" s="3"/>
    </row>
    <row r="1338" customFormat="false" ht="15" hidden="false" customHeight="false" outlineLevel="0" collapsed="false">
      <c r="A1338" s="28" t="n">
        <v>46301.5242442361</v>
      </c>
      <c r="B1338" s="31" t="n">
        <f aca="false">(A1338-$A$5)*86400</f>
        <v>51.064000208</v>
      </c>
      <c r="C1338" s="27" t="n">
        <v>0.2147</v>
      </c>
      <c r="D1338" s="27" t="n">
        <v>1.8396</v>
      </c>
      <c r="E1338" s="27" t="s">
        <v>603</v>
      </c>
      <c r="F1338" s="27" t="s">
        <v>146</v>
      </c>
      <c r="G1338" s="32" t="n">
        <f aca="false">(A1338-A1337)*86400000</f>
        <v>16.000843</v>
      </c>
      <c r="H1338" s="3"/>
      <c r="I1338" s="3"/>
      <c r="J1338" s="3"/>
      <c r="K1338" s="3"/>
      <c r="L1338" s="3"/>
      <c r="M1338" s="3"/>
    </row>
    <row r="1339" customFormat="false" ht="15" hidden="false" customHeight="false" outlineLevel="0" collapsed="false">
      <c r="A1339" s="28" t="n">
        <v>46301.5242444097</v>
      </c>
      <c r="B1339" s="31" t="n">
        <f aca="false">(A1339-$A$5)*86400</f>
        <v>51.078999624</v>
      </c>
      <c r="C1339" s="27" t="n">
        <v>0.2162</v>
      </c>
      <c r="D1339" s="27" t="n">
        <v>1.8404</v>
      </c>
      <c r="E1339" s="27" t="s">
        <v>603</v>
      </c>
      <c r="F1339" s="27" t="s">
        <v>146</v>
      </c>
      <c r="G1339" s="32" t="n">
        <f aca="false">(A1339-A1338)*86400000</f>
        <v>14.999415</v>
      </c>
      <c r="H1339" s="3"/>
      <c r="I1339" s="3"/>
      <c r="J1339" s="3"/>
      <c r="K1339" s="3"/>
      <c r="L1339" s="3"/>
      <c r="M1339" s="3"/>
    </row>
    <row r="1340" customFormat="false" ht="15" hidden="false" customHeight="false" outlineLevel="0" collapsed="false">
      <c r="A1340" s="28" t="n">
        <v>46301.5242446065</v>
      </c>
      <c r="B1340" s="31" t="n">
        <f aca="false">(A1340-$A$5)*86400</f>
        <v>51.09600001</v>
      </c>
      <c r="C1340" s="27" t="n">
        <v>0.2174</v>
      </c>
      <c r="D1340" s="27" t="n">
        <v>1.841</v>
      </c>
      <c r="E1340" s="27" t="s">
        <v>603</v>
      </c>
      <c r="F1340" s="27" t="s">
        <v>146</v>
      </c>
      <c r="G1340" s="32" t="n">
        <f aca="false">(A1340-A1339)*86400000</f>
        <v>17.000385</v>
      </c>
      <c r="H1340" s="3"/>
      <c r="I1340" s="3"/>
      <c r="J1340" s="3"/>
      <c r="K1340" s="3"/>
      <c r="L1340" s="3"/>
      <c r="M1340" s="3"/>
    </row>
    <row r="1341" customFormat="false" ht="15" hidden="false" customHeight="false" outlineLevel="0" collapsed="false">
      <c r="A1341" s="28" t="n">
        <v>46301.5242447801</v>
      </c>
      <c r="B1341" s="31" t="n">
        <f aca="false">(A1341-$A$5)*86400</f>
        <v>51.111000054</v>
      </c>
      <c r="C1341" s="27" t="n">
        <v>0.2185</v>
      </c>
      <c r="D1341" s="27" t="n">
        <v>1.8415</v>
      </c>
      <c r="E1341" s="27" t="s">
        <v>603</v>
      </c>
      <c r="F1341" s="27" t="s">
        <v>146</v>
      </c>
      <c r="G1341" s="32" t="n">
        <f aca="false">(A1341-A1340)*86400000</f>
        <v>15.000044</v>
      </c>
      <c r="H1341" s="3"/>
      <c r="I1341" s="3"/>
      <c r="J1341" s="3"/>
      <c r="K1341" s="3"/>
      <c r="L1341" s="3"/>
      <c r="M1341" s="3"/>
    </row>
    <row r="1342" customFormat="false" ht="15" hidden="false" customHeight="false" outlineLevel="0" collapsed="false">
      <c r="A1342" s="28" t="n">
        <v>46301.524245162</v>
      </c>
      <c r="B1342" s="31" t="n">
        <f aca="false">(A1342-$A$5)*86400</f>
        <v>51.144000655</v>
      </c>
      <c r="C1342" s="27" t="n">
        <v>0.2201</v>
      </c>
      <c r="D1342" s="27" t="n">
        <v>1.8422</v>
      </c>
      <c r="E1342" s="27" t="s">
        <v>603</v>
      </c>
      <c r="F1342" s="27" t="s">
        <v>146</v>
      </c>
      <c r="G1342" s="32" t="n">
        <f aca="false">(A1342-A1341)*86400000</f>
        <v>33.0006</v>
      </c>
      <c r="H1342" s="3"/>
      <c r="I1342" s="3"/>
      <c r="J1342" s="3"/>
      <c r="K1342" s="3"/>
      <c r="L1342" s="3"/>
      <c r="M1342" s="3"/>
    </row>
    <row r="1343" customFormat="false" ht="15" hidden="false" customHeight="false" outlineLevel="0" collapsed="false">
      <c r="A1343" s="28" t="n">
        <v>46301.5242455324</v>
      </c>
      <c r="B1343" s="31" t="n">
        <f aca="false">(A1343-$A$5)*86400</f>
        <v>51.175999199</v>
      </c>
      <c r="C1343" s="27" t="n">
        <v>0.2211</v>
      </c>
      <c r="D1343" s="27" t="n">
        <v>1.8427</v>
      </c>
      <c r="E1343" s="27" t="s">
        <v>603</v>
      </c>
      <c r="F1343" s="27" t="s">
        <v>146</v>
      </c>
      <c r="G1343" s="32" t="n">
        <f aca="false">(A1343-A1342)*86400000</f>
        <v>31.998544</v>
      </c>
      <c r="H1343" s="3"/>
      <c r="I1343" s="3"/>
      <c r="J1343" s="3"/>
      <c r="K1343" s="3"/>
      <c r="L1343" s="3"/>
      <c r="M1343" s="3"/>
    </row>
    <row r="1344" customFormat="false" ht="15" hidden="false" customHeight="false" outlineLevel="0" collapsed="false">
      <c r="A1344" s="28" t="n">
        <v>46301.524246088</v>
      </c>
      <c r="B1344" s="31" t="n">
        <f aca="false">(A1344-$A$5)*86400</f>
        <v>51.223999843</v>
      </c>
      <c r="C1344" s="27" t="n">
        <v>0.2233</v>
      </c>
      <c r="D1344" s="27" t="n">
        <v>1.8438</v>
      </c>
      <c r="E1344" s="27" t="s">
        <v>603</v>
      </c>
      <c r="F1344" s="27" t="s">
        <v>146</v>
      </c>
      <c r="G1344" s="32" t="n">
        <f aca="false">(A1344-A1343)*86400000</f>
        <v>48.000644</v>
      </c>
      <c r="H1344" s="3"/>
      <c r="I1344" s="3"/>
      <c r="J1344" s="3"/>
      <c r="K1344" s="3"/>
      <c r="L1344" s="3"/>
      <c r="M1344" s="3"/>
    </row>
    <row r="1345" customFormat="false" ht="15" hidden="false" customHeight="false" outlineLevel="0" collapsed="false">
      <c r="A1345" s="28" t="n">
        <v>46301.5242468403</v>
      </c>
      <c r="B1345" s="31" t="n">
        <f aca="false">(A1345-$A$5)*86400</f>
        <v>51.289000245</v>
      </c>
      <c r="C1345" s="27" t="n">
        <v>0.2136</v>
      </c>
      <c r="D1345" s="27" t="n">
        <v>1.8459</v>
      </c>
      <c r="E1345" s="27" t="s">
        <v>603</v>
      </c>
      <c r="F1345" s="27" t="s">
        <v>146</v>
      </c>
      <c r="G1345" s="32" t="n">
        <f aca="false">(A1345-A1344)*86400000</f>
        <v>65.000401</v>
      </c>
      <c r="H1345" s="3"/>
      <c r="I1345" s="3"/>
      <c r="J1345" s="3"/>
      <c r="K1345" s="3"/>
      <c r="L1345" s="3"/>
      <c r="M1345" s="3"/>
    </row>
    <row r="1346" customFormat="false" ht="15" hidden="false" customHeight="false" outlineLevel="0" collapsed="false">
      <c r="A1346" s="28" t="n">
        <v>46301.5242470255</v>
      </c>
      <c r="B1346" s="31" t="n">
        <f aca="false">(A1346-$A$5)*86400</f>
        <v>51.304999832</v>
      </c>
      <c r="C1346" s="27" t="n">
        <v>0.2055</v>
      </c>
      <c r="D1346" s="27" t="n">
        <v>1.8477</v>
      </c>
      <c r="E1346" s="27" t="s">
        <v>603</v>
      </c>
      <c r="F1346" s="27" t="s">
        <v>146</v>
      </c>
      <c r="G1346" s="32" t="n">
        <f aca="false">(A1346-A1345)*86400000</f>
        <v>15.999586</v>
      </c>
      <c r="H1346" s="3"/>
      <c r="I1346" s="3"/>
      <c r="J1346" s="3"/>
      <c r="K1346" s="3"/>
      <c r="L1346" s="3"/>
      <c r="M1346" s="3"/>
    </row>
    <row r="1347" customFormat="false" ht="15" hidden="false" customHeight="false" outlineLevel="0" collapsed="false">
      <c r="A1347" s="28" t="n">
        <v>46301.5242471991</v>
      </c>
      <c r="B1347" s="31" t="n">
        <f aca="false">(A1347-$A$5)*86400</f>
        <v>51.319999876</v>
      </c>
      <c r="C1347" s="27" t="n">
        <v>0.1988</v>
      </c>
      <c r="D1347" s="27" t="n">
        <v>1.8491</v>
      </c>
      <c r="E1347" s="27" t="s">
        <v>603</v>
      </c>
      <c r="F1347" s="27" t="s">
        <v>146</v>
      </c>
      <c r="G1347" s="32" t="n">
        <f aca="false">(A1347-A1346)*86400000</f>
        <v>15.000044</v>
      </c>
      <c r="H1347" s="3"/>
      <c r="I1347" s="3"/>
      <c r="J1347" s="3"/>
      <c r="K1347" s="3"/>
      <c r="L1347" s="3"/>
      <c r="M1347" s="3"/>
    </row>
    <row r="1348" customFormat="false" ht="15" hidden="false" customHeight="false" outlineLevel="0" collapsed="false">
      <c r="A1348" s="28" t="n">
        <v>46301.5242473843</v>
      </c>
      <c r="B1348" s="31" t="n">
        <f aca="false">(A1348-$A$5)*86400</f>
        <v>51.336000091</v>
      </c>
      <c r="C1348" s="27" t="n">
        <v>0.1933</v>
      </c>
      <c r="D1348" s="27" t="n">
        <v>1.8503</v>
      </c>
      <c r="E1348" s="27" t="s">
        <v>603</v>
      </c>
      <c r="F1348" s="27" t="s">
        <v>146</v>
      </c>
      <c r="G1348" s="32" t="n">
        <f aca="false">(A1348-A1347)*86400000</f>
        <v>16.000214</v>
      </c>
      <c r="H1348" s="3"/>
      <c r="I1348" s="3"/>
      <c r="J1348" s="3"/>
      <c r="K1348" s="3"/>
      <c r="L1348" s="3"/>
      <c r="M1348" s="3"/>
    </row>
    <row r="1349" customFormat="false" ht="15" hidden="false" customHeight="false" outlineLevel="0" collapsed="false">
      <c r="A1349" s="28" t="n">
        <v>46301.524247581</v>
      </c>
      <c r="B1349" s="31" t="n">
        <f aca="false">(A1349-$A$5)*86400</f>
        <v>51.353000476</v>
      </c>
      <c r="C1349" s="27" t="n">
        <v>0.1887</v>
      </c>
      <c r="D1349" s="27" t="n">
        <v>1.8513</v>
      </c>
      <c r="E1349" s="27" t="s">
        <v>603</v>
      </c>
      <c r="F1349" s="27" t="s">
        <v>146</v>
      </c>
      <c r="G1349" s="32" t="n">
        <f aca="false">(A1349-A1348)*86400000</f>
        <v>17.000385</v>
      </c>
      <c r="H1349" s="3"/>
      <c r="I1349" s="3"/>
      <c r="J1349" s="3"/>
      <c r="K1349" s="3"/>
      <c r="L1349" s="3"/>
      <c r="M1349" s="3"/>
    </row>
    <row r="1350" customFormat="false" ht="15" hidden="false" customHeight="false" outlineLevel="0" collapsed="false">
      <c r="A1350" s="28" t="n">
        <v>46301.5242477662</v>
      </c>
      <c r="B1350" s="31" t="n">
        <f aca="false">(A1350-$A$5)*86400</f>
        <v>51.369000063</v>
      </c>
      <c r="C1350" s="27" t="n">
        <v>0.185</v>
      </c>
      <c r="D1350" s="27" t="n">
        <v>1.8521</v>
      </c>
      <c r="E1350" s="27" t="s">
        <v>603</v>
      </c>
      <c r="F1350" s="27" t="s">
        <v>146</v>
      </c>
      <c r="G1350" s="32" t="n">
        <f aca="false">(A1350-A1349)*86400000</f>
        <v>15.999586</v>
      </c>
      <c r="H1350" s="3"/>
      <c r="I1350" s="3"/>
      <c r="J1350" s="3"/>
      <c r="K1350" s="3"/>
      <c r="L1350" s="3"/>
      <c r="M1350" s="3"/>
    </row>
    <row r="1351" customFormat="false" ht="15" hidden="false" customHeight="false" outlineLevel="0" collapsed="false">
      <c r="A1351" s="28" t="n">
        <v>46301.5242479514</v>
      </c>
      <c r="B1351" s="31" t="n">
        <f aca="false">(A1351-$A$5)*86400</f>
        <v>51.385000278</v>
      </c>
      <c r="C1351" s="27" t="n">
        <v>0.1819</v>
      </c>
      <c r="D1351" s="27" t="n">
        <v>1.8527</v>
      </c>
      <c r="E1351" s="27" t="s">
        <v>603</v>
      </c>
      <c r="F1351" s="27" t="s">
        <v>146</v>
      </c>
      <c r="G1351" s="32" t="n">
        <f aca="false">(A1351-A1350)*86400000</f>
        <v>16.000214</v>
      </c>
      <c r="H1351" s="3"/>
      <c r="I1351" s="3"/>
      <c r="J1351" s="3"/>
      <c r="K1351" s="3"/>
      <c r="L1351" s="3"/>
      <c r="M1351" s="3"/>
    </row>
    <row r="1352" customFormat="false" ht="15" hidden="false" customHeight="false" outlineLevel="0" collapsed="false">
      <c r="A1352" s="28" t="n">
        <v>46301.524248125</v>
      </c>
      <c r="B1352" s="31" t="n">
        <f aca="false">(A1352-$A$5)*86400</f>
        <v>51.400000322</v>
      </c>
      <c r="C1352" s="27" t="n">
        <v>0.1793</v>
      </c>
      <c r="D1352" s="27" t="n">
        <v>1.8533</v>
      </c>
      <c r="E1352" s="27" t="s">
        <v>603</v>
      </c>
      <c r="F1352" s="27" t="s">
        <v>146</v>
      </c>
      <c r="G1352" s="32" t="n">
        <f aca="false">(A1352-A1351)*86400000</f>
        <v>15.000044</v>
      </c>
      <c r="H1352" s="3"/>
      <c r="I1352" s="3"/>
      <c r="J1352" s="3"/>
      <c r="K1352" s="3"/>
      <c r="L1352" s="3"/>
      <c r="M1352" s="3"/>
    </row>
    <row r="1353" customFormat="false" ht="15" hidden="false" customHeight="false" outlineLevel="0" collapsed="false">
      <c r="A1353" s="28" t="n">
        <v>46301.5242483102</v>
      </c>
      <c r="B1353" s="31" t="n">
        <f aca="false">(A1353-$A$5)*86400</f>
        <v>51.415999908</v>
      </c>
      <c r="C1353" s="27" t="n">
        <v>0.1773</v>
      </c>
      <c r="D1353" s="27" t="n">
        <v>1.8544</v>
      </c>
      <c r="E1353" s="27" t="s">
        <v>603</v>
      </c>
      <c r="F1353" s="27" t="s">
        <v>146</v>
      </c>
      <c r="G1353" s="32" t="n">
        <f aca="false">(A1353-A1352)*86400000</f>
        <v>15.999586</v>
      </c>
      <c r="H1353" s="3"/>
      <c r="I1353" s="3"/>
      <c r="J1353" s="3"/>
      <c r="K1353" s="3"/>
      <c r="L1353" s="3"/>
      <c r="M1353" s="3"/>
    </row>
    <row r="1354" customFormat="false" ht="15" hidden="false" customHeight="false" outlineLevel="0" collapsed="false">
      <c r="A1354" s="28" t="n">
        <v>46301.524248507</v>
      </c>
      <c r="B1354" s="31" t="n">
        <f aca="false">(A1354-$A$5)*86400</f>
        <v>51.433000294</v>
      </c>
      <c r="C1354" s="27" t="n">
        <v>0.1756</v>
      </c>
      <c r="D1354" s="27" t="n">
        <v>1.8553</v>
      </c>
      <c r="E1354" s="27" t="s">
        <v>603</v>
      </c>
      <c r="F1354" s="27" t="s">
        <v>146</v>
      </c>
      <c r="G1354" s="32" t="n">
        <f aca="false">(A1354-A1353)*86400000</f>
        <v>17.000385</v>
      </c>
      <c r="H1354" s="3"/>
      <c r="I1354" s="3"/>
      <c r="J1354" s="3"/>
      <c r="K1354" s="3"/>
      <c r="L1354" s="3"/>
      <c r="M1354" s="3"/>
    </row>
    <row r="1355" customFormat="false" ht="15" hidden="false" customHeight="false" outlineLevel="0" collapsed="false">
      <c r="A1355" s="28" t="n">
        <v>46301.5242486806</v>
      </c>
      <c r="B1355" s="31" t="n">
        <f aca="false">(A1355-$A$5)*86400</f>
        <v>51.448000338</v>
      </c>
      <c r="C1355" s="27" t="n">
        <v>0.1742</v>
      </c>
      <c r="D1355" s="27" t="n">
        <v>1.856</v>
      </c>
      <c r="E1355" s="27" t="s">
        <v>603</v>
      </c>
      <c r="F1355" s="27" t="s">
        <v>146</v>
      </c>
      <c r="G1355" s="32" t="n">
        <f aca="false">(A1355-A1354)*86400000</f>
        <v>15.000044</v>
      </c>
      <c r="H1355" s="3"/>
      <c r="I1355" s="3"/>
      <c r="J1355" s="3"/>
      <c r="K1355" s="3"/>
      <c r="L1355" s="3"/>
      <c r="M1355" s="3"/>
    </row>
    <row r="1356" customFormat="false" ht="15" hidden="false" customHeight="false" outlineLevel="0" collapsed="false">
      <c r="A1356" s="28" t="n">
        <v>46301.5242488657</v>
      </c>
      <c r="B1356" s="31" t="n">
        <f aca="false">(A1356-$A$5)*86400</f>
        <v>51.463999925</v>
      </c>
      <c r="C1356" s="27" t="n">
        <v>0.173</v>
      </c>
      <c r="D1356" s="27" t="n">
        <v>1.8567</v>
      </c>
      <c r="E1356" s="27" t="s">
        <v>603</v>
      </c>
      <c r="F1356" s="27" t="s">
        <v>146</v>
      </c>
      <c r="G1356" s="32" t="n">
        <f aca="false">(A1356-A1355)*86400000</f>
        <v>15.999586</v>
      </c>
      <c r="H1356" s="3"/>
      <c r="I1356" s="3"/>
      <c r="J1356" s="3"/>
      <c r="K1356" s="3"/>
      <c r="L1356" s="3"/>
      <c r="M1356" s="3"/>
    </row>
    <row r="1357" customFormat="false" ht="15" hidden="false" customHeight="false" outlineLevel="0" collapsed="false">
      <c r="A1357" s="28" t="n">
        <v>46301.5242490509</v>
      </c>
      <c r="B1357" s="31" t="n">
        <f aca="false">(A1357-$A$5)*86400</f>
        <v>51.480000768</v>
      </c>
      <c r="C1357" s="27" t="n">
        <v>0.1721</v>
      </c>
      <c r="D1357" s="27" t="n">
        <v>1.8572</v>
      </c>
      <c r="E1357" s="27" t="s">
        <v>603</v>
      </c>
      <c r="F1357" s="27" t="s">
        <v>146</v>
      </c>
      <c r="G1357" s="32" t="n">
        <f aca="false">(A1357-A1356)*86400000</f>
        <v>16.000843</v>
      </c>
      <c r="H1357" s="3"/>
      <c r="I1357" s="3"/>
      <c r="J1357" s="3"/>
      <c r="K1357" s="3"/>
      <c r="L1357" s="3"/>
      <c r="M1357" s="3"/>
    </row>
    <row r="1358" customFormat="false" ht="15" hidden="false" customHeight="false" outlineLevel="0" collapsed="false">
      <c r="A1358" s="28" t="n">
        <v>46301.5242494329</v>
      </c>
      <c r="B1358" s="31" t="n">
        <f aca="false">(A1358-$A$5)*86400</f>
        <v>51.513000112</v>
      </c>
      <c r="C1358" s="27" t="n">
        <v>0.1706</v>
      </c>
      <c r="D1358" s="27" t="n">
        <v>1.8579</v>
      </c>
      <c r="E1358" s="27" t="s">
        <v>603</v>
      </c>
      <c r="F1358" s="27" t="s">
        <v>146</v>
      </c>
      <c r="G1358" s="32" t="n">
        <f aca="false">(A1358-A1357)*86400000</f>
        <v>32.999343</v>
      </c>
      <c r="H1358" s="3"/>
      <c r="I1358" s="3"/>
      <c r="J1358" s="3"/>
      <c r="K1358" s="3"/>
      <c r="L1358" s="3"/>
      <c r="M1358" s="3"/>
    </row>
    <row r="1359" customFormat="false" ht="15" hidden="false" customHeight="false" outlineLevel="0" collapsed="false">
      <c r="A1359" s="28" t="n">
        <v>46301.5242499769</v>
      </c>
      <c r="B1359" s="31" t="n">
        <f aca="false">(A1359-$A$5)*86400</f>
        <v>51.559999957</v>
      </c>
      <c r="C1359" s="27" t="n">
        <v>0.1693</v>
      </c>
      <c r="D1359" s="27" t="n">
        <v>1.8587</v>
      </c>
      <c r="E1359" s="27" t="s">
        <v>603</v>
      </c>
      <c r="F1359" s="27" t="s">
        <v>146</v>
      </c>
      <c r="G1359" s="32" t="n">
        <f aca="false">(A1359-A1358)*86400000</f>
        <v>46.999845</v>
      </c>
      <c r="H1359" s="3"/>
      <c r="I1359" s="3"/>
      <c r="J1359" s="3"/>
      <c r="K1359" s="3"/>
      <c r="L1359" s="3"/>
      <c r="M1359" s="3"/>
    </row>
    <row r="1360" customFormat="false" ht="15" hidden="false" customHeight="false" outlineLevel="0" collapsed="false">
      <c r="A1360" s="28" t="n">
        <v>46301.524250162</v>
      </c>
      <c r="B1360" s="31" t="n">
        <f aca="false">(A1360-$A$5)*86400</f>
        <v>51.576000172</v>
      </c>
      <c r="C1360" s="27" t="n">
        <v>0.1675</v>
      </c>
      <c r="D1360" s="27" t="n">
        <v>1.8596</v>
      </c>
      <c r="E1360" s="27" t="s">
        <v>603</v>
      </c>
      <c r="F1360" s="27" t="s">
        <v>146</v>
      </c>
      <c r="G1360" s="32" t="n">
        <f aca="false">(A1360-A1359)*86400000</f>
        <v>16.000214</v>
      </c>
      <c r="H1360" s="3"/>
      <c r="I1360" s="3"/>
      <c r="J1360" s="3"/>
      <c r="K1360" s="3"/>
      <c r="L1360" s="3"/>
      <c r="M1360" s="3"/>
    </row>
    <row r="1361" customFormat="false" ht="15" hidden="false" customHeight="false" outlineLevel="0" collapsed="false">
      <c r="A1361" s="28" t="n">
        <v>46301.5242509144</v>
      </c>
      <c r="B1361" s="31" t="n">
        <f aca="false">(A1361-$A$5)*86400</f>
        <v>51.640999945</v>
      </c>
      <c r="C1361" s="27" t="n">
        <v>0.1734</v>
      </c>
      <c r="D1361" s="27" t="n">
        <v>1.8591</v>
      </c>
      <c r="E1361" s="27" t="s">
        <v>603</v>
      </c>
      <c r="F1361" s="27" t="s">
        <v>146</v>
      </c>
      <c r="G1361" s="32" t="n">
        <f aca="false">(A1361-A1360)*86400000</f>
        <v>64.999773</v>
      </c>
      <c r="H1361" s="3"/>
      <c r="I1361" s="3"/>
      <c r="J1361" s="3"/>
      <c r="K1361" s="3"/>
      <c r="L1361" s="3"/>
      <c r="M1361" s="3"/>
    </row>
    <row r="1362" customFormat="false" ht="15" hidden="false" customHeight="false" outlineLevel="0" collapsed="false">
      <c r="A1362" s="28" t="n">
        <v>46301.5242510995</v>
      </c>
      <c r="B1362" s="31" t="n">
        <f aca="false">(A1362-$A$5)*86400</f>
        <v>51.65700016</v>
      </c>
      <c r="C1362" s="27" t="n">
        <v>0.1783</v>
      </c>
      <c r="D1362" s="27" t="n">
        <v>1.8587</v>
      </c>
      <c r="E1362" s="27" t="s">
        <v>603</v>
      </c>
      <c r="F1362" s="27" t="s">
        <v>146</v>
      </c>
      <c r="G1362" s="32" t="n">
        <f aca="false">(A1362-A1361)*86400000</f>
        <v>16.000214</v>
      </c>
      <c r="H1362" s="3"/>
      <c r="I1362" s="3"/>
      <c r="J1362" s="3"/>
      <c r="K1362" s="3"/>
      <c r="L1362" s="3"/>
      <c r="M1362" s="3"/>
    </row>
    <row r="1363" customFormat="false" ht="15" hidden="false" customHeight="false" outlineLevel="0" collapsed="false">
      <c r="A1363" s="28" t="n">
        <v>46301.5242512847</v>
      </c>
      <c r="B1363" s="31" t="n">
        <f aca="false">(A1363-$A$5)*86400</f>
        <v>51.673001004</v>
      </c>
      <c r="C1363" s="27" t="n">
        <v>0.1825</v>
      </c>
      <c r="D1363" s="27" t="n">
        <v>1.8583</v>
      </c>
      <c r="E1363" s="27" t="s">
        <v>603</v>
      </c>
      <c r="F1363" s="27" t="s">
        <v>146</v>
      </c>
      <c r="G1363" s="32" t="n">
        <f aca="false">(A1363-A1362)*86400000</f>
        <v>16.000843</v>
      </c>
      <c r="H1363" s="3"/>
      <c r="I1363" s="3"/>
      <c r="J1363" s="3"/>
      <c r="K1363" s="3"/>
      <c r="L1363" s="3"/>
      <c r="M1363" s="3"/>
    </row>
    <row r="1364" customFormat="false" ht="15" hidden="false" customHeight="false" outlineLevel="0" collapsed="false">
      <c r="A1364" s="28" t="n">
        <v>46301.5242514815</v>
      </c>
      <c r="B1364" s="31" t="n">
        <f aca="false">(A1364-$A$5)*86400</f>
        <v>51.690000132</v>
      </c>
      <c r="C1364" s="27" t="n">
        <v>0.186</v>
      </c>
      <c r="D1364" s="27" t="n">
        <v>1.858</v>
      </c>
      <c r="E1364" s="27" t="s">
        <v>603</v>
      </c>
      <c r="F1364" s="27" t="s">
        <v>146</v>
      </c>
      <c r="G1364" s="32" t="n">
        <f aca="false">(A1364-A1363)*86400000</f>
        <v>16.999128</v>
      </c>
      <c r="H1364" s="3"/>
      <c r="I1364" s="3"/>
      <c r="J1364" s="3"/>
      <c r="K1364" s="3"/>
      <c r="L1364" s="3"/>
      <c r="M1364" s="3"/>
    </row>
    <row r="1365" customFormat="false" ht="15" hidden="false" customHeight="false" outlineLevel="0" collapsed="false">
      <c r="A1365" s="28" t="n">
        <v>46301.5242516551</v>
      </c>
      <c r="B1365" s="31" t="n">
        <f aca="false">(A1365-$A$5)*86400</f>
        <v>51.705000177</v>
      </c>
      <c r="C1365" s="27" t="n">
        <v>0.1885</v>
      </c>
      <c r="D1365" s="27" t="n">
        <v>1.8578</v>
      </c>
      <c r="E1365" s="27" t="s">
        <v>603</v>
      </c>
      <c r="F1365" s="27" t="s">
        <v>146</v>
      </c>
      <c r="G1365" s="32" t="n">
        <f aca="false">(A1365-A1364)*86400000</f>
        <v>15.000044</v>
      </c>
      <c r="H1365" s="3"/>
      <c r="I1365" s="3"/>
      <c r="J1365" s="3"/>
      <c r="K1365" s="3"/>
      <c r="L1365" s="3"/>
      <c r="M1365" s="3"/>
    </row>
    <row r="1366" customFormat="false" ht="15" hidden="false" customHeight="false" outlineLevel="0" collapsed="false">
      <c r="A1366" s="28" t="n">
        <v>46301.5242518519</v>
      </c>
      <c r="B1366" s="31" t="n">
        <f aca="false">(A1366-$A$5)*86400</f>
        <v>51.721999933</v>
      </c>
      <c r="C1366" s="27" t="n">
        <v>0.1907</v>
      </c>
      <c r="D1366" s="27" t="n">
        <v>1.8577</v>
      </c>
      <c r="E1366" s="27" t="s">
        <v>603</v>
      </c>
      <c r="F1366" s="27" t="s">
        <v>146</v>
      </c>
      <c r="G1366" s="32" t="n">
        <f aca="false">(A1366-A1365)*86400000</f>
        <v>16.999756</v>
      </c>
      <c r="H1366" s="3"/>
      <c r="I1366" s="3"/>
      <c r="J1366" s="3"/>
      <c r="K1366" s="3"/>
      <c r="L1366" s="3"/>
      <c r="M1366" s="3"/>
    </row>
    <row r="1367" customFormat="false" ht="15" hidden="false" customHeight="false" outlineLevel="0" collapsed="false">
      <c r="A1367" s="28" t="n">
        <v>46301.5242520255</v>
      </c>
      <c r="B1367" s="31" t="n">
        <f aca="false">(A1367-$A$5)*86400</f>
        <v>51.736999978</v>
      </c>
      <c r="C1367" s="27" t="n">
        <v>0.1925</v>
      </c>
      <c r="D1367" s="27" t="n">
        <v>1.8575</v>
      </c>
      <c r="E1367" s="27" t="s">
        <v>603</v>
      </c>
      <c r="F1367" s="27" t="s">
        <v>146</v>
      </c>
      <c r="G1367" s="32" t="n">
        <f aca="false">(A1367-A1366)*86400000</f>
        <v>15.000044</v>
      </c>
      <c r="H1367" s="3"/>
      <c r="I1367" s="3"/>
      <c r="J1367" s="3"/>
      <c r="K1367" s="3"/>
      <c r="L1367" s="3"/>
      <c r="M1367" s="3"/>
    </row>
    <row r="1368" customFormat="false" ht="15" hidden="false" customHeight="false" outlineLevel="0" collapsed="false">
      <c r="A1368" s="28" t="n">
        <v>46301.5242522107</v>
      </c>
      <c r="B1368" s="31" t="n">
        <f aca="false">(A1368-$A$5)*86400</f>
        <v>51.753000193</v>
      </c>
      <c r="C1368" s="27" t="n">
        <v>0.1786</v>
      </c>
      <c r="D1368" s="27" t="n">
        <v>1.8498</v>
      </c>
      <c r="E1368" s="27" t="s">
        <v>603</v>
      </c>
      <c r="F1368" s="27" t="s">
        <v>146</v>
      </c>
      <c r="G1368" s="32" t="n">
        <f aca="false">(A1368-A1367)*86400000</f>
        <v>16.000214</v>
      </c>
      <c r="H1368" s="3"/>
      <c r="I1368" s="3"/>
      <c r="J1368" s="3"/>
      <c r="K1368" s="3"/>
      <c r="L1368" s="3"/>
      <c r="M1368" s="3"/>
    </row>
    <row r="1369" customFormat="false" ht="15" hidden="false" customHeight="false" outlineLevel="0" collapsed="false">
      <c r="A1369" s="28" t="n">
        <v>46301.5242524074</v>
      </c>
      <c r="B1369" s="31" t="n">
        <f aca="false">(A1369-$A$5)*86400</f>
        <v>51.770000578</v>
      </c>
      <c r="C1369" s="27" t="n">
        <v>0.167</v>
      </c>
      <c r="D1369" s="27" t="n">
        <v>1.8434</v>
      </c>
      <c r="E1369" s="27" t="s">
        <v>603</v>
      </c>
      <c r="F1369" s="27" t="s">
        <v>146</v>
      </c>
      <c r="G1369" s="32" t="n">
        <f aca="false">(A1369-A1368)*86400000</f>
        <v>17.000385</v>
      </c>
      <c r="H1369" s="3"/>
      <c r="I1369" s="3"/>
      <c r="J1369" s="3"/>
      <c r="K1369" s="3"/>
      <c r="L1369" s="3"/>
      <c r="M1369" s="3"/>
    </row>
    <row r="1370" customFormat="false" ht="15" hidden="false" customHeight="false" outlineLevel="0" collapsed="false">
      <c r="A1370" s="28" t="n">
        <v>46301.5242525926</v>
      </c>
      <c r="B1370" s="31" t="n">
        <f aca="false">(A1370-$A$5)*86400</f>
        <v>51.786000165</v>
      </c>
      <c r="C1370" s="27" t="n">
        <v>0.157</v>
      </c>
      <c r="D1370" s="27" t="n">
        <v>1.8379</v>
      </c>
      <c r="E1370" s="27" t="s">
        <v>603</v>
      </c>
      <c r="F1370" s="27" t="s">
        <v>146</v>
      </c>
      <c r="G1370" s="32" t="n">
        <f aca="false">(A1370-A1369)*86400000</f>
        <v>15.999586</v>
      </c>
      <c r="H1370" s="3"/>
      <c r="I1370" s="3"/>
      <c r="J1370" s="3"/>
      <c r="K1370" s="3"/>
      <c r="L1370" s="3"/>
      <c r="M1370" s="3"/>
    </row>
    <row r="1371" customFormat="false" ht="15" hidden="false" customHeight="false" outlineLevel="0" collapsed="false">
      <c r="A1371" s="28" t="n">
        <v>46301.5242527894</v>
      </c>
      <c r="B1371" s="31" t="n">
        <f aca="false">(A1371-$A$5)*86400</f>
        <v>51.802999922</v>
      </c>
      <c r="C1371" s="27" t="n">
        <v>0.1492</v>
      </c>
      <c r="D1371" s="27" t="n">
        <v>1.8336</v>
      </c>
      <c r="E1371" s="27" t="s">
        <v>603</v>
      </c>
      <c r="F1371" s="27" t="s">
        <v>146</v>
      </c>
      <c r="G1371" s="32" t="n">
        <f aca="false">(A1371-A1370)*86400000</f>
        <v>16.999756</v>
      </c>
      <c r="H1371" s="3"/>
      <c r="I1371" s="3"/>
      <c r="J1371" s="3"/>
      <c r="K1371" s="3"/>
      <c r="L1371" s="3"/>
      <c r="M1371" s="3"/>
    </row>
    <row r="1372" customFormat="false" ht="15" hidden="false" customHeight="false" outlineLevel="0" collapsed="false">
      <c r="A1372" s="28" t="n">
        <v>46301.5242529745</v>
      </c>
      <c r="B1372" s="31" t="n">
        <f aca="false">(A1372-$A$5)*86400</f>
        <v>51.819000137</v>
      </c>
      <c r="C1372" s="27" t="n">
        <v>0.1428</v>
      </c>
      <c r="D1372" s="27" t="n">
        <v>1.8301</v>
      </c>
      <c r="E1372" s="27" t="s">
        <v>603</v>
      </c>
      <c r="F1372" s="27" t="s">
        <v>146</v>
      </c>
      <c r="G1372" s="32" t="n">
        <f aca="false">(A1372-A1371)*86400000</f>
        <v>16.000214</v>
      </c>
      <c r="H1372" s="3"/>
      <c r="I1372" s="3"/>
      <c r="J1372" s="3"/>
      <c r="K1372" s="3"/>
      <c r="L1372" s="3"/>
      <c r="M1372" s="3"/>
    </row>
    <row r="1373" customFormat="false" ht="15" hidden="false" customHeight="false" outlineLevel="0" collapsed="false">
      <c r="A1373" s="28" t="n">
        <v>46301.5242531482</v>
      </c>
      <c r="B1373" s="31" t="n">
        <f aca="false">(A1373-$A$5)*86400</f>
        <v>51.834000181</v>
      </c>
      <c r="C1373" s="27" t="n">
        <v>0.1375</v>
      </c>
      <c r="D1373" s="27" t="n">
        <v>1.8271</v>
      </c>
      <c r="E1373" s="27" t="s">
        <v>603</v>
      </c>
      <c r="F1373" s="27" t="s">
        <v>146</v>
      </c>
      <c r="G1373" s="32" t="n">
        <f aca="false">(A1373-A1372)*86400000</f>
        <v>15.000044</v>
      </c>
      <c r="H1373" s="3"/>
      <c r="I1373" s="3"/>
      <c r="J1373" s="3"/>
      <c r="K1373" s="3"/>
      <c r="L1373" s="3"/>
      <c r="M1373" s="3"/>
    </row>
    <row r="1374" customFormat="false" ht="15" hidden="false" customHeight="false" outlineLevel="0" collapsed="false">
      <c r="A1374" s="28" t="n">
        <v>46301.5242533333</v>
      </c>
      <c r="B1374" s="31" t="n">
        <f aca="false">(A1374-$A$5)*86400</f>
        <v>51.850000396</v>
      </c>
      <c r="C1374" s="27" t="n">
        <v>0.1332</v>
      </c>
      <c r="D1374" s="27" t="n">
        <v>1.8247</v>
      </c>
      <c r="E1374" s="27" t="s">
        <v>603</v>
      </c>
      <c r="F1374" s="27" t="s">
        <v>146</v>
      </c>
      <c r="G1374" s="32" t="n">
        <f aca="false">(A1374-A1373)*86400000</f>
        <v>16.000214</v>
      </c>
      <c r="H1374" s="3"/>
      <c r="I1374" s="3"/>
      <c r="J1374" s="3"/>
      <c r="K1374" s="3"/>
      <c r="L1374" s="3"/>
      <c r="M1374" s="3"/>
    </row>
    <row r="1375" customFormat="false" ht="15" hidden="false" customHeight="false" outlineLevel="0" collapsed="false">
      <c r="A1375" s="28" t="n">
        <v>46301.5242535301</v>
      </c>
      <c r="B1375" s="31" t="n">
        <f aca="false">(A1375-$A$5)*86400</f>
        <v>51.867000153</v>
      </c>
      <c r="C1375" s="27" t="n">
        <v>0.1294</v>
      </c>
      <c r="D1375" s="27" t="n">
        <v>1.8226</v>
      </c>
      <c r="E1375" s="27" t="s">
        <v>603</v>
      </c>
      <c r="F1375" s="27" t="s">
        <v>146</v>
      </c>
      <c r="G1375" s="32" t="n">
        <f aca="false">(A1375-A1374)*86400000</f>
        <v>16.999756</v>
      </c>
      <c r="H1375" s="3"/>
      <c r="I1375" s="3"/>
      <c r="J1375" s="3"/>
      <c r="K1375" s="3"/>
      <c r="L1375" s="3"/>
      <c r="M1375" s="3"/>
    </row>
    <row r="1376" customFormat="false" ht="15" hidden="false" customHeight="false" outlineLevel="0" collapsed="false">
      <c r="A1376" s="28" t="n">
        <v>46301.5242537269</v>
      </c>
      <c r="B1376" s="31" t="n">
        <f aca="false">(A1376-$A$5)*86400</f>
        <v>51.88399991</v>
      </c>
      <c r="C1376" s="27" t="n">
        <v>0.1264</v>
      </c>
      <c r="D1376" s="27" t="n">
        <v>1.821</v>
      </c>
      <c r="E1376" s="27" t="s">
        <v>603</v>
      </c>
      <c r="F1376" s="27" t="s">
        <v>146</v>
      </c>
      <c r="G1376" s="32" t="n">
        <f aca="false">(A1376-A1375)*86400000</f>
        <v>16.999756</v>
      </c>
      <c r="H1376" s="3"/>
      <c r="I1376" s="3"/>
      <c r="J1376" s="3"/>
      <c r="K1376" s="3"/>
      <c r="L1376" s="3"/>
      <c r="M1376" s="3"/>
    </row>
    <row r="1377" customFormat="false" ht="15" hidden="false" customHeight="false" outlineLevel="0" collapsed="false">
      <c r="A1377" s="28" t="n">
        <v>46301.5242539005</v>
      </c>
      <c r="B1377" s="31" t="n">
        <f aca="false">(A1377-$A$5)*86400</f>
        <v>51.898999954</v>
      </c>
      <c r="C1377" s="27" t="n">
        <v>0.124</v>
      </c>
      <c r="D1377" s="27" t="n">
        <v>1.8197</v>
      </c>
      <c r="E1377" s="27" t="s">
        <v>603</v>
      </c>
      <c r="F1377" s="27" t="s">
        <v>146</v>
      </c>
      <c r="G1377" s="32" t="n">
        <f aca="false">(A1377-A1376)*86400000</f>
        <v>15.000044</v>
      </c>
      <c r="H1377" s="3"/>
      <c r="I1377" s="3"/>
      <c r="J1377" s="3"/>
      <c r="K1377" s="3"/>
      <c r="L1377" s="3"/>
      <c r="M1377" s="3"/>
    </row>
    <row r="1378" customFormat="false" ht="15" hidden="false" customHeight="false" outlineLevel="0" collapsed="false">
      <c r="A1378" s="28" t="n">
        <v>46301.5242540857</v>
      </c>
      <c r="B1378" s="31" t="n">
        <f aca="false">(A1378-$A$5)*86400</f>
        <v>51.915000169</v>
      </c>
      <c r="C1378" s="27" t="n">
        <v>0.122</v>
      </c>
      <c r="D1378" s="27" t="n">
        <v>1.8186</v>
      </c>
      <c r="E1378" s="27" t="s">
        <v>603</v>
      </c>
      <c r="F1378" s="27" t="s">
        <v>146</v>
      </c>
      <c r="G1378" s="32" t="n">
        <f aca="false">(A1378-A1377)*86400000</f>
        <v>16.000214</v>
      </c>
      <c r="H1378" s="3"/>
      <c r="I1378" s="3"/>
      <c r="J1378" s="3"/>
      <c r="K1378" s="3"/>
      <c r="L1378" s="3"/>
      <c r="M1378" s="3"/>
    </row>
    <row r="1379" customFormat="false" ht="15" hidden="false" customHeight="false" outlineLevel="0" collapsed="false">
      <c r="A1379" s="28" t="n">
        <v>46301.5242542708</v>
      </c>
      <c r="B1379" s="31" t="n">
        <f aca="false">(A1379-$A$5)*86400</f>
        <v>51.931000384</v>
      </c>
      <c r="C1379" s="27" t="n">
        <v>0.1204</v>
      </c>
      <c r="D1379" s="27" t="n">
        <v>1.8177</v>
      </c>
      <c r="E1379" s="27" t="s">
        <v>603</v>
      </c>
      <c r="F1379" s="27" t="s">
        <v>146</v>
      </c>
      <c r="G1379" s="32" t="n">
        <f aca="false">(A1379-A1378)*86400000</f>
        <v>16.000214</v>
      </c>
      <c r="H1379" s="3"/>
      <c r="I1379" s="3"/>
      <c r="J1379" s="3"/>
      <c r="K1379" s="3"/>
      <c r="L1379" s="3"/>
      <c r="M1379" s="3"/>
    </row>
    <row r="1380" customFormat="false" ht="15" hidden="false" customHeight="false" outlineLevel="0" collapsed="false">
      <c r="A1380" s="28" t="n">
        <v>46301.5242544676</v>
      </c>
      <c r="B1380" s="31" t="n">
        <f aca="false">(A1380-$A$5)*86400</f>
        <v>51.948000141</v>
      </c>
      <c r="C1380" s="27" t="n">
        <v>0.1216</v>
      </c>
      <c r="D1380" s="27" t="n">
        <v>1.8123</v>
      </c>
      <c r="E1380" s="27" t="s">
        <v>603</v>
      </c>
      <c r="F1380" s="27" t="s">
        <v>146</v>
      </c>
      <c r="G1380" s="32" t="n">
        <f aca="false">(A1380-A1379)*86400000</f>
        <v>16.999756</v>
      </c>
      <c r="H1380" s="3"/>
      <c r="I1380" s="3"/>
      <c r="J1380" s="3"/>
      <c r="K1380" s="3"/>
      <c r="L1380" s="3"/>
      <c r="M1380" s="3"/>
    </row>
    <row r="1381" customFormat="false" ht="15" hidden="false" customHeight="false" outlineLevel="0" collapsed="false">
      <c r="A1381" s="28" t="n">
        <v>46301.5242546412</v>
      </c>
      <c r="B1381" s="31" t="n">
        <f aca="false">(A1381-$A$5)*86400</f>
        <v>51.962999557</v>
      </c>
      <c r="C1381" s="27" t="n">
        <v>0.1226</v>
      </c>
      <c r="D1381" s="27" t="n">
        <v>1.8081</v>
      </c>
      <c r="E1381" s="27" t="s">
        <v>603</v>
      </c>
      <c r="F1381" s="27" t="s">
        <v>146</v>
      </c>
      <c r="G1381" s="32" t="n">
        <f aca="false">(A1381-A1380)*86400000</f>
        <v>14.999415</v>
      </c>
      <c r="H1381" s="3"/>
      <c r="I1381" s="3"/>
      <c r="J1381" s="3"/>
      <c r="K1381" s="3"/>
      <c r="L1381" s="3"/>
      <c r="M1381" s="3"/>
    </row>
    <row r="1382" customFormat="false" ht="15" hidden="false" customHeight="false" outlineLevel="0" collapsed="false">
      <c r="A1382" s="28" t="n">
        <v>46301.5242548264</v>
      </c>
      <c r="B1382" s="31" t="n">
        <f aca="false">(A1382-$A$5)*86400</f>
        <v>51.9790004</v>
      </c>
      <c r="C1382" s="27" t="n">
        <v>0.1234</v>
      </c>
      <c r="D1382" s="27" t="n">
        <v>1.8044</v>
      </c>
      <c r="E1382" s="27" t="s">
        <v>603</v>
      </c>
      <c r="F1382" s="27" t="s">
        <v>146</v>
      </c>
      <c r="G1382" s="32" t="n">
        <f aca="false">(A1382-A1381)*86400000</f>
        <v>16.000843</v>
      </c>
      <c r="H1382" s="3"/>
      <c r="I1382" s="3"/>
      <c r="J1382" s="3"/>
      <c r="K1382" s="3"/>
      <c r="L1382" s="3"/>
      <c r="M1382" s="3"/>
    </row>
    <row r="1383" customFormat="false" ht="15" hidden="false" customHeight="false" outlineLevel="0" collapsed="false">
      <c r="A1383" s="28" t="n">
        <v>46301.5242550116</v>
      </c>
      <c r="B1383" s="31" t="n">
        <f aca="false">(A1383-$A$5)*86400</f>
        <v>51.994999987</v>
      </c>
      <c r="C1383" s="27" t="n">
        <v>0.1241</v>
      </c>
      <c r="D1383" s="27" t="n">
        <v>1.8013</v>
      </c>
      <c r="E1383" s="27" t="s">
        <v>603</v>
      </c>
      <c r="F1383" s="27" t="s">
        <v>146</v>
      </c>
      <c r="G1383" s="32" t="n">
        <f aca="false">(A1383-A1382)*86400000</f>
        <v>15.999586</v>
      </c>
      <c r="H1383" s="3"/>
      <c r="I1383" s="3"/>
      <c r="J1383" s="3"/>
      <c r="K1383" s="3"/>
      <c r="L1383" s="3"/>
      <c r="M1383" s="3"/>
    </row>
    <row r="1384" customFormat="false" ht="15" hidden="false" customHeight="false" outlineLevel="0" collapsed="false">
      <c r="A1384" s="28" t="n">
        <v>46301.5242552083</v>
      </c>
      <c r="B1384" s="31" t="n">
        <f aca="false">(A1384-$A$5)*86400</f>
        <v>52.012000372</v>
      </c>
      <c r="C1384" s="27" t="n">
        <v>0.1247</v>
      </c>
      <c r="D1384" s="27" t="n">
        <v>1.7988</v>
      </c>
      <c r="E1384" s="27" t="s">
        <v>603</v>
      </c>
      <c r="F1384" s="27" t="s">
        <v>146</v>
      </c>
      <c r="G1384" s="32" t="n">
        <f aca="false">(A1384-A1383)*86400000</f>
        <v>17.000385</v>
      </c>
      <c r="H1384" s="3"/>
      <c r="I1384" s="3"/>
      <c r="J1384" s="3"/>
      <c r="K1384" s="3"/>
      <c r="L1384" s="3"/>
      <c r="M1384" s="3"/>
    </row>
    <row r="1385" customFormat="false" ht="15" hidden="false" customHeight="false" outlineLevel="0" collapsed="false">
      <c r="A1385" s="28" t="n">
        <v>46301.524255382</v>
      </c>
      <c r="B1385" s="31" t="n">
        <f aca="false">(A1385-$A$5)*86400</f>
        <v>52.027000417</v>
      </c>
      <c r="C1385" s="27" t="n">
        <v>0.1252</v>
      </c>
      <c r="D1385" s="27" t="n">
        <v>1.7967</v>
      </c>
      <c r="E1385" s="27" t="s">
        <v>603</v>
      </c>
      <c r="F1385" s="27" t="s">
        <v>146</v>
      </c>
      <c r="G1385" s="32" t="n">
        <f aca="false">(A1385-A1384)*86400000</f>
        <v>15.000044</v>
      </c>
      <c r="H1385" s="3"/>
      <c r="I1385" s="3"/>
      <c r="J1385" s="3"/>
      <c r="K1385" s="3"/>
      <c r="L1385" s="3"/>
      <c r="M1385" s="3"/>
    </row>
    <row r="1386" customFormat="false" ht="15" hidden="false" customHeight="false" outlineLevel="0" collapsed="false">
      <c r="A1386" s="28" t="n">
        <v>46301.5242555671</v>
      </c>
      <c r="B1386" s="31" t="n">
        <f aca="false">(A1386-$A$5)*86400</f>
        <v>52.043000003</v>
      </c>
      <c r="C1386" s="27" t="n">
        <v>0.1256</v>
      </c>
      <c r="D1386" s="27" t="n">
        <v>1.795</v>
      </c>
      <c r="E1386" s="27" t="s">
        <v>603</v>
      </c>
      <c r="F1386" s="27" t="s">
        <v>146</v>
      </c>
      <c r="G1386" s="32" t="n">
        <f aca="false">(A1386-A1385)*86400000</f>
        <v>15.999586</v>
      </c>
      <c r="H1386" s="3"/>
      <c r="I1386" s="3"/>
      <c r="J1386" s="3"/>
      <c r="K1386" s="3"/>
      <c r="L1386" s="3"/>
      <c r="M1386" s="3"/>
    </row>
    <row r="1387" customFormat="false" ht="15" hidden="false" customHeight="false" outlineLevel="0" collapsed="false">
      <c r="A1387" s="28" t="n">
        <v>46301.5242557523</v>
      </c>
      <c r="B1387" s="31" t="n">
        <f aca="false">(A1387-$A$5)*86400</f>
        <v>52.059000846</v>
      </c>
      <c r="C1387" s="27" t="n">
        <v>0.1271</v>
      </c>
      <c r="D1387" s="27" t="n">
        <v>1.7932</v>
      </c>
      <c r="E1387" s="27" t="s">
        <v>603</v>
      </c>
      <c r="F1387" s="27" t="s">
        <v>146</v>
      </c>
      <c r="G1387" s="32" t="n">
        <f aca="false">(A1387-A1386)*86400000</f>
        <v>16.000843</v>
      </c>
      <c r="H1387" s="3"/>
      <c r="I1387" s="3"/>
      <c r="J1387" s="3"/>
      <c r="K1387" s="3"/>
      <c r="L1387" s="3"/>
      <c r="M1387" s="3"/>
    </row>
    <row r="1388" customFormat="false" ht="15" hidden="false" customHeight="false" outlineLevel="0" collapsed="false">
      <c r="A1388" s="28" t="n">
        <v>46301.5242559491</v>
      </c>
      <c r="B1388" s="31" t="n">
        <f aca="false">(A1388-$A$5)*86400</f>
        <v>52.075999975</v>
      </c>
      <c r="C1388" s="27" t="n">
        <v>0.1283</v>
      </c>
      <c r="D1388" s="27" t="n">
        <v>1.7918</v>
      </c>
      <c r="E1388" s="27" t="s">
        <v>603</v>
      </c>
      <c r="F1388" s="27" t="s">
        <v>146</v>
      </c>
      <c r="G1388" s="32" t="n">
        <f aca="false">(A1388-A1387)*86400000</f>
        <v>16.999128</v>
      </c>
      <c r="H1388" s="3"/>
      <c r="I1388" s="3"/>
      <c r="J1388" s="3"/>
      <c r="K1388" s="3"/>
      <c r="L1388" s="3"/>
      <c r="M1388" s="3"/>
    </row>
    <row r="1389" customFormat="false" ht="15" hidden="false" customHeight="false" outlineLevel="0" collapsed="false">
      <c r="A1389" s="28" t="n">
        <v>46301.5242563195</v>
      </c>
      <c r="B1389" s="31" t="n">
        <f aca="false">(A1389-$A$5)*86400</f>
        <v>52.108000405</v>
      </c>
      <c r="C1389" s="27" t="n">
        <v>0.1301</v>
      </c>
      <c r="D1389" s="27" t="n">
        <v>1.7896</v>
      </c>
      <c r="E1389" s="27" t="s">
        <v>603</v>
      </c>
      <c r="F1389" s="27" t="s">
        <v>146</v>
      </c>
      <c r="G1389" s="32" t="n">
        <f aca="false">(A1389-A1388)*86400000</f>
        <v>32.000429</v>
      </c>
      <c r="H1389" s="3"/>
      <c r="I1389" s="3"/>
      <c r="J1389" s="3"/>
      <c r="K1389" s="3"/>
      <c r="L1389" s="3"/>
      <c r="M1389" s="3"/>
    </row>
    <row r="1390" customFormat="false" ht="15" hidden="false" customHeight="false" outlineLevel="0" collapsed="false">
      <c r="A1390" s="28" t="n">
        <v>46301.5242566898</v>
      </c>
      <c r="B1390" s="31" t="n">
        <f aca="false">(A1390-$A$5)*86400</f>
        <v>52.140000835</v>
      </c>
      <c r="C1390" s="27" t="n">
        <v>0.1313</v>
      </c>
      <c r="D1390" s="27" t="n">
        <v>1.7881</v>
      </c>
      <c r="E1390" s="27" t="s">
        <v>603</v>
      </c>
      <c r="F1390" s="27" t="s">
        <v>146</v>
      </c>
      <c r="G1390" s="32" t="n">
        <f aca="false">(A1390-A1389)*86400000</f>
        <v>32.000429</v>
      </c>
      <c r="H1390" s="3"/>
      <c r="I1390" s="3"/>
      <c r="J1390" s="3"/>
      <c r="K1390" s="3"/>
      <c r="L1390" s="3"/>
      <c r="M1390" s="3"/>
    </row>
    <row r="1391" customFormat="false" ht="15" hidden="false" customHeight="false" outlineLevel="0" collapsed="false">
      <c r="A1391" s="28" t="n">
        <v>46301.5242568634</v>
      </c>
      <c r="B1391" s="31" t="n">
        <f aca="false">(A1391-$A$5)*86400</f>
        <v>52.15500025</v>
      </c>
      <c r="C1391" s="27" t="n">
        <v>0.1317</v>
      </c>
      <c r="D1391" s="27" t="n">
        <v>1.7875</v>
      </c>
      <c r="E1391" s="27" t="s">
        <v>603</v>
      </c>
      <c r="F1391" s="27" t="s">
        <v>146</v>
      </c>
      <c r="G1391" s="32" t="n">
        <f aca="false">(A1391-A1390)*86400000</f>
        <v>14.999415</v>
      </c>
      <c r="H1391" s="3"/>
      <c r="I1391" s="3"/>
      <c r="J1391" s="3"/>
      <c r="K1391" s="3"/>
      <c r="L1391" s="3"/>
      <c r="M1391" s="3"/>
    </row>
    <row r="1392" customFormat="false" ht="15" hidden="false" customHeight="false" outlineLevel="0" collapsed="false">
      <c r="A1392" s="28" t="n">
        <v>46301.524257419</v>
      </c>
      <c r="B1392" s="31" t="n">
        <f aca="false">(A1392-$A$5)*86400</f>
        <v>52.203000267</v>
      </c>
      <c r="C1392" s="27" t="n">
        <v>0.1327</v>
      </c>
      <c r="D1392" s="27" t="n">
        <v>1.7864</v>
      </c>
      <c r="E1392" s="27" t="s">
        <v>603</v>
      </c>
      <c r="F1392" s="27" t="s">
        <v>146</v>
      </c>
      <c r="G1392" s="32" t="n">
        <f aca="false">(A1392-A1391)*86400000</f>
        <v>48.000016</v>
      </c>
      <c r="H1392" s="3"/>
      <c r="I1392" s="3"/>
      <c r="J1392" s="3"/>
      <c r="K1392" s="3"/>
      <c r="L1392" s="3"/>
      <c r="M1392" s="3"/>
    </row>
    <row r="1393" customFormat="false" ht="15" hidden="false" customHeight="false" outlineLevel="0" collapsed="false">
      <c r="A1393" s="28" t="n">
        <v>46301.5242576042</v>
      </c>
      <c r="B1393" s="31" t="n">
        <f aca="false">(A1393-$A$5)*86400</f>
        <v>52.218999224</v>
      </c>
      <c r="C1393" s="27" t="n">
        <v>0.1339</v>
      </c>
      <c r="D1393" s="27" t="n">
        <v>1.7849</v>
      </c>
      <c r="E1393" s="27" t="s">
        <v>603</v>
      </c>
      <c r="F1393" s="27" t="s">
        <v>146</v>
      </c>
      <c r="G1393" s="32" t="n">
        <f aca="false">(A1393-A1392)*86400000</f>
        <v>15.998957</v>
      </c>
      <c r="H1393" s="3"/>
      <c r="I1393" s="3"/>
      <c r="J1393" s="3"/>
      <c r="K1393" s="3"/>
      <c r="L1393" s="3"/>
      <c r="M1393" s="3"/>
    </row>
    <row r="1394" customFormat="false" ht="15" hidden="false" customHeight="false" outlineLevel="0" collapsed="false">
      <c r="A1394" s="28" t="n">
        <v>46301.5242600232</v>
      </c>
      <c r="B1394" s="31" t="n">
        <f aca="false">(A1394-$A$5)*86400</f>
        <v>52.428000303</v>
      </c>
      <c r="C1394" s="27" t="n">
        <v>0.1501</v>
      </c>
      <c r="D1394" s="27" t="n">
        <v>1.7914</v>
      </c>
      <c r="E1394" s="27" t="s">
        <v>603</v>
      </c>
      <c r="F1394" s="27" t="s">
        <v>146</v>
      </c>
      <c r="G1394" s="32" t="n">
        <f aca="false">(A1394-A1393)*86400000</f>
        <v>209.001079</v>
      </c>
      <c r="H1394" s="3"/>
      <c r="I1394" s="3"/>
      <c r="J1394" s="3"/>
      <c r="K1394" s="3"/>
      <c r="L1394" s="3"/>
      <c r="M1394" s="3"/>
    </row>
    <row r="1395" customFormat="false" ht="15" hidden="false" customHeight="false" outlineLevel="0" collapsed="false">
      <c r="A1395" s="28" t="n">
        <v>46301.5242602083</v>
      </c>
      <c r="B1395" s="31" t="n">
        <f aca="false">(A1395-$A$5)*86400</f>
        <v>52.44399989</v>
      </c>
      <c r="C1395" s="27" t="n">
        <v>0.1634</v>
      </c>
      <c r="D1395" s="27" t="n">
        <v>1.7967</v>
      </c>
      <c r="E1395" s="27" t="s">
        <v>603</v>
      </c>
      <c r="F1395" s="27" t="s">
        <v>146</v>
      </c>
      <c r="G1395" s="32" t="n">
        <f aca="false">(A1395-A1394)*86400000</f>
        <v>15.999586</v>
      </c>
      <c r="H1395" s="3"/>
      <c r="I1395" s="3"/>
      <c r="J1395" s="3"/>
      <c r="K1395" s="3"/>
      <c r="L1395" s="3"/>
      <c r="M1395" s="3"/>
    </row>
    <row r="1396" customFormat="false" ht="15" hidden="false" customHeight="false" outlineLevel="0" collapsed="false">
      <c r="A1396" s="28" t="n">
        <v>46301.5242603935</v>
      </c>
      <c r="B1396" s="31" t="n">
        <f aca="false">(A1396-$A$5)*86400</f>
        <v>52.460000105</v>
      </c>
      <c r="C1396" s="27" t="n">
        <v>0.1744</v>
      </c>
      <c r="D1396" s="27" t="n">
        <v>1.8011</v>
      </c>
      <c r="E1396" s="27" t="s">
        <v>603</v>
      </c>
      <c r="F1396" s="27" t="s">
        <v>146</v>
      </c>
      <c r="G1396" s="32" t="n">
        <f aca="false">(A1396-A1395)*86400000</f>
        <v>16.000214</v>
      </c>
      <c r="H1396" s="3"/>
      <c r="I1396" s="3"/>
      <c r="J1396" s="3"/>
      <c r="K1396" s="3"/>
      <c r="L1396" s="3"/>
      <c r="M1396" s="3"/>
    </row>
    <row r="1397" customFormat="false" ht="15" hidden="false" customHeight="false" outlineLevel="0" collapsed="false">
      <c r="A1397" s="28" t="n">
        <v>46301.5242605787</v>
      </c>
      <c r="B1397" s="31" t="n">
        <f aca="false">(A1397-$A$5)*86400</f>
        <v>52.476000948</v>
      </c>
      <c r="C1397" s="27" t="n">
        <v>0.1834</v>
      </c>
      <c r="D1397" s="27" t="n">
        <v>1.8048</v>
      </c>
      <c r="E1397" s="27" t="s">
        <v>603</v>
      </c>
      <c r="F1397" s="27" t="s">
        <v>146</v>
      </c>
      <c r="G1397" s="32" t="n">
        <f aca="false">(A1397-A1396)*86400000</f>
        <v>16.000843</v>
      </c>
      <c r="H1397" s="3"/>
      <c r="I1397" s="3"/>
      <c r="J1397" s="3"/>
      <c r="K1397" s="3"/>
      <c r="L1397" s="3"/>
      <c r="M1397" s="3"/>
    </row>
    <row r="1398" customFormat="false" ht="15" hidden="false" customHeight="false" outlineLevel="0" collapsed="false">
      <c r="A1398" s="28" t="n">
        <v>46301.5242607639</v>
      </c>
      <c r="B1398" s="31" t="n">
        <f aca="false">(A1398-$A$5)*86400</f>
        <v>52.491999906</v>
      </c>
      <c r="C1398" s="27" t="n">
        <v>0.1909</v>
      </c>
      <c r="D1398" s="27" t="n">
        <v>1.8078</v>
      </c>
      <c r="E1398" s="27" t="s">
        <v>603</v>
      </c>
      <c r="F1398" s="27" t="s">
        <v>146</v>
      </c>
      <c r="G1398" s="32" t="n">
        <f aca="false">(A1398-A1397)*86400000</f>
        <v>15.998957</v>
      </c>
      <c r="H1398" s="3"/>
      <c r="I1398" s="3"/>
      <c r="J1398" s="3"/>
      <c r="K1398" s="3"/>
      <c r="L1398" s="3"/>
      <c r="M1398" s="3"/>
    </row>
    <row r="1399" customFormat="false" ht="15" hidden="false" customHeight="false" outlineLevel="0" collapsed="false">
      <c r="A1399" s="28" t="n">
        <v>46301.5242609491</v>
      </c>
      <c r="B1399" s="31" t="n">
        <f aca="false">(A1399-$A$5)*86400</f>
        <v>52.507999492</v>
      </c>
      <c r="C1399" s="27" t="n">
        <v>0.1971</v>
      </c>
      <c r="D1399" s="27" t="n">
        <v>1.8102</v>
      </c>
      <c r="E1399" s="27" t="s">
        <v>603</v>
      </c>
      <c r="F1399" s="27" t="s">
        <v>146</v>
      </c>
      <c r="G1399" s="32" t="n">
        <f aca="false">(A1399-A1398)*86400000</f>
        <v>15.999586</v>
      </c>
      <c r="H1399" s="3"/>
      <c r="I1399" s="3"/>
      <c r="J1399" s="3"/>
      <c r="K1399" s="3"/>
      <c r="L1399" s="3"/>
      <c r="M1399" s="3"/>
    </row>
    <row r="1400" customFormat="false" ht="15" hidden="false" customHeight="false" outlineLevel="0" collapsed="false">
      <c r="A1400" s="28" t="n">
        <v>46301.5242611343</v>
      </c>
      <c r="B1400" s="31" t="n">
        <f aca="false">(A1400-$A$5)*86400</f>
        <v>52.524000336</v>
      </c>
      <c r="C1400" s="27" t="n">
        <v>0.2022</v>
      </c>
      <c r="D1400" s="27" t="n">
        <v>1.8123</v>
      </c>
      <c r="E1400" s="27" t="s">
        <v>603</v>
      </c>
      <c r="F1400" s="27" t="s">
        <v>146</v>
      </c>
      <c r="G1400" s="32" t="n">
        <f aca="false">(A1400-A1399)*86400000</f>
        <v>16.000843</v>
      </c>
      <c r="H1400" s="3"/>
      <c r="I1400" s="3"/>
      <c r="J1400" s="3"/>
      <c r="K1400" s="3"/>
      <c r="L1400" s="3"/>
      <c r="M1400" s="3"/>
    </row>
    <row r="1401" customFormat="false" ht="15" hidden="false" customHeight="false" outlineLevel="0" collapsed="false">
      <c r="A1401" s="28" t="n">
        <v>46301.524261331</v>
      </c>
      <c r="B1401" s="31" t="n">
        <f aca="false">(A1401-$A$5)*86400</f>
        <v>52.541000093</v>
      </c>
      <c r="C1401" s="27" t="n">
        <v>0.2064</v>
      </c>
      <c r="D1401" s="27" t="n">
        <v>1.814</v>
      </c>
      <c r="E1401" s="27" t="s">
        <v>603</v>
      </c>
      <c r="F1401" s="27" t="s">
        <v>146</v>
      </c>
      <c r="G1401" s="32" t="n">
        <f aca="false">(A1401-A1400)*86400000</f>
        <v>16.999756</v>
      </c>
      <c r="H1401" s="3"/>
      <c r="I1401" s="3"/>
      <c r="J1401" s="3"/>
      <c r="K1401" s="3"/>
      <c r="L1401" s="3"/>
      <c r="M1401" s="3"/>
    </row>
    <row r="1402" customFormat="false" ht="15" hidden="false" customHeight="false" outlineLevel="0" collapsed="false">
      <c r="A1402" s="28" t="n">
        <v>46301.5242615162</v>
      </c>
      <c r="B1402" s="31" t="n">
        <f aca="false">(A1402-$A$5)*86400</f>
        <v>52.557000936</v>
      </c>
      <c r="C1402" s="27" t="n">
        <v>0.2099</v>
      </c>
      <c r="D1402" s="27" t="n">
        <v>1.8154</v>
      </c>
      <c r="E1402" s="27" t="s">
        <v>603</v>
      </c>
      <c r="F1402" s="27" t="s">
        <v>146</v>
      </c>
      <c r="G1402" s="32" t="n">
        <f aca="false">(A1402-A1401)*86400000</f>
        <v>16.000843</v>
      </c>
      <c r="H1402" s="3"/>
      <c r="I1402" s="3"/>
      <c r="J1402" s="3"/>
      <c r="K1402" s="3"/>
      <c r="L1402" s="3"/>
      <c r="M1402" s="3"/>
    </row>
    <row r="1403" customFormat="false" ht="15" hidden="false" customHeight="false" outlineLevel="0" collapsed="false">
      <c r="A1403" s="28" t="n">
        <v>46301.5242617014</v>
      </c>
      <c r="B1403" s="31" t="n">
        <f aca="false">(A1403-$A$5)*86400</f>
        <v>52.572999894</v>
      </c>
      <c r="C1403" s="27" t="n">
        <v>0.2129</v>
      </c>
      <c r="D1403" s="27" t="n">
        <v>1.8166</v>
      </c>
      <c r="E1403" s="27" t="s">
        <v>603</v>
      </c>
      <c r="F1403" s="27" t="s">
        <v>146</v>
      </c>
      <c r="G1403" s="32" t="n">
        <f aca="false">(A1403-A1402)*86400000</f>
        <v>15.998957</v>
      </c>
      <c r="H1403" s="3"/>
      <c r="I1403" s="3"/>
      <c r="J1403" s="3"/>
      <c r="K1403" s="3"/>
      <c r="L1403" s="3"/>
      <c r="M1403" s="3"/>
    </row>
    <row r="1404" customFormat="false" ht="15" hidden="false" customHeight="false" outlineLevel="0" collapsed="false">
      <c r="A1404" s="28" t="n">
        <v>46301.5242618866</v>
      </c>
      <c r="B1404" s="31" t="n">
        <f aca="false">(A1404-$A$5)*86400</f>
        <v>52.58899948</v>
      </c>
      <c r="C1404" s="27" t="n">
        <v>0.2152</v>
      </c>
      <c r="D1404" s="27" t="n">
        <v>1.8175</v>
      </c>
      <c r="E1404" s="27" t="s">
        <v>603</v>
      </c>
      <c r="F1404" s="27" t="s">
        <v>146</v>
      </c>
      <c r="G1404" s="32" t="n">
        <f aca="false">(A1404-A1403)*86400000</f>
        <v>15.999586</v>
      </c>
      <c r="H1404" s="3"/>
      <c r="I1404" s="3"/>
      <c r="J1404" s="3"/>
      <c r="K1404" s="3"/>
      <c r="L1404" s="3"/>
      <c r="M1404" s="3"/>
    </row>
    <row r="1405" customFormat="false" ht="15" hidden="false" customHeight="false" outlineLevel="0" collapsed="false">
      <c r="A1405" s="28" t="n">
        <v>46301.5242620718</v>
      </c>
      <c r="B1405" s="31" t="n">
        <f aca="false">(A1405-$A$5)*86400</f>
        <v>52.605000324</v>
      </c>
      <c r="C1405" s="27" t="n">
        <v>0.2172</v>
      </c>
      <c r="D1405" s="27" t="n">
        <v>1.8183</v>
      </c>
      <c r="E1405" s="27" t="s">
        <v>603</v>
      </c>
      <c r="F1405" s="27" t="s">
        <v>146</v>
      </c>
      <c r="G1405" s="32" t="n">
        <f aca="false">(A1405-A1404)*86400000</f>
        <v>16.000843</v>
      </c>
      <c r="H1405" s="3"/>
      <c r="I1405" s="3"/>
      <c r="J1405" s="3"/>
      <c r="K1405" s="3"/>
      <c r="L1405" s="3"/>
      <c r="M1405" s="3"/>
    </row>
    <row r="1406" customFormat="false" ht="15" hidden="false" customHeight="false" outlineLevel="0" collapsed="false">
      <c r="A1406" s="28" t="n">
        <v>46301.5242622569</v>
      </c>
      <c r="B1406" s="31" t="n">
        <f aca="false">(A1406-$A$5)*86400</f>
        <v>52.62099991</v>
      </c>
      <c r="C1406" s="27" t="n">
        <v>0.2188</v>
      </c>
      <c r="D1406" s="27" t="n">
        <v>1.8189</v>
      </c>
      <c r="E1406" s="27" t="s">
        <v>603</v>
      </c>
      <c r="F1406" s="27" t="s">
        <v>146</v>
      </c>
      <c r="G1406" s="32" t="n">
        <f aca="false">(A1406-A1405)*86400000</f>
        <v>15.999586</v>
      </c>
      <c r="H1406" s="3"/>
      <c r="I1406" s="3"/>
      <c r="J1406" s="3"/>
      <c r="K1406" s="3"/>
      <c r="L1406" s="3"/>
      <c r="M1406" s="3"/>
    </row>
    <row r="1407" customFormat="false" ht="15" hidden="false" customHeight="false" outlineLevel="0" collapsed="false">
      <c r="A1407" s="28" t="n">
        <v>46301.5242624421</v>
      </c>
      <c r="B1407" s="31" t="n">
        <f aca="false">(A1407-$A$5)*86400</f>
        <v>52.637000125</v>
      </c>
      <c r="C1407" s="27" t="n">
        <v>0.2201</v>
      </c>
      <c r="D1407" s="27" t="n">
        <v>1.8195</v>
      </c>
      <c r="E1407" s="27" t="s">
        <v>603</v>
      </c>
      <c r="F1407" s="27" t="s">
        <v>146</v>
      </c>
      <c r="G1407" s="32" t="n">
        <f aca="false">(A1407-A1406)*86400000</f>
        <v>16.000214</v>
      </c>
      <c r="H1407" s="3"/>
      <c r="I1407" s="3"/>
      <c r="J1407" s="3"/>
      <c r="K1407" s="3"/>
      <c r="L1407" s="3"/>
      <c r="M1407" s="3"/>
    </row>
    <row r="1408" customFormat="false" ht="15" hidden="false" customHeight="false" outlineLevel="0" collapsed="false">
      <c r="A1408" s="28" t="n">
        <v>46301.5242626157</v>
      </c>
      <c r="B1408" s="31" t="n">
        <f aca="false">(A1408-$A$5)*86400</f>
        <v>52.65200017</v>
      </c>
      <c r="C1408" s="27" t="n">
        <v>0.2212</v>
      </c>
      <c r="D1408" s="27" t="n">
        <v>1.8199</v>
      </c>
      <c r="E1408" s="27" t="s">
        <v>603</v>
      </c>
      <c r="F1408" s="27" t="s">
        <v>146</v>
      </c>
      <c r="G1408" s="32" t="n">
        <f aca="false">(A1408-A1407)*86400000</f>
        <v>15.000044</v>
      </c>
      <c r="H1408" s="3"/>
      <c r="I1408" s="3"/>
      <c r="J1408" s="3"/>
      <c r="K1408" s="3"/>
      <c r="L1408" s="3"/>
      <c r="M1408" s="3"/>
    </row>
    <row r="1409" customFormat="false" ht="15" hidden="false" customHeight="false" outlineLevel="0" collapsed="false">
      <c r="A1409" s="28" t="n">
        <v>46301.5242629861</v>
      </c>
      <c r="B1409" s="31" t="n">
        <f aca="false">(A1409-$A$5)*86400</f>
        <v>52.683999971</v>
      </c>
      <c r="C1409" s="27" t="n">
        <v>0.2228</v>
      </c>
      <c r="D1409" s="27" t="n">
        <v>1.8205</v>
      </c>
      <c r="E1409" s="27" t="s">
        <v>603</v>
      </c>
      <c r="F1409" s="27" t="s">
        <v>146</v>
      </c>
      <c r="G1409" s="32" t="n">
        <f aca="false">(A1409-A1408)*86400000</f>
        <v>31.999801</v>
      </c>
      <c r="H1409" s="3"/>
      <c r="I1409" s="3"/>
      <c r="J1409" s="3"/>
      <c r="K1409" s="3"/>
      <c r="L1409" s="3"/>
      <c r="M1409" s="3"/>
    </row>
    <row r="1410" customFormat="false" ht="15" hidden="false" customHeight="false" outlineLevel="0" collapsed="false">
      <c r="A1410" s="28" t="n">
        <v>46301.5242633681</v>
      </c>
      <c r="B1410" s="31" t="n">
        <f aca="false">(A1410-$A$5)*86400</f>
        <v>52.716999314</v>
      </c>
      <c r="C1410" s="27" t="n">
        <v>0.2239</v>
      </c>
      <c r="D1410" s="27" t="n">
        <v>1.821</v>
      </c>
      <c r="E1410" s="27" t="s">
        <v>603</v>
      </c>
      <c r="F1410" s="27" t="s">
        <v>146</v>
      </c>
      <c r="G1410" s="32" t="n">
        <f aca="false">(A1410-A1409)*86400000</f>
        <v>32.999343</v>
      </c>
      <c r="H1410" s="3"/>
      <c r="I1410" s="3"/>
      <c r="J1410" s="3"/>
      <c r="K1410" s="3"/>
      <c r="L1410" s="3"/>
      <c r="M1410" s="3"/>
    </row>
    <row r="1411" customFormat="false" ht="15" hidden="false" customHeight="false" outlineLevel="0" collapsed="false">
      <c r="A1411" s="28" t="n">
        <v>46301.52426375</v>
      </c>
      <c r="B1411" s="31" t="n">
        <f aca="false">(A1411-$A$5)*86400</f>
        <v>52.749999915</v>
      </c>
      <c r="C1411" s="27" t="n">
        <v>0.2247</v>
      </c>
      <c r="D1411" s="27" t="n">
        <v>1.8213</v>
      </c>
      <c r="E1411" s="27" t="s">
        <v>603</v>
      </c>
      <c r="F1411" s="27" t="s">
        <v>146</v>
      </c>
      <c r="G1411" s="32" t="n">
        <f aca="false">(A1411-A1410)*86400000</f>
        <v>33.0006</v>
      </c>
      <c r="H1411" s="3"/>
      <c r="I1411" s="3"/>
      <c r="J1411" s="3"/>
      <c r="K1411" s="3"/>
      <c r="L1411" s="3"/>
      <c r="M1411" s="3"/>
    </row>
    <row r="1412" customFormat="false" ht="15" hidden="false" customHeight="false" outlineLevel="0" collapsed="false">
      <c r="A1412" s="28" t="n">
        <v>46301.5242639352</v>
      </c>
      <c r="B1412" s="31" t="n">
        <f aca="false">(A1412-$A$5)*86400</f>
        <v>52.766000758</v>
      </c>
      <c r="C1412" s="27" t="n">
        <v>0.2263</v>
      </c>
      <c r="D1412" s="27" t="n">
        <v>1.8219</v>
      </c>
      <c r="E1412" s="27" t="s">
        <v>603</v>
      </c>
      <c r="F1412" s="27" t="s">
        <v>146</v>
      </c>
      <c r="G1412" s="32" t="n">
        <f aca="false">(A1412-A1411)*86400000</f>
        <v>16.000843</v>
      </c>
      <c r="H1412" s="3"/>
      <c r="I1412" s="3"/>
      <c r="J1412" s="3"/>
      <c r="K1412" s="3"/>
      <c r="L1412" s="3"/>
      <c r="M1412" s="3"/>
    </row>
    <row r="1413" customFormat="false" ht="15" hidden="false" customHeight="false" outlineLevel="0" collapsed="false">
      <c r="A1413" s="28" t="n">
        <v>46301.5242706482</v>
      </c>
      <c r="B1413" s="31" t="n">
        <f aca="false">(A1413-$A$5)*86400</f>
        <v>53.346000378</v>
      </c>
      <c r="C1413" s="27" t="n">
        <v>0.3649</v>
      </c>
      <c r="D1413" s="27" t="n">
        <v>1.691</v>
      </c>
      <c r="E1413" s="27" t="s">
        <v>603</v>
      </c>
      <c r="F1413" s="27" t="s">
        <v>146</v>
      </c>
      <c r="G1413" s="32" t="n">
        <f aca="false">(A1413-A1412)*86400000</f>
        <v>579.99962</v>
      </c>
      <c r="H1413" s="3"/>
      <c r="I1413" s="3"/>
      <c r="J1413" s="3"/>
      <c r="K1413" s="3"/>
      <c r="L1413" s="3"/>
      <c r="M1413" s="3"/>
    </row>
    <row r="1414" customFormat="false" ht="15" hidden="false" customHeight="false" outlineLevel="0" collapsed="false">
      <c r="A1414" s="28" t="n">
        <v>46301.5242708218</v>
      </c>
      <c r="B1414" s="31" t="n">
        <f aca="false">(A1414-$A$5)*86400</f>
        <v>53.361000423</v>
      </c>
      <c r="C1414" s="27" t="n">
        <v>0.4793</v>
      </c>
      <c r="D1414" s="27" t="n">
        <v>1.5829</v>
      </c>
      <c r="E1414" s="27" t="s">
        <v>603</v>
      </c>
      <c r="F1414" s="27" t="s">
        <v>146</v>
      </c>
      <c r="G1414" s="32" t="n">
        <f aca="false">(A1414-A1413)*86400000</f>
        <v>15.000044</v>
      </c>
      <c r="H1414" s="3"/>
      <c r="I1414" s="3"/>
      <c r="J1414" s="3"/>
      <c r="K1414" s="3"/>
      <c r="L1414" s="3"/>
      <c r="M1414" s="3"/>
    </row>
    <row r="1415" customFormat="false" ht="15" hidden="false" customHeight="false" outlineLevel="0" collapsed="false">
      <c r="A1415" s="28" t="n">
        <v>46301.5242710185</v>
      </c>
      <c r="B1415" s="31" t="n">
        <f aca="false">(A1415-$A$5)*86400</f>
        <v>53.37800018</v>
      </c>
      <c r="C1415" s="27" t="n">
        <v>0.5737</v>
      </c>
      <c r="D1415" s="27" t="n">
        <v>1.4937</v>
      </c>
      <c r="E1415" s="27" t="s">
        <v>603</v>
      </c>
      <c r="F1415" s="27" t="s">
        <v>146</v>
      </c>
      <c r="G1415" s="32" t="n">
        <f aca="false">(A1415-A1414)*86400000</f>
        <v>16.999756</v>
      </c>
      <c r="H1415" s="3"/>
      <c r="I1415" s="3"/>
      <c r="J1415" s="3"/>
      <c r="K1415" s="3"/>
      <c r="L1415" s="3"/>
      <c r="M1415" s="3"/>
    </row>
    <row r="1416" customFormat="false" ht="15" hidden="false" customHeight="false" outlineLevel="0" collapsed="false">
      <c r="A1416" s="28" t="n">
        <v>46301.5242712037</v>
      </c>
      <c r="B1416" s="31" t="n">
        <f aca="false">(A1416-$A$5)*86400</f>
        <v>53.394000395</v>
      </c>
      <c r="C1416" s="27" t="n">
        <v>0.6517</v>
      </c>
      <c r="D1416" s="27" t="n">
        <v>1.4201</v>
      </c>
      <c r="E1416" s="27" t="s">
        <v>603</v>
      </c>
      <c r="F1416" s="27" t="s">
        <v>146</v>
      </c>
      <c r="G1416" s="32" t="n">
        <f aca="false">(A1416-A1415)*86400000</f>
        <v>16.000214</v>
      </c>
      <c r="H1416" s="3"/>
      <c r="I1416" s="3"/>
      <c r="J1416" s="3"/>
      <c r="K1416" s="3"/>
      <c r="L1416" s="3"/>
      <c r="M1416" s="3"/>
    </row>
    <row r="1417" customFormat="false" ht="15" hidden="false" customHeight="false" outlineLevel="0" collapsed="false">
      <c r="A1417" s="28" t="n">
        <v>46301.5242713889</v>
      </c>
      <c r="B1417" s="31" t="n">
        <f aca="false">(A1417-$A$5)*86400</f>
        <v>53.409999981</v>
      </c>
      <c r="C1417" s="27" t="n">
        <v>0.716</v>
      </c>
      <c r="D1417" s="27" t="n">
        <v>1.3593</v>
      </c>
      <c r="E1417" s="27" t="s">
        <v>603</v>
      </c>
      <c r="F1417" s="27" t="s">
        <v>146</v>
      </c>
      <c r="G1417" s="32" t="n">
        <f aca="false">(A1417-A1416)*86400000</f>
        <v>15.999586</v>
      </c>
      <c r="H1417" s="3"/>
      <c r="I1417" s="3"/>
      <c r="J1417" s="3"/>
      <c r="K1417" s="3"/>
      <c r="L1417" s="3"/>
      <c r="M1417" s="3"/>
    </row>
    <row r="1418" customFormat="false" ht="15" hidden="false" customHeight="false" outlineLevel="0" collapsed="false">
      <c r="A1418" s="28" t="n">
        <v>46301.5242715741</v>
      </c>
      <c r="B1418" s="31" t="n">
        <f aca="false">(A1418-$A$5)*86400</f>
        <v>53.426000825</v>
      </c>
      <c r="C1418" s="27" t="n">
        <v>0.7691</v>
      </c>
      <c r="D1418" s="27" t="n">
        <v>1.3091</v>
      </c>
      <c r="E1418" s="27" t="s">
        <v>603</v>
      </c>
      <c r="F1418" s="27" t="s">
        <v>146</v>
      </c>
      <c r="G1418" s="32" t="n">
        <f aca="false">(A1418-A1417)*86400000</f>
        <v>16.000843</v>
      </c>
      <c r="H1418" s="3"/>
      <c r="I1418" s="3"/>
      <c r="J1418" s="3"/>
      <c r="K1418" s="3"/>
      <c r="L1418" s="3"/>
      <c r="M1418" s="3"/>
    </row>
    <row r="1419" customFormat="false" ht="15" hidden="false" customHeight="false" outlineLevel="0" collapsed="false">
      <c r="A1419" s="28" t="n">
        <v>46301.5242717593</v>
      </c>
      <c r="B1419" s="31" t="n">
        <f aca="false">(A1419-$A$5)*86400</f>
        <v>53.442000411</v>
      </c>
      <c r="C1419" s="27" t="n">
        <v>0.813</v>
      </c>
      <c r="D1419" s="27" t="n">
        <v>1.2677</v>
      </c>
      <c r="E1419" s="27" t="s">
        <v>603</v>
      </c>
      <c r="F1419" s="27" t="s">
        <v>146</v>
      </c>
      <c r="G1419" s="32" t="n">
        <f aca="false">(A1419-A1418)*86400000</f>
        <v>15.999586</v>
      </c>
      <c r="H1419" s="3"/>
      <c r="I1419" s="3"/>
      <c r="J1419" s="3"/>
      <c r="K1419" s="3"/>
      <c r="L1419" s="3"/>
      <c r="M1419" s="3"/>
    </row>
    <row r="1420" customFormat="false" ht="15" hidden="false" customHeight="false" outlineLevel="0" collapsed="false">
      <c r="A1420" s="28" t="n">
        <v>46301.5242719444</v>
      </c>
      <c r="B1420" s="31" t="n">
        <f aca="false">(A1420-$A$5)*86400</f>
        <v>53.457999997</v>
      </c>
      <c r="C1420" s="27" t="n">
        <v>0.8492</v>
      </c>
      <c r="D1420" s="27" t="n">
        <v>1.2334</v>
      </c>
      <c r="E1420" s="27" t="s">
        <v>603</v>
      </c>
      <c r="F1420" s="27" t="s">
        <v>146</v>
      </c>
      <c r="G1420" s="32" t="n">
        <f aca="false">(A1420-A1419)*86400000</f>
        <v>15.999586</v>
      </c>
      <c r="H1420" s="3"/>
      <c r="I1420" s="3"/>
      <c r="J1420" s="3"/>
      <c r="K1420" s="3"/>
      <c r="L1420" s="3"/>
      <c r="M1420" s="3"/>
    </row>
    <row r="1421" customFormat="false" ht="15" hidden="false" customHeight="false" outlineLevel="0" collapsed="false">
      <c r="A1421" s="28" t="n">
        <v>46301.5242721181</v>
      </c>
      <c r="B1421" s="31" t="n">
        <f aca="false">(A1421-$A$5)*86400</f>
        <v>53.472999413</v>
      </c>
      <c r="C1421" s="27" t="n">
        <v>0.8791</v>
      </c>
      <c r="D1421" s="27" t="n">
        <v>1.2051</v>
      </c>
      <c r="E1421" s="27" t="s">
        <v>603</v>
      </c>
      <c r="F1421" s="27" t="s">
        <v>146</v>
      </c>
      <c r="G1421" s="32" t="n">
        <f aca="false">(A1421-A1420)*86400000</f>
        <v>14.999415</v>
      </c>
      <c r="H1421" s="3"/>
      <c r="I1421" s="3"/>
      <c r="J1421" s="3"/>
      <c r="K1421" s="3"/>
      <c r="L1421" s="3"/>
      <c r="M1421" s="3"/>
    </row>
    <row r="1422" customFormat="false" ht="15" hidden="false" customHeight="false" outlineLevel="0" collapsed="false">
      <c r="A1422" s="28" t="n">
        <v>46301.5242723032</v>
      </c>
      <c r="B1422" s="31" t="n">
        <f aca="false">(A1422-$A$5)*86400</f>
        <v>53.489000257</v>
      </c>
      <c r="C1422" s="27" t="n">
        <v>0.9038</v>
      </c>
      <c r="D1422" s="27" t="n">
        <v>1.1818</v>
      </c>
      <c r="E1422" s="27" t="s">
        <v>603</v>
      </c>
      <c r="F1422" s="27" t="s">
        <v>146</v>
      </c>
      <c r="G1422" s="32" t="n">
        <f aca="false">(A1422-A1421)*86400000</f>
        <v>16.000843</v>
      </c>
      <c r="H1422" s="3"/>
      <c r="I1422" s="3"/>
      <c r="J1422" s="3"/>
      <c r="K1422" s="3"/>
      <c r="L1422" s="3"/>
      <c r="M1422" s="3"/>
    </row>
    <row r="1423" customFormat="false" ht="15" hidden="false" customHeight="false" outlineLevel="0" collapsed="false">
      <c r="A1423" s="28" t="n">
        <v>46301.5242724884</v>
      </c>
      <c r="B1423" s="31" t="n">
        <f aca="false">(A1423-$A$5)*86400</f>
        <v>53.504999843</v>
      </c>
      <c r="C1423" s="27" t="n">
        <v>0.9241</v>
      </c>
      <c r="D1423" s="27" t="n">
        <v>1.1626</v>
      </c>
      <c r="E1423" s="27" t="s">
        <v>603</v>
      </c>
      <c r="F1423" s="27" t="s">
        <v>146</v>
      </c>
      <c r="G1423" s="32" t="n">
        <f aca="false">(A1423-A1422)*86400000</f>
        <v>15.999586</v>
      </c>
      <c r="H1423" s="3"/>
      <c r="I1423" s="3"/>
      <c r="J1423" s="3"/>
      <c r="K1423" s="3"/>
      <c r="L1423" s="3"/>
      <c r="M1423" s="3"/>
    </row>
    <row r="1424" customFormat="false" ht="15" hidden="false" customHeight="false" outlineLevel="0" collapsed="false">
      <c r="A1424" s="28" t="n">
        <v>46301.5242726852</v>
      </c>
      <c r="B1424" s="31" t="n">
        <f aca="false">(A1424-$A$5)*86400</f>
        <v>53.522000228</v>
      </c>
      <c r="C1424" s="27" t="n">
        <v>0.941</v>
      </c>
      <c r="D1424" s="27" t="n">
        <v>1.1467</v>
      </c>
      <c r="E1424" s="27" t="s">
        <v>603</v>
      </c>
      <c r="F1424" s="27" t="s">
        <v>146</v>
      </c>
      <c r="G1424" s="32" t="n">
        <f aca="false">(A1424-A1423)*86400000</f>
        <v>17.000385</v>
      </c>
      <c r="H1424" s="3"/>
      <c r="I1424" s="3"/>
      <c r="J1424" s="3"/>
      <c r="K1424" s="3"/>
      <c r="L1424" s="3"/>
      <c r="M1424" s="3"/>
    </row>
    <row r="1425" customFormat="false" ht="15" hidden="false" customHeight="false" outlineLevel="0" collapsed="false">
      <c r="A1425" s="28" t="n">
        <v>46301.5242728704</v>
      </c>
      <c r="B1425" s="31" t="n">
        <f aca="false">(A1425-$A$5)*86400</f>
        <v>53.537999815</v>
      </c>
      <c r="C1425" s="27" t="n">
        <v>0.9548</v>
      </c>
      <c r="D1425" s="27" t="n">
        <v>1.1336</v>
      </c>
      <c r="E1425" s="27" t="s">
        <v>603</v>
      </c>
      <c r="F1425" s="27" t="s">
        <v>146</v>
      </c>
      <c r="G1425" s="32" t="n">
        <f aca="false">(A1425-A1424)*86400000</f>
        <v>15.999586</v>
      </c>
      <c r="H1425" s="3"/>
      <c r="I1425" s="3"/>
      <c r="J1425" s="3"/>
      <c r="K1425" s="3"/>
      <c r="L1425" s="3"/>
      <c r="M1425" s="3"/>
    </row>
    <row r="1426" customFormat="false" ht="15" hidden="false" customHeight="false" outlineLevel="0" collapsed="false">
      <c r="A1426" s="28" t="n">
        <v>46301.5242730556</v>
      </c>
      <c r="B1426" s="31" t="n">
        <f aca="false">(A1426-$A$5)*86400</f>
        <v>53.553999401</v>
      </c>
      <c r="C1426" s="27" t="n">
        <v>0.9669</v>
      </c>
      <c r="D1426" s="27" t="n">
        <v>1.122</v>
      </c>
      <c r="E1426" s="27" t="s">
        <v>603</v>
      </c>
      <c r="F1426" s="27" t="s">
        <v>146</v>
      </c>
      <c r="G1426" s="32" t="n">
        <f aca="false">(A1426-A1425)*86400000</f>
        <v>15.999586</v>
      </c>
      <c r="H1426" s="3"/>
      <c r="I1426" s="3"/>
      <c r="J1426" s="3"/>
      <c r="K1426" s="3"/>
      <c r="L1426" s="3"/>
      <c r="M1426" s="3"/>
    </row>
    <row r="1427" customFormat="false" ht="15" hidden="false" customHeight="false" outlineLevel="0" collapsed="false">
      <c r="A1427" s="28" t="n">
        <v>46301.5242732292</v>
      </c>
      <c r="B1427" s="31" t="n">
        <f aca="false">(A1427-$A$5)*86400</f>
        <v>53.569000703</v>
      </c>
      <c r="C1427" s="27" t="n">
        <v>0.9769</v>
      </c>
      <c r="D1427" s="27" t="n">
        <v>1.1124</v>
      </c>
      <c r="E1427" s="27" t="s">
        <v>603</v>
      </c>
      <c r="F1427" s="27" t="s">
        <v>146</v>
      </c>
      <c r="G1427" s="32" t="n">
        <f aca="false">(A1427-A1426)*86400000</f>
        <v>15.001301</v>
      </c>
      <c r="H1427" s="3"/>
      <c r="I1427" s="3"/>
      <c r="J1427" s="3"/>
      <c r="K1427" s="3"/>
      <c r="L1427" s="3"/>
      <c r="M1427" s="3"/>
    </row>
    <row r="1428" customFormat="false" ht="15" hidden="false" customHeight="false" outlineLevel="0" collapsed="false">
      <c r="A1428" s="28" t="n">
        <v>46301.5242734144</v>
      </c>
      <c r="B1428" s="31" t="n">
        <f aca="false">(A1428-$A$5)*86400</f>
        <v>53.58499966</v>
      </c>
      <c r="C1428" s="27" t="n">
        <v>0.9856</v>
      </c>
      <c r="D1428" s="27" t="n">
        <v>1.1041</v>
      </c>
      <c r="E1428" s="27" t="s">
        <v>603</v>
      </c>
      <c r="F1428" s="27" t="s">
        <v>146</v>
      </c>
      <c r="G1428" s="32" t="n">
        <f aca="false">(A1428-A1427)*86400000</f>
        <v>15.998957</v>
      </c>
      <c r="H1428" s="3"/>
      <c r="I1428" s="3"/>
      <c r="J1428" s="3"/>
      <c r="K1428" s="3"/>
      <c r="L1428" s="3"/>
      <c r="M1428" s="3"/>
    </row>
    <row r="1429" customFormat="false" ht="15" hidden="false" customHeight="false" outlineLevel="0" collapsed="false">
      <c r="A1429" s="28" t="n">
        <v>46301.5242736111</v>
      </c>
      <c r="B1429" s="31" t="n">
        <f aca="false">(A1429-$A$5)*86400</f>
        <v>53.602000046</v>
      </c>
      <c r="C1429" s="27" t="n">
        <v>0.9926</v>
      </c>
      <c r="D1429" s="27" t="n">
        <v>1.0973</v>
      </c>
      <c r="E1429" s="27" t="s">
        <v>603</v>
      </c>
      <c r="F1429" s="27" t="s">
        <v>146</v>
      </c>
      <c r="G1429" s="32" t="n">
        <f aca="false">(A1429-A1428)*86400000</f>
        <v>17.000385</v>
      </c>
      <c r="H1429" s="3"/>
      <c r="I1429" s="3"/>
      <c r="J1429" s="3"/>
      <c r="K1429" s="3"/>
      <c r="L1429" s="3"/>
      <c r="M1429" s="3"/>
    </row>
    <row r="1430" customFormat="false" ht="15" hidden="false" customHeight="false" outlineLevel="0" collapsed="false">
      <c r="A1430" s="28" t="n">
        <v>46301.5242738079</v>
      </c>
      <c r="B1430" s="31" t="n">
        <f aca="false">(A1430-$A$5)*86400</f>
        <v>53.618999803</v>
      </c>
      <c r="C1430" s="27" t="n">
        <v>0.9981</v>
      </c>
      <c r="D1430" s="27" t="n">
        <v>1.0921</v>
      </c>
      <c r="E1430" s="27" t="s">
        <v>603</v>
      </c>
      <c r="F1430" s="27" t="s">
        <v>146</v>
      </c>
      <c r="G1430" s="32" t="n">
        <f aca="false">(A1430-A1429)*86400000</f>
        <v>16.999756</v>
      </c>
      <c r="H1430" s="3"/>
      <c r="I1430" s="3"/>
      <c r="J1430" s="3"/>
      <c r="K1430" s="3"/>
      <c r="L1430" s="3"/>
      <c r="M1430" s="3"/>
    </row>
    <row r="1431" customFormat="false" ht="15" hidden="false" customHeight="false" outlineLevel="0" collapsed="false">
      <c r="A1431" s="28" t="n">
        <v>46301.5242739931</v>
      </c>
      <c r="B1431" s="31" t="n">
        <f aca="false">(A1431-$A$5)*86400</f>
        <v>53.634999389</v>
      </c>
      <c r="C1431" s="27" t="n">
        <v>1.0026</v>
      </c>
      <c r="D1431" s="27" t="n">
        <v>1.0878</v>
      </c>
      <c r="E1431" s="27" t="s">
        <v>603</v>
      </c>
      <c r="F1431" s="27" t="s">
        <v>146</v>
      </c>
      <c r="G1431" s="32" t="n">
        <f aca="false">(A1431-A1430)*86400000</f>
        <v>15.999586</v>
      </c>
      <c r="H1431" s="3"/>
      <c r="I1431" s="3"/>
      <c r="J1431" s="3"/>
      <c r="K1431" s="3"/>
      <c r="L1431" s="3"/>
      <c r="M1431" s="3"/>
    </row>
    <row r="1432" customFormat="false" ht="15" hidden="false" customHeight="false" outlineLevel="0" collapsed="false">
      <c r="A1432" s="28" t="n">
        <v>46301.5242741782</v>
      </c>
      <c r="B1432" s="31" t="n">
        <f aca="false">(A1432-$A$5)*86400</f>
        <v>53.651000233</v>
      </c>
      <c r="C1432" s="27" t="n">
        <v>1.0063</v>
      </c>
      <c r="D1432" s="27" t="n">
        <v>1.0842</v>
      </c>
      <c r="E1432" s="27" t="s">
        <v>603</v>
      </c>
      <c r="F1432" s="27" t="s">
        <v>146</v>
      </c>
      <c r="G1432" s="32" t="n">
        <f aca="false">(A1432-A1431)*86400000</f>
        <v>16.000843</v>
      </c>
      <c r="H1432" s="3"/>
      <c r="I1432" s="3"/>
      <c r="J1432" s="3"/>
      <c r="K1432" s="3"/>
      <c r="L1432" s="3"/>
      <c r="M1432" s="3"/>
    </row>
    <row r="1433" customFormat="false" ht="15" hidden="false" customHeight="false" outlineLevel="0" collapsed="false">
      <c r="A1433" s="28" t="n">
        <v>46301.5242743519</v>
      </c>
      <c r="B1433" s="31" t="n">
        <f aca="false">(A1433-$A$5)*86400</f>
        <v>53.665999649</v>
      </c>
      <c r="C1433" s="27" t="n">
        <v>1.0094</v>
      </c>
      <c r="D1433" s="27" t="n">
        <v>1.0813</v>
      </c>
      <c r="E1433" s="27" t="s">
        <v>603</v>
      </c>
      <c r="F1433" s="27" t="s">
        <v>146</v>
      </c>
      <c r="G1433" s="32" t="n">
        <f aca="false">(A1433-A1432)*86400000</f>
        <v>14.999415</v>
      </c>
      <c r="H1433" s="3"/>
      <c r="I1433" s="3"/>
      <c r="J1433" s="3"/>
      <c r="K1433" s="3"/>
      <c r="L1433" s="3"/>
      <c r="M1433" s="3"/>
    </row>
    <row r="1434" customFormat="false" ht="15" hidden="false" customHeight="false" outlineLevel="0" collapsed="false">
      <c r="A1434" s="28" t="n">
        <v>46301.524274537</v>
      </c>
      <c r="B1434" s="31" t="n">
        <f aca="false">(A1434-$A$5)*86400</f>
        <v>53.681999235</v>
      </c>
      <c r="C1434" s="27" t="n">
        <v>1.012</v>
      </c>
      <c r="D1434" s="27" t="n">
        <v>1.0788</v>
      </c>
      <c r="E1434" s="27" t="s">
        <v>603</v>
      </c>
      <c r="F1434" s="27" t="s">
        <v>146</v>
      </c>
      <c r="G1434" s="32" t="n">
        <f aca="false">(A1434-A1433)*86400000</f>
        <v>15.999586</v>
      </c>
      <c r="H1434" s="3"/>
      <c r="I1434" s="3"/>
      <c r="J1434" s="3"/>
      <c r="K1434" s="3"/>
      <c r="L1434" s="3"/>
      <c r="M1434" s="3"/>
    </row>
    <row r="1435" customFormat="false" ht="15" hidden="false" customHeight="false" outlineLevel="0" collapsed="false">
      <c r="A1435" s="28" t="n">
        <v>46301.5242747222</v>
      </c>
      <c r="B1435" s="31" t="n">
        <f aca="false">(A1435-$A$5)*86400</f>
        <v>53.698000079</v>
      </c>
      <c r="C1435" s="27" t="n">
        <v>1.0141</v>
      </c>
      <c r="D1435" s="27" t="n">
        <v>1.0768</v>
      </c>
      <c r="E1435" s="27" t="s">
        <v>603</v>
      </c>
      <c r="F1435" s="27" t="s">
        <v>146</v>
      </c>
      <c r="G1435" s="32" t="n">
        <f aca="false">(A1435-A1434)*86400000</f>
        <v>16.000843</v>
      </c>
      <c r="H1435" s="3"/>
      <c r="I1435" s="3"/>
      <c r="J1435" s="3"/>
      <c r="K1435" s="3"/>
      <c r="L1435" s="3"/>
      <c r="M1435" s="3"/>
    </row>
    <row r="1436" customFormat="false" ht="15" hidden="false" customHeight="false" outlineLevel="0" collapsed="false">
      <c r="A1436" s="28" t="n">
        <v>46301.524274919</v>
      </c>
      <c r="B1436" s="31" t="n">
        <f aca="false">(A1436-$A$5)*86400</f>
        <v>53.714999835</v>
      </c>
      <c r="C1436" s="27" t="n">
        <v>1.0158</v>
      </c>
      <c r="D1436" s="27" t="n">
        <v>1.0752</v>
      </c>
      <c r="E1436" s="27" t="s">
        <v>603</v>
      </c>
      <c r="F1436" s="27" t="s">
        <v>146</v>
      </c>
      <c r="G1436" s="32" t="n">
        <f aca="false">(A1436-A1435)*86400000</f>
        <v>16.999756</v>
      </c>
      <c r="H1436" s="3"/>
      <c r="I1436" s="3"/>
      <c r="J1436" s="3"/>
      <c r="K1436" s="3"/>
      <c r="L1436" s="3"/>
      <c r="M1436" s="3"/>
    </row>
    <row r="1437" customFormat="false" ht="15" hidden="false" customHeight="false" outlineLevel="0" collapsed="false">
      <c r="A1437" s="28" t="n">
        <v>46301.5242750926</v>
      </c>
      <c r="B1437" s="31" t="n">
        <f aca="false">(A1437-$A$5)*86400</f>
        <v>53.72999988</v>
      </c>
      <c r="C1437" s="27" t="n">
        <v>1.0172</v>
      </c>
      <c r="D1437" s="27" t="n">
        <v>1.0738</v>
      </c>
      <c r="E1437" s="27" t="s">
        <v>603</v>
      </c>
      <c r="F1437" s="27" t="s">
        <v>146</v>
      </c>
      <c r="G1437" s="32" t="n">
        <f aca="false">(A1437-A1436)*86400000</f>
        <v>15.000044</v>
      </c>
      <c r="H1437" s="3"/>
      <c r="I1437" s="3"/>
      <c r="J1437" s="3"/>
      <c r="K1437" s="3"/>
      <c r="L1437" s="3"/>
      <c r="M1437" s="3"/>
    </row>
    <row r="1438" customFormat="false" ht="15" hidden="false" customHeight="false" outlineLevel="0" collapsed="false">
      <c r="A1438" s="28" t="n">
        <v>46301.5242752894</v>
      </c>
      <c r="B1438" s="31" t="n">
        <f aca="false">(A1438-$A$5)*86400</f>
        <v>53.746999637</v>
      </c>
      <c r="C1438" s="27" t="n">
        <v>1.0185</v>
      </c>
      <c r="D1438" s="27" t="n">
        <v>1.0725</v>
      </c>
      <c r="E1438" s="27" t="s">
        <v>603</v>
      </c>
      <c r="F1438" s="27" t="s">
        <v>146</v>
      </c>
      <c r="G1438" s="32" t="n">
        <f aca="false">(A1438-A1437)*86400000</f>
        <v>16.999756</v>
      </c>
      <c r="H1438" s="3"/>
      <c r="I1438" s="3"/>
      <c r="J1438" s="3"/>
      <c r="K1438" s="3"/>
      <c r="L1438" s="3"/>
      <c r="M1438" s="3"/>
    </row>
    <row r="1439" customFormat="false" ht="15" hidden="false" customHeight="false" outlineLevel="0" collapsed="false">
      <c r="A1439" s="28" t="n">
        <v>46301.524275463</v>
      </c>
      <c r="B1439" s="31" t="n">
        <f aca="false">(A1439-$A$5)*86400</f>
        <v>53.762000938</v>
      </c>
      <c r="C1439" s="27" t="n">
        <v>1.0197</v>
      </c>
      <c r="D1439" s="27" t="n">
        <v>1.0714</v>
      </c>
      <c r="E1439" s="27" t="s">
        <v>603</v>
      </c>
      <c r="F1439" s="27" t="s">
        <v>146</v>
      </c>
      <c r="G1439" s="32" t="n">
        <f aca="false">(A1439-A1438)*86400000</f>
        <v>15.001301</v>
      </c>
      <c r="H1439" s="3"/>
      <c r="I1439" s="3"/>
      <c r="J1439" s="3"/>
      <c r="K1439" s="3"/>
      <c r="L1439" s="3"/>
      <c r="M1439" s="3"/>
    </row>
    <row r="1440" customFormat="false" ht="15" hidden="false" customHeight="false" outlineLevel="0" collapsed="false">
      <c r="A1440" s="28" t="n">
        <v>46301.5242756482</v>
      </c>
      <c r="B1440" s="31" t="n">
        <f aca="false">(A1440-$A$5)*86400</f>
        <v>53.778000525</v>
      </c>
      <c r="C1440" s="27" t="n">
        <v>1.0206</v>
      </c>
      <c r="D1440" s="27" t="n">
        <v>1.0705</v>
      </c>
      <c r="E1440" s="27" t="s">
        <v>603</v>
      </c>
      <c r="F1440" s="27" t="s">
        <v>146</v>
      </c>
      <c r="G1440" s="32" t="n">
        <f aca="false">(A1440-A1439)*86400000</f>
        <v>15.999586</v>
      </c>
      <c r="H1440" s="3"/>
      <c r="I1440" s="3"/>
      <c r="J1440" s="3"/>
      <c r="K1440" s="3"/>
      <c r="L1440" s="3"/>
      <c r="M1440" s="3"/>
    </row>
    <row r="1441" customFormat="false" ht="15" hidden="false" customHeight="false" outlineLevel="0" collapsed="false">
      <c r="A1441" s="28" t="n">
        <v>46301.5242762153</v>
      </c>
      <c r="B1441" s="31" t="n">
        <f aca="false">(A1441-$A$5)*86400</f>
        <v>53.827000083</v>
      </c>
      <c r="C1441" s="27" t="n">
        <v>1.0224</v>
      </c>
      <c r="D1441" s="27" t="n">
        <v>1.0686</v>
      </c>
      <c r="E1441" s="27" t="s">
        <v>603</v>
      </c>
      <c r="F1441" s="27" t="s">
        <v>146</v>
      </c>
      <c r="G1441" s="32" t="n">
        <f aca="false">(A1441-A1440)*86400000</f>
        <v>48.999558</v>
      </c>
      <c r="H1441" s="3"/>
      <c r="I1441" s="3"/>
      <c r="J1441" s="3"/>
      <c r="K1441" s="3"/>
      <c r="L1441" s="3"/>
      <c r="M1441" s="3"/>
    </row>
    <row r="1442" customFormat="false" ht="15" hidden="false" customHeight="false" outlineLevel="0" collapsed="false">
      <c r="A1442" s="28" t="n">
        <v>46301.5242769792</v>
      </c>
      <c r="B1442" s="31" t="n">
        <f aca="false">(A1442-$A$5)*86400</f>
        <v>53.893000655</v>
      </c>
      <c r="C1442" s="27" t="n">
        <v>1.0249</v>
      </c>
      <c r="D1442" s="27" t="n">
        <v>1.0662</v>
      </c>
      <c r="E1442" s="27" t="s">
        <v>603</v>
      </c>
      <c r="F1442" s="27" t="s">
        <v>146</v>
      </c>
      <c r="G1442" s="32" t="n">
        <f aca="false">(A1442-A1441)*86400000</f>
        <v>66.000572</v>
      </c>
      <c r="H1442" s="3"/>
      <c r="I1442" s="3"/>
      <c r="J1442" s="3"/>
      <c r="K1442" s="3"/>
      <c r="L1442" s="3"/>
      <c r="M1442" s="3"/>
    </row>
    <row r="1443" customFormat="false" ht="15" hidden="false" customHeight="false" outlineLevel="0" collapsed="false">
      <c r="A1443" s="28" t="n">
        <v>46301.5242777315</v>
      </c>
      <c r="B1443" s="31" t="n">
        <f aca="false">(A1443-$A$5)*86400</f>
        <v>53.9579998</v>
      </c>
      <c r="C1443" s="27" t="n">
        <v>1.0528</v>
      </c>
      <c r="D1443" s="27" t="n">
        <v>1.0828</v>
      </c>
      <c r="E1443" s="27" t="s">
        <v>603</v>
      </c>
      <c r="F1443" s="27" t="s">
        <v>146</v>
      </c>
      <c r="G1443" s="32" t="n">
        <f aca="false">(A1443-A1442)*86400000</f>
        <v>64.999144</v>
      </c>
      <c r="H1443" s="3"/>
      <c r="I1443" s="3"/>
      <c r="J1443" s="3"/>
      <c r="K1443" s="3"/>
      <c r="L1443" s="3"/>
      <c r="M1443" s="3"/>
    </row>
    <row r="1444" customFormat="false" ht="15" hidden="false" customHeight="false" outlineLevel="0" collapsed="false">
      <c r="A1444" s="28" t="n">
        <v>46301.5242779167</v>
      </c>
      <c r="B1444" s="31" t="n">
        <f aca="false">(A1444-$A$5)*86400</f>
        <v>53.974000643</v>
      </c>
      <c r="C1444" s="27" t="n">
        <v>1.0758</v>
      </c>
      <c r="D1444" s="27" t="n">
        <v>1.0965</v>
      </c>
      <c r="E1444" s="27" t="s">
        <v>603</v>
      </c>
      <c r="F1444" s="27" t="s">
        <v>146</v>
      </c>
      <c r="G1444" s="32" t="n">
        <f aca="false">(A1444-A1443)*86400000</f>
        <v>16.000843</v>
      </c>
      <c r="H1444" s="3"/>
      <c r="I1444" s="3"/>
      <c r="J1444" s="3"/>
      <c r="K1444" s="3"/>
      <c r="L1444" s="3"/>
      <c r="M1444" s="3"/>
    </row>
    <row r="1445" customFormat="false" ht="15" hidden="false" customHeight="false" outlineLevel="0" collapsed="false">
      <c r="A1445" s="28" t="n">
        <v>46301.5242781019</v>
      </c>
      <c r="B1445" s="31" t="n">
        <f aca="false">(A1445-$A$5)*86400</f>
        <v>53.99000023</v>
      </c>
      <c r="C1445" s="27" t="n">
        <v>1.0948</v>
      </c>
      <c r="D1445" s="27" t="n">
        <v>1.1078</v>
      </c>
      <c r="E1445" s="27" t="s">
        <v>603</v>
      </c>
      <c r="F1445" s="27" t="s">
        <v>146</v>
      </c>
      <c r="G1445" s="32" t="n">
        <f aca="false">(A1445-A1444)*86400000</f>
        <v>15.999586</v>
      </c>
      <c r="H1445" s="3"/>
      <c r="I1445" s="3"/>
      <c r="J1445" s="3"/>
      <c r="K1445" s="3"/>
      <c r="L1445" s="3"/>
      <c r="M1445" s="3"/>
    </row>
    <row r="1446" customFormat="false" ht="15" hidden="false" customHeight="false" outlineLevel="0" collapsed="false">
      <c r="A1446" s="28" t="n">
        <v>46301.5242782986</v>
      </c>
      <c r="B1446" s="31" t="n">
        <f aca="false">(A1446-$A$5)*86400</f>
        <v>54.006999987</v>
      </c>
      <c r="C1446" s="27" t="n">
        <v>1.1104</v>
      </c>
      <c r="D1446" s="27" t="n">
        <v>1.1171</v>
      </c>
      <c r="E1446" s="27" t="s">
        <v>603</v>
      </c>
      <c r="F1446" s="27" t="s">
        <v>146</v>
      </c>
      <c r="G1446" s="32" t="n">
        <f aca="false">(A1446-A1445)*86400000</f>
        <v>16.999756</v>
      </c>
      <c r="H1446" s="3"/>
      <c r="I1446" s="3"/>
      <c r="J1446" s="3"/>
      <c r="K1446" s="3"/>
      <c r="L1446" s="3"/>
      <c r="M1446" s="3"/>
    </row>
    <row r="1447" customFormat="false" ht="15" hidden="false" customHeight="false" outlineLevel="0" collapsed="false">
      <c r="A1447" s="28" t="n">
        <v>46301.5242784722</v>
      </c>
      <c r="B1447" s="31" t="n">
        <f aca="false">(A1447-$A$5)*86400</f>
        <v>54.022000031</v>
      </c>
      <c r="C1447" s="27" t="n">
        <v>1.1234</v>
      </c>
      <c r="D1447" s="27" t="n">
        <v>1.1248</v>
      </c>
      <c r="E1447" s="27" t="s">
        <v>603</v>
      </c>
      <c r="F1447" s="27" t="s">
        <v>146</v>
      </c>
      <c r="G1447" s="32" t="n">
        <f aca="false">(A1447-A1446)*86400000</f>
        <v>15.000044</v>
      </c>
      <c r="H1447" s="3"/>
      <c r="I1447" s="3"/>
      <c r="J1447" s="3"/>
      <c r="K1447" s="3"/>
      <c r="L1447" s="3"/>
      <c r="M1447" s="3"/>
    </row>
    <row r="1448" customFormat="false" ht="15" hidden="false" customHeight="false" outlineLevel="0" collapsed="false">
      <c r="A1448" s="28" t="n">
        <v>46301.5242786574</v>
      </c>
      <c r="B1448" s="31" t="n">
        <f aca="false">(A1448-$A$5)*86400</f>
        <v>54.038000246</v>
      </c>
      <c r="C1448" s="27" t="n">
        <v>1.1341</v>
      </c>
      <c r="D1448" s="27" t="n">
        <v>1.1311</v>
      </c>
      <c r="E1448" s="27" t="s">
        <v>603</v>
      </c>
      <c r="F1448" s="27" t="s">
        <v>146</v>
      </c>
      <c r="G1448" s="32" t="n">
        <f aca="false">(A1448-A1447)*86400000</f>
        <v>16.000214</v>
      </c>
      <c r="H1448" s="3"/>
      <c r="I1448" s="3"/>
      <c r="J1448" s="3"/>
      <c r="K1448" s="3"/>
      <c r="L1448" s="3"/>
      <c r="M1448" s="3"/>
    </row>
    <row r="1449" customFormat="false" ht="15" hidden="false" customHeight="false" outlineLevel="0" collapsed="false">
      <c r="A1449" s="28" t="n">
        <v>46301.5242788542</v>
      </c>
      <c r="B1449" s="31" t="n">
        <f aca="false">(A1449-$A$5)*86400</f>
        <v>54.055000632</v>
      </c>
      <c r="C1449" s="27" t="n">
        <v>1.1489</v>
      </c>
      <c r="D1449" s="27" t="n">
        <v>1.1364</v>
      </c>
      <c r="E1449" s="27" t="s">
        <v>603</v>
      </c>
      <c r="F1449" s="27" t="s">
        <v>146</v>
      </c>
      <c r="G1449" s="32" t="n">
        <f aca="false">(A1449-A1448)*86400000</f>
        <v>17.000385</v>
      </c>
      <c r="H1449" s="3"/>
      <c r="I1449" s="3"/>
      <c r="J1449" s="3"/>
      <c r="K1449" s="3"/>
      <c r="L1449" s="3"/>
      <c r="M1449" s="3"/>
    </row>
    <row r="1450" customFormat="false" ht="15" hidden="false" customHeight="false" outlineLevel="0" collapsed="false">
      <c r="A1450" s="28" t="n">
        <v>46301.5242790394</v>
      </c>
      <c r="B1450" s="31" t="n">
        <f aca="false">(A1450-$A$5)*86400</f>
        <v>54.071000218</v>
      </c>
      <c r="C1450" s="27" t="n">
        <v>1.1612</v>
      </c>
      <c r="D1450" s="27" t="n">
        <v>1.1409</v>
      </c>
      <c r="E1450" s="27" t="s">
        <v>603</v>
      </c>
      <c r="F1450" s="27" t="s">
        <v>146</v>
      </c>
      <c r="G1450" s="32" t="n">
        <f aca="false">(A1450-A1449)*86400000</f>
        <v>15.999586</v>
      </c>
      <c r="H1450" s="3"/>
      <c r="I1450" s="3"/>
      <c r="J1450" s="3"/>
      <c r="K1450" s="3"/>
      <c r="L1450" s="3"/>
      <c r="M1450" s="3"/>
    </row>
    <row r="1451" customFormat="false" ht="15" hidden="false" customHeight="false" outlineLevel="0" collapsed="false">
      <c r="A1451" s="28" t="n">
        <v>46301.5242792245</v>
      </c>
      <c r="B1451" s="31" t="n">
        <f aca="false">(A1451-$A$5)*86400</f>
        <v>54.086999804</v>
      </c>
      <c r="C1451" s="27" t="n">
        <v>1.1713</v>
      </c>
      <c r="D1451" s="27" t="n">
        <v>1.1445</v>
      </c>
      <c r="E1451" s="27" t="s">
        <v>603</v>
      </c>
      <c r="F1451" s="27" t="s">
        <v>146</v>
      </c>
      <c r="G1451" s="32" t="n">
        <f aca="false">(A1451-A1450)*86400000</f>
        <v>15.999586</v>
      </c>
      <c r="H1451" s="3"/>
      <c r="I1451" s="3"/>
      <c r="J1451" s="3"/>
      <c r="K1451" s="3"/>
      <c r="L1451" s="3"/>
      <c r="M1451" s="3"/>
    </row>
    <row r="1452" customFormat="false" ht="15" hidden="false" customHeight="false" outlineLevel="0" collapsed="false">
      <c r="A1452" s="28" t="n">
        <v>46301.5242794097</v>
      </c>
      <c r="B1452" s="31" t="n">
        <f aca="false">(A1452-$A$5)*86400</f>
        <v>54.103000019</v>
      </c>
      <c r="C1452" s="27" t="n">
        <v>1.1796</v>
      </c>
      <c r="D1452" s="27" t="n">
        <v>1.1475</v>
      </c>
      <c r="E1452" s="27" t="s">
        <v>603</v>
      </c>
      <c r="F1452" s="27" t="s">
        <v>146</v>
      </c>
      <c r="G1452" s="32" t="n">
        <f aca="false">(A1452-A1451)*86400000</f>
        <v>16.000214</v>
      </c>
      <c r="H1452" s="3"/>
      <c r="I1452" s="3"/>
      <c r="J1452" s="3"/>
      <c r="K1452" s="3"/>
      <c r="L1452" s="3"/>
      <c r="M1452" s="3"/>
    </row>
    <row r="1453" customFormat="false" ht="15" hidden="false" customHeight="false" outlineLevel="0" collapsed="false">
      <c r="A1453" s="28" t="n">
        <v>46301.5242795833</v>
      </c>
      <c r="B1453" s="31" t="n">
        <f aca="false">(A1453-$A$5)*86400</f>
        <v>54.118000064</v>
      </c>
      <c r="C1453" s="27" t="n">
        <v>1.1865</v>
      </c>
      <c r="D1453" s="27" t="n">
        <v>1.15</v>
      </c>
      <c r="E1453" s="27" t="s">
        <v>603</v>
      </c>
      <c r="F1453" s="27" t="s">
        <v>146</v>
      </c>
      <c r="G1453" s="32" t="n">
        <f aca="false">(A1453-A1452)*86400000</f>
        <v>15.000044</v>
      </c>
      <c r="H1453" s="3"/>
      <c r="I1453" s="3"/>
      <c r="J1453" s="3"/>
      <c r="K1453" s="3"/>
      <c r="L1453" s="3"/>
      <c r="M1453" s="3"/>
    </row>
    <row r="1454" customFormat="false" ht="15" hidden="false" customHeight="false" outlineLevel="0" collapsed="false">
      <c r="A1454" s="28" t="n">
        <v>46301.5242797801</v>
      </c>
      <c r="B1454" s="31" t="n">
        <f aca="false">(A1454-$A$5)*86400</f>
        <v>54.13499982</v>
      </c>
      <c r="C1454" s="27" t="n">
        <v>1.1922</v>
      </c>
      <c r="D1454" s="27" t="n">
        <v>1.152</v>
      </c>
      <c r="E1454" s="27" t="s">
        <v>603</v>
      </c>
      <c r="F1454" s="27" t="s">
        <v>146</v>
      </c>
      <c r="G1454" s="32" t="n">
        <f aca="false">(A1454-A1453)*86400000</f>
        <v>16.999756</v>
      </c>
      <c r="H1454" s="3"/>
      <c r="I1454" s="3"/>
      <c r="J1454" s="3"/>
      <c r="K1454" s="3"/>
      <c r="L1454" s="3"/>
      <c r="M1454" s="3"/>
    </row>
    <row r="1455" customFormat="false" ht="15" hidden="false" customHeight="false" outlineLevel="0" collapsed="false">
      <c r="A1455" s="28" t="n">
        <v>46301.5242799537</v>
      </c>
      <c r="B1455" s="31" t="n">
        <f aca="false">(A1455-$A$5)*86400</f>
        <v>54.149999865</v>
      </c>
      <c r="C1455" s="27" t="n">
        <v>1.1969</v>
      </c>
      <c r="D1455" s="27" t="n">
        <v>1.1537</v>
      </c>
      <c r="E1455" s="27" t="s">
        <v>603</v>
      </c>
      <c r="F1455" s="27" t="s">
        <v>146</v>
      </c>
      <c r="G1455" s="32" t="n">
        <f aca="false">(A1455-A1454)*86400000</f>
        <v>15.000044</v>
      </c>
      <c r="H1455" s="3"/>
      <c r="I1455" s="3"/>
      <c r="J1455" s="3"/>
      <c r="K1455" s="3"/>
      <c r="L1455" s="3"/>
      <c r="M1455" s="3"/>
    </row>
    <row r="1456" customFormat="false" ht="15" hidden="false" customHeight="false" outlineLevel="0" collapsed="false">
      <c r="A1456" s="28" t="n">
        <v>46301.5242801505</v>
      </c>
      <c r="B1456" s="31" t="n">
        <f aca="false">(A1456-$A$5)*86400</f>
        <v>54.166999622</v>
      </c>
      <c r="C1456" s="27" t="n">
        <v>1.2008</v>
      </c>
      <c r="D1456" s="27" t="n">
        <v>1.1551</v>
      </c>
      <c r="E1456" s="27" t="s">
        <v>603</v>
      </c>
      <c r="F1456" s="27" t="s">
        <v>146</v>
      </c>
      <c r="G1456" s="32" t="n">
        <f aca="false">(A1456-A1455)*86400000</f>
        <v>16.999756</v>
      </c>
      <c r="H1456" s="3"/>
      <c r="I1456" s="3"/>
      <c r="J1456" s="3"/>
      <c r="K1456" s="3"/>
      <c r="L1456" s="3"/>
      <c r="M1456" s="3"/>
    </row>
    <row r="1457" customFormat="false" ht="15" hidden="false" customHeight="false" outlineLevel="0" collapsed="false">
      <c r="A1457" s="28" t="n">
        <v>46301.5242803357</v>
      </c>
      <c r="B1457" s="31" t="n">
        <f aca="false">(A1457-$A$5)*86400</f>
        <v>54.183000465</v>
      </c>
      <c r="C1457" s="27" t="n">
        <v>1.217</v>
      </c>
      <c r="D1457" s="27" t="n">
        <v>1.1568</v>
      </c>
      <c r="E1457" s="27" t="s">
        <v>603</v>
      </c>
      <c r="F1457" s="27" t="s">
        <v>146</v>
      </c>
      <c r="G1457" s="32" t="n">
        <f aca="false">(A1457-A1456)*86400000</f>
        <v>16.000843</v>
      </c>
      <c r="H1457" s="3"/>
      <c r="I1457" s="3"/>
      <c r="J1457" s="3"/>
      <c r="K1457" s="3"/>
      <c r="L1457" s="3"/>
      <c r="M1457" s="3"/>
    </row>
    <row r="1458" customFormat="false" ht="15" hidden="false" customHeight="false" outlineLevel="0" collapsed="false">
      <c r="A1458" s="28" t="n">
        <v>46301.5242805093</v>
      </c>
      <c r="B1458" s="31" t="n">
        <f aca="false">(A1458-$A$5)*86400</f>
        <v>54.197999881</v>
      </c>
      <c r="C1458" s="27" t="n">
        <v>1.2305</v>
      </c>
      <c r="D1458" s="27" t="n">
        <v>1.1581</v>
      </c>
      <c r="E1458" s="27" t="s">
        <v>603</v>
      </c>
      <c r="F1458" s="27" t="s">
        <v>146</v>
      </c>
      <c r="G1458" s="32" t="n">
        <f aca="false">(A1458-A1457)*86400000</f>
        <v>14.999415</v>
      </c>
      <c r="H1458" s="3"/>
      <c r="I1458" s="3"/>
      <c r="J1458" s="3"/>
      <c r="K1458" s="3"/>
      <c r="L1458" s="3"/>
      <c r="M1458" s="3"/>
    </row>
    <row r="1459" customFormat="false" ht="15" hidden="false" customHeight="false" outlineLevel="0" collapsed="false">
      <c r="A1459" s="28" t="n">
        <v>46301.524280706</v>
      </c>
      <c r="B1459" s="31" t="n">
        <f aca="false">(A1459-$A$5)*86400</f>
        <v>54.215000267</v>
      </c>
      <c r="C1459" s="27" t="n">
        <v>1.2416</v>
      </c>
      <c r="D1459" s="27" t="n">
        <v>1.1592</v>
      </c>
      <c r="E1459" s="27" t="s">
        <v>603</v>
      </c>
      <c r="F1459" s="27" t="s">
        <v>146</v>
      </c>
      <c r="G1459" s="32" t="n">
        <f aca="false">(A1459-A1458)*86400000</f>
        <v>17.000385</v>
      </c>
      <c r="H1459" s="3"/>
      <c r="I1459" s="3"/>
      <c r="J1459" s="3"/>
      <c r="K1459" s="3"/>
      <c r="L1459" s="3"/>
      <c r="M1459" s="3"/>
    </row>
    <row r="1460" customFormat="false" ht="15" hidden="false" customHeight="false" outlineLevel="0" collapsed="false">
      <c r="A1460" s="28" t="n">
        <v>46301.5242808912</v>
      </c>
      <c r="B1460" s="31" t="n">
        <f aca="false">(A1460-$A$5)*86400</f>
        <v>54.230999853</v>
      </c>
      <c r="C1460" s="27" t="n">
        <v>1.2507</v>
      </c>
      <c r="D1460" s="27" t="n">
        <v>1.1602</v>
      </c>
      <c r="E1460" s="27" t="s">
        <v>603</v>
      </c>
      <c r="F1460" s="27" t="s">
        <v>146</v>
      </c>
      <c r="G1460" s="32" t="n">
        <f aca="false">(A1460-A1459)*86400000</f>
        <v>15.999586</v>
      </c>
      <c r="H1460" s="3"/>
      <c r="I1460" s="3"/>
      <c r="J1460" s="3"/>
      <c r="K1460" s="3"/>
      <c r="L1460" s="3"/>
      <c r="M1460" s="3"/>
    </row>
    <row r="1461" customFormat="false" ht="15" hidden="false" customHeight="false" outlineLevel="0" collapsed="false">
      <c r="A1461" s="28" t="n">
        <v>46301.5242810764</v>
      </c>
      <c r="B1461" s="31" t="n">
        <f aca="false">(A1461-$A$5)*86400</f>
        <v>54.247000068</v>
      </c>
      <c r="C1461" s="27" t="n">
        <v>1.2587</v>
      </c>
      <c r="D1461" s="27" t="n">
        <v>1.161</v>
      </c>
      <c r="E1461" s="27" t="s">
        <v>603</v>
      </c>
      <c r="F1461" s="27" t="s">
        <v>146</v>
      </c>
      <c r="G1461" s="32" t="n">
        <f aca="false">(A1461-A1460)*86400000</f>
        <v>16.000214</v>
      </c>
      <c r="H1461" s="3"/>
      <c r="I1461" s="3"/>
      <c r="J1461" s="3"/>
      <c r="K1461" s="3"/>
      <c r="L1461" s="3"/>
      <c r="M1461" s="3"/>
    </row>
    <row r="1462" customFormat="false" ht="15" hidden="false" customHeight="false" outlineLevel="0" collapsed="false">
      <c r="A1462" s="28" t="n">
        <v>46301.5242812731</v>
      </c>
      <c r="B1462" s="31" t="n">
        <f aca="false">(A1462-$A$5)*86400</f>
        <v>54.263999196</v>
      </c>
      <c r="C1462" s="27" t="n">
        <v>1.2648</v>
      </c>
      <c r="D1462" s="27" t="n">
        <v>1.1616</v>
      </c>
      <c r="E1462" s="27" t="s">
        <v>603</v>
      </c>
      <c r="F1462" s="27" t="s">
        <v>146</v>
      </c>
      <c r="G1462" s="32" t="n">
        <f aca="false">(A1462-A1461)*86400000</f>
        <v>16.999128</v>
      </c>
      <c r="H1462" s="3"/>
      <c r="I1462" s="3"/>
      <c r="J1462" s="3"/>
      <c r="K1462" s="3"/>
      <c r="L1462" s="3"/>
      <c r="M1462" s="3"/>
    </row>
    <row r="1463" customFormat="false" ht="15" hidden="false" customHeight="false" outlineLevel="0" collapsed="false">
      <c r="A1463" s="28" t="n">
        <v>46301.5242814583</v>
      </c>
      <c r="B1463" s="31" t="n">
        <f aca="false">(A1463-$A$5)*86400</f>
        <v>54.28000004</v>
      </c>
      <c r="C1463" s="27" t="n">
        <v>1.2702</v>
      </c>
      <c r="D1463" s="27" t="n">
        <v>1.1621</v>
      </c>
      <c r="E1463" s="27" t="s">
        <v>603</v>
      </c>
      <c r="F1463" s="27" t="s">
        <v>146</v>
      </c>
      <c r="G1463" s="32" t="n">
        <f aca="false">(A1463-A1462)*86400000</f>
        <v>16.000843</v>
      </c>
      <c r="H1463" s="3"/>
      <c r="I1463" s="3"/>
      <c r="J1463" s="3"/>
      <c r="K1463" s="3"/>
      <c r="L1463" s="3"/>
      <c r="M1463" s="3"/>
    </row>
    <row r="1464" customFormat="false" ht="15" hidden="false" customHeight="false" outlineLevel="0" collapsed="false">
      <c r="A1464" s="28" t="n">
        <v>46301.5242816551</v>
      </c>
      <c r="B1464" s="31" t="n">
        <f aca="false">(A1464-$A$5)*86400</f>
        <v>54.296999797</v>
      </c>
      <c r="C1464" s="27" t="n">
        <v>1.2818</v>
      </c>
      <c r="D1464" s="27" t="n">
        <v>1.1643</v>
      </c>
      <c r="E1464" s="27" t="s">
        <v>603</v>
      </c>
      <c r="F1464" s="27" t="s">
        <v>146</v>
      </c>
      <c r="G1464" s="32" t="n">
        <f aca="false">(A1464-A1463)*86400000</f>
        <v>16.999756</v>
      </c>
      <c r="H1464" s="3"/>
      <c r="I1464" s="3"/>
      <c r="J1464" s="3"/>
      <c r="K1464" s="3"/>
      <c r="L1464" s="3"/>
      <c r="M1464" s="3"/>
    </row>
    <row r="1465" customFormat="false" ht="15" hidden="false" customHeight="false" outlineLevel="0" collapsed="false">
      <c r="A1465" s="28" t="n">
        <v>46301.5242818403</v>
      </c>
      <c r="B1465" s="31" t="n">
        <f aca="false">(A1465-$A$5)*86400</f>
        <v>54.313000012</v>
      </c>
      <c r="C1465" s="27" t="n">
        <v>1.2914</v>
      </c>
      <c r="D1465" s="27" t="n">
        <v>1.1661</v>
      </c>
      <c r="E1465" s="27" t="s">
        <v>603</v>
      </c>
      <c r="F1465" s="27" t="s">
        <v>146</v>
      </c>
      <c r="G1465" s="32" t="n">
        <f aca="false">(A1465-A1464)*86400000</f>
        <v>16.000214</v>
      </c>
      <c r="H1465" s="3"/>
      <c r="I1465" s="3"/>
      <c r="J1465" s="3"/>
      <c r="K1465" s="3"/>
      <c r="L1465" s="3"/>
      <c r="M1465" s="3"/>
    </row>
    <row r="1466" customFormat="false" ht="15" hidden="false" customHeight="false" outlineLevel="0" collapsed="false">
      <c r="A1466" s="28" t="n">
        <v>46301.5242820139</v>
      </c>
      <c r="B1466" s="31" t="n">
        <f aca="false">(A1466-$A$5)*86400</f>
        <v>54.328000056</v>
      </c>
      <c r="C1466" s="27" t="n">
        <v>1.2994</v>
      </c>
      <c r="D1466" s="27" t="n">
        <v>1.1675</v>
      </c>
      <c r="E1466" s="27" t="s">
        <v>603</v>
      </c>
      <c r="F1466" s="27" t="s">
        <v>146</v>
      </c>
      <c r="G1466" s="32" t="n">
        <f aca="false">(A1466-A1465)*86400000</f>
        <v>15.000044</v>
      </c>
      <c r="H1466" s="3"/>
      <c r="I1466" s="3"/>
      <c r="J1466" s="3"/>
      <c r="K1466" s="3"/>
      <c r="L1466" s="3"/>
      <c r="M1466" s="3"/>
    </row>
    <row r="1467" customFormat="false" ht="15" hidden="false" customHeight="false" outlineLevel="0" collapsed="false">
      <c r="A1467" s="28" t="n">
        <v>46301.5242821991</v>
      </c>
      <c r="B1467" s="31" t="n">
        <f aca="false">(A1467-$A$5)*86400</f>
        <v>54.3440009</v>
      </c>
      <c r="C1467" s="27" t="n">
        <v>1.3059</v>
      </c>
      <c r="D1467" s="27" t="n">
        <v>1.1687</v>
      </c>
      <c r="E1467" s="27" t="s">
        <v>603</v>
      </c>
      <c r="F1467" s="27" t="s">
        <v>146</v>
      </c>
      <c r="G1467" s="32" t="n">
        <f aca="false">(A1467-A1466)*86400000</f>
        <v>16.000843</v>
      </c>
      <c r="H1467" s="3"/>
      <c r="I1467" s="3"/>
      <c r="J1467" s="3"/>
      <c r="K1467" s="3"/>
      <c r="L1467" s="3"/>
      <c r="M1467" s="3"/>
    </row>
    <row r="1468" customFormat="false" ht="15" hidden="false" customHeight="false" outlineLevel="0" collapsed="false">
      <c r="A1468" s="28" t="n">
        <v>46301.5242823843</v>
      </c>
      <c r="B1468" s="31" t="n">
        <f aca="false">(A1468-$A$5)*86400</f>
        <v>54.359999857</v>
      </c>
      <c r="C1468" s="27" t="n">
        <v>1.3113</v>
      </c>
      <c r="D1468" s="27" t="n">
        <v>1.1697</v>
      </c>
      <c r="E1468" s="27" t="s">
        <v>603</v>
      </c>
      <c r="F1468" s="27" t="s">
        <v>146</v>
      </c>
      <c r="G1468" s="32" t="n">
        <f aca="false">(A1468-A1467)*86400000</f>
        <v>15.998957</v>
      </c>
      <c r="H1468" s="3"/>
      <c r="I1468" s="3"/>
      <c r="J1468" s="3"/>
      <c r="K1468" s="3"/>
      <c r="L1468" s="3"/>
      <c r="M1468" s="3"/>
    </row>
    <row r="1469" customFormat="false" ht="15" hidden="false" customHeight="false" outlineLevel="0" collapsed="false">
      <c r="A1469" s="28" t="n">
        <v>46301.524282581</v>
      </c>
      <c r="B1469" s="31" t="n">
        <f aca="false">(A1469-$A$5)*86400</f>
        <v>54.377000243</v>
      </c>
      <c r="C1469" s="27" t="n">
        <v>1.3157</v>
      </c>
      <c r="D1469" s="27" t="n">
        <v>1.1705</v>
      </c>
      <c r="E1469" s="27" t="s">
        <v>603</v>
      </c>
      <c r="F1469" s="27" t="s">
        <v>146</v>
      </c>
      <c r="G1469" s="32" t="n">
        <f aca="false">(A1469-A1468)*86400000</f>
        <v>17.000385</v>
      </c>
      <c r="H1469" s="3"/>
      <c r="I1469" s="3"/>
      <c r="J1469" s="3"/>
      <c r="K1469" s="3"/>
      <c r="L1469" s="3"/>
      <c r="M1469" s="3"/>
    </row>
    <row r="1470" customFormat="false" ht="15" hidden="false" customHeight="false" outlineLevel="0" collapsed="false">
      <c r="A1470" s="28" t="n">
        <v>46301.5242827546</v>
      </c>
      <c r="B1470" s="31" t="n">
        <f aca="false">(A1470-$A$5)*86400</f>
        <v>54.392000287</v>
      </c>
      <c r="C1470" s="27" t="n">
        <v>1.3194</v>
      </c>
      <c r="D1470" s="27" t="n">
        <v>1.1712</v>
      </c>
      <c r="E1470" s="27" t="s">
        <v>603</v>
      </c>
      <c r="F1470" s="27" t="s">
        <v>146</v>
      </c>
      <c r="G1470" s="32" t="n">
        <f aca="false">(A1470-A1469)*86400000</f>
        <v>15.000044</v>
      </c>
      <c r="H1470" s="3"/>
      <c r="I1470" s="3"/>
      <c r="J1470" s="3"/>
      <c r="K1470" s="3"/>
      <c r="L1470" s="3"/>
      <c r="M1470" s="3"/>
    </row>
    <row r="1471" customFormat="false" ht="15" hidden="false" customHeight="false" outlineLevel="0" collapsed="false">
      <c r="A1471" s="28" t="n">
        <v>46301.5242829514</v>
      </c>
      <c r="B1471" s="31" t="n">
        <f aca="false">(A1471-$A$5)*86400</f>
        <v>54.409000044</v>
      </c>
      <c r="C1471" s="27" t="n">
        <v>1.3224</v>
      </c>
      <c r="D1471" s="27" t="n">
        <v>1.1718</v>
      </c>
      <c r="E1471" s="27" t="s">
        <v>603</v>
      </c>
      <c r="F1471" s="27" t="s">
        <v>146</v>
      </c>
      <c r="G1471" s="32" t="n">
        <f aca="false">(A1471-A1470)*86400000</f>
        <v>16.999756</v>
      </c>
      <c r="H1471" s="3"/>
      <c r="I1471" s="3"/>
      <c r="J1471" s="3"/>
      <c r="K1471" s="3"/>
      <c r="L1471" s="3"/>
      <c r="M1471" s="3"/>
    </row>
    <row r="1472" customFormat="false" ht="15" hidden="false" customHeight="false" outlineLevel="0" collapsed="false">
      <c r="A1472" s="28" t="n">
        <v>46301.5242831366</v>
      </c>
      <c r="B1472" s="31" t="n">
        <f aca="false">(A1472-$A$5)*86400</f>
        <v>54.425000888</v>
      </c>
      <c r="C1472" s="27" t="n">
        <v>1.3294</v>
      </c>
      <c r="D1472" s="27" t="n">
        <v>1.1728</v>
      </c>
      <c r="E1472" s="27" t="s">
        <v>603</v>
      </c>
      <c r="F1472" s="27" t="s">
        <v>146</v>
      </c>
      <c r="G1472" s="32" t="n">
        <f aca="false">(A1472-A1471)*86400000</f>
        <v>16.000843</v>
      </c>
      <c r="H1472" s="3"/>
      <c r="I1472" s="3"/>
      <c r="J1472" s="3"/>
      <c r="K1472" s="3"/>
      <c r="L1472" s="3"/>
      <c r="M1472" s="3"/>
    </row>
    <row r="1473" customFormat="false" ht="15" hidden="false" customHeight="false" outlineLevel="0" collapsed="false">
      <c r="A1473" s="28" t="n">
        <v>46301.5242833102</v>
      </c>
      <c r="B1473" s="31" t="n">
        <f aca="false">(A1473-$A$5)*86400</f>
        <v>54.440000304</v>
      </c>
      <c r="C1473" s="27" t="n">
        <v>1.3351</v>
      </c>
      <c r="D1473" s="27" t="n">
        <v>1.1736</v>
      </c>
      <c r="E1473" s="27" t="s">
        <v>603</v>
      </c>
      <c r="F1473" s="27" t="s">
        <v>146</v>
      </c>
      <c r="G1473" s="32" t="n">
        <f aca="false">(A1473-A1472)*86400000</f>
        <v>14.999415</v>
      </c>
      <c r="H1473" s="3"/>
      <c r="I1473" s="3"/>
      <c r="J1473" s="3"/>
      <c r="K1473" s="3"/>
      <c r="L1473" s="3"/>
      <c r="M1473" s="3"/>
    </row>
    <row r="1474" customFormat="false" ht="15" hidden="false" customHeight="false" outlineLevel="0" collapsed="false">
      <c r="A1474" s="28" t="n">
        <v>46301.5242835069</v>
      </c>
      <c r="B1474" s="31" t="n">
        <f aca="false">(A1474-$A$5)*86400</f>
        <v>54.456999432</v>
      </c>
      <c r="C1474" s="27" t="n">
        <v>1.3398</v>
      </c>
      <c r="D1474" s="27" t="n">
        <v>1.1743</v>
      </c>
      <c r="E1474" s="27" t="s">
        <v>603</v>
      </c>
      <c r="F1474" s="27" t="s">
        <v>146</v>
      </c>
      <c r="G1474" s="32" t="n">
        <f aca="false">(A1474-A1473)*86400000</f>
        <v>16.999128</v>
      </c>
      <c r="H1474" s="3"/>
      <c r="I1474" s="3"/>
      <c r="J1474" s="3"/>
      <c r="K1474" s="3"/>
      <c r="L1474" s="3"/>
      <c r="M1474" s="3"/>
    </row>
    <row r="1475" customFormat="false" ht="15" hidden="false" customHeight="false" outlineLevel="0" collapsed="false">
      <c r="A1475" s="28" t="n">
        <v>46301.5242836806</v>
      </c>
      <c r="B1475" s="31" t="n">
        <f aca="false">(A1475-$A$5)*86400</f>
        <v>54.472000733</v>
      </c>
      <c r="C1475" s="27" t="n">
        <v>1.3436</v>
      </c>
      <c r="D1475" s="27" t="n">
        <v>1.1749</v>
      </c>
      <c r="E1475" s="27" t="s">
        <v>603</v>
      </c>
      <c r="F1475" s="27" t="s">
        <v>146</v>
      </c>
      <c r="G1475" s="32" t="n">
        <f aca="false">(A1475-A1474)*86400000</f>
        <v>15.001301</v>
      </c>
      <c r="H1475" s="3"/>
      <c r="I1475" s="3"/>
      <c r="J1475" s="3"/>
      <c r="K1475" s="3"/>
      <c r="L1475" s="3"/>
      <c r="M1475" s="3"/>
    </row>
    <row r="1476" customFormat="false" ht="15" hidden="false" customHeight="false" outlineLevel="0" collapsed="false">
      <c r="A1476" s="28" t="n">
        <v>46301.5242838773</v>
      </c>
      <c r="B1476" s="31" t="n">
        <f aca="false">(A1476-$A$5)*86400</f>
        <v>54.488999862</v>
      </c>
      <c r="C1476" s="27" t="n">
        <v>1.3469</v>
      </c>
      <c r="D1476" s="27" t="n">
        <v>1.1753</v>
      </c>
      <c r="E1476" s="27" t="s">
        <v>603</v>
      </c>
      <c r="F1476" s="27" t="s">
        <v>146</v>
      </c>
      <c r="G1476" s="32" t="n">
        <f aca="false">(A1476-A1475)*86400000</f>
        <v>16.999128</v>
      </c>
      <c r="H1476" s="3"/>
      <c r="I1476" s="3"/>
      <c r="J1476" s="3"/>
      <c r="K1476" s="3"/>
      <c r="L1476" s="3"/>
      <c r="M1476" s="3"/>
    </row>
    <row r="1477" customFormat="false" ht="15" hidden="false" customHeight="false" outlineLevel="0" collapsed="false">
      <c r="A1477" s="28" t="n">
        <v>46301.5242840509</v>
      </c>
      <c r="B1477" s="31" t="n">
        <f aca="false">(A1477-$A$5)*86400</f>
        <v>54.503999906</v>
      </c>
      <c r="C1477" s="27" t="n">
        <v>1.3495</v>
      </c>
      <c r="D1477" s="27" t="n">
        <v>1.1757</v>
      </c>
      <c r="E1477" s="27" t="s">
        <v>603</v>
      </c>
      <c r="F1477" s="27" t="s">
        <v>146</v>
      </c>
      <c r="G1477" s="32" t="n">
        <f aca="false">(A1477-A1476)*86400000</f>
        <v>15.000044</v>
      </c>
      <c r="H1477" s="3"/>
      <c r="I1477" s="3"/>
      <c r="J1477" s="3"/>
      <c r="K1477" s="3"/>
      <c r="L1477" s="3"/>
      <c r="M1477" s="3"/>
    </row>
    <row r="1478" customFormat="false" ht="15" hidden="false" customHeight="false" outlineLevel="0" collapsed="false">
      <c r="A1478" s="28" t="n">
        <v>46301.5242842361</v>
      </c>
      <c r="B1478" s="31" t="n">
        <f aca="false">(A1478-$A$5)*86400</f>
        <v>54.520000121</v>
      </c>
      <c r="C1478" s="27" t="n">
        <v>1.3517</v>
      </c>
      <c r="D1478" s="27" t="n">
        <v>1.176</v>
      </c>
      <c r="E1478" s="27" t="s">
        <v>603</v>
      </c>
      <c r="F1478" s="27" t="s">
        <v>146</v>
      </c>
      <c r="G1478" s="32" t="n">
        <f aca="false">(A1478-A1477)*86400000</f>
        <v>16.000214</v>
      </c>
      <c r="H1478" s="3"/>
      <c r="I1478" s="3"/>
      <c r="J1478" s="3"/>
      <c r="K1478" s="3"/>
      <c r="L1478" s="3"/>
      <c r="M1478" s="3"/>
    </row>
    <row r="1479" customFormat="false" ht="15" hidden="false" customHeight="false" outlineLevel="0" collapsed="false">
      <c r="A1479" s="28" t="n">
        <v>46301.5242844329</v>
      </c>
      <c r="B1479" s="31" t="n">
        <f aca="false">(A1479-$A$5)*86400</f>
        <v>54.536999878</v>
      </c>
      <c r="C1479" s="27" t="n">
        <v>1.3535</v>
      </c>
      <c r="D1479" s="27" t="n">
        <v>1.1763</v>
      </c>
      <c r="E1479" s="27" t="s">
        <v>603</v>
      </c>
      <c r="F1479" s="27" t="s">
        <v>146</v>
      </c>
      <c r="G1479" s="32" t="n">
        <f aca="false">(A1479-A1478)*86400000</f>
        <v>16.999756</v>
      </c>
      <c r="H1479" s="3"/>
      <c r="I1479" s="3"/>
      <c r="J1479" s="3"/>
      <c r="K1479" s="3"/>
      <c r="L1479" s="3"/>
      <c r="M1479" s="3"/>
    </row>
    <row r="1480" customFormat="false" ht="15" hidden="false" customHeight="false" outlineLevel="0" collapsed="false">
      <c r="A1480" s="28" t="n">
        <v>46301.5242846181</v>
      </c>
      <c r="B1480" s="31" t="n">
        <f aca="false">(A1480-$A$5)*86400</f>
        <v>54.553000722</v>
      </c>
      <c r="C1480" s="27" t="n">
        <v>1.355</v>
      </c>
      <c r="D1480" s="27" t="n">
        <v>1.1765</v>
      </c>
      <c r="E1480" s="27" t="s">
        <v>603</v>
      </c>
      <c r="F1480" s="27" t="s">
        <v>146</v>
      </c>
      <c r="G1480" s="32" t="n">
        <f aca="false">(A1480-A1479)*86400000</f>
        <v>16.000843</v>
      </c>
      <c r="H1480" s="3"/>
      <c r="I1480" s="3"/>
      <c r="J1480" s="3"/>
      <c r="K1480" s="3"/>
      <c r="L1480" s="3"/>
      <c r="M1480" s="3"/>
    </row>
    <row r="1481" customFormat="false" ht="15" hidden="false" customHeight="false" outlineLevel="0" collapsed="false">
      <c r="A1481" s="28" t="n">
        <v>46301.5242848032</v>
      </c>
      <c r="B1481" s="31" t="n">
        <f aca="false">(A1481-$A$5)*86400</f>
        <v>54.569000308</v>
      </c>
      <c r="C1481" s="27" t="n">
        <v>1.3562</v>
      </c>
      <c r="D1481" s="27" t="n">
        <v>1.1767</v>
      </c>
      <c r="E1481" s="27" t="s">
        <v>603</v>
      </c>
      <c r="F1481" s="27" t="s">
        <v>146</v>
      </c>
      <c r="G1481" s="32" t="n">
        <f aca="false">(A1481-A1480)*86400000</f>
        <v>15.999586</v>
      </c>
      <c r="H1481" s="3"/>
      <c r="I1481" s="3"/>
      <c r="J1481" s="3"/>
      <c r="K1481" s="3"/>
      <c r="L1481" s="3"/>
      <c r="M1481" s="3"/>
    </row>
    <row r="1482" customFormat="false" ht="15" hidden="false" customHeight="false" outlineLevel="0" collapsed="false">
      <c r="A1482" s="28" t="n">
        <v>46301.5242851736</v>
      </c>
      <c r="B1482" s="31" t="n">
        <f aca="false">(A1482-$A$5)*86400</f>
        <v>54.601000109</v>
      </c>
      <c r="C1482" s="27" t="n">
        <v>1.3581</v>
      </c>
      <c r="D1482" s="27" t="n">
        <v>1.177</v>
      </c>
      <c r="E1482" s="27" t="s">
        <v>603</v>
      </c>
      <c r="F1482" s="27" t="s">
        <v>146</v>
      </c>
      <c r="G1482" s="32" t="n">
        <f aca="false">(A1482-A1481)*86400000</f>
        <v>31.999801</v>
      </c>
      <c r="H1482" s="3"/>
      <c r="I1482" s="3"/>
      <c r="J1482" s="3"/>
      <c r="K1482" s="3"/>
      <c r="L1482" s="3"/>
      <c r="M1482" s="3"/>
    </row>
    <row r="1483" customFormat="false" ht="15" hidden="false" customHeight="false" outlineLevel="0" collapsed="false">
      <c r="A1483" s="28" t="n">
        <v>46301.5242855556</v>
      </c>
      <c r="B1483" s="31" t="n">
        <f aca="false">(A1483-$A$5)*86400</f>
        <v>54.63400071</v>
      </c>
      <c r="C1483" s="27" t="n">
        <v>1.3712</v>
      </c>
      <c r="D1483" s="27" t="n">
        <v>1.1718</v>
      </c>
      <c r="E1483" s="27" t="s">
        <v>603</v>
      </c>
      <c r="F1483" s="27" t="s">
        <v>146</v>
      </c>
      <c r="G1483" s="32" t="n">
        <f aca="false">(A1483-A1482)*86400000</f>
        <v>33.0006</v>
      </c>
      <c r="H1483" s="3"/>
      <c r="I1483" s="3"/>
      <c r="J1483" s="3"/>
      <c r="K1483" s="3"/>
      <c r="L1483" s="3"/>
      <c r="M1483" s="3"/>
    </row>
    <row r="1484" customFormat="false" ht="15" hidden="false" customHeight="false" outlineLevel="0" collapsed="false">
      <c r="A1484" s="28" t="n">
        <v>46301.5242857407</v>
      </c>
      <c r="B1484" s="31" t="n">
        <f aca="false">(A1484-$A$5)*86400</f>
        <v>54.650000296</v>
      </c>
      <c r="C1484" s="27" t="n">
        <v>1.3815</v>
      </c>
      <c r="D1484" s="27" t="n">
        <v>1.1674</v>
      </c>
      <c r="E1484" s="27" t="s">
        <v>603</v>
      </c>
      <c r="F1484" s="27" t="s">
        <v>146</v>
      </c>
      <c r="G1484" s="32" t="n">
        <f aca="false">(A1484-A1483)*86400000</f>
        <v>15.999586</v>
      </c>
      <c r="H1484" s="3"/>
      <c r="I1484" s="3"/>
      <c r="J1484" s="3"/>
      <c r="K1484" s="3"/>
      <c r="L1484" s="3"/>
      <c r="M1484" s="3"/>
    </row>
    <row r="1485" customFormat="false" ht="15" hidden="false" customHeight="false" outlineLevel="0" collapsed="false">
      <c r="A1485" s="28" t="n">
        <v>46301.5242859259</v>
      </c>
      <c r="B1485" s="31" t="n">
        <f aca="false">(A1485-$A$5)*86400</f>
        <v>54.665999882</v>
      </c>
      <c r="C1485" s="27" t="n">
        <v>1.3904</v>
      </c>
      <c r="D1485" s="27" t="n">
        <v>1.1636</v>
      </c>
      <c r="E1485" s="27" t="s">
        <v>603</v>
      </c>
      <c r="F1485" s="27" t="s">
        <v>146</v>
      </c>
      <c r="G1485" s="32" t="n">
        <f aca="false">(A1485-A1484)*86400000</f>
        <v>15.999586</v>
      </c>
      <c r="H1485" s="3"/>
      <c r="I1485" s="3"/>
      <c r="J1485" s="3"/>
      <c r="K1485" s="3"/>
      <c r="L1485" s="3"/>
      <c r="M1485" s="3"/>
    </row>
    <row r="1486" customFormat="false" ht="15" hidden="false" customHeight="false" outlineLevel="0" collapsed="false">
      <c r="A1486" s="28" t="n">
        <v>46301.5242861111</v>
      </c>
      <c r="B1486" s="31" t="n">
        <f aca="false">(A1486-$A$5)*86400</f>
        <v>54.682000097</v>
      </c>
      <c r="C1486" s="27" t="n">
        <v>1.3973</v>
      </c>
      <c r="D1486" s="27" t="n">
        <v>1.1607</v>
      </c>
      <c r="E1486" s="27" t="s">
        <v>603</v>
      </c>
      <c r="F1486" s="27" t="s">
        <v>146</v>
      </c>
      <c r="G1486" s="32" t="n">
        <f aca="false">(A1486-A1485)*86400000</f>
        <v>16.000214</v>
      </c>
      <c r="H1486" s="3"/>
      <c r="I1486" s="3"/>
      <c r="J1486" s="3"/>
      <c r="K1486" s="3"/>
      <c r="L1486" s="3"/>
      <c r="M1486" s="3"/>
    </row>
    <row r="1487" customFormat="false" ht="15" hidden="false" customHeight="false" outlineLevel="0" collapsed="false">
      <c r="A1487" s="28" t="n">
        <v>46301.5242863079</v>
      </c>
      <c r="B1487" s="31" t="n">
        <f aca="false">(A1487-$A$5)*86400</f>
        <v>54.698999854</v>
      </c>
      <c r="C1487" s="27" t="n">
        <v>1.403</v>
      </c>
      <c r="D1487" s="27" t="n">
        <v>1.1583</v>
      </c>
      <c r="E1487" s="27" t="s">
        <v>603</v>
      </c>
      <c r="F1487" s="27" t="s">
        <v>146</v>
      </c>
      <c r="G1487" s="32" t="n">
        <f aca="false">(A1487-A1486)*86400000</f>
        <v>16.999756</v>
      </c>
      <c r="H1487" s="3"/>
      <c r="I1487" s="3"/>
      <c r="J1487" s="3"/>
      <c r="K1487" s="3"/>
      <c r="L1487" s="3"/>
      <c r="M1487" s="3"/>
    </row>
    <row r="1488" customFormat="false" ht="15" hidden="false" customHeight="false" outlineLevel="0" collapsed="false">
      <c r="A1488" s="28" t="n">
        <v>46301.5242864931</v>
      </c>
      <c r="B1488" s="31" t="n">
        <f aca="false">(A1488-$A$5)*86400</f>
        <v>54.715000698</v>
      </c>
      <c r="C1488" s="27" t="n">
        <v>1.4077</v>
      </c>
      <c r="D1488" s="27" t="n">
        <v>1.1563</v>
      </c>
      <c r="E1488" s="27" t="s">
        <v>603</v>
      </c>
      <c r="F1488" s="27" t="s">
        <v>146</v>
      </c>
      <c r="G1488" s="32" t="n">
        <f aca="false">(A1488-A1487)*86400000</f>
        <v>16.000843</v>
      </c>
      <c r="H1488" s="3"/>
      <c r="I1488" s="3"/>
      <c r="J1488" s="3"/>
      <c r="K1488" s="3"/>
      <c r="L1488" s="3"/>
      <c r="M1488" s="3"/>
    </row>
    <row r="1489" customFormat="false" ht="15" hidden="false" customHeight="false" outlineLevel="0" collapsed="false">
      <c r="A1489" s="28" t="n">
        <v>46301.5242866667</v>
      </c>
      <c r="B1489" s="31" t="n">
        <f aca="false">(A1489-$A$5)*86400</f>
        <v>54.730000114</v>
      </c>
      <c r="C1489" s="27" t="n">
        <v>1.4116</v>
      </c>
      <c r="D1489" s="27" t="n">
        <v>1.1546</v>
      </c>
      <c r="E1489" s="27" t="s">
        <v>603</v>
      </c>
      <c r="F1489" s="27" t="s">
        <v>146</v>
      </c>
      <c r="G1489" s="32" t="n">
        <f aca="false">(A1489-A1488)*86400000</f>
        <v>14.999415</v>
      </c>
      <c r="H1489" s="3"/>
      <c r="I1489" s="3"/>
      <c r="J1489" s="3"/>
      <c r="K1489" s="3"/>
      <c r="L1489" s="3"/>
      <c r="M1489" s="3"/>
    </row>
    <row r="1490" customFormat="false" ht="15" hidden="false" customHeight="false" outlineLevel="0" collapsed="false">
      <c r="A1490" s="28" t="n">
        <v>46301.5242868634</v>
      </c>
      <c r="B1490" s="31" t="n">
        <f aca="false">(A1490-$A$5)*86400</f>
        <v>54.74699987</v>
      </c>
      <c r="C1490" s="27" t="n">
        <v>1.4148</v>
      </c>
      <c r="D1490" s="27" t="n">
        <v>1.1533</v>
      </c>
      <c r="E1490" s="27" t="s">
        <v>603</v>
      </c>
      <c r="F1490" s="27" t="s">
        <v>146</v>
      </c>
      <c r="G1490" s="32" t="n">
        <f aca="false">(A1490-A1489)*86400000</f>
        <v>16.999756</v>
      </c>
      <c r="H1490" s="3"/>
      <c r="I1490" s="3"/>
      <c r="J1490" s="3"/>
      <c r="K1490" s="3"/>
      <c r="L1490" s="3"/>
      <c r="M1490" s="3"/>
    </row>
    <row r="1491" customFormat="false" ht="15" hidden="false" customHeight="false" outlineLevel="0" collapsed="false">
      <c r="A1491" s="28" t="n">
        <v>46301.5242870486</v>
      </c>
      <c r="B1491" s="31" t="n">
        <f aca="false">(A1491-$A$5)*86400</f>
        <v>54.763000085</v>
      </c>
      <c r="C1491" s="27" t="n">
        <v>1.4175</v>
      </c>
      <c r="D1491" s="27" t="n">
        <v>1.1522</v>
      </c>
      <c r="E1491" s="27" t="s">
        <v>603</v>
      </c>
      <c r="F1491" s="27" t="s">
        <v>146</v>
      </c>
      <c r="G1491" s="32" t="n">
        <f aca="false">(A1491-A1490)*86400000</f>
        <v>16.000214</v>
      </c>
      <c r="H1491" s="3"/>
      <c r="I1491" s="3"/>
      <c r="J1491" s="3"/>
      <c r="K1491" s="3"/>
      <c r="L1491" s="3"/>
      <c r="M1491" s="3"/>
    </row>
    <row r="1492" customFormat="false" ht="15" hidden="false" customHeight="false" outlineLevel="0" collapsed="false">
      <c r="A1492" s="28" t="n">
        <v>46301.5242872338</v>
      </c>
      <c r="B1492" s="31" t="n">
        <f aca="false">(A1492-$A$5)*86400</f>
        <v>54.7790003</v>
      </c>
      <c r="C1492" s="27" t="n">
        <v>1.4196</v>
      </c>
      <c r="D1492" s="27" t="n">
        <v>1.1512</v>
      </c>
      <c r="E1492" s="27" t="s">
        <v>603</v>
      </c>
      <c r="F1492" s="27" t="s">
        <v>146</v>
      </c>
      <c r="G1492" s="32" t="n">
        <f aca="false">(A1492-A1491)*86400000</f>
        <v>16.000214</v>
      </c>
      <c r="H1492" s="3"/>
      <c r="I1492" s="3"/>
      <c r="J1492" s="3"/>
      <c r="K1492" s="3"/>
      <c r="L1492" s="3"/>
      <c r="M1492" s="3"/>
    </row>
    <row r="1493" customFormat="false" ht="15" hidden="false" customHeight="false" outlineLevel="0" collapsed="false">
      <c r="A1493" s="28" t="n">
        <v>46301.5242874074</v>
      </c>
      <c r="B1493" s="31" t="n">
        <f aca="false">(A1493-$A$5)*86400</f>
        <v>54.794000345</v>
      </c>
      <c r="C1493" s="27" t="n">
        <v>1.4214</v>
      </c>
      <c r="D1493" s="27" t="n">
        <v>1.1505</v>
      </c>
      <c r="E1493" s="27" t="s">
        <v>603</v>
      </c>
      <c r="F1493" s="27" t="s">
        <v>146</v>
      </c>
      <c r="G1493" s="32" t="n">
        <f aca="false">(A1493-A1492)*86400000</f>
        <v>15.000044</v>
      </c>
      <c r="H1493" s="3"/>
      <c r="I1493" s="3"/>
      <c r="J1493" s="3"/>
      <c r="K1493" s="3"/>
      <c r="L1493" s="3"/>
      <c r="M1493" s="3"/>
    </row>
    <row r="1494" customFormat="false" ht="15" hidden="false" customHeight="false" outlineLevel="0" collapsed="false">
      <c r="A1494" s="28" t="n">
        <v>46301.5242876042</v>
      </c>
      <c r="B1494" s="31" t="n">
        <f aca="false">(A1494-$A$5)*86400</f>
        <v>54.811000102</v>
      </c>
      <c r="C1494" s="27" t="n">
        <v>1.4229</v>
      </c>
      <c r="D1494" s="27" t="n">
        <v>1.1498</v>
      </c>
      <c r="E1494" s="27" t="s">
        <v>603</v>
      </c>
      <c r="F1494" s="27" t="s">
        <v>146</v>
      </c>
      <c r="G1494" s="32" t="n">
        <f aca="false">(A1494-A1493)*86400000</f>
        <v>16.999756</v>
      </c>
      <c r="H1494" s="3"/>
      <c r="I1494" s="3"/>
      <c r="J1494" s="3"/>
      <c r="K1494" s="3"/>
      <c r="L1494" s="3"/>
      <c r="M1494" s="3"/>
    </row>
    <row r="1495" customFormat="false" ht="15" hidden="false" customHeight="false" outlineLevel="0" collapsed="false">
      <c r="A1495" s="28" t="n">
        <v>46301.5242877894</v>
      </c>
      <c r="B1495" s="31" t="n">
        <f aca="false">(A1495-$A$5)*86400</f>
        <v>54.826999688</v>
      </c>
      <c r="C1495" s="27" t="n">
        <v>1.4242</v>
      </c>
      <c r="D1495" s="27" t="n">
        <v>1.1493</v>
      </c>
      <c r="E1495" s="27" t="s">
        <v>603</v>
      </c>
      <c r="F1495" s="27" t="s">
        <v>146</v>
      </c>
      <c r="G1495" s="32" t="n">
        <f aca="false">(A1495-A1494)*86400000</f>
        <v>15.999586</v>
      </c>
      <c r="H1495" s="3"/>
      <c r="I1495" s="3"/>
      <c r="J1495" s="3"/>
      <c r="K1495" s="3"/>
      <c r="L1495" s="3"/>
      <c r="M1495" s="3"/>
    </row>
    <row r="1496" customFormat="false" ht="15" hidden="false" customHeight="false" outlineLevel="0" collapsed="false">
      <c r="A1496" s="28" t="n">
        <v>46301.5242879745</v>
      </c>
      <c r="B1496" s="31" t="n">
        <f aca="false">(A1496-$A$5)*86400</f>
        <v>54.842999274</v>
      </c>
      <c r="C1496" s="27" t="n">
        <v>1.4252</v>
      </c>
      <c r="D1496" s="27" t="n">
        <v>1.1489</v>
      </c>
      <c r="E1496" s="27" t="s">
        <v>603</v>
      </c>
      <c r="F1496" s="27" t="s">
        <v>146</v>
      </c>
      <c r="G1496" s="32" t="n">
        <f aca="false">(A1496-A1495)*86400000</f>
        <v>15.999586</v>
      </c>
      <c r="H1496" s="3"/>
      <c r="I1496" s="3"/>
      <c r="J1496" s="3"/>
      <c r="K1496" s="3"/>
      <c r="L1496" s="3"/>
      <c r="M1496" s="3"/>
    </row>
    <row r="1497" customFormat="false" ht="15" hidden="false" customHeight="false" outlineLevel="0" collapsed="false">
      <c r="A1497" s="28" t="n">
        <v>46301.5242881597</v>
      </c>
      <c r="B1497" s="31" t="n">
        <f aca="false">(A1497-$A$5)*86400</f>
        <v>54.859000118</v>
      </c>
      <c r="C1497" s="27" t="n">
        <v>1.4254</v>
      </c>
      <c r="D1497" s="27" t="n">
        <v>1.1515</v>
      </c>
      <c r="E1497" s="27" t="s">
        <v>603</v>
      </c>
      <c r="F1497" s="27" t="s">
        <v>146</v>
      </c>
      <c r="G1497" s="32" t="n">
        <f aca="false">(A1497-A1496)*86400000</f>
        <v>16.000843</v>
      </c>
      <c r="H1497" s="3"/>
      <c r="I1497" s="3"/>
      <c r="J1497" s="3"/>
      <c r="K1497" s="3"/>
      <c r="L1497" s="3"/>
      <c r="M1497" s="3"/>
    </row>
    <row r="1498" customFormat="false" ht="15" hidden="false" customHeight="false" outlineLevel="0" collapsed="false">
      <c r="A1498" s="28" t="n">
        <v>46301.5242883449</v>
      </c>
      <c r="B1498" s="31" t="n">
        <f aca="false">(A1498-$A$5)*86400</f>
        <v>54.875000333</v>
      </c>
      <c r="C1498" s="27" t="n">
        <v>1.4256</v>
      </c>
      <c r="D1498" s="27" t="n">
        <v>1.1537</v>
      </c>
      <c r="E1498" s="27" t="s">
        <v>603</v>
      </c>
      <c r="F1498" s="27" t="s">
        <v>146</v>
      </c>
      <c r="G1498" s="32" t="n">
        <f aca="false">(A1498-A1497)*86400000</f>
        <v>16.000214</v>
      </c>
      <c r="H1498" s="3"/>
      <c r="I1498" s="3"/>
      <c r="J1498" s="3"/>
      <c r="K1498" s="3"/>
      <c r="L1498" s="3"/>
      <c r="M1498" s="3"/>
    </row>
    <row r="1499" customFormat="false" ht="15" hidden="false" customHeight="false" outlineLevel="0" collapsed="false">
      <c r="A1499" s="28" t="n">
        <v>46301.5242885185</v>
      </c>
      <c r="B1499" s="31" t="n">
        <f aca="false">(A1499-$A$5)*86400</f>
        <v>54.890000377</v>
      </c>
      <c r="C1499" s="27" t="n">
        <v>1.4258</v>
      </c>
      <c r="D1499" s="27" t="n">
        <v>1.1554</v>
      </c>
      <c r="E1499" s="27" t="s">
        <v>603</v>
      </c>
      <c r="F1499" s="27" t="s">
        <v>146</v>
      </c>
      <c r="G1499" s="32" t="n">
        <f aca="false">(A1499-A1498)*86400000</f>
        <v>15.000044</v>
      </c>
      <c r="H1499" s="3"/>
      <c r="I1499" s="3"/>
      <c r="J1499" s="3"/>
      <c r="K1499" s="3"/>
      <c r="L1499" s="3"/>
      <c r="M1499" s="3"/>
    </row>
    <row r="1500" customFormat="false" ht="15" hidden="false" customHeight="false" outlineLevel="0" collapsed="false">
      <c r="A1500" s="28" t="n">
        <v>46301.5242887153</v>
      </c>
      <c r="B1500" s="31" t="n">
        <f aca="false">(A1500-$A$5)*86400</f>
        <v>54.907000134</v>
      </c>
      <c r="C1500" s="27" t="n">
        <v>1.426</v>
      </c>
      <c r="D1500" s="27" t="n">
        <v>1.1569</v>
      </c>
      <c r="E1500" s="27" t="s">
        <v>603</v>
      </c>
      <c r="F1500" s="27" t="s">
        <v>146</v>
      </c>
      <c r="G1500" s="32" t="n">
        <f aca="false">(A1500-A1499)*86400000</f>
        <v>16.999756</v>
      </c>
      <c r="H1500" s="3"/>
      <c r="I1500" s="3"/>
      <c r="J1500" s="3"/>
      <c r="K1500" s="3"/>
      <c r="L1500" s="3"/>
      <c r="M1500" s="3"/>
    </row>
    <row r="1501" customFormat="false" ht="15" hidden="false" customHeight="false" outlineLevel="0" collapsed="false">
      <c r="A1501" s="28" t="n">
        <v>46301.5242889005</v>
      </c>
      <c r="B1501" s="31" t="n">
        <f aca="false">(A1501-$A$5)*86400</f>
        <v>54.923000978</v>
      </c>
      <c r="C1501" s="27" t="n">
        <v>1.4261</v>
      </c>
      <c r="D1501" s="27" t="n">
        <v>1.1581</v>
      </c>
      <c r="E1501" s="27" t="s">
        <v>603</v>
      </c>
      <c r="F1501" s="27" t="s">
        <v>146</v>
      </c>
      <c r="G1501" s="32" t="n">
        <f aca="false">(A1501-A1500)*86400000</f>
        <v>16.000843</v>
      </c>
      <c r="H1501" s="3"/>
      <c r="I1501" s="3"/>
      <c r="J1501" s="3"/>
      <c r="K1501" s="3"/>
      <c r="L1501" s="3"/>
      <c r="M1501" s="3"/>
    </row>
    <row r="1502" customFormat="false" ht="15" hidden="false" customHeight="false" outlineLevel="0" collapsed="false">
      <c r="A1502" s="28" t="n">
        <v>46301.524289456</v>
      </c>
      <c r="B1502" s="31" t="n">
        <f aca="false">(A1502-$A$5)*86400</f>
        <v>54.971000365</v>
      </c>
      <c r="C1502" s="27" t="n">
        <v>1.4263</v>
      </c>
      <c r="D1502" s="27" t="n">
        <v>1.1606</v>
      </c>
      <c r="E1502" s="27" t="s">
        <v>603</v>
      </c>
      <c r="F1502" s="27" t="s">
        <v>146</v>
      </c>
      <c r="G1502" s="32" t="n">
        <f aca="false">(A1502-A1501)*86400000</f>
        <v>47.999387</v>
      </c>
      <c r="H1502" s="3"/>
      <c r="I1502" s="3"/>
      <c r="J1502" s="3"/>
      <c r="K1502" s="3"/>
      <c r="L1502" s="3"/>
      <c r="M1502" s="3"/>
    </row>
    <row r="1503" customFormat="false" ht="15" hidden="false" customHeight="false" outlineLevel="0" collapsed="false">
      <c r="A1503" s="28" t="n">
        <v>46301.524289838</v>
      </c>
      <c r="B1503" s="31" t="n">
        <f aca="false">(A1503-$A$5)*86400</f>
        <v>55.004000966</v>
      </c>
      <c r="C1503" s="27" t="n">
        <v>1.4312</v>
      </c>
      <c r="D1503" s="27" t="n">
        <v>1.1627</v>
      </c>
      <c r="E1503" s="27" t="s">
        <v>603</v>
      </c>
      <c r="F1503" s="27" t="s">
        <v>146</v>
      </c>
      <c r="G1503" s="32" t="n">
        <f aca="false">(A1503-A1502)*86400000</f>
        <v>33.0006</v>
      </c>
      <c r="H1503" s="3"/>
      <c r="I1503" s="3"/>
      <c r="J1503" s="3"/>
      <c r="K1503" s="3"/>
      <c r="L1503" s="3"/>
      <c r="M1503" s="3"/>
    </row>
    <row r="1504" customFormat="false" ht="15" hidden="false" customHeight="false" outlineLevel="0" collapsed="false">
      <c r="A1504" s="28" t="n">
        <v>46301.5242900232</v>
      </c>
      <c r="B1504" s="31" t="n">
        <f aca="false">(A1504-$A$5)*86400</f>
        <v>55.020000552</v>
      </c>
      <c r="C1504" s="27" t="n">
        <v>1.4349</v>
      </c>
      <c r="D1504" s="27" t="n">
        <v>1.1639</v>
      </c>
      <c r="E1504" s="27" t="s">
        <v>603</v>
      </c>
      <c r="F1504" s="27" t="s">
        <v>146</v>
      </c>
      <c r="G1504" s="32" t="n">
        <f aca="false">(A1504-A1503)*86400000</f>
        <v>15.999586</v>
      </c>
      <c r="H1504" s="3"/>
      <c r="I1504" s="3"/>
      <c r="J1504" s="3"/>
      <c r="K1504" s="3"/>
      <c r="L1504" s="3"/>
      <c r="M1504" s="3"/>
    </row>
    <row r="1505" customFormat="false" ht="15" hidden="false" customHeight="false" outlineLevel="0" collapsed="false">
      <c r="A1505" s="28" t="n">
        <v>46301.5242902083</v>
      </c>
      <c r="B1505" s="31" t="n">
        <f aca="false">(A1505-$A$5)*86400</f>
        <v>55.03599951</v>
      </c>
      <c r="C1505" s="27" t="n">
        <v>1.438</v>
      </c>
      <c r="D1505" s="27" t="n">
        <v>1.1648</v>
      </c>
      <c r="E1505" s="27" t="s">
        <v>603</v>
      </c>
      <c r="F1505" s="27" t="s">
        <v>146</v>
      </c>
      <c r="G1505" s="32" t="n">
        <f aca="false">(A1505-A1504)*86400000</f>
        <v>15.998957</v>
      </c>
      <c r="H1505" s="3"/>
      <c r="I1505" s="3"/>
      <c r="J1505" s="3"/>
      <c r="K1505" s="3"/>
      <c r="L1505" s="3"/>
      <c r="M1505" s="3"/>
    </row>
    <row r="1506" customFormat="false" ht="15" hidden="false" customHeight="false" outlineLevel="0" collapsed="false">
      <c r="A1506" s="28" t="n">
        <v>46301.5242904051</v>
      </c>
      <c r="B1506" s="31" t="n">
        <f aca="false">(A1506-$A$5)*86400</f>
        <v>55.052999895</v>
      </c>
      <c r="C1506" s="27" t="n">
        <v>1.4406</v>
      </c>
      <c r="D1506" s="27" t="n">
        <v>1.1656</v>
      </c>
      <c r="E1506" s="27" t="s">
        <v>603</v>
      </c>
      <c r="F1506" s="27" t="s">
        <v>146</v>
      </c>
      <c r="G1506" s="32" t="n">
        <f aca="false">(A1506-A1505)*86400000</f>
        <v>17.000385</v>
      </c>
      <c r="H1506" s="3"/>
      <c r="I1506" s="3"/>
      <c r="J1506" s="3"/>
      <c r="K1506" s="3"/>
      <c r="L1506" s="3"/>
      <c r="M1506" s="3"/>
    </row>
    <row r="1507" customFormat="false" ht="15" hidden="false" customHeight="false" outlineLevel="0" collapsed="false">
      <c r="A1507" s="28" t="n">
        <v>46301.5242906019</v>
      </c>
      <c r="B1507" s="31" t="n">
        <f aca="false">(A1507-$A$5)*86400</f>
        <v>55.069999652</v>
      </c>
      <c r="C1507" s="27" t="n">
        <v>1.4427</v>
      </c>
      <c r="D1507" s="27" t="n">
        <v>1.1663</v>
      </c>
      <c r="E1507" s="27" t="s">
        <v>603</v>
      </c>
      <c r="F1507" s="27" t="s">
        <v>146</v>
      </c>
      <c r="G1507" s="32" t="n">
        <f aca="false">(A1507-A1506)*86400000</f>
        <v>16.999756</v>
      </c>
      <c r="H1507" s="3"/>
      <c r="I1507" s="3"/>
      <c r="J1507" s="3"/>
      <c r="K1507" s="3"/>
      <c r="L1507" s="3"/>
      <c r="M1507" s="3"/>
    </row>
    <row r="1508" customFormat="false" ht="15" hidden="false" customHeight="false" outlineLevel="0" collapsed="false">
      <c r="A1508" s="28" t="n">
        <v>46301.524290787</v>
      </c>
      <c r="B1508" s="31" t="n">
        <f aca="false">(A1508-$A$5)*86400</f>
        <v>55.085999239</v>
      </c>
      <c r="C1508" s="27" t="n">
        <v>1.4444</v>
      </c>
      <c r="D1508" s="27" t="n">
        <v>1.1668</v>
      </c>
      <c r="E1508" s="27" t="s">
        <v>603</v>
      </c>
      <c r="F1508" s="27" t="s">
        <v>146</v>
      </c>
      <c r="G1508" s="32" t="n">
        <f aca="false">(A1508-A1507)*86400000</f>
        <v>15.999586</v>
      </c>
      <c r="H1508" s="3"/>
      <c r="I1508" s="3"/>
      <c r="J1508" s="3"/>
      <c r="K1508" s="3"/>
      <c r="L1508" s="3"/>
      <c r="M1508" s="3"/>
    </row>
    <row r="1509" customFormat="false" ht="15" hidden="false" customHeight="false" outlineLevel="0" collapsed="false">
      <c r="A1509" s="28" t="n">
        <v>46301.5242909722</v>
      </c>
      <c r="B1509" s="31" t="n">
        <f aca="false">(A1509-$A$5)*86400</f>
        <v>55.102000082</v>
      </c>
      <c r="C1509" s="27" t="n">
        <v>1.4493</v>
      </c>
      <c r="D1509" s="27" t="n">
        <v>1.1672</v>
      </c>
      <c r="E1509" s="27" t="s">
        <v>603</v>
      </c>
      <c r="F1509" s="27" t="s">
        <v>146</v>
      </c>
      <c r="G1509" s="32" t="n">
        <f aca="false">(A1509-A1508)*86400000</f>
        <v>16.000843</v>
      </c>
      <c r="H1509" s="3"/>
      <c r="I1509" s="3"/>
      <c r="J1509" s="3"/>
      <c r="K1509" s="3"/>
      <c r="L1509" s="3"/>
      <c r="M1509" s="3"/>
    </row>
    <row r="1510" customFormat="false" ht="15" hidden="false" customHeight="false" outlineLevel="0" collapsed="false">
      <c r="A1510" s="28" t="n">
        <v>46301.5242911574</v>
      </c>
      <c r="B1510" s="31" t="n">
        <f aca="false">(A1510-$A$5)*86400</f>
        <v>55.118000297</v>
      </c>
      <c r="C1510" s="27" t="n">
        <v>1.4534</v>
      </c>
      <c r="D1510" s="27" t="n">
        <v>1.1675</v>
      </c>
      <c r="E1510" s="27" t="s">
        <v>603</v>
      </c>
      <c r="F1510" s="27" t="s">
        <v>146</v>
      </c>
      <c r="G1510" s="32" t="n">
        <f aca="false">(A1510-A1509)*86400000</f>
        <v>16.000214</v>
      </c>
      <c r="H1510" s="3"/>
      <c r="I1510" s="3"/>
      <c r="J1510" s="3"/>
      <c r="K1510" s="3"/>
      <c r="L1510" s="3"/>
      <c r="M1510" s="3"/>
    </row>
    <row r="1511" customFormat="false" ht="15" hidden="false" customHeight="false" outlineLevel="0" collapsed="false">
      <c r="A1511" s="28" t="n">
        <v>46301.5242913426</v>
      </c>
      <c r="B1511" s="31" t="n">
        <f aca="false">(A1511-$A$5)*86400</f>
        <v>55.133999884</v>
      </c>
      <c r="C1511" s="27" t="n">
        <v>1.4567</v>
      </c>
      <c r="D1511" s="27" t="n">
        <v>1.1678</v>
      </c>
      <c r="E1511" s="27" t="s">
        <v>603</v>
      </c>
      <c r="F1511" s="27" t="s">
        <v>146</v>
      </c>
      <c r="G1511" s="32" t="n">
        <f aca="false">(A1511-A1510)*86400000</f>
        <v>15.999586</v>
      </c>
      <c r="H1511" s="3"/>
      <c r="I1511" s="3"/>
      <c r="J1511" s="3"/>
      <c r="K1511" s="3"/>
      <c r="L1511" s="3"/>
      <c r="M1511" s="3"/>
    </row>
    <row r="1512" customFormat="false" ht="15" hidden="false" customHeight="false" outlineLevel="0" collapsed="false">
      <c r="A1512" s="28" t="n">
        <v>46301.5242915278</v>
      </c>
      <c r="B1512" s="31" t="n">
        <f aca="false">(A1512-$A$5)*86400</f>
        <v>55.150000099</v>
      </c>
      <c r="C1512" s="27" t="n">
        <v>1.4595</v>
      </c>
      <c r="D1512" s="27" t="n">
        <v>1.168</v>
      </c>
      <c r="E1512" s="27" t="s">
        <v>603</v>
      </c>
      <c r="F1512" s="27" t="s">
        <v>146</v>
      </c>
      <c r="G1512" s="32" t="n">
        <f aca="false">(A1512-A1511)*86400000</f>
        <v>16.000214</v>
      </c>
      <c r="H1512" s="3"/>
      <c r="I1512" s="3"/>
      <c r="J1512" s="3"/>
      <c r="K1512" s="3"/>
      <c r="L1512" s="3"/>
      <c r="M1512" s="3"/>
    </row>
    <row r="1513" customFormat="false" ht="15" hidden="false" customHeight="false" outlineLevel="0" collapsed="false">
      <c r="A1513" s="28" t="n">
        <v>46301.524291713</v>
      </c>
      <c r="B1513" s="31" t="n">
        <f aca="false">(A1513-$A$5)*86400</f>
        <v>55.166000942</v>
      </c>
      <c r="C1513" s="27" t="n">
        <v>1.4618</v>
      </c>
      <c r="D1513" s="27" t="n">
        <v>1.1681</v>
      </c>
      <c r="E1513" s="27" t="s">
        <v>603</v>
      </c>
      <c r="F1513" s="27" t="s">
        <v>146</v>
      </c>
      <c r="G1513" s="32" t="n">
        <f aca="false">(A1513-A1512)*86400000</f>
        <v>16.000843</v>
      </c>
      <c r="H1513" s="3"/>
      <c r="I1513" s="3"/>
      <c r="J1513" s="3"/>
      <c r="K1513" s="3"/>
      <c r="L1513" s="3"/>
      <c r="M1513" s="3"/>
    </row>
    <row r="1514" customFormat="false" ht="15" hidden="false" customHeight="false" outlineLevel="0" collapsed="false">
      <c r="A1514" s="28" t="n">
        <v>46301.5242918866</v>
      </c>
      <c r="B1514" s="31" t="n">
        <f aca="false">(A1514-$A$5)*86400</f>
        <v>55.181000358</v>
      </c>
      <c r="C1514" s="27" t="n">
        <v>1.4636</v>
      </c>
      <c r="D1514" s="27" t="n">
        <v>1.1683</v>
      </c>
      <c r="E1514" s="27" t="s">
        <v>603</v>
      </c>
      <c r="F1514" s="27" t="s">
        <v>146</v>
      </c>
      <c r="G1514" s="32" t="n">
        <f aca="false">(A1514-A1513)*86400000</f>
        <v>14.999415</v>
      </c>
      <c r="H1514" s="3"/>
      <c r="I1514" s="3"/>
      <c r="J1514" s="3"/>
      <c r="K1514" s="3"/>
      <c r="L1514" s="3"/>
      <c r="M1514" s="3"/>
    </row>
    <row r="1515" customFormat="false" ht="15" hidden="false" customHeight="false" outlineLevel="0" collapsed="false">
      <c r="A1515" s="28" t="n">
        <v>46301.5242920833</v>
      </c>
      <c r="B1515" s="31" t="n">
        <f aca="false">(A1515-$A$5)*86400</f>
        <v>55.198000115</v>
      </c>
      <c r="C1515" s="27" t="n">
        <v>1.4652</v>
      </c>
      <c r="D1515" s="27" t="n">
        <v>1.1684</v>
      </c>
      <c r="E1515" s="27" t="s">
        <v>603</v>
      </c>
      <c r="F1515" s="27" t="s">
        <v>146</v>
      </c>
      <c r="G1515" s="32" t="n">
        <f aca="false">(A1515-A1514)*86400000</f>
        <v>16.999756</v>
      </c>
      <c r="H1515" s="3"/>
      <c r="I1515" s="3"/>
      <c r="J1515" s="3"/>
      <c r="K1515" s="3"/>
      <c r="L1515" s="3"/>
      <c r="M1515" s="3"/>
    </row>
    <row r="1516" customFormat="false" ht="15" hidden="false" customHeight="false" outlineLevel="0" collapsed="false">
      <c r="A1516" s="28" t="n">
        <v>46301.5242922685</v>
      </c>
      <c r="B1516" s="31" t="n">
        <f aca="false">(A1516-$A$5)*86400</f>
        <v>55.21400033</v>
      </c>
      <c r="C1516" s="27" t="n">
        <v>1.4665</v>
      </c>
      <c r="D1516" s="27" t="n">
        <v>1.1685</v>
      </c>
      <c r="E1516" s="27" t="s">
        <v>603</v>
      </c>
      <c r="F1516" s="27" t="s">
        <v>146</v>
      </c>
      <c r="G1516" s="32" t="n">
        <f aca="false">(A1516-A1515)*86400000</f>
        <v>16.000214</v>
      </c>
      <c r="H1516" s="3"/>
      <c r="I1516" s="3"/>
      <c r="J1516" s="3"/>
      <c r="K1516" s="3"/>
      <c r="L1516" s="3"/>
      <c r="M1516" s="3"/>
    </row>
    <row r="1517" customFormat="false" ht="15" hidden="false" customHeight="false" outlineLevel="0" collapsed="false">
      <c r="A1517" s="28" t="n">
        <v>46301.5242924537</v>
      </c>
      <c r="B1517" s="31" t="n">
        <f aca="false">(A1517-$A$5)*86400</f>
        <v>55.229999916</v>
      </c>
      <c r="C1517" s="27" t="n">
        <v>1.4675</v>
      </c>
      <c r="D1517" s="27" t="n">
        <v>1.1686</v>
      </c>
      <c r="E1517" s="27" t="s">
        <v>603</v>
      </c>
      <c r="F1517" s="27" t="s">
        <v>146</v>
      </c>
      <c r="G1517" s="32" t="n">
        <f aca="false">(A1517-A1516)*86400000</f>
        <v>15.999586</v>
      </c>
      <c r="H1517" s="3"/>
      <c r="I1517" s="3"/>
      <c r="J1517" s="3"/>
      <c r="K1517" s="3"/>
      <c r="L1517" s="3"/>
      <c r="M1517" s="3"/>
    </row>
    <row r="1518" customFormat="false" ht="15" hidden="false" customHeight="false" outlineLevel="0" collapsed="false">
      <c r="A1518" s="28" t="n">
        <v>46301.5242928241</v>
      </c>
      <c r="B1518" s="31" t="n">
        <f aca="false">(A1518-$A$5)*86400</f>
        <v>55.262000346</v>
      </c>
      <c r="C1518" s="27" t="n">
        <v>1.4691</v>
      </c>
      <c r="D1518" s="27" t="n">
        <v>1.1687</v>
      </c>
      <c r="E1518" s="27" t="s">
        <v>603</v>
      </c>
      <c r="F1518" s="27" t="s">
        <v>146</v>
      </c>
      <c r="G1518" s="32" t="n">
        <f aca="false">(A1518-A1517)*86400000</f>
        <v>32.000429</v>
      </c>
      <c r="H1518" s="3"/>
      <c r="I1518" s="3"/>
      <c r="J1518" s="3"/>
      <c r="K1518" s="3"/>
      <c r="L1518" s="3"/>
      <c r="M1518" s="3"/>
    </row>
    <row r="1519" customFormat="false" ht="15" hidden="false" customHeight="false" outlineLevel="0" collapsed="false">
      <c r="A1519" s="28" t="n">
        <v>46301.52429375</v>
      </c>
      <c r="B1519" s="31" t="n">
        <f aca="false">(A1519-$A$5)*86400</f>
        <v>55.342000164</v>
      </c>
      <c r="C1519" s="27" t="n">
        <v>1.4708</v>
      </c>
      <c r="D1519" s="27" t="n">
        <v>1.1669</v>
      </c>
      <c r="E1519" s="27" t="s">
        <v>603</v>
      </c>
      <c r="F1519" s="27" t="s">
        <v>146</v>
      </c>
      <c r="G1519" s="32" t="n">
        <f aca="false">(A1519-A1518)*86400000</f>
        <v>79.999817</v>
      </c>
      <c r="H1519" s="3"/>
      <c r="I1519" s="3"/>
      <c r="J1519" s="3"/>
      <c r="K1519" s="3"/>
      <c r="L1519" s="3"/>
      <c r="M1519" s="3"/>
    </row>
    <row r="1520" customFormat="false" ht="15" hidden="false" customHeight="false" outlineLevel="0" collapsed="false">
      <c r="A1520" s="28" t="n">
        <v>46301.5242939352</v>
      </c>
      <c r="B1520" s="31" t="n">
        <f aca="false">(A1520-$A$5)*86400</f>
        <v>55.358000379</v>
      </c>
      <c r="C1520" s="27" t="n">
        <v>1.4709</v>
      </c>
      <c r="D1520" s="27" t="n">
        <v>1.1662</v>
      </c>
      <c r="E1520" s="27" t="s">
        <v>603</v>
      </c>
      <c r="F1520" s="27" t="s">
        <v>146</v>
      </c>
      <c r="G1520" s="32" t="n">
        <f aca="false">(A1520-A1519)*86400000</f>
        <v>16.000214</v>
      </c>
      <c r="H1520" s="3"/>
      <c r="I1520" s="3"/>
      <c r="J1520" s="3"/>
      <c r="K1520" s="3"/>
      <c r="L1520" s="3"/>
      <c r="M1520" s="3"/>
    </row>
    <row r="1521" customFormat="false" ht="15" hidden="false" customHeight="false" outlineLevel="0" collapsed="false">
      <c r="A1521" s="28" t="n">
        <v>46301.5242946875</v>
      </c>
      <c r="B1521" s="31" t="n">
        <f aca="false">(A1521-$A$5)*86400</f>
        <v>55.423000152</v>
      </c>
      <c r="C1521" s="27" t="n">
        <v>1.4712</v>
      </c>
      <c r="D1521" s="27" t="n">
        <v>1.1629</v>
      </c>
      <c r="E1521" s="27" t="s">
        <v>603</v>
      </c>
      <c r="F1521" s="27" t="s">
        <v>146</v>
      </c>
      <c r="G1521" s="32" t="n">
        <f aca="false">(A1521-A1520)*86400000</f>
        <v>64.999773</v>
      </c>
      <c r="H1521" s="3"/>
      <c r="I1521" s="3"/>
      <c r="J1521" s="3"/>
      <c r="K1521" s="3"/>
      <c r="L1521" s="3"/>
      <c r="M1521" s="3"/>
    </row>
    <row r="1522" customFormat="false" ht="15" hidden="false" customHeight="false" outlineLevel="0" collapsed="false">
      <c r="A1522" s="28" t="n">
        <v>46301.5242965509</v>
      </c>
      <c r="B1522" s="31" t="n">
        <f aca="false">(A1522-$A$5)*86400</f>
        <v>55.583999329</v>
      </c>
      <c r="C1522" s="27" t="n">
        <v>1.4702</v>
      </c>
      <c r="D1522" s="27" t="n">
        <v>1.1643</v>
      </c>
      <c r="E1522" s="27" t="s">
        <v>603</v>
      </c>
      <c r="F1522" s="27" t="s">
        <v>146</v>
      </c>
      <c r="G1522" s="32" t="n">
        <f aca="false">(A1522-A1521)*86400000</f>
        <v>160.999177</v>
      </c>
      <c r="H1522" s="3"/>
      <c r="I1522" s="3"/>
      <c r="J1522" s="3"/>
      <c r="K1522" s="3"/>
      <c r="L1522" s="3"/>
      <c r="M1522" s="3"/>
    </row>
    <row r="1523" customFormat="false" ht="15" hidden="false" customHeight="false" outlineLevel="0" collapsed="false">
      <c r="A1523" s="28" t="n">
        <v>46301.5242967361</v>
      </c>
      <c r="B1523" s="31" t="n">
        <f aca="false">(A1523-$A$5)*86400</f>
        <v>55.600000172</v>
      </c>
      <c r="C1523" s="27" t="n">
        <v>1.4693</v>
      </c>
      <c r="D1523" s="27" t="n">
        <v>1.1654</v>
      </c>
      <c r="E1523" s="27" t="s">
        <v>603</v>
      </c>
      <c r="F1523" s="27" t="s">
        <v>146</v>
      </c>
      <c r="G1523" s="32" t="n">
        <f aca="false">(A1523-A1522)*86400000</f>
        <v>16.000843</v>
      </c>
      <c r="H1523" s="3"/>
      <c r="I1523" s="3"/>
      <c r="J1523" s="3"/>
      <c r="K1523" s="3"/>
      <c r="L1523" s="3"/>
      <c r="M1523" s="3"/>
    </row>
    <row r="1524" customFormat="false" ht="15" hidden="false" customHeight="false" outlineLevel="0" collapsed="false">
      <c r="A1524" s="28" t="n">
        <v>46301.5242969097</v>
      </c>
      <c r="B1524" s="31" t="n">
        <f aca="false">(A1524-$A$5)*86400</f>
        <v>55.615000217</v>
      </c>
      <c r="C1524" s="27" t="n">
        <v>1.4687</v>
      </c>
      <c r="D1524" s="27" t="n">
        <v>1.1663</v>
      </c>
      <c r="E1524" s="27" t="s">
        <v>603</v>
      </c>
      <c r="F1524" s="27" t="s">
        <v>146</v>
      </c>
      <c r="G1524" s="32" t="n">
        <f aca="false">(A1524-A1523)*86400000</f>
        <v>15.000044</v>
      </c>
      <c r="H1524" s="3"/>
      <c r="I1524" s="3"/>
      <c r="J1524" s="3"/>
      <c r="K1524" s="3"/>
      <c r="L1524" s="3"/>
      <c r="M1524" s="3"/>
    </row>
    <row r="1525" customFormat="false" ht="15" hidden="false" customHeight="false" outlineLevel="0" collapsed="false">
      <c r="A1525" s="28" t="n">
        <v>46301.5242971065</v>
      </c>
      <c r="B1525" s="31" t="n">
        <f aca="false">(A1525-$A$5)*86400</f>
        <v>55.631999974</v>
      </c>
      <c r="C1525" s="27" t="n">
        <v>1.4681</v>
      </c>
      <c r="D1525" s="27" t="n">
        <v>1.167</v>
      </c>
      <c r="E1525" s="27" t="s">
        <v>603</v>
      </c>
      <c r="F1525" s="27" t="s">
        <v>146</v>
      </c>
      <c r="G1525" s="32" t="n">
        <f aca="false">(A1525-A1524)*86400000</f>
        <v>16.999756</v>
      </c>
      <c r="H1525" s="3"/>
      <c r="I1525" s="3"/>
      <c r="J1525" s="3"/>
      <c r="K1525" s="3"/>
      <c r="L1525" s="3"/>
      <c r="M1525" s="3"/>
    </row>
    <row r="1526" customFormat="false" ht="15" hidden="false" customHeight="false" outlineLevel="0" collapsed="false">
      <c r="A1526" s="28" t="n">
        <v>46301.5242974769</v>
      </c>
      <c r="B1526" s="31" t="n">
        <f aca="false">(A1526-$A$5)*86400</f>
        <v>55.664001032</v>
      </c>
      <c r="C1526" s="27" t="n">
        <v>1.4672</v>
      </c>
      <c r="D1526" s="27" t="n">
        <v>1.1682</v>
      </c>
      <c r="E1526" s="27" t="s">
        <v>603</v>
      </c>
      <c r="F1526" s="27" t="s">
        <v>146</v>
      </c>
      <c r="G1526" s="32" t="n">
        <f aca="false">(A1526-A1525)*86400000</f>
        <v>32.001058</v>
      </c>
      <c r="H1526" s="3"/>
      <c r="I1526" s="3"/>
      <c r="J1526" s="3"/>
      <c r="K1526" s="3"/>
      <c r="L1526" s="3"/>
      <c r="M1526" s="3"/>
    </row>
    <row r="1527" customFormat="false" ht="15" hidden="false" customHeight="false" outlineLevel="0" collapsed="false">
      <c r="A1527" s="28" t="n">
        <v>46301.5242978472</v>
      </c>
      <c r="B1527" s="31" t="n">
        <f aca="false">(A1527-$A$5)*86400</f>
        <v>55.696000205</v>
      </c>
      <c r="C1527" s="27" t="n">
        <v>1.4644</v>
      </c>
      <c r="D1527" s="27" t="n">
        <v>1.1701</v>
      </c>
      <c r="E1527" s="27" t="s">
        <v>603</v>
      </c>
      <c r="F1527" s="27" t="s">
        <v>146</v>
      </c>
      <c r="G1527" s="32" t="n">
        <f aca="false">(A1527-A1526)*86400000</f>
        <v>31.999172</v>
      </c>
      <c r="H1527" s="3"/>
      <c r="I1527" s="3"/>
      <c r="J1527" s="3"/>
      <c r="K1527" s="3"/>
      <c r="L1527" s="3"/>
      <c r="M1527" s="3"/>
    </row>
    <row r="1528" customFormat="false" ht="15" hidden="false" customHeight="false" outlineLevel="0" collapsed="false">
      <c r="A1528" s="28" t="n">
        <v>46301.5242980324</v>
      </c>
      <c r="B1528" s="31" t="n">
        <f aca="false">(A1528-$A$5)*86400</f>
        <v>55.71200042</v>
      </c>
      <c r="C1528" s="27" t="n">
        <v>1.4624</v>
      </c>
      <c r="D1528" s="27" t="n">
        <v>1.1714</v>
      </c>
      <c r="E1528" s="27" t="s">
        <v>603</v>
      </c>
      <c r="F1528" s="27" t="s">
        <v>146</v>
      </c>
      <c r="G1528" s="32" t="n">
        <f aca="false">(A1528-A1527)*86400000</f>
        <v>16.000214</v>
      </c>
      <c r="H1528" s="3"/>
      <c r="I1528" s="3"/>
      <c r="J1528" s="3"/>
      <c r="K1528" s="3"/>
      <c r="L1528" s="3"/>
      <c r="M1528" s="3"/>
    </row>
    <row r="1529" customFormat="false" ht="15" hidden="false" customHeight="false" outlineLevel="0" collapsed="false">
      <c r="A1529" s="28" t="n">
        <v>46301.5242982176</v>
      </c>
      <c r="B1529" s="31" t="n">
        <f aca="false">(A1529-$A$5)*86400</f>
        <v>55.728000006</v>
      </c>
      <c r="C1529" s="27" t="n">
        <v>1.4607</v>
      </c>
      <c r="D1529" s="27" t="n">
        <v>1.1724</v>
      </c>
      <c r="E1529" s="27" t="s">
        <v>603</v>
      </c>
      <c r="F1529" s="27" t="s">
        <v>146</v>
      </c>
      <c r="G1529" s="32" t="n">
        <f aca="false">(A1529-A1528)*86400000</f>
        <v>15.999586</v>
      </c>
      <c r="H1529" s="3"/>
      <c r="I1529" s="3"/>
      <c r="J1529" s="3"/>
      <c r="K1529" s="3"/>
      <c r="L1529" s="3"/>
      <c r="M1529" s="3"/>
    </row>
    <row r="1530" customFormat="false" ht="15" hidden="false" customHeight="false" outlineLevel="0" collapsed="false">
      <c r="A1530" s="28" t="n">
        <v>46301.5242985995</v>
      </c>
      <c r="B1530" s="31" t="n">
        <f aca="false">(A1530-$A$5)*86400</f>
        <v>55.761000607</v>
      </c>
      <c r="C1530" s="27" t="n">
        <v>1.458</v>
      </c>
      <c r="D1530" s="27" t="n">
        <v>1.174</v>
      </c>
      <c r="E1530" s="27" t="s">
        <v>603</v>
      </c>
      <c r="F1530" s="27" t="s">
        <v>146</v>
      </c>
      <c r="G1530" s="32" t="n">
        <f aca="false">(A1530-A1529)*86400000</f>
        <v>33.0006</v>
      </c>
      <c r="H1530" s="3"/>
      <c r="I1530" s="3"/>
      <c r="J1530" s="3"/>
      <c r="K1530" s="3"/>
      <c r="L1530" s="3"/>
      <c r="M1530" s="3"/>
    </row>
    <row r="1531" customFormat="false" ht="15" hidden="false" customHeight="false" outlineLevel="0" collapsed="false">
      <c r="A1531" s="28" t="n">
        <v>46301.5242987847</v>
      </c>
      <c r="B1531" s="31" t="n">
        <f aca="false">(A1531-$A$5)*86400</f>
        <v>55.777000193</v>
      </c>
      <c r="C1531" s="27" t="n">
        <v>1.4571</v>
      </c>
      <c r="D1531" s="27" t="n">
        <v>1.1746</v>
      </c>
      <c r="E1531" s="27" t="s">
        <v>603</v>
      </c>
      <c r="F1531" s="27" t="s">
        <v>146</v>
      </c>
      <c r="G1531" s="32" t="n">
        <f aca="false">(A1531-A1530)*86400000</f>
        <v>15.999586</v>
      </c>
      <c r="H1531" s="3"/>
      <c r="I1531" s="3"/>
      <c r="J1531" s="3"/>
      <c r="K1531" s="3"/>
      <c r="L1531" s="3"/>
      <c r="M1531" s="3"/>
    </row>
    <row r="1532" customFormat="false" ht="15" hidden="false" customHeight="false" outlineLevel="0" collapsed="false">
      <c r="A1532" s="28" t="n">
        <v>46301.5242991667</v>
      </c>
      <c r="B1532" s="31" t="n">
        <f aca="false">(A1532-$A$5)*86400</f>
        <v>55.810000165</v>
      </c>
      <c r="C1532" s="27" t="n">
        <v>1.4543</v>
      </c>
      <c r="D1532" s="27" t="n">
        <v>1.176</v>
      </c>
      <c r="E1532" s="27" t="s">
        <v>603</v>
      </c>
      <c r="F1532" s="27" t="s">
        <v>146</v>
      </c>
      <c r="G1532" s="32" t="n">
        <f aca="false">(A1532-A1531)*86400000</f>
        <v>32.999971</v>
      </c>
      <c r="H1532" s="3"/>
      <c r="I1532" s="3"/>
      <c r="J1532" s="3"/>
      <c r="K1532" s="3"/>
      <c r="L1532" s="3"/>
      <c r="M1532" s="3"/>
    </row>
    <row r="1533" customFormat="false" ht="15" hidden="false" customHeight="false" outlineLevel="0" collapsed="false">
      <c r="A1533" s="28" t="n">
        <v>46301.5242993519</v>
      </c>
      <c r="B1533" s="31" t="n">
        <f aca="false">(A1533-$A$5)*86400</f>
        <v>55.826001008</v>
      </c>
      <c r="C1533" s="27" t="n">
        <v>1.4526</v>
      </c>
      <c r="D1533" s="27" t="n">
        <v>1.1768</v>
      </c>
      <c r="E1533" s="27" t="s">
        <v>603</v>
      </c>
      <c r="F1533" s="27" t="s">
        <v>146</v>
      </c>
      <c r="G1533" s="32" t="n">
        <f aca="false">(A1533-A1532)*86400000</f>
        <v>16.000843</v>
      </c>
      <c r="H1533" s="3"/>
      <c r="I1533" s="3"/>
      <c r="J1533" s="3"/>
      <c r="K1533" s="3"/>
      <c r="L1533" s="3"/>
      <c r="M1533" s="3"/>
    </row>
    <row r="1534" customFormat="false" ht="15" hidden="false" customHeight="false" outlineLevel="0" collapsed="false">
      <c r="A1534" s="28" t="n">
        <v>46301.524299537</v>
      </c>
      <c r="B1534" s="31" t="n">
        <f aca="false">(A1534-$A$5)*86400</f>
        <v>55.842000595</v>
      </c>
      <c r="C1534" s="27" t="n">
        <v>1.4512</v>
      </c>
      <c r="D1534" s="27" t="n">
        <v>1.1774</v>
      </c>
      <c r="E1534" s="27" t="s">
        <v>603</v>
      </c>
      <c r="F1534" s="27" t="s">
        <v>146</v>
      </c>
      <c r="G1534" s="32" t="n">
        <f aca="false">(A1534-A1533)*86400000</f>
        <v>15.999586</v>
      </c>
      <c r="H1534" s="3"/>
      <c r="I1534" s="3"/>
      <c r="J1534" s="3"/>
      <c r="K1534" s="3"/>
      <c r="L1534" s="3"/>
      <c r="M1534" s="3"/>
    </row>
    <row r="1535" customFormat="false" ht="15" hidden="false" customHeight="false" outlineLevel="0" collapsed="false">
      <c r="A1535" s="28" t="n">
        <v>46301.5242997222</v>
      </c>
      <c r="B1535" s="31" t="n">
        <f aca="false">(A1535-$A$5)*86400</f>
        <v>55.858000181</v>
      </c>
      <c r="C1535" s="27" t="n">
        <v>1.4501</v>
      </c>
      <c r="D1535" s="27" t="n">
        <v>1.1779</v>
      </c>
      <c r="E1535" s="27" t="s">
        <v>603</v>
      </c>
      <c r="F1535" s="27" t="s">
        <v>146</v>
      </c>
      <c r="G1535" s="32" t="n">
        <f aca="false">(A1535-A1534)*86400000</f>
        <v>15.999586</v>
      </c>
      <c r="H1535" s="3"/>
      <c r="I1535" s="3"/>
      <c r="J1535" s="3"/>
      <c r="K1535" s="3"/>
      <c r="L1535" s="3"/>
      <c r="M1535" s="3"/>
    </row>
    <row r="1536" customFormat="false" ht="15" hidden="false" customHeight="false" outlineLevel="0" collapsed="false">
      <c r="A1536" s="28" t="n">
        <v>46301.524299919</v>
      </c>
      <c r="B1536" s="31" t="n">
        <f aca="false">(A1536-$A$5)*86400</f>
        <v>55.874999938</v>
      </c>
      <c r="C1536" s="27" t="n">
        <v>1.4492</v>
      </c>
      <c r="D1536" s="27" t="n">
        <v>1.1784</v>
      </c>
      <c r="E1536" s="27" t="s">
        <v>603</v>
      </c>
      <c r="F1536" s="27" t="s">
        <v>146</v>
      </c>
      <c r="G1536" s="32" t="n">
        <f aca="false">(A1536-A1535)*86400000</f>
        <v>16.999756</v>
      </c>
      <c r="H1536" s="3"/>
      <c r="I1536" s="3"/>
      <c r="J1536" s="3"/>
      <c r="K1536" s="3"/>
      <c r="L1536" s="3"/>
      <c r="M1536" s="3"/>
    </row>
    <row r="1537" customFormat="false" ht="15" hidden="false" customHeight="false" outlineLevel="0" collapsed="false">
      <c r="A1537" s="28" t="n">
        <v>46301.5243001042</v>
      </c>
      <c r="B1537" s="31" t="n">
        <f aca="false">(A1537-$A$5)*86400</f>
        <v>55.891000153</v>
      </c>
      <c r="C1537" s="27" t="n">
        <v>1.4484</v>
      </c>
      <c r="D1537" s="27" t="n">
        <v>1.1787</v>
      </c>
      <c r="E1537" s="27" t="s">
        <v>603</v>
      </c>
      <c r="F1537" s="27" t="s">
        <v>146</v>
      </c>
      <c r="G1537" s="32" t="n">
        <f aca="false">(A1537-A1536)*86400000</f>
        <v>16.000214</v>
      </c>
      <c r="H1537" s="3"/>
      <c r="I1537" s="3"/>
      <c r="J1537" s="3"/>
      <c r="K1537" s="3"/>
      <c r="L1537" s="3"/>
      <c r="M1537" s="3"/>
    </row>
    <row r="1538" customFormat="false" ht="15" hidden="false" customHeight="false" outlineLevel="0" collapsed="false">
      <c r="A1538" s="28" t="n">
        <v>46301.5243004745</v>
      </c>
      <c r="B1538" s="31" t="n">
        <f aca="false">(A1538-$A$5)*86400</f>
        <v>55.923000583</v>
      </c>
      <c r="C1538" s="27" t="n">
        <v>1.4473</v>
      </c>
      <c r="D1538" s="27" t="n">
        <v>1.1792</v>
      </c>
      <c r="E1538" s="27" t="s">
        <v>603</v>
      </c>
      <c r="F1538" s="27" t="s">
        <v>146</v>
      </c>
      <c r="G1538" s="32" t="n">
        <f aca="false">(A1538-A1537)*86400000</f>
        <v>32.000429</v>
      </c>
      <c r="H1538" s="3"/>
      <c r="I1538" s="3"/>
      <c r="J1538" s="3"/>
      <c r="K1538" s="3"/>
      <c r="L1538" s="3"/>
      <c r="M1538" s="3"/>
    </row>
    <row r="1539" customFormat="false" ht="15" hidden="false" customHeight="false" outlineLevel="0" collapsed="false">
      <c r="A1539" s="28" t="n">
        <v>46301.5243010417</v>
      </c>
      <c r="B1539" s="31" t="n">
        <f aca="false">(A1539-$A$5)*86400</f>
        <v>55.972000141</v>
      </c>
      <c r="C1539" s="27" t="n">
        <v>1.4448</v>
      </c>
      <c r="D1539" s="27" t="n">
        <v>1.1804</v>
      </c>
      <c r="E1539" s="27" t="s">
        <v>603</v>
      </c>
      <c r="F1539" s="27" t="s">
        <v>146</v>
      </c>
      <c r="G1539" s="32" t="n">
        <f aca="false">(A1539-A1538)*86400000</f>
        <v>48.999558</v>
      </c>
      <c r="H1539" s="3"/>
      <c r="I1539" s="3"/>
      <c r="J1539" s="3"/>
      <c r="K1539" s="3"/>
      <c r="L1539" s="3"/>
      <c r="M1539" s="3"/>
    </row>
    <row r="1540" customFormat="false" ht="15" hidden="false" customHeight="false" outlineLevel="0" collapsed="false">
      <c r="A1540" s="28" t="n">
        <v>46301.524301412</v>
      </c>
      <c r="B1540" s="31" t="n">
        <f aca="false">(A1540-$A$5)*86400</f>
        <v>56.004000571</v>
      </c>
      <c r="C1540" s="27" t="n">
        <v>1.4476</v>
      </c>
      <c r="D1540" s="27" t="n">
        <v>1.1826</v>
      </c>
      <c r="E1540" s="27" t="s">
        <v>603</v>
      </c>
      <c r="F1540" s="27" t="s">
        <v>146</v>
      </c>
      <c r="G1540" s="32" t="n">
        <f aca="false">(A1540-A1539)*86400000</f>
        <v>32.000429</v>
      </c>
      <c r="H1540" s="3"/>
      <c r="I1540" s="3"/>
      <c r="J1540" s="3"/>
      <c r="K1540" s="3"/>
      <c r="L1540" s="3"/>
      <c r="M1540" s="3"/>
    </row>
    <row r="1541" customFormat="false" ht="15" hidden="false" customHeight="false" outlineLevel="0" collapsed="false">
      <c r="A1541" s="28" t="n">
        <v>46301.5243015972</v>
      </c>
      <c r="B1541" s="31" t="n">
        <f aca="false">(A1541-$A$5)*86400</f>
        <v>56.020000157</v>
      </c>
      <c r="C1541" s="27" t="n">
        <v>1.4499</v>
      </c>
      <c r="D1541" s="27" t="n">
        <v>1.1844</v>
      </c>
      <c r="E1541" s="27" t="s">
        <v>603</v>
      </c>
      <c r="F1541" s="27" t="s">
        <v>146</v>
      </c>
      <c r="G1541" s="32" t="n">
        <f aca="false">(A1541-A1540)*86400000</f>
        <v>15.999586</v>
      </c>
      <c r="H1541" s="3"/>
      <c r="I1541" s="3"/>
      <c r="J1541" s="3"/>
      <c r="K1541" s="3"/>
      <c r="L1541" s="3"/>
      <c r="M1541" s="3"/>
    </row>
    <row r="1542" customFormat="false" ht="15" hidden="false" customHeight="false" outlineLevel="0" collapsed="false">
      <c r="A1542" s="28" t="n">
        <v>46301.5243017824</v>
      </c>
      <c r="B1542" s="31" t="n">
        <f aca="false">(A1542-$A$5)*86400</f>
        <v>56.036000372</v>
      </c>
      <c r="C1542" s="27" t="n">
        <v>1.4517</v>
      </c>
      <c r="D1542" s="27" t="n">
        <v>1.1859</v>
      </c>
      <c r="E1542" s="27" t="s">
        <v>603</v>
      </c>
      <c r="F1542" s="27" t="s">
        <v>146</v>
      </c>
      <c r="G1542" s="32" t="n">
        <f aca="false">(A1542-A1541)*86400000</f>
        <v>16.000214</v>
      </c>
      <c r="H1542" s="3"/>
      <c r="I1542" s="3"/>
      <c r="J1542" s="3"/>
      <c r="K1542" s="3"/>
      <c r="L1542" s="3"/>
      <c r="M1542" s="3"/>
    </row>
    <row r="1543" customFormat="false" ht="15" hidden="false" customHeight="false" outlineLevel="0" collapsed="false">
      <c r="A1543" s="28" t="n">
        <v>46301.524301956</v>
      </c>
      <c r="B1543" s="31" t="n">
        <f aca="false">(A1543-$A$5)*86400</f>
        <v>56.051000417</v>
      </c>
      <c r="C1543" s="27" t="n">
        <v>1.4533</v>
      </c>
      <c r="D1543" s="27" t="n">
        <v>1.1872</v>
      </c>
      <c r="E1543" s="27" t="s">
        <v>603</v>
      </c>
      <c r="F1543" s="27" t="s">
        <v>146</v>
      </c>
      <c r="G1543" s="32" t="n">
        <f aca="false">(A1543-A1542)*86400000</f>
        <v>15.000044</v>
      </c>
      <c r="H1543" s="3"/>
      <c r="I1543" s="3"/>
      <c r="J1543" s="3"/>
      <c r="K1543" s="3"/>
      <c r="L1543" s="3"/>
      <c r="M1543" s="3"/>
    </row>
    <row r="1544" customFormat="false" ht="15" hidden="false" customHeight="false" outlineLevel="0" collapsed="false">
      <c r="A1544" s="28" t="n">
        <v>46301.5243021528</v>
      </c>
      <c r="B1544" s="31" t="n">
        <f aca="false">(A1544-$A$5)*86400</f>
        <v>56.068000174</v>
      </c>
      <c r="C1544" s="27" t="n">
        <v>1.4546</v>
      </c>
      <c r="D1544" s="27" t="n">
        <v>1.1882</v>
      </c>
      <c r="E1544" s="27" t="s">
        <v>603</v>
      </c>
      <c r="F1544" s="27" t="s">
        <v>146</v>
      </c>
      <c r="G1544" s="32" t="n">
        <f aca="false">(A1544-A1543)*86400000</f>
        <v>16.999756</v>
      </c>
      <c r="H1544" s="3"/>
      <c r="I1544" s="3"/>
      <c r="J1544" s="3"/>
      <c r="K1544" s="3"/>
      <c r="L1544" s="3"/>
      <c r="M1544" s="3"/>
    </row>
    <row r="1545" customFormat="false" ht="15" hidden="false" customHeight="false" outlineLevel="0" collapsed="false">
      <c r="A1545" s="28" t="n">
        <v>46301.5243025232</v>
      </c>
      <c r="B1545" s="31" t="n">
        <f aca="false">(A1545-$A$5)*86400</f>
        <v>56.099999975</v>
      </c>
      <c r="C1545" s="27" t="n">
        <v>1.4565</v>
      </c>
      <c r="D1545" s="27" t="n">
        <v>1.1898</v>
      </c>
      <c r="E1545" s="27" t="s">
        <v>603</v>
      </c>
      <c r="F1545" s="27" t="s">
        <v>146</v>
      </c>
      <c r="G1545" s="32" t="n">
        <f aca="false">(A1545-A1544)*86400000</f>
        <v>31.999801</v>
      </c>
      <c r="H1545" s="3"/>
      <c r="I1545" s="3"/>
      <c r="J1545" s="3"/>
      <c r="K1545" s="3"/>
      <c r="L1545" s="3"/>
      <c r="M1545" s="3"/>
    </row>
    <row r="1546" customFormat="false" ht="15" hidden="false" customHeight="false" outlineLevel="0" collapsed="false">
      <c r="A1546" s="28" t="n">
        <v>46301.5243028935</v>
      </c>
      <c r="B1546" s="31" t="n">
        <f aca="false">(A1546-$A$5)*86400</f>
        <v>56.132000405</v>
      </c>
      <c r="C1546" s="27" t="n">
        <v>1.4578</v>
      </c>
      <c r="D1546" s="27" t="n">
        <v>1.1908</v>
      </c>
      <c r="E1546" s="27" t="s">
        <v>603</v>
      </c>
      <c r="F1546" s="27" t="s">
        <v>146</v>
      </c>
      <c r="G1546" s="32" t="n">
        <f aca="false">(A1546-A1545)*86400000</f>
        <v>32.000429</v>
      </c>
      <c r="H1546" s="3"/>
      <c r="I1546" s="3"/>
      <c r="J1546" s="3"/>
      <c r="K1546" s="3"/>
      <c r="L1546" s="3"/>
      <c r="M1546" s="3"/>
    </row>
    <row r="1547" customFormat="false" ht="15" hidden="false" customHeight="false" outlineLevel="0" collapsed="false">
      <c r="A1547" s="28" t="n">
        <v>46301.5243032639</v>
      </c>
      <c r="B1547" s="31" t="n">
        <f aca="false">(A1547-$A$5)*86400</f>
        <v>56.164000206</v>
      </c>
      <c r="C1547" s="27" t="n">
        <v>1.4587</v>
      </c>
      <c r="D1547" s="27" t="n">
        <v>1.1916</v>
      </c>
      <c r="E1547" s="27" t="s">
        <v>603</v>
      </c>
      <c r="F1547" s="27" t="s">
        <v>146</v>
      </c>
      <c r="G1547" s="32" t="n">
        <f aca="false">(A1547-A1546)*86400000</f>
        <v>31.999801</v>
      </c>
      <c r="H1547" s="3"/>
      <c r="I1547" s="3"/>
      <c r="J1547" s="3"/>
      <c r="K1547" s="3"/>
      <c r="L1547" s="3"/>
      <c r="M1547" s="3"/>
    </row>
    <row r="1548" customFormat="false" ht="15" hidden="false" customHeight="false" outlineLevel="0" collapsed="false">
      <c r="A1548" s="28" t="n">
        <v>46301.5243036343</v>
      </c>
      <c r="B1548" s="31" t="n">
        <f aca="false">(A1548-$A$5)*86400</f>
        <v>56.196000007</v>
      </c>
      <c r="C1548" s="27" t="n">
        <v>1.4593</v>
      </c>
      <c r="D1548" s="27" t="n">
        <v>1.1921</v>
      </c>
      <c r="E1548" s="27" t="s">
        <v>603</v>
      </c>
      <c r="F1548" s="27" t="s">
        <v>146</v>
      </c>
      <c r="G1548" s="32" t="n">
        <f aca="false">(A1548-A1547)*86400000</f>
        <v>31.999801</v>
      </c>
      <c r="H1548" s="3"/>
      <c r="I1548" s="3"/>
      <c r="J1548" s="3"/>
      <c r="K1548" s="3"/>
      <c r="L1548" s="3"/>
      <c r="M1548" s="3"/>
    </row>
    <row r="1549" customFormat="false" ht="15" hidden="false" customHeight="false" outlineLevel="0" collapsed="false">
      <c r="A1549" s="28" t="n">
        <v>46301.5243152199</v>
      </c>
      <c r="B1549" s="31" t="n">
        <f aca="false">(A1549-$A$5)*86400</f>
        <v>57.197000412</v>
      </c>
      <c r="C1549" s="27" t="n">
        <v>1.3362</v>
      </c>
      <c r="D1549" s="27" t="n">
        <v>1.2882</v>
      </c>
      <c r="E1549" s="27" t="s">
        <v>603</v>
      </c>
      <c r="F1549" s="27" t="s">
        <v>146</v>
      </c>
      <c r="G1549" s="32" t="n">
        <f aca="false">(A1549-A1548)*86400000</f>
        <v>1001.000404</v>
      </c>
      <c r="H1549" s="3"/>
      <c r="I1549" s="3"/>
      <c r="J1549" s="3"/>
      <c r="K1549" s="3"/>
      <c r="L1549" s="3"/>
      <c r="M1549" s="3"/>
    </row>
    <row r="1550" customFormat="false" ht="15" hidden="false" customHeight="false" outlineLevel="0" collapsed="false">
      <c r="A1550" s="28" t="n">
        <v>46301.5243153935</v>
      </c>
      <c r="B1550" s="31" t="n">
        <f aca="false">(A1550-$A$5)*86400</f>
        <v>57.212000456</v>
      </c>
      <c r="C1550" s="27" t="n">
        <v>1.2335</v>
      </c>
      <c r="D1550" s="27" t="n">
        <v>1.3666</v>
      </c>
      <c r="E1550" s="27" t="s">
        <v>603</v>
      </c>
      <c r="F1550" s="27" t="s">
        <v>146</v>
      </c>
      <c r="G1550" s="32" t="n">
        <f aca="false">(A1550-A1549)*86400000</f>
        <v>15.000044</v>
      </c>
      <c r="H1550" s="3"/>
      <c r="I1550" s="3"/>
      <c r="J1550" s="3"/>
      <c r="K1550" s="3"/>
      <c r="L1550" s="3"/>
      <c r="M1550" s="3"/>
    </row>
    <row r="1551" customFormat="false" ht="15" hidden="false" customHeight="false" outlineLevel="0" collapsed="false">
      <c r="A1551" s="28" t="n">
        <v>46301.5243155903</v>
      </c>
      <c r="B1551" s="31" t="n">
        <f aca="false">(A1551-$A$5)*86400</f>
        <v>57.229000213</v>
      </c>
      <c r="C1551" s="27" t="n">
        <v>1.1487</v>
      </c>
      <c r="D1551" s="27" t="n">
        <v>1.4314</v>
      </c>
      <c r="E1551" s="27" t="s">
        <v>603</v>
      </c>
      <c r="F1551" s="27" t="s">
        <v>146</v>
      </c>
      <c r="G1551" s="32" t="n">
        <f aca="false">(A1551-A1550)*86400000</f>
        <v>16.999756</v>
      </c>
      <c r="H1551" s="3"/>
      <c r="I1551" s="3"/>
      <c r="J1551" s="3"/>
      <c r="K1551" s="3"/>
      <c r="L1551" s="3"/>
      <c r="M1551" s="3"/>
    </row>
    <row r="1552" customFormat="false" ht="15" hidden="false" customHeight="false" outlineLevel="0" collapsed="false">
      <c r="A1552" s="28" t="n">
        <v>46301.5243157755</v>
      </c>
      <c r="B1552" s="31" t="n">
        <f aca="false">(A1552-$A$5)*86400</f>
        <v>57.244999799</v>
      </c>
      <c r="C1552" s="27" t="n">
        <v>1.0788</v>
      </c>
      <c r="D1552" s="27" t="n">
        <v>1.4848</v>
      </c>
      <c r="E1552" s="27" t="s">
        <v>603</v>
      </c>
      <c r="F1552" s="27" t="s">
        <v>146</v>
      </c>
      <c r="G1552" s="32" t="n">
        <f aca="false">(A1552-A1551)*86400000</f>
        <v>15.999586</v>
      </c>
      <c r="H1552" s="3"/>
      <c r="I1552" s="3"/>
      <c r="J1552" s="3"/>
      <c r="K1552" s="3"/>
      <c r="L1552" s="3"/>
      <c r="M1552" s="3"/>
    </row>
    <row r="1553" customFormat="false" ht="15" hidden="false" customHeight="false" outlineLevel="0" collapsed="false">
      <c r="A1553" s="28" t="n">
        <v>46301.5243159607</v>
      </c>
      <c r="B1553" s="31" t="n">
        <f aca="false">(A1553-$A$5)*86400</f>
        <v>57.261000014</v>
      </c>
      <c r="C1553" s="27" t="n">
        <v>1.0211</v>
      </c>
      <c r="D1553" s="27" t="n">
        <v>1.5289</v>
      </c>
      <c r="E1553" s="27" t="s">
        <v>603</v>
      </c>
      <c r="F1553" s="27" t="s">
        <v>146</v>
      </c>
      <c r="G1553" s="32" t="n">
        <f aca="false">(A1553-A1552)*86400000</f>
        <v>16.000214</v>
      </c>
      <c r="H1553" s="3"/>
      <c r="I1553" s="3"/>
      <c r="J1553" s="3"/>
      <c r="K1553" s="3"/>
      <c r="L1553" s="3"/>
      <c r="M1553" s="3"/>
    </row>
    <row r="1554" customFormat="false" ht="15" hidden="false" customHeight="false" outlineLevel="0" collapsed="false">
      <c r="A1554" s="28" t="n">
        <v>46301.5243161458</v>
      </c>
      <c r="B1554" s="31" t="n">
        <f aca="false">(A1554-$A$5)*86400</f>
        <v>57.276999601</v>
      </c>
      <c r="C1554" s="27" t="n">
        <v>0.9707</v>
      </c>
      <c r="D1554" s="27" t="n">
        <v>1.5674</v>
      </c>
      <c r="E1554" s="27" t="s">
        <v>603</v>
      </c>
      <c r="F1554" s="27" t="s">
        <v>146</v>
      </c>
      <c r="G1554" s="32" t="n">
        <f aca="false">(A1554-A1553)*86400000</f>
        <v>15.999586</v>
      </c>
      <c r="H1554" s="3"/>
      <c r="I1554" s="3"/>
      <c r="J1554" s="3"/>
      <c r="K1554" s="3"/>
      <c r="L1554" s="3"/>
      <c r="M1554" s="3"/>
    </row>
    <row r="1555" customFormat="false" ht="15" hidden="false" customHeight="false" outlineLevel="0" collapsed="false">
      <c r="A1555" s="28" t="n">
        <v>46301.524316331</v>
      </c>
      <c r="B1555" s="31" t="n">
        <f aca="false">(A1555-$A$5)*86400</f>
        <v>57.293000444</v>
      </c>
      <c r="C1555" s="27" t="n">
        <v>0.9341</v>
      </c>
      <c r="D1555" s="27" t="n">
        <v>1.5954</v>
      </c>
      <c r="E1555" s="27" t="s">
        <v>603</v>
      </c>
      <c r="F1555" s="27" t="s">
        <v>146</v>
      </c>
      <c r="G1555" s="32" t="n">
        <f aca="false">(A1555-A1554)*86400000</f>
        <v>16.000843</v>
      </c>
      <c r="H1555" s="3"/>
      <c r="I1555" s="3"/>
      <c r="J1555" s="3"/>
      <c r="K1555" s="3"/>
      <c r="L1555" s="3"/>
      <c r="M1555" s="3"/>
    </row>
    <row r="1556" customFormat="false" ht="15" hidden="false" customHeight="false" outlineLevel="0" collapsed="false">
      <c r="A1556" s="28" t="n">
        <v>46301.5243165162</v>
      </c>
      <c r="B1556" s="31" t="n">
        <f aca="false">(A1556-$A$5)*86400</f>
        <v>57.309000031</v>
      </c>
      <c r="C1556" s="27" t="n">
        <v>0.9017</v>
      </c>
      <c r="D1556" s="27" t="n">
        <v>1.6202</v>
      </c>
      <c r="E1556" s="27" t="s">
        <v>603</v>
      </c>
      <c r="F1556" s="27" t="s">
        <v>146</v>
      </c>
      <c r="G1556" s="32" t="n">
        <f aca="false">(A1556-A1555)*86400000</f>
        <v>15.999586</v>
      </c>
      <c r="H1556" s="3"/>
      <c r="I1556" s="3"/>
      <c r="J1556" s="3"/>
      <c r="K1556" s="3"/>
      <c r="L1556" s="3"/>
      <c r="M1556" s="3"/>
    </row>
    <row r="1557" customFormat="false" ht="15" hidden="false" customHeight="false" outlineLevel="0" collapsed="false">
      <c r="A1557" s="28" t="n">
        <v>46301.5243167014</v>
      </c>
      <c r="B1557" s="31" t="n">
        <f aca="false">(A1557-$A$5)*86400</f>
        <v>57.325000246</v>
      </c>
      <c r="C1557" s="27" t="n">
        <v>0.8749</v>
      </c>
      <c r="D1557" s="27" t="n">
        <v>1.6406</v>
      </c>
      <c r="E1557" s="27" t="s">
        <v>603</v>
      </c>
      <c r="F1557" s="27" t="s">
        <v>146</v>
      </c>
      <c r="G1557" s="32" t="n">
        <f aca="false">(A1557-A1556)*86400000</f>
        <v>16.000214</v>
      </c>
      <c r="H1557" s="3"/>
      <c r="I1557" s="3"/>
      <c r="J1557" s="3"/>
      <c r="K1557" s="3"/>
      <c r="L1557" s="3"/>
      <c r="M1557" s="3"/>
    </row>
    <row r="1558" customFormat="false" ht="15" hidden="false" customHeight="false" outlineLevel="0" collapsed="false">
      <c r="A1558" s="28" t="n">
        <v>46301.5243168866</v>
      </c>
      <c r="B1558" s="31" t="n">
        <f aca="false">(A1558-$A$5)*86400</f>
        <v>57.340999832</v>
      </c>
      <c r="C1558" s="27" t="n">
        <v>0.8528</v>
      </c>
      <c r="D1558" s="27" t="n">
        <v>1.6575</v>
      </c>
      <c r="E1558" s="27" t="s">
        <v>603</v>
      </c>
      <c r="F1558" s="27" t="s">
        <v>146</v>
      </c>
      <c r="G1558" s="32" t="n">
        <f aca="false">(A1558-A1557)*86400000</f>
        <v>15.999586</v>
      </c>
      <c r="H1558" s="3"/>
      <c r="I1558" s="3"/>
      <c r="J1558" s="3"/>
      <c r="K1558" s="3"/>
      <c r="L1558" s="3"/>
      <c r="M1558" s="3"/>
    </row>
    <row r="1559" customFormat="false" ht="15" hidden="false" customHeight="false" outlineLevel="0" collapsed="false">
      <c r="A1559" s="28" t="n">
        <v>46301.5243170718</v>
      </c>
      <c r="B1559" s="31" t="n">
        <f aca="false">(A1559-$A$5)*86400</f>
        <v>57.357000047</v>
      </c>
      <c r="C1559" s="27" t="n">
        <v>0.8345</v>
      </c>
      <c r="D1559" s="27" t="n">
        <v>1.6714</v>
      </c>
      <c r="E1559" s="27" t="s">
        <v>603</v>
      </c>
      <c r="F1559" s="27" t="s">
        <v>146</v>
      </c>
      <c r="G1559" s="32" t="n">
        <f aca="false">(A1559-A1558)*86400000</f>
        <v>16.000214</v>
      </c>
      <c r="H1559" s="3"/>
      <c r="I1559" s="3"/>
      <c r="J1559" s="3"/>
      <c r="K1559" s="3"/>
      <c r="L1559" s="3"/>
      <c r="M1559" s="3"/>
    </row>
    <row r="1560" customFormat="false" ht="15" hidden="false" customHeight="false" outlineLevel="0" collapsed="false">
      <c r="A1560" s="28" t="n">
        <v>46301.524317257</v>
      </c>
      <c r="B1560" s="31" t="n">
        <f aca="false">(A1560-$A$5)*86400</f>
        <v>57.37300089</v>
      </c>
      <c r="C1560" s="27" t="n">
        <v>0.8195</v>
      </c>
      <c r="D1560" s="27" t="n">
        <v>1.6829</v>
      </c>
      <c r="E1560" s="27" t="s">
        <v>603</v>
      </c>
      <c r="F1560" s="27" t="s">
        <v>146</v>
      </c>
      <c r="G1560" s="32" t="n">
        <f aca="false">(A1560-A1559)*86400000</f>
        <v>16.000843</v>
      </c>
      <c r="H1560" s="3"/>
      <c r="I1560" s="3"/>
      <c r="J1560" s="3"/>
      <c r="K1560" s="3"/>
      <c r="L1560" s="3"/>
      <c r="M1560" s="3"/>
    </row>
    <row r="1561" customFormat="false" ht="15" hidden="false" customHeight="false" outlineLevel="0" collapsed="false">
      <c r="A1561" s="28" t="n">
        <v>46301.5243174421</v>
      </c>
      <c r="B1561" s="31" t="n">
        <f aca="false">(A1561-$A$5)*86400</f>
        <v>57.388999848</v>
      </c>
      <c r="C1561" s="27" t="n">
        <v>0.8071</v>
      </c>
      <c r="D1561" s="27" t="n">
        <v>1.6924</v>
      </c>
      <c r="E1561" s="27" t="s">
        <v>603</v>
      </c>
      <c r="F1561" s="27" t="s">
        <v>146</v>
      </c>
      <c r="G1561" s="32" t="n">
        <f aca="false">(A1561-A1560)*86400000</f>
        <v>15.998957</v>
      </c>
      <c r="H1561" s="3"/>
      <c r="I1561" s="3"/>
      <c r="J1561" s="3"/>
      <c r="K1561" s="3"/>
      <c r="L1561" s="3"/>
      <c r="M1561" s="3"/>
    </row>
    <row r="1562" customFormat="false" ht="15" hidden="false" customHeight="false" outlineLevel="0" collapsed="false">
      <c r="A1562" s="28" t="n">
        <v>46301.5243176273</v>
      </c>
      <c r="B1562" s="31" t="n">
        <f aca="false">(A1562-$A$5)*86400</f>
        <v>57.404999434</v>
      </c>
      <c r="C1562" s="27" t="n">
        <v>0.7962</v>
      </c>
      <c r="D1562" s="27" t="n">
        <v>1.7007</v>
      </c>
      <c r="E1562" s="27" t="s">
        <v>603</v>
      </c>
      <c r="F1562" s="27" t="s">
        <v>146</v>
      </c>
      <c r="G1562" s="32" t="n">
        <f aca="false">(A1562-A1561)*86400000</f>
        <v>15.999586</v>
      </c>
      <c r="H1562" s="3"/>
      <c r="I1562" s="3"/>
      <c r="J1562" s="3"/>
      <c r="K1562" s="3"/>
      <c r="L1562" s="3"/>
      <c r="M1562" s="3"/>
    </row>
    <row r="1563" customFormat="false" ht="15" hidden="false" customHeight="false" outlineLevel="0" collapsed="false">
      <c r="A1563" s="28" t="n">
        <v>46301.5243178241</v>
      </c>
      <c r="B1563" s="31" t="n">
        <f aca="false">(A1563-$A$5)*86400</f>
        <v>57.42199982</v>
      </c>
      <c r="C1563" s="27" t="n">
        <v>0.7903</v>
      </c>
      <c r="D1563" s="27" t="n">
        <v>1.7112</v>
      </c>
      <c r="E1563" s="27" t="s">
        <v>603</v>
      </c>
      <c r="F1563" s="27" t="s">
        <v>146</v>
      </c>
      <c r="G1563" s="32" t="n">
        <f aca="false">(A1563-A1562)*86400000</f>
        <v>17.000385</v>
      </c>
      <c r="H1563" s="3"/>
      <c r="I1563" s="3"/>
      <c r="J1563" s="3"/>
      <c r="K1563" s="3"/>
      <c r="L1563" s="3"/>
      <c r="M1563" s="3"/>
    </row>
    <row r="1564" customFormat="false" ht="15" hidden="false" customHeight="false" outlineLevel="0" collapsed="false">
      <c r="A1564" s="28" t="n">
        <v>46301.5243180093</v>
      </c>
      <c r="B1564" s="31" t="n">
        <f aca="false">(A1564-$A$5)*86400</f>
        <v>57.438000035</v>
      </c>
      <c r="C1564" s="27" t="n">
        <v>0.7855</v>
      </c>
      <c r="D1564" s="27" t="n">
        <v>1.7199</v>
      </c>
      <c r="E1564" s="27" t="s">
        <v>603</v>
      </c>
      <c r="F1564" s="27" t="s">
        <v>146</v>
      </c>
      <c r="G1564" s="32" t="n">
        <f aca="false">(A1564-A1563)*86400000</f>
        <v>16.000214</v>
      </c>
      <c r="H1564" s="3"/>
      <c r="I1564" s="3"/>
      <c r="J1564" s="3"/>
      <c r="K1564" s="3"/>
      <c r="L1564" s="3"/>
      <c r="M1564" s="3"/>
    </row>
    <row r="1565" customFormat="false" ht="15" hidden="false" customHeight="false" outlineLevel="0" collapsed="false">
      <c r="A1565" s="28" t="n">
        <v>46301.5243181829</v>
      </c>
      <c r="B1565" s="31" t="n">
        <f aca="false">(A1565-$A$5)*86400</f>
        <v>57.453000079</v>
      </c>
      <c r="C1565" s="27" t="n">
        <v>0.7815</v>
      </c>
      <c r="D1565" s="27" t="n">
        <v>1.727</v>
      </c>
      <c r="E1565" s="27" t="s">
        <v>603</v>
      </c>
      <c r="F1565" s="27" t="s">
        <v>146</v>
      </c>
      <c r="G1565" s="32" t="n">
        <f aca="false">(A1565-A1564)*86400000</f>
        <v>15.000044</v>
      </c>
      <c r="H1565" s="3"/>
      <c r="I1565" s="3"/>
      <c r="J1565" s="3"/>
      <c r="K1565" s="3"/>
      <c r="L1565" s="3"/>
      <c r="M1565" s="3"/>
    </row>
    <row r="1566" customFormat="false" ht="15" hidden="false" customHeight="false" outlineLevel="0" collapsed="false">
      <c r="A1566" s="28" t="n">
        <v>46301.5243183796</v>
      </c>
      <c r="B1566" s="31" t="n">
        <f aca="false">(A1566-$A$5)*86400</f>
        <v>57.469999836</v>
      </c>
      <c r="C1566" s="27" t="n">
        <v>0.778</v>
      </c>
      <c r="D1566" s="27" t="n">
        <v>1.7333</v>
      </c>
      <c r="E1566" s="27" t="s">
        <v>603</v>
      </c>
      <c r="F1566" s="27" t="s">
        <v>146</v>
      </c>
      <c r="G1566" s="32" t="n">
        <f aca="false">(A1566-A1565)*86400000</f>
        <v>16.999756</v>
      </c>
      <c r="H1566" s="3"/>
      <c r="I1566" s="3"/>
      <c r="J1566" s="3"/>
      <c r="K1566" s="3"/>
      <c r="L1566" s="3"/>
      <c r="M1566" s="3"/>
    </row>
    <row r="1567" customFormat="false" ht="15" hidden="false" customHeight="false" outlineLevel="0" collapsed="false">
      <c r="A1567" s="28" t="n">
        <v>46301.5243185764</v>
      </c>
      <c r="B1567" s="31" t="n">
        <f aca="false">(A1567-$A$5)*86400</f>
        <v>57.487000222</v>
      </c>
      <c r="C1567" s="27" t="n">
        <v>0.7753</v>
      </c>
      <c r="D1567" s="27" t="n">
        <v>1.7381</v>
      </c>
      <c r="E1567" s="27" t="s">
        <v>603</v>
      </c>
      <c r="F1567" s="27" t="s">
        <v>146</v>
      </c>
      <c r="G1567" s="32" t="n">
        <f aca="false">(A1567-A1566)*86400000</f>
        <v>17.000385</v>
      </c>
      <c r="H1567" s="3"/>
      <c r="I1567" s="3"/>
      <c r="J1567" s="3"/>
      <c r="K1567" s="3"/>
      <c r="L1567" s="3"/>
      <c r="M1567" s="3"/>
    </row>
    <row r="1568" customFormat="false" ht="15" hidden="false" customHeight="false" outlineLevel="0" collapsed="false">
      <c r="A1568" s="28" t="n">
        <v>46301.5243187616</v>
      </c>
      <c r="B1568" s="31" t="n">
        <f aca="false">(A1568-$A$5)*86400</f>
        <v>57.502999808</v>
      </c>
      <c r="C1568" s="27" t="n">
        <v>0.7731</v>
      </c>
      <c r="D1568" s="27" t="n">
        <v>1.7421</v>
      </c>
      <c r="E1568" s="27" t="s">
        <v>603</v>
      </c>
      <c r="F1568" s="27" t="s">
        <v>146</v>
      </c>
      <c r="G1568" s="32" t="n">
        <f aca="false">(A1568-A1567)*86400000</f>
        <v>15.999586</v>
      </c>
      <c r="H1568" s="3"/>
      <c r="I1568" s="3"/>
      <c r="J1568" s="3"/>
      <c r="K1568" s="3"/>
      <c r="L1568" s="3"/>
      <c r="M1568" s="3"/>
    </row>
    <row r="1569" customFormat="false" ht="15" hidden="false" customHeight="false" outlineLevel="0" collapsed="false">
      <c r="A1569" s="28" t="n">
        <v>46301.5243189468</v>
      </c>
      <c r="B1569" s="31" t="n">
        <f aca="false">(A1569-$A$5)*86400</f>
        <v>57.519000023</v>
      </c>
      <c r="C1569" s="27" t="n">
        <v>0.7713</v>
      </c>
      <c r="D1569" s="27" t="n">
        <v>1.7454</v>
      </c>
      <c r="E1569" s="27" t="s">
        <v>603</v>
      </c>
      <c r="F1569" s="27" t="s">
        <v>146</v>
      </c>
      <c r="G1569" s="32" t="n">
        <f aca="false">(A1569-A1568)*86400000</f>
        <v>16.000214</v>
      </c>
      <c r="H1569" s="3"/>
      <c r="I1569" s="3"/>
      <c r="J1569" s="3"/>
      <c r="K1569" s="3"/>
      <c r="L1569" s="3"/>
      <c r="M1569" s="3"/>
    </row>
    <row r="1570" customFormat="false" ht="15" hidden="false" customHeight="false" outlineLevel="0" collapsed="false">
      <c r="A1570" s="28" t="n">
        <v>46301.524319132</v>
      </c>
      <c r="B1570" s="31" t="n">
        <f aca="false">(A1570-$A$5)*86400</f>
        <v>57.535000867</v>
      </c>
      <c r="C1570" s="27" t="n">
        <v>0.7698</v>
      </c>
      <c r="D1570" s="27" t="n">
        <v>1.7481</v>
      </c>
      <c r="E1570" s="27" t="s">
        <v>603</v>
      </c>
      <c r="F1570" s="27" t="s">
        <v>146</v>
      </c>
      <c r="G1570" s="32" t="n">
        <f aca="false">(A1570-A1569)*86400000</f>
        <v>16.000843</v>
      </c>
      <c r="H1570" s="3"/>
      <c r="I1570" s="3"/>
      <c r="J1570" s="3"/>
      <c r="K1570" s="3"/>
      <c r="L1570" s="3"/>
      <c r="M1570" s="3"/>
    </row>
    <row r="1571" customFormat="false" ht="15" hidden="false" customHeight="false" outlineLevel="0" collapsed="false">
      <c r="A1571" s="28" t="n">
        <v>46301.5243193171</v>
      </c>
      <c r="B1571" s="31" t="n">
        <f aca="false">(A1571-$A$5)*86400</f>
        <v>57.551000453</v>
      </c>
      <c r="C1571" s="27" t="n">
        <v>0.7685</v>
      </c>
      <c r="D1571" s="27" t="n">
        <v>1.7503</v>
      </c>
      <c r="E1571" s="27" t="s">
        <v>603</v>
      </c>
      <c r="F1571" s="27" t="s">
        <v>146</v>
      </c>
      <c r="G1571" s="32" t="n">
        <f aca="false">(A1571-A1570)*86400000</f>
        <v>15.999586</v>
      </c>
      <c r="H1571" s="3"/>
      <c r="I1571" s="3"/>
      <c r="J1571" s="3"/>
      <c r="K1571" s="3"/>
      <c r="L1571" s="3"/>
      <c r="M1571" s="3"/>
    </row>
    <row r="1572" customFormat="false" ht="15" hidden="false" customHeight="false" outlineLevel="0" collapsed="false">
      <c r="A1572" s="28" t="n">
        <v>46301.5243195023</v>
      </c>
      <c r="B1572" s="31" t="n">
        <f aca="false">(A1572-$A$5)*86400</f>
        <v>57.566999411</v>
      </c>
      <c r="C1572" s="27" t="n">
        <v>0.7675</v>
      </c>
      <c r="D1572" s="27" t="n">
        <v>1.7521</v>
      </c>
      <c r="E1572" s="27" t="s">
        <v>603</v>
      </c>
      <c r="F1572" s="27" t="s">
        <v>146</v>
      </c>
      <c r="G1572" s="32" t="n">
        <f aca="false">(A1572-A1571)*86400000</f>
        <v>15.998957</v>
      </c>
      <c r="H1572" s="3"/>
      <c r="I1572" s="3"/>
      <c r="J1572" s="3"/>
      <c r="K1572" s="3"/>
      <c r="L1572" s="3"/>
      <c r="M1572" s="3"/>
    </row>
    <row r="1573" customFormat="false" ht="15" hidden="false" customHeight="false" outlineLevel="0" collapsed="false">
      <c r="A1573" s="28" t="n">
        <v>46301.5243196875</v>
      </c>
      <c r="B1573" s="31" t="n">
        <f aca="false">(A1573-$A$5)*86400</f>
        <v>57.583000254</v>
      </c>
      <c r="C1573" s="27" t="n">
        <v>0.7666</v>
      </c>
      <c r="D1573" s="27" t="n">
        <v>1.7538</v>
      </c>
      <c r="E1573" s="27" t="s">
        <v>603</v>
      </c>
      <c r="F1573" s="27" t="s">
        <v>146</v>
      </c>
      <c r="G1573" s="32" t="n">
        <f aca="false">(A1573-A1572)*86400000</f>
        <v>16.000843</v>
      </c>
      <c r="H1573" s="3"/>
      <c r="I1573" s="3"/>
      <c r="J1573" s="3"/>
      <c r="K1573" s="3"/>
      <c r="L1573" s="3"/>
      <c r="M1573" s="3"/>
    </row>
    <row r="1574" customFormat="false" ht="15" hidden="false" customHeight="false" outlineLevel="0" collapsed="false">
      <c r="A1574" s="28" t="n">
        <v>46301.5243198727</v>
      </c>
      <c r="B1574" s="31" t="n">
        <f aca="false">(A1574-$A$5)*86400</f>
        <v>57.598999841</v>
      </c>
      <c r="C1574" s="27" t="n">
        <v>0.7659</v>
      </c>
      <c r="D1574" s="27" t="n">
        <v>1.755</v>
      </c>
      <c r="E1574" s="27" t="s">
        <v>603</v>
      </c>
      <c r="F1574" s="27" t="s">
        <v>146</v>
      </c>
      <c r="G1574" s="32" t="n">
        <f aca="false">(A1574-A1573)*86400000</f>
        <v>15.999586</v>
      </c>
      <c r="H1574" s="3"/>
      <c r="I1574" s="3"/>
      <c r="J1574" s="3"/>
      <c r="K1574" s="3"/>
      <c r="L1574" s="3"/>
      <c r="M1574" s="3"/>
    </row>
    <row r="1575" customFormat="false" ht="15" hidden="false" customHeight="false" outlineLevel="0" collapsed="false">
      <c r="A1575" s="28" t="n">
        <v>46301.5243202431</v>
      </c>
      <c r="B1575" s="31" t="n">
        <f aca="false">(A1575-$A$5)*86400</f>
        <v>57.631000271</v>
      </c>
      <c r="C1575" s="27" t="n">
        <v>0.7648</v>
      </c>
      <c r="D1575" s="27" t="n">
        <v>1.7569</v>
      </c>
      <c r="E1575" s="27" t="s">
        <v>603</v>
      </c>
      <c r="F1575" s="27" t="s">
        <v>146</v>
      </c>
      <c r="G1575" s="32" t="n">
        <f aca="false">(A1575-A1574)*86400000</f>
        <v>32.000429</v>
      </c>
      <c r="H1575" s="3"/>
      <c r="I1575" s="3"/>
      <c r="J1575" s="3"/>
      <c r="K1575" s="3"/>
      <c r="L1575" s="3"/>
      <c r="M1575" s="3"/>
    </row>
    <row r="1576" customFormat="false" ht="15" hidden="false" customHeight="false" outlineLevel="0" collapsed="false">
      <c r="A1576" s="28" t="n">
        <v>46301.5243207986</v>
      </c>
      <c r="B1576" s="31" t="n">
        <f aca="false">(A1576-$A$5)*86400</f>
        <v>57.679000287</v>
      </c>
      <c r="C1576" s="27" t="n">
        <v>0.747</v>
      </c>
      <c r="D1576" s="27" t="n">
        <v>1.7738</v>
      </c>
      <c r="E1576" s="27" t="s">
        <v>603</v>
      </c>
      <c r="F1576" s="27" t="s">
        <v>146</v>
      </c>
      <c r="G1576" s="32" t="n">
        <f aca="false">(A1576-A1575)*86400000</f>
        <v>48.000016</v>
      </c>
      <c r="H1576" s="3"/>
      <c r="I1576" s="3"/>
      <c r="J1576" s="3"/>
      <c r="K1576" s="3"/>
      <c r="L1576" s="3"/>
      <c r="M1576" s="3"/>
    </row>
    <row r="1577" customFormat="false" ht="15" hidden="false" customHeight="false" outlineLevel="0" collapsed="false">
      <c r="A1577" s="28" t="n">
        <v>46301.5243209838</v>
      </c>
      <c r="B1577" s="31" t="n">
        <f aca="false">(A1577-$A$5)*86400</f>
        <v>57.694999873</v>
      </c>
      <c r="C1577" s="27" t="n">
        <v>0.7329</v>
      </c>
      <c r="D1577" s="27" t="n">
        <v>1.7867</v>
      </c>
      <c r="E1577" s="27" t="s">
        <v>603</v>
      </c>
      <c r="F1577" s="27" t="s">
        <v>146</v>
      </c>
      <c r="G1577" s="32" t="n">
        <f aca="false">(A1577-A1576)*86400000</f>
        <v>15.999586</v>
      </c>
      <c r="H1577" s="3"/>
      <c r="I1577" s="3"/>
      <c r="J1577" s="3"/>
      <c r="K1577" s="3"/>
      <c r="L1577" s="3"/>
      <c r="M1577" s="3"/>
    </row>
    <row r="1578" customFormat="false" ht="15" hidden="false" customHeight="false" outlineLevel="0" collapsed="false">
      <c r="A1578" s="28" t="n">
        <v>46301.524321169</v>
      </c>
      <c r="B1578" s="31" t="n">
        <f aca="false">(A1578-$A$5)*86400</f>
        <v>57.711000088</v>
      </c>
      <c r="C1578" s="27" t="n">
        <v>0.7213</v>
      </c>
      <c r="D1578" s="27" t="n">
        <v>1.7974</v>
      </c>
      <c r="E1578" s="27" t="s">
        <v>603</v>
      </c>
      <c r="F1578" s="27" t="s">
        <v>146</v>
      </c>
      <c r="G1578" s="32" t="n">
        <f aca="false">(A1578-A1577)*86400000</f>
        <v>16.000214</v>
      </c>
      <c r="H1578" s="3"/>
      <c r="I1578" s="3"/>
      <c r="J1578" s="3"/>
      <c r="K1578" s="3"/>
      <c r="L1578" s="3"/>
      <c r="M1578" s="3"/>
    </row>
    <row r="1579" customFormat="false" ht="15" hidden="false" customHeight="false" outlineLevel="0" collapsed="false">
      <c r="A1579" s="28" t="n">
        <v>46301.5243213542</v>
      </c>
      <c r="B1579" s="31" t="n">
        <f aca="false">(A1579-$A$5)*86400</f>
        <v>57.727000303</v>
      </c>
      <c r="C1579" s="27" t="n">
        <v>0.7117</v>
      </c>
      <c r="D1579" s="27" t="n">
        <v>1.8062</v>
      </c>
      <c r="E1579" s="27" t="s">
        <v>603</v>
      </c>
      <c r="F1579" s="27" t="s">
        <v>146</v>
      </c>
      <c r="G1579" s="32" t="n">
        <f aca="false">(A1579-A1578)*86400000</f>
        <v>16.000214</v>
      </c>
      <c r="H1579" s="3"/>
      <c r="I1579" s="3"/>
      <c r="J1579" s="3"/>
      <c r="K1579" s="3"/>
      <c r="L1579" s="3"/>
      <c r="M1579" s="3"/>
    </row>
    <row r="1580" customFormat="false" ht="15" hidden="false" customHeight="false" outlineLevel="0" collapsed="false">
      <c r="A1580" s="28" t="n">
        <v>46301.5243215394</v>
      </c>
      <c r="B1580" s="31" t="n">
        <f aca="false">(A1580-$A$5)*86400</f>
        <v>57.742999889</v>
      </c>
      <c r="C1580" s="27" t="n">
        <v>0.7038</v>
      </c>
      <c r="D1580" s="27" t="n">
        <v>1.8134</v>
      </c>
      <c r="E1580" s="27" t="s">
        <v>603</v>
      </c>
      <c r="F1580" s="27" t="s">
        <v>146</v>
      </c>
      <c r="G1580" s="32" t="n">
        <f aca="false">(A1580-A1579)*86400000</f>
        <v>15.999586</v>
      </c>
      <c r="H1580" s="3"/>
      <c r="I1580" s="3"/>
      <c r="J1580" s="3"/>
      <c r="K1580" s="3"/>
      <c r="L1580" s="3"/>
      <c r="M1580" s="3"/>
    </row>
    <row r="1581" customFormat="false" ht="15" hidden="false" customHeight="false" outlineLevel="0" collapsed="false">
      <c r="A1581" s="28" t="n">
        <v>46301.5243217245</v>
      </c>
      <c r="B1581" s="31" t="n">
        <f aca="false">(A1581-$A$5)*86400</f>
        <v>57.759000104</v>
      </c>
      <c r="C1581" s="27" t="n">
        <v>0.6972</v>
      </c>
      <c r="D1581" s="27" t="n">
        <v>1.8194</v>
      </c>
      <c r="E1581" s="27" t="s">
        <v>603</v>
      </c>
      <c r="F1581" s="27" t="s">
        <v>146</v>
      </c>
      <c r="G1581" s="32" t="n">
        <f aca="false">(A1581-A1580)*86400000</f>
        <v>16.000214</v>
      </c>
      <c r="H1581" s="3"/>
      <c r="I1581" s="3"/>
      <c r="J1581" s="3"/>
      <c r="K1581" s="3"/>
      <c r="L1581" s="3"/>
      <c r="M1581" s="3"/>
    </row>
    <row r="1582" customFormat="false" ht="15" hidden="false" customHeight="false" outlineLevel="0" collapsed="false">
      <c r="A1582" s="28" t="n">
        <v>46301.5243219097</v>
      </c>
      <c r="B1582" s="31" t="n">
        <f aca="false">(A1582-$A$5)*86400</f>
        <v>57.774999691</v>
      </c>
      <c r="C1582" s="27" t="n">
        <v>0.6915</v>
      </c>
      <c r="D1582" s="27" t="n">
        <v>1.8246</v>
      </c>
      <c r="E1582" s="27" t="s">
        <v>603</v>
      </c>
      <c r="F1582" s="27" t="s">
        <v>146</v>
      </c>
      <c r="G1582" s="32" t="n">
        <f aca="false">(A1582-A1581)*86400000</f>
        <v>15.999586</v>
      </c>
      <c r="H1582" s="3"/>
      <c r="I1582" s="3"/>
      <c r="J1582" s="3"/>
      <c r="K1582" s="3"/>
      <c r="L1582" s="3"/>
      <c r="M1582" s="3"/>
    </row>
    <row r="1583" customFormat="false" ht="15" hidden="false" customHeight="false" outlineLevel="0" collapsed="false">
      <c r="A1583" s="28" t="n">
        <v>46301.5243221065</v>
      </c>
      <c r="B1583" s="31" t="n">
        <f aca="false">(A1583-$A$5)*86400</f>
        <v>57.792000076</v>
      </c>
      <c r="C1583" s="27" t="n">
        <v>0.6777</v>
      </c>
      <c r="D1583" s="27" t="n">
        <v>1.8251</v>
      </c>
      <c r="E1583" s="27" t="s">
        <v>603</v>
      </c>
      <c r="F1583" s="27" t="s">
        <v>146</v>
      </c>
      <c r="G1583" s="32" t="n">
        <f aca="false">(A1583-A1582)*86400000</f>
        <v>17.000385</v>
      </c>
      <c r="H1583" s="3"/>
      <c r="I1583" s="3"/>
      <c r="J1583" s="3"/>
      <c r="K1583" s="3"/>
      <c r="L1583" s="3"/>
      <c r="M1583" s="3"/>
    </row>
    <row r="1584" customFormat="false" ht="15" hidden="false" customHeight="false" outlineLevel="0" collapsed="false">
      <c r="A1584" s="28" t="n">
        <v>46301.5243222917</v>
      </c>
      <c r="B1584" s="31" t="n">
        <f aca="false">(A1584-$A$5)*86400</f>
        <v>57.808000291</v>
      </c>
      <c r="C1584" s="27" t="n">
        <v>0.6663</v>
      </c>
      <c r="D1584" s="27" t="n">
        <v>1.8256</v>
      </c>
      <c r="E1584" s="27" t="s">
        <v>603</v>
      </c>
      <c r="F1584" s="27" t="s">
        <v>146</v>
      </c>
      <c r="G1584" s="32" t="n">
        <f aca="false">(A1584-A1583)*86400000</f>
        <v>16.000214</v>
      </c>
      <c r="H1584" s="3"/>
      <c r="I1584" s="3"/>
      <c r="J1584" s="3"/>
      <c r="K1584" s="3"/>
      <c r="L1584" s="3"/>
      <c r="M1584" s="3"/>
    </row>
    <row r="1585" customFormat="false" ht="15" hidden="false" customHeight="false" outlineLevel="0" collapsed="false">
      <c r="A1585" s="28" t="n">
        <v>46301.5243224769</v>
      </c>
      <c r="B1585" s="31" t="n">
        <f aca="false">(A1585-$A$5)*86400</f>
        <v>57.823999878</v>
      </c>
      <c r="C1585" s="27" t="n">
        <v>0.6569</v>
      </c>
      <c r="D1585" s="27" t="n">
        <v>1.8259</v>
      </c>
      <c r="E1585" s="27" t="s">
        <v>603</v>
      </c>
      <c r="F1585" s="27" t="s">
        <v>146</v>
      </c>
      <c r="G1585" s="32" t="n">
        <f aca="false">(A1585-A1584)*86400000</f>
        <v>15.999586</v>
      </c>
      <c r="H1585" s="3"/>
      <c r="I1585" s="3"/>
      <c r="J1585" s="3"/>
      <c r="K1585" s="3"/>
      <c r="L1585" s="3"/>
      <c r="M1585" s="3"/>
    </row>
    <row r="1586" customFormat="false" ht="15" hidden="false" customHeight="false" outlineLevel="0" collapsed="false">
      <c r="A1586" s="28" t="n">
        <v>46301.524322662</v>
      </c>
      <c r="B1586" s="31" t="n">
        <f aca="false">(A1586-$A$5)*86400</f>
        <v>57.840000092</v>
      </c>
      <c r="C1586" s="27" t="n">
        <v>0.6492</v>
      </c>
      <c r="D1586" s="27" t="n">
        <v>1.8262</v>
      </c>
      <c r="E1586" s="27" t="s">
        <v>603</v>
      </c>
      <c r="F1586" s="27" t="s">
        <v>146</v>
      </c>
      <c r="G1586" s="32" t="n">
        <f aca="false">(A1586-A1585)*86400000</f>
        <v>16.000214</v>
      </c>
      <c r="H1586" s="3"/>
      <c r="I1586" s="3"/>
      <c r="J1586" s="3"/>
      <c r="K1586" s="3"/>
      <c r="L1586" s="3"/>
      <c r="M1586" s="3"/>
    </row>
    <row r="1587" customFormat="false" ht="15" hidden="false" customHeight="false" outlineLevel="0" collapsed="false">
      <c r="A1587" s="28" t="n">
        <v>46301.5243228357</v>
      </c>
      <c r="B1587" s="31" t="n">
        <f aca="false">(A1587-$A$5)*86400</f>
        <v>57.855000137</v>
      </c>
      <c r="C1587" s="27" t="n">
        <v>0.6428</v>
      </c>
      <c r="D1587" s="27" t="n">
        <v>1.8264</v>
      </c>
      <c r="E1587" s="27" t="s">
        <v>603</v>
      </c>
      <c r="F1587" s="27" t="s">
        <v>146</v>
      </c>
      <c r="G1587" s="32" t="n">
        <f aca="false">(A1587-A1586)*86400000</f>
        <v>15.000044</v>
      </c>
      <c r="H1587" s="3"/>
      <c r="I1587" s="3"/>
      <c r="J1587" s="3"/>
      <c r="K1587" s="3"/>
      <c r="L1587" s="3"/>
      <c r="M1587" s="3"/>
    </row>
    <row r="1588" customFormat="false" ht="15" hidden="false" customHeight="false" outlineLevel="0" collapsed="false">
      <c r="A1588" s="28" t="n">
        <v>46301.5243230324</v>
      </c>
      <c r="B1588" s="31" t="n">
        <f aca="false">(A1588-$A$5)*86400</f>
        <v>57.871999265</v>
      </c>
      <c r="C1588" s="27" t="n">
        <v>0.6375</v>
      </c>
      <c r="D1588" s="27" t="n">
        <v>1.8266</v>
      </c>
      <c r="E1588" s="27" t="s">
        <v>603</v>
      </c>
      <c r="F1588" s="27" t="s">
        <v>146</v>
      </c>
      <c r="G1588" s="32" t="n">
        <f aca="false">(A1588-A1587)*86400000</f>
        <v>16.999128</v>
      </c>
      <c r="H1588" s="3"/>
      <c r="I1588" s="3"/>
      <c r="J1588" s="3"/>
      <c r="K1588" s="3"/>
      <c r="L1588" s="3"/>
      <c r="M1588" s="3"/>
    </row>
    <row r="1589" customFormat="false" ht="15" hidden="false" customHeight="false" outlineLevel="0" collapsed="false">
      <c r="A1589" s="28" t="n">
        <v>46301.524323206</v>
      </c>
      <c r="B1589" s="31" t="n">
        <f aca="false">(A1589-$A$5)*86400</f>
        <v>57.886999938</v>
      </c>
      <c r="C1589" s="27" t="n">
        <v>0.6331</v>
      </c>
      <c r="D1589" s="27" t="n">
        <v>1.8268</v>
      </c>
      <c r="E1589" s="27" t="s">
        <v>603</v>
      </c>
      <c r="F1589" s="27" t="s">
        <v>146</v>
      </c>
      <c r="G1589" s="32" t="n">
        <f aca="false">(A1589-A1588)*86400000</f>
        <v>15.000673</v>
      </c>
      <c r="H1589" s="3"/>
      <c r="I1589" s="3"/>
      <c r="J1589" s="3"/>
      <c r="K1589" s="3"/>
      <c r="L1589" s="3"/>
      <c r="M1589" s="3"/>
    </row>
    <row r="1590" customFormat="false" ht="15" hidden="false" customHeight="false" outlineLevel="0" collapsed="false">
      <c r="A1590" s="28" t="n">
        <v>46301.5243234028</v>
      </c>
      <c r="B1590" s="31" t="n">
        <f aca="false">(A1590-$A$5)*86400</f>
        <v>57.904000324</v>
      </c>
      <c r="C1590" s="27" t="n">
        <v>0.6266</v>
      </c>
      <c r="D1590" s="27" t="n">
        <v>1.8257</v>
      </c>
      <c r="E1590" s="27" t="s">
        <v>603</v>
      </c>
      <c r="F1590" s="27" t="s">
        <v>146</v>
      </c>
      <c r="G1590" s="32" t="n">
        <f aca="false">(A1590-A1589)*86400000</f>
        <v>17.000385</v>
      </c>
      <c r="H1590" s="3"/>
      <c r="I1590" s="3"/>
      <c r="J1590" s="3"/>
      <c r="K1590" s="3"/>
      <c r="L1590" s="3"/>
      <c r="M1590" s="3"/>
    </row>
    <row r="1591" customFormat="false" ht="15" hidden="false" customHeight="false" outlineLevel="0" collapsed="false">
      <c r="A1591" s="28" t="n">
        <v>46301.524323588</v>
      </c>
      <c r="B1591" s="31" t="n">
        <f aca="false">(A1591-$A$5)*86400</f>
        <v>57.91999991</v>
      </c>
      <c r="C1591" s="27" t="n">
        <v>0.6212</v>
      </c>
      <c r="D1591" s="27" t="n">
        <v>1.8248</v>
      </c>
      <c r="E1591" s="27" t="s">
        <v>603</v>
      </c>
      <c r="F1591" s="27" t="s">
        <v>146</v>
      </c>
      <c r="G1591" s="32" t="n">
        <f aca="false">(A1591-A1590)*86400000</f>
        <v>15.999586</v>
      </c>
      <c r="H1591" s="3"/>
      <c r="I1591" s="3"/>
      <c r="J1591" s="3"/>
      <c r="K1591" s="3"/>
      <c r="L1591" s="3"/>
      <c r="M1591" s="3"/>
    </row>
    <row r="1592" customFormat="false" ht="15" hidden="false" customHeight="false" outlineLevel="0" collapsed="false">
      <c r="A1592" s="28" t="n">
        <v>46301.5243237732</v>
      </c>
      <c r="B1592" s="31" t="n">
        <f aca="false">(A1592-$A$5)*86400</f>
        <v>57.936000125</v>
      </c>
      <c r="C1592" s="27" t="n">
        <v>0.6167</v>
      </c>
      <c r="D1592" s="27" t="n">
        <v>1.8241</v>
      </c>
      <c r="E1592" s="27" t="s">
        <v>603</v>
      </c>
      <c r="F1592" s="27" t="s">
        <v>146</v>
      </c>
      <c r="G1592" s="32" t="n">
        <f aca="false">(A1592-A1591)*86400000</f>
        <v>16.000214</v>
      </c>
      <c r="H1592" s="3"/>
      <c r="I1592" s="3"/>
      <c r="J1592" s="3"/>
      <c r="K1592" s="3"/>
      <c r="L1592" s="3"/>
      <c r="M1592" s="3"/>
    </row>
    <row r="1593" customFormat="false" ht="15" hidden="false" customHeight="false" outlineLevel="0" collapsed="false">
      <c r="A1593" s="28" t="n">
        <v>46301.5243239468</v>
      </c>
      <c r="B1593" s="31" t="n">
        <f aca="false">(A1593-$A$5)*86400</f>
        <v>57.951000169</v>
      </c>
      <c r="C1593" s="27" t="n">
        <v>0.613</v>
      </c>
      <c r="D1593" s="27" t="n">
        <v>1.8235</v>
      </c>
      <c r="E1593" s="27" t="s">
        <v>603</v>
      </c>
      <c r="F1593" s="27" t="s">
        <v>146</v>
      </c>
      <c r="G1593" s="32" t="n">
        <f aca="false">(A1593-A1592)*86400000</f>
        <v>15.000044</v>
      </c>
      <c r="H1593" s="3"/>
      <c r="I1593" s="3"/>
      <c r="J1593" s="3"/>
      <c r="K1593" s="3"/>
      <c r="L1593" s="3"/>
      <c r="M1593" s="3"/>
    </row>
    <row r="1594" customFormat="false" ht="15" hidden="false" customHeight="false" outlineLevel="0" collapsed="false">
      <c r="A1594" s="28" t="n">
        <v>46301.5243241435</v>
      </c>
      <c r="B1594" s="31" t="n">
        <f aca="false">(A1594-$A$5)*86400</f>
        <v>57.967999926</v>
      </c>
      <c r="C1594" s="27" t="n">
        <v>0.6101</v>
      </c>
      <c r="D1594" s="27" t="n">
        <v>1.823</v>
      </c>
      <c r="E1594" s="27" t="s">
        <v>603</v>
      </c>
      <c r="F1594" s="27" t="s">
        <v>146</v>
      </c>
      <c r="G1594" s="32" t="n">
        <f aca="false">(A1594-A1593)*86400000</f>
        <v>16.999756</v>
      </c>
      <c r="H1594" s="3"/>
      <c r="I1594" s="3"/>
      <c r="J1594" s="3"/>
      <c r="K1594" s="3"/>
      <c r="L1594" s="3"/>
      <c r="M1594" s="3"/>
    </row>
    <row r="1595" customFormat="false" ht="15" hidden="false" customHeight="false" outlineLevel="0" collapsed="false">
      <c r="A1595" s="28" t="n">
        <v>46301.5243243287</v>
      </c>
      <c r="B1595" s="31" t="n">
        <f aca="false">(A1595-$A$5)*86400</f>
        <v>57.983999513</v>
      </c>
      <c r="C1595" s="27" t="n">
        <v>0.6076</v>
      </c>
      <c r="D1595" s="27" t="n">
        <v>1.8226</v>
      </c>
      <c r="E1595" s="27" t="s">
        <v>603</v>
      </c>
      <c r="F1595" s="27" t="s">
        <v>146</v>
      </c>
      <c r="G1595" s="32" t="n">
        <f aca="false">(A1595-A1594)*86400000</f>
        <v>15.999586</v>
      </c>
      <c r="H1595" s="3"/>
      <c r="I1595" s="3"/>
      <c r="J1595" s="3"/>
      <c r="K1595" s="3"/>
      <c r="L1595" s="3"/>
      <c r="M1595" s="3"/>
    </row>
    <row r="1596" customFormat="false" ht="15" hidden="false" customHeight="false" outlineLevel="0" collapsed="false">
      <c r="A1596" s="28" t="n">
        <v>46301.5243245139</v>
      </c>
      <c r="B1596" s="31" t="n">
        <f aca="false">(A1596-$A$5)*86400</f>
        <v>58</v>
      </c>
      <c r="C1596" s="27" t="n">
        <v>0.6055</v>
      </c>
      <c r="D1596" s="27" t="n">
        <v>1.8222</v>
      </c>
      <c r="E1596" s="27" t="s">
        <v>603</v>
      </c>
      <c r="F1596" s="27" t="s">
        <v>146</v>
      </c>
      <c r="G1596" s="32" t="n">
        <f aca="false">(A1596-A1595)*86400000</f>
        <v>16.000843</v>
      </c>
      <c r="H1596" s="3"/>
      <c r="I1596" s="3"/>
      <c r="J1596" s="3"/>
      <c r="K1596" s="3"/>
      <c r="L1596" s="3"/>
      <c r="M1596" s="3"/>
    </row>
    <row r="1597" customFormat="false" ht="15" hidden="false" customHeight="false" outlineLevel="0" collapsed="false">
      <c r="A1597" s="28" t="n">
        <v>46301.5243246991</v>
      </c>
      <c r="B1597" s="31" t="n">
        <f aca="false">(A1597-$A$5)*86400</f>
        <v>58.015999943</v>
      </c>
      <c r="C1597" s="27" t="n">
        <v>0.6037</v>
      </c>
      <c r="D1597" s="27" t="n">
        <v>1.822</v>
      </c>
      <c r="E1597" s="27" t="s">
        <v>603</v>
      </c>
      <c r="F1597" s="27" t="s">
        <v>146</v>
      </c>
      <c r="G1597" s="32" t="n">
        <f aca="false">(A1597-A1596)*86400000</f>
        <v>15.999586</v>
      </c>
      <c r="H1597" s="3"/>
      <c r="I1597" s="3"/>
      <c r="J1597" s="3"/>
      <c r="K1597" s="3"/>
      <c r="L1597" s="3"/>
      <c r="M1597" s="3"/>
    </row>
    <row r="1598" customFormat="false" ht="15" hidden="false" customHeight="false" outlineLevel="0" collapsed="false">
      <c r="A1598" s="28" t="n">
        <v>46301.5243248727</v>
      </c>
      <c r="B1598" s="31" t="n">
        <f aca="false">(A1598-$A$5)*86400</f>
        <v>58.030999358</v>
      </c>
      <c r="C1598" s="27" t="n">
        <v>0.6023</v>
      </c>
      <c r="D1598" s="27" t="n">
        <v>1.8217</v>
      </c>
      <c r="E1598" s="27" t="s">
        <v>603</v>
      </c>
      <c r="F1598" s="27" t="s">
        <v>146</v>
      </c>
      <c r="G1598" s="32" t="n">
        <f aca="false">(A1598-A1597)*86400000</f>
        <v>14.999415</v>
      </c>
      <c r="H1598" s="3"/>
      <c r="I1598" s="3"/>
      <c r="J1598" s="3"/>
      <c r="K1598" s="3"/>
      <c r="L1598" s="3"/>
      <c r="M1598" s="3"/>
    </row>
    <row r="1599" customFormat="false" ht="15" hidden="false" customHeight="false" outlineLevel="0" collapsed="false">
      <c r="A1599" s="28" t="n">
        <v>46301.5243250695</v>
      </c>
      <c r="B1599" s="31" t="n">
        <f aca="false">(A1599-$A$5)*86400</f>
        <v>58.048000372</v>
      </c>
      <c r="C1599" s="27" t="n">
        <v>0.6011</v>
      </c>
      <c r="D1599" s="27" t="n">
        <v>1.8215</v>
      </c>
      <c r="E1599" s="27" t="s">
        <v>603</v>
      </c>
      <c r="F1599" s="27" t="s">
        <v>146</v>
      </c>
      <c r="G1599" s="32" t="n">
        <f aca="false">(A1599-A1598)*86400000</f>
        <v>17.001014</v>
      </c>
      <c r="H1599" s="3"/>
      <c r="I1599" s="3"/>
      <c r="J1599" s="3"/>
      <c r="K1599" s="3"/>
      <c r="L1599" s="3"/>
      <c r="M1599" s="3"/>
    </row>
    <row r="1600" customFormat="false" ht="15" hidden="false" customHeight="false" outlineLevel="0" collapsed="false">
      <c r="A1600" s="28" t="n">
        <v>46301.5243254398</v>
      </c>
      <c r="B1600" s="31" t="n">
        <f aca="false">(A1600-$A$5)*86400</f>
        <v>58.080000802</v>
      </c>
      <c r="C1600" s="27" t="n">
        <v>0.5993</v>
      </c>
      <c r="D1600" s="27" t="n">
        <v>1.8212</v>
      </c>
      <c r="E1600" s="27" t="s">
        <v>603</v>
      </c>
      <c r="F1600" s="27" t="s">
        <v>146</v>
      </c>
      <c r="G1600" s="32" t="n">
        <f aca="false">(A1600-A1599)*86400000</f>
        <v>32.000429</v>
      </c>
      <c r="H1600" s="3"/>
      <c r="I1600" s="3"/>
      <c r="J1600" s="3"/>
      <c r="K1600" s="3"/>
      <c r="L1600" s="3"/>
      <c r="M1600" s="3"/>
    </row>
    <row r="1601" customFormat="false" ht="15" hidden="false" customHeight="false" outlineLevel="0" collapsed="false">
      <c r="A1601" s="28" t="n">
        <v>46301.5243258218</v>
      </c>
      <c r="B1601" s="31" t="n">
        <f aca="false">(A1601-$A$5)*86400</f>
        <v>58.113000146</v>
      </c>
      <c r="C1601" s="27" t="n">
        <v>0.5981</v>
      </c>
      <c r="D1601" s="27" t="n">
        <v>1.821</v>
      </c>
      <c r="E1601" s="27" t="s">
        <v>603</v>
      </c>
      <c r="F1601" s="27" t="s">
        <v>146</v>
      </c>
      <c r="G1601" s="32" t="n">
        <f aca="false">(A1601-A1600)*86400000</f>
        <v>32.999343</v>
      </c>
      <c r="H1601" s="3"/>
      <c r="I1601" s="3"/>
      <c r="J1601" s="3"/>
      <c r="K1601" s="3"/>
      <c r="L1601" s="3"/>
      <c r="M1601" s="3"/>
    </row>
    <row r="1602" customFormat="false" ht="15" hidden="false" customHeight="false" outlineLevel="0" collapsed="false">
      <c r="A1602" s="28" t="n">
        <v>46301.5243261921</v>
      </c>
      <c r="B1602" s="31" t="n">
        <f aca="false">(A1602-$A$5)*86400</f>
        <v>58.144999947</v>
      </c>
      <c r="C1602" s="27" t="n">
        <v>0.5973</v>
      </c>
      <c r="D1602" s="27" t="n">
        <v>1.8209</v>
      </c>
      <c r="E1602" s="27" t="s">
        <v>603</v>
      </c>
      <c r="F1602" s="27" t="s">
        <v>146</v>
      </c>
      <c r="G1602" s="32" t="n">
        <f aca="false">(A1602-A1601)*86400000</f>
        <v>31.999801</v>
      </c>
      <c r="H1602" s="3"/>
      <c r="I1602" s="3"/>
      <c r="J1602" s="3"/>
      <c r="K1602" s="3"/>
      <c r="L1602" s="3"/>
      <c r="M1602" s="3"/>
    </row>
    <row r="1603" customFormat="false" ht="15" hidden="false" customHeight="false" outlineLevel="0" collapsed="false">
      <c r="A1603" s="28" t="n">
        <v>46301.5243263773</v>
      </c>
      <c r="B1603" s="31" t="n">
        <f aca="false">(A1603-$A$5)*86400</f>
        <v>58.161000791</v>
      </c>
      <c r="C1603" s="27" t="n">
        <v>0.5956</v>
      </c>
      <c r="D1603" s="27" t="n">
        <v>1.8206</v>
      </c>
      <c r="E1603" s="27" t="s">
        <v>603</v>
      </c>
      <c r="F1603" s="27" t="s">
        <v>146</v>
      </c>
      <c r="G1603" s="32" t="n">
        <f aca="false">(A1603-A1602)*86400000</f>
        <v>16.000843</v>
      </c>
      <c r="H1603" s="3"/>
      <c r="I1603" s="3"/>
      <c r="J1603" s="3"/>
      <c r="K1603" s="3"/>
      <c r="L1603" s="3"/>
      <c r="M1603" s="3"/>
    </row>
    <row r="1604" customFormat="false" ht="15" hidden="false" customHeight="false" outlineLevel="0" collapsed="false">
      <c r="A1604" s="28" t="n">
        <v>46301.5243285995</v>
      </c>
      <c r="B1604" s="31" t="n">
        <f aca="false">(A1604-$A$5)*86400</f>
        <v>58.353000227</v>
      </c>
      <c r="C1604" s="27" t="n">
        <v>0.5884</v>
      </c>
      <c r="D1604" s="27" t="n">
        <v>1.8224</v>
      </c>
      <c r="E1604" s="27" t="s">
        <v>603</v>
      </c>
      <c r="F1604" s="27" t="s">
        <v>146</v>
      </c>
      <c r="G1604" s="32" t="n">
        <f aca="false">(A1604-A1603)*86400000</f>
        <v>191.999436</v>
      </c>
      <c r="H1604" s="3"/>
      <c r="I1604" s="3"/>
      <c r="J1604" s="3"/>
      <c r="K1604" s="3"/>
      <c r="L1604" s="3"/>
      <c r="M1604" s="3"/>
    </row>
    <row r="1605" customFormat="false" ht="15" hidden="false" customHeight="false" outlineLevel="0" collapsed="false">
      <c r="A1605" s="28" t="n">
        <v>46301.5243287847</v>
      </c>
      <c r="B1605" s="31" t="n">
        <f aca="false">(A1605-$A$5)*86400</f>
        <v>58.368999813</v>
      </c>
      <c r="C1605" s="27" t="n">
        <v>0.5821</v>
      </c>
      <c r="D1605" s="27" t="n">
        <v>1.824</v>
      </c>
      <c r="E1605" s="27" t="s">
        <v>603</v>
      </c>
      <c r="F1605" s="27" t="s">
        <v>146</v>
      </c>
      <c r="G1605" s="32" t="n">
        <f aca="false">(A1605-A1604)*86400000</f>
        <v>15.999586</v>
      </c>
      <c r="H1605" s="3"/>
      <c r="I1605" s="3"/>
      <c r="J1605" s="3"/>
      <c r="K1605" s="3"/>
      <c r="L1605" s="3"/>
      <c r="M1605" s="3"/>
    </row>
    <row r="1606" customFormat="false" ht="15" hidden="false" customHeight="false" outlineLevel="0" collapsed="false">
      <c r="A1606" s="28" t="n">
        <v>46301.5243289815</v>
      </c>
      <c r="B1606" s="31" t="n">
        <f aca="false">(A1606-$A$5)*86400</f>
        <v>58.386000199</v>
      </c>
      <c r="C1606" s="27" t="n">
        <v>0.5769</v>
      </c>
      <c r="D1606" s="27" t="n">
        <v>1.8252</v>
      </c>
      <c r="E1606" s="27" t="s">
        <v>603</v>
      </c>
      <c r="F1606" s="27" t="s">
        <v>146</v>
      </c>
      <c r="G1606" s="32" t="n">
        <f aca="false">(A1606-A1605)*86400000</f>
        <v>17.000385</v>
      </c>
      <c r="H1606" s="3"/>
      <c r="I1606" s="3"/>
      <c r="J1606" s="3"/>
      <c r="K1606" s="3"/>
      <c r="L1606" s="3"/>
      <c r="M1606" s="3"/>
    </row>
    <row r="1607" customFormat="false" ht="15" hidden="false" customHeight="false" outlineLevel="0" collapsed="false">
      <c r="A1607" s="28" t="n">
        <v>46301.5243291667</v>
      </c>
      <c r="B1607" s="31" t="n">
        <f aca="false">(A1607-$A$5)*86400</f>
        <v>58.402000414</v>
      </c>
      <c r="C1607" s="27" t="n">
        <v>0.5732</v>
      </c>
      <c r="D1607" s="27" t="n">
        <v>1.8262</v>
      </c>
      <c r="E1607" s="27" t="s">
        <v>603</v>
      </c>
      <c r="F1607" s="27" t="s">
        <v>146</v>
      </c>
      <c r="G1607" s="32" t="n">
        <f aca="false">(A1607-A1606)*86400000</f>
        <v>16.000214</v>
      </c>
      <c r="H1607" s="3"/>
      <c r="I1607" s="3"/>
      <c r="J1607" s="3"/>
      <c r="K1607" s="3"/>
      <c r="L1607" s="3"/>
      <c r="M1607" s="3"/>
    </row>
    <row r="1608" customFormat="false" ht="15" hidden="false" customHeight="false" outlineLevel="0" collapsed="false">
      <c r="A1608" s="28" t="n">
        <v>46301.5243293519</v>
      </c>
      <c r="B1608" s="31" t="n">
        <f aca="false">(A1608-$A$5)*86400</f>
        <v>58.418</v>
      </c>
      <c r="C1608" s="27" t="n">
        <v>0.5699</v>
      </c>
      <c r="D1608" s="27" t="n">
        <v>1.827</v>
      </c>
      <c r="E1608" s="27" t="s">
        <v>603</v>
      </c>
      <c r="F1608" s="27" t="s">
        <v>146</v>
      </c>
      <c r="G1608" s="32" t="n">
        <f aca="false">(A1608-A1607)*86400000</f>
        <v>15.999586</v>
      </c>
      <c r="H1608" s="3"/>
      <c r="I1608" s="3"/>
      <c r="J1608" s="3"/>
      <c r="K1608" s="3"/>
      <c r="L1608" s="3"/>
      <c r="M1608" s="3"/>
    </row>
    <row r="1609" customFormat="false" ht="15" hidden="false" customHeight="false" outlineLevel="0" collapsed="false">
      <c r="A1609" s="28" t="n">
        <v>46301.524329537</v>
      </c>
      <c r="B1609" s="31" t="n">
        <f aca="false">(A1609-$A$5)*86400</f>
        <v>58.434000215</v>
      </c>
      <c r="C1609" s="27" t="n">
        <v>0.5672</v>
      </c>
      <c r="D1609" s="27" t="n">
        <v>1.8277</v>
      </c>
      <c r="E1609" s="27" t="s">
        <v>603</v>
      </c>
      <c r="F1609" s="27" t="s">
        <v>146</v>
      </c>
      <c r="G1609" s="32" t="n">
        <f aca="false">(A1609-A1608)*86400000</f>
        <v>16.000214</v>
      </c>
      <c r="H1609" s="3"/>
      <c r="I1609" s="3"/>
      <c r="J1609" s="3"/>
      <c r="K1609" s="3"/>
      <c r="L1609" s="3"/>
      <c r="M1609" s="3"/>
    </row>
    <row r="1610" customFormat="false" ht="15" hidden="false" customHeight="false" outlineLevel="0" collapsed="false">
      <c r="A1610" s="28" t="n">
        <v>46301.5243297222</v>
      </c>
      <c r="B1610" s="31" t="n">
        <f aca="false">(A1610-$A$5)*86400</f>
        <v>58.449999801</v>
      </c>
      <c r="C1610" s="27" t="n">
        <v>0.5649</v>
      </c>
      <c r="D1610" s="27" t="n">
        <v>1.8282</v>
      </c>
      <c r="E1610" s="27" t="s">
        <v>603</v>
      </c>
      <c r="F1610" s="27" t="s">
        <v>146</v>
      </c>
      <c r="G1610" s="32" t="n">
        <f aca="false">(A1610-A1609)*86400000</f>
        <v>15.999586</v>
      </c>
      <c r="H1610" s="3"/>
      <c r="I1610" s="3"/>
      <c r="J1610" s="3"/>
      <c r="K1610" s="3"/>
      <c r="L1610" s="3"/>
      <c r="M1610" s="3"/>
    </row>
    <row r="1611" customFormat="false" ht="15" hidden="false" customHeight="false" outlineLevel="0" collapsed="false">
      <c r="A1611" s="28" t="n">
        <v>46301.5243299074</v>
      </c>
      <c r="B1611" s="31" t="n">
        <f aca="false">(A1611-$A$5)*86400</f>
        <v>58.466000645</v>
      </c>
      <c r="C1611" s="27" t="n">
        <v>0.5631</v>
      </c>
      <c r="D1611" s="27" t="n">
        <v>1.8287</v>
      </c>
      <c r="E1611" s="27" t="s">
        <v>603</v>
      </c>
      <c r="F1611" s="27" t="s">
        <v>146</v>
      </c>
      <c r="G1611" s="32" t="n">
        <f aca="false">(A1611-A1610)*86400000</f>
        <v>16.000843</v>
      </c>
      <c r="H1611" s="3"/>
      <c r="I1611" s="3"/>
      <c r="J1611" s="3"/>
      <c r="K1611" s="3"/>
      <c r="L1611" s="3"/>
      <c r="M1611" s="3"/>
    </row>
    <row r="1612" customFormat="false" ht="15" hidden="false" customHeight="false" outlineLevel="0" collapsed="false">
      <c r="A1612" s="28" t="n">
        <v>46301.5243300926</v>
      </c>
      <c r="B1612" s="31" t="n">
        <f aca="false">(A1612-$A$5)*86400</f>
        <v>58.481999603</v>
      </c>
      <c r="C1612" s="27" t="n">
        <v>0.5868</v>
      </c>
      <c r="D1612" s="27" t="n">
        <v>1.8307</v>
      </c>
      <c r="E1612" s="27" t="s">
        <v>603</v>
      </c>
      <c r="F1612" s="27" t="s">
        <v>146</v>
      </c>
      <c r="G1612" s="32" t="n">
        <f aca="false">(A1612-A1611)*86400000</f>
        <v>15.998957</v>
      </c>
      <c r="H1612" s="3"/>
      <c r="I1612" s="3"/>
      <c r="J1612" s="3"/>
      <c r="K1612" s="3"/>
      <c r="L1612" s="3"/>
      <c r="M1612" s="3"/>
    </row>
    <row r="1613" customFormat="false" ht="15" hidden="false" customHeight="false" outlineLevel="0" collapsed="false">
      <c r="A1613" s="28" t="n">
        <v>46301.5243302778</v>
      </c>
      <c r="B1613" s="31" t="n">
        <f aca="false">(A1613-$A$5)*86400</f>
        <v>58.497999189</v>
      </c>
      <c r="C1613" s="27" t="n">
        <v>0.6064</v>
      </c>
      <c r="D1613" s="27" t="n">
        <v>1.8324</v>
      </c>
      <c r="E1613" s="27" t="s">
        <v>603</v>
      </c>
      <c r="F1613" s="27" t="s">
        <v>146</v>
      </c>
      <c r="G1613" s="32" t="n">
        <f aca="false">(A1613-A1612)*86400000</f>
        <v>15.999586</v>
      </c>
      <c r="H1613" s="3"/>
      <c r="I1613" s="3"/>
      <c r="J1613" s="3"/>
      <c r="K1613" s="3"/>
      <c r="L1613" s="3"/>
      <c r="M1613" s="3"/>
    </row>
    <row r="1614" customFormat="false" ht="15" hidden="false" customHeight="false" outlineLevel="0" collapsed="false">
      <c r="A1614" s="28" t="n">
        <v>46301.5243304514</v>
      </c>
      <c r="B1614" s="31" t="n">
        <f aca="false">(A1614-$A$5)*86400</f>
        <v>58.513000491</v>
      </c>
      <c r="C1614" s="27" t="n">
        <v>0.6226</v>
      </c>
      <c r="D1614" s="27" t="n">
        <v>1.8338</v>
      </c>
      <c r="E1614" s="27" t="s">
        <v>603</v>
      </c>
      <c r="F1614" s="27" t="s">
        <v>146</v>
      </c>
      <c r="G1614" s="32" t="n">
        <f aca="false">(A1614-A1613)*86400000</f>
        <v>15.001301</v>
      </c>
      <c r="H1614" s="3"/>
      <c r="I1614" s="3"/>
      <c r="J1614" s="3"/>
      <c r="K1614" s="3"/>
      <c r="L1614" s="3"/>
      <c r="M1614" s="3"/>
    </row>
    <row r="1615" customFormat="false" ht="15" hidden="false" customHeight="false" outlineLevel="0" collapsed="false">
      <c r="A1615" s="28" t="n">
        <v>46301.5243306366</v>
      </c>
      <c r="B1615" s="31" t="n">
        <f aca="false">(A1615-$A$5)*86400</f>
        <v>58.528999448</v>
      </c>
      <c r="C1615" s="27" t="n">
        <v>0.6359</v>
      </c>
      <c r="D1615" s="27" t="n">
        <v>1.8349</v>
      </c>
      <c r="E1615" s="27" t="s">
        <v>603</v>
      </c>
      <c r="F1615" s="27" t="s">
        <v>146</v>
      </c>
      <c r="G1615" s="32" t="n">
        <f aca="false">(A1615-A1614)*86400000</f>
        <v>15.998957</v>
      </c>
      <c r="H1615" s="3"/>
      <c r="I1615" s="3"/>
      <c r="J1615" s="3"/>
      <c r="K1615" s="3"/>
      <c r="L1615" s="3"/>
      <c r="M1615" s="3"/>
    </row>
    <row r="1616" customFormat="false" ht="15" hidden="false" customHeight="false" outlineLevel="0" collapsed="false">
      <c r="A1616" s="28" t="n">
        <v>46301.5243308218</v>
      </c>
      <c r="B1616" s="31" t="n">
        <f aca="false">(A1616-$A$5)*86400</f>
        <v>58.545000292</v>
      </c>
      <c r="C1616" s="27" t="n">
        <v>0.6469</v>
      </c>
      <c r="D1616" s="27" t="n">
        <v>1.8359</v>
      </c>
      <c r="E1616" s="27" t="s">
        <v>603</v>
      </c>
      <c r="F1616" s="27" t="s">
        <v>146</v>
      </c>
      <c r="G1616" s="32" t="n">
        <f aca="false">(A1616-A1615)*86400000</f>
        <v>16.000843</v>
      </c>
      <c r="H1616" s="3"/>
      <c r="I1616" s="3"/>
      <c r="J1616" s="3"/>
      <c r="K1616" s="3"/>
      <c r="L1616" s="3"/>
      <c r="M1616" s="3"/>
    </row>
    <row r="1617" customFormat="false" ht="15" hidden="false" customHeight="false" outlineLevel="0" collapsed="false">
      <c r="A1617" s="28" t="n">
        <v>46301.5243310185</v>
      </c>
      <c r="B1617" s="31" t="n">
        <f aca="false">(A1617-$A$5)*86400</f>
        <v>58.562000049</v>
      </c>
      <c r="C1617" s="27" t="n">
        <v>0.656</v>
      </c>
      <c r="D1617" s="27" t="n">
        <v>1.8366</v>
      </c>
      <c r="E1617" s="27" t="s">
        <v>603</v>
      </c>
      <c r="F1617" s="27" t="s">
        <v>146</v>
      </c>
      <c r="G1617" s="32" t="n">
        <f aca="false">(A1617-A1616)*86400000</f>
        <v>16.999756</v>
      </c>
      <c r="H1617" s="3"/>
      <c r="I1617" s="3"/>
      <c r="J1617" s="3"/>
      <c r="K1617" s="3"/>
      <c r="L1617" s="3"/>
      <c r="M1617" s="3"/>
    </row>
    <row r="1618" customFormat="false" ht="15" hidden="false" customHeight="false" outlineLevel="0" collapsed="false">
      <c r="A1618" s="28" t="n">
        <v>46301.5243312037</v>
      </c>
      <c r="B1618" s="31" t="n">
        <f aca="false">(A1618-$A$5)*86400</f>
        <v>58.578000892</v>
      </c>
      <c r="C1618" s="27" t="n">
        <v>0.6639</v>
      </c>
      <c r="D1618" s="27" t="n">
        <v>1.8373</v>
      </c>
      <c r="E1618" s="27" t="s">
        <v>603</v>
      </c>
      <c r="F1618" s="27" t="s">
        <v>146</v>
      </c>
      <c r="G1618" s="32" t="n">
        <f aca="false">(A1618-A1617)*86400000</f>
        <v>16.000843</v>
      </c>
      <c r="H1618" s="3"/>
      <c r="I1618" s="3"/>
      <c r="J1618" s="3"/>
      <c r="K1618" s="3"/>
      <c r="L1618" s="3"/>
      <c r="M1618" s="3"/>
    </row>
    <row r="1619" customFormat="false" ht="15" hidden="false" customHeight="false" outlineLevel="0" collapsed="false">
      <c r="A1619" s="28" t="n">
        <v>46301.5243313889</v>
      </c>
      <c r="B1619" s="31" t="n">
        <f aca="false">(A1619-$A$5)*86400</f>
        <v>58.594000479</v>
      </c>
      <c r="C1619" s="27" t="n">
        <v>0.6701</v>
      </c>
      <c r="D1619" s="27" t="n">
        <v>1.8378</v>
      </c>
      <c r="E1619" s="27" t="s">
        <v>603</v>
      </c>
      <c r="F1619" s="27" t="s">
        <v>146</v>
      </c>
      <c r="G1619" s="32" t="n">
        <f aca="false">(A1619-A1618)*86400000</f>
        <v>15.999586</v>
      </c>
      <c r="H1619" s="3"/>
      <c r="I1619" s="3"/>
      <c r="J1619" s="3"/>
      <c r="K1619" s="3"/>
      <c r="L1619" s="3"/>
      <c r="M1619" s="3"/>
    </row>
    <row r="1620" customFormat="false" ht="15" hidden="false" customHeight="false" outlineLevel="0" collapsed="false">
      <c r="A1620" s="28" t="n">
        <v>46301.5243315741</v>
      </c>
      <c r="B1620" s="31" t="n">
        <f aca="false">(A1620-$A$5)*86400</f>
        <v>58.610000065</v>
      </c>
      <c r="C1620" s="27" t="n">
        <v>0.6787</v>
      </c>
      <c r="D1620" s="27" t="n">
        <v>1.8415</v>
      </c>
      <c r="E1620" s="27" t="s">
        <v>603</v>
      </c>
      <c r="F1620" s="27" t="s">
        <v>146</v>
      </c>
      <c r="G1620" s="32" t="n">
        <f aca="false">(A1620-A1619)*86400000</f>
        <v>15.999586</v>
      </c>
      <c r="H1620" s="3"/>
      <c r="I1620" s="3"/>
      <c r="J1620" s="3"/>
      <c r="K1620" s="3"/>
      <c r="L1620" s="3"/>
      <c r="M1620" s="3"/>
    </row>
    <row r="1621" customFormat="false" ht="15" hidden="false" customHeight="false" outlineLevel="0" collapsed="false">
      <c r="A1621" s="28" t="n">
        <v>46301.5243317593</v>
      </c>
      <c r="B1621" s="31" t="n">
        <f aca="false">(A1621-$A$5)*86400</f>
        <v>58.62600028</v>
      </c>
      <c r="C1621" s="27" t="n">
        <v>0.6862</v>
      </c>
      <c r="D1621" s="27" t="n">
        <v>1.8447</v>
      </c>
      <c r="E1621" s="27" t="s">
        <v>603</v>
      </c>
      <c r="F1621" s="27" t="s">
        <v>146</v>
      </c>
      <c r="G1621" s="32" t="n">
        <f aca="false">(A1621-A1620)*86400000</f>
        <v>16.000214</v>
      </c>
      <c r="H1621" s="3"/>
      <c r="I1621" s="3"/>
      <c r="J1621" s="3"/>
      <c r="K1621" s="3"/>
      <c r="L1621" s="3"/>
      <c r="M1621" s="3"/>
    </row>
    <row r="1622" customFormat="false" ht="15" hidden="false" customHeight="false" outlineLevel="0" collapsed="false">
      <c r="A1622" s="28" t="n">
        <v>46301.524331956</v>
      </c>
      <c r="B1622" s="31" t="n">
        <f aca="false">(A1622-$A$5)*86400</f>
        <v>58.643000037</v>
      </c>
      <c r="C1622" s="27" t="n">
        <v>0.6921</v>
      </c>
      <c r="D1622" s="27" t="n">
        <v>1.8472</v>
      </c>
      <c r="E1622" s="27" t="s">
        <v>603</v>
      </c>
      <c r="F1622" s="27" t="s">
        <v>146</v>
      </c>
      <c r="G1622" s="32" t="n">
        <f aca="false">(A1622-A1621)*86400000</f>
        <v>16.999756</v>
      </c>
      <c r="H1622" s="3"/>
      <c r="I1622" s="3"/>
      <c r="J1622" s="3"/>
      <c r="K1622" s="3"/>
      <c r="L1622" s="3"/>
      <c r="M1622" s="3"/>
    </row>
    <row r="1623" customFormat="false" ht="15" hidden="false" customHeight="false" outlineLevel="0" collapsed="false">
      <c r="A1623" s="28" t="n">
        <v>46301.5243321412</v>
      </c>
      <c r="B1623" s="31" t="n">
        <f aca="false">(A1623-$A$5)*86400</f>
        <v>58.659000881</v>
      </c>
      <c r="C1623" s="27" t="n">
        <v>0.6971</v>
      </c>
      <c r="D1623" s="27" t="n">
        <v>1.8494</v>
      </c>
      <c r="E1623" s="27" t="s">
        <v>603</v>
      </c>
      <c r="F1623" s="27" t="s">
        <v>146</v>
      </c>
      <c r="G1623" s="32" t="n">
        <f aca="false">(A1623-A1622)*86400000</f>
        <v>16.000843</v>
      </c>
      <c r="H1623" s="3"/>
      <c r="I1623" s="3"/>
      <c r="J1623" s="3"/>
      <c r="K1623" s="3"/>
      <c r="L1623" s="3"/>
      <c r="M1623" s="3"/>
    </row>
    <row r="1624" customFormat="false" ht="15" hidden="false" customHeight="false" outlineLevel="0" collapsed="false">
      <c r="A1624" s="28" t="n">
        <v>46301.524332338</v>
      </c>
      <c r="B1624" s="31" t="n">
        <f aca="false">(A1624-$A$5)*86400</f>
        <v>58.676000009</v>
      </c>
      <c r="C1624" s="27" t="n">
        <v>0.7013</v>
      </c>
      <c r="D1624" s="27" t="n">
        <v>1.8511</v>
      </c>
      <c r="E1624" s="27" t="s">
        <v>603</v>
      </c>
      <c r="F1624" s="27" t="s">
        <v>146</v>
      </c>
      <c r="G1624" s="32" t="n">
        <f aca="false">(A1624-A1623)*86400000</f>
        <v>16.999128</v>
      </c>
      <c r="H1624" s="3"/>
      <c r="I1624" s="3"/>
      <c r="J1624" s="3"/>
      <c r="K1624" s="3"/>
      <c r="L1624" s="3"/>
      <c r="M1624" s="3"/>
    </row>
    <row r="1625" customFormat="false" ht="15" hidden="false" customHeight="false" outlineLevel="0" collapsed="false">
      <c r="A1625" s="28" t="n">
        <v>46301.5243325347</v>
      </c>
      <c r="B1625" s="31" t="n">
        <f aca="false">(A1625-$A$5)*86400</f>
        <v>58.693001023</v>
      </c>
      <c r="C1625" s="27" t="n">
        <v>0.7045</v>
      </c>
      <c r="D1625" s="27" t="n">
        <v>1.8525</v>
      </c>
      <c r="E1625" s="27" t="s">
        <v>603</v>
      </c>
      <c r="F1625" s="27" t="s">
        <v>146</v>
      </c>
      <c r="G1625" s="32" t="n">
        <f aca="false">(A1625-A1624)*86400000</f>
        <v>17.001014</v>
      </c>
      <c r="H1625" s="3"/>
      <c r="I1625" s="3"/>
      <c r="J1625" s="3"/>
      <c r="K1625" s="3"/>
      <c r="L1625" s="3"/>
      <c r="M1625" s="3"/>
    </row>
    <row r="1626" customFormat="false" ht="15" hidden="false" customHeight="false" outlineLevel="0" collapsed="false">
      <c r="A1626" s="28" t="n">
        <v>46301.5243327199</v>
      </c>
      <c r="B1626" s="31" t="n">
        <f aca="false">(A1626-$A$5)*86400</f>
        <v>58.709000609</v>
      </c>
      <c r="C1626" s="27" t="n">
        <v>0.7081</v>
      </c>
      <c r="D1626" s="27" t="n">
        <v>1.8527</v>
      </c>
      <c r="E1626" s="27" t="s">
        <v>603</v>
      </c>
      <c r="F1626" s="27" t="s">
        <v>146</v>
      </c>
      <c r="G1626" s="32" t="n">
        <f aca="false">(A1626-A1625)*86400000</f>
        <v>15.999586</v>
      </c>
      <c r="H1626" s="3"/>
      <c r="I1626" s="3"/>
      <c r="J1626" s="3"/>
      <c r="K1626" s="3"/>
      <c r="L1626" s="3"/>
      <c r="M1626" s="3"/>
    </row>
    <row r="1627" customFormat="false" ht="15" hidden="false" customHeight="false" outlineLevel="0" collapsed="false">
      <c r="A1627" s="28" t="n">
        <v>46301.5243329051</v>
      </c>
      <c r="B1627" s="31" t="n">
        <f aca="false">(A1627-$A$5)*86400</f>
        <v>58.725000196</v>
      </c>
      <c r="C1627" s="27" t="n">
        <v>0.7112</v>
      </c>
      <c r="D1627" s="27" t="n">
        <v>1.8529</v>
      </c>
      <c r="E1627" s="27" t="s">
        <v>603</v>
      </c>
      <c r="F1627" s="27" t="s">
        <v>146</v>
      </c>
      <c r="G1627" s="32" t="n">
        <f aca="false">(A1627-A1626)*86400000</f>
        <v>15.999586</v>
      </c>
      <c r="H1627" s="3"/>
      <c r="I1627" s="3"/>
      <c r="J1627" s="3"/>
      <c r="K1627" s="3"/>
      <c r="L1627" s="3"/>
      <c r="M1627" s="3"/>
    </row>
    <row r="1628" customFormat="false" ht="15" hidden="false" customHeight="false" outlineLevel="0" collapsed="false">
      <c r="A1628" s="28" t="n">
        <v>46301.5243330903</v>
      </c>
      <c r="B1628" s="31" t="n">
        <f aca="false">(A1628-$A$5)*86400</f>
        <v>58.741000411</v>
      </c>
      <c r="C1628" s="27" t="n">
        <v>0.7137</v>
      </c>
      <c r="D1628" s="27" t="n">
        <v>1.853</v>
      </c>
      <c r="E1628" s="27" t="s">
        <v>603</v>
      </c>
      <c r="F1628" s="27" t="s">
        <v>146</v>
      </c>
      <c r="G1628" s="32" t="n">
        <f aca="false">(A1628-A1627)*86400000</f>
        <v>16.000214</v>
      </c>
      <c r="H1628" s="3"/>
      <c r="I1628" s="3"/>
      <c r="J1628" s="3"/>
      <c r="K1628" s="3"/>
      <c r="L1628" s="3"/>
      <c r="M1628" s="3"/>
    </row>
    <row r="1629" customFormat="false" ht="15" hidden="false" customHeight="false" outlineLevel="0" collapsed="false">
      <c r="A1629" s="28" t="n">
        <v>46301.5243332755</v>
      </c>
      <c r="B1629" s="31" t="n">
        <f aca="false">(A1629-$A$5)*86400</f>
        <v>58.756999997</v>
      </c>
      <c r="C1629" s="27" t="n">
        <v>0.7158</v>
      </c>
      <c r="D1629" s="27" t="n">
        <v>1.8531</v>
      </c>
      <c r="E1629" s="27" t="s">
        <v>603</v>
      </c>
      <c r="F1629" s="27" t="s">
        <v>146</v>
      </c>
      <c r="G1629" s="32" t="n">
        <f aca="false">(A1629-A1628)*86400000</f>
        <v>15.999586</v>
      </c>
      <c r="H1629" s="3"/>
      <c r="I1629" s="3"/>
      <c r="J1629" s="3"/>
      <c r="K1629" s="3"/>
      <c r="L1629" s="3"/>
      <c r="M1629" s="3"/>
    </row>
    <row r="1630" customFormat="false" ht="15" hidden="false" customHeight="false" outlineLevel="0" collapsed="false">
      <c r="A1630" s="28" t="n">
        <v>46301.5243334607</v>
      </c>
      <c r="B1630" s="31" t="n">
        <f aca="false">(A1630-$A$5)*86400</f>
        <v>58.773000212</v>
      </c>
      <c r="C1630" s="27" t="n">
        <v>0.7175</v>
      </c>
      <c r="D1630" s="27" t="n">
        <v>1.8532</v>
      </c>
      <c r="E1630" s="27" t="s">
        <v>603</v>
      </c>
      <c r="F1630" s="27" t="s">
        <v>146</v>
      </c>
      <c r="G1630" s="32" t="n">
        <f aca="false">(A1630-A1629)*86400000</f>
        <v>16.000214</v>
      </c>
      <c r="H1630" s="3"/>
      <c r="I1630" s="3"/>
      <c r="J1630" s="3"/>
      <c r="K1630" s="3"/>
      <c r="L1630" s="3"/>
      <c r="M1630" s="3"/>
    </row>
    <row r="1631" customFormat="false" ht="15" hidden="false" customHeight="false" outlineLevel="0" collapsed="false">
      <c r="A1631" s="28" t="n">
        <v>46301.5243336458</v>
      </c>
      <c r="B1631" s="31" t="n">
        <f aca="false">(A1631-$A$5)*86400</f>
        <v>58.788999798</v>
      </c>
      <c r="C1631" s="27" t="n">
        <v>0.7189</v>
      </c>
      <c r="D1631" s="27" t="n">
        <v>1.8533</v>
      </c>
      <c r="E1631" s="27" t="s">
        <v>603</v>
      </c>
      <c r="F1631" s="27" t="s">
        <v>146</v>
      </c>
      <c r="G1631" s="32" t="n">
        <f aca="false">(A1631-A1630)*86400000</f>
        <v>15.999586</v>
      </c>
      <c r="H1631" s="3"/>
      <c r="I1631" s="3"/>
      <c r="J1631" s="3"/>
      <c r="K1631" s="3"/>
      <c r="L1631" s="3"/>
      <c r="M1631" s="3"/>
    </row>
    <row r="1632" customFormat="false" ht="15" hidden="false" customHeight="false" outlineLevel="0" collapsed="false">
      <c r="A1632" s="28" t="n">
        <v>46301.524333831</v>
      </c>
      <c r="B1632" s="31" t="n">
        <f aca="false">(A1632-$A$5)*86400</f>
        <v>58.805000013</v>
      </c>
      <c r="C1632" s="27" t="n">
        <v>0.7201</v>
      </c>
      <c r="D1632" s="27" t="n">
        <v>1.8533</v>
      </c>
      <c r="E1632" s="27" t="s">
        <v>603</v>
      </c>
      <c r="F1632" s="27" t="s">
        <v>146</v>
      </c>
      <c r="G1632" s="32" t="n">
        <f aca="false">(A1632-A1631)*86400000</f>
        <v>16.000214</v>
      </c>
      <c r="H1632" s="3"/>
      <c r="I1632" s="3"/>
      <c r="J1632" s="3"/>
      <c r="K1632" s="3"/>
      <c r="L1632" s="3"/>
      <c r="M1632" s="3"/>
    </row>
    <row r="1633" customFormat="false" ht="15" hidden="false" customHeight="false" outlineLevel="0" collapsed="false">
      <c r="A1633" s="28" t="n">
        <v>46301.5243342014</v>
      </c>
      <c r="B1633" s="31" t="n">
        <f aca="false">(A1633-$A$5)*86400</f>
        <v>58.837000443</v>
      </c>
      <c r="C1633" s="27" t="n">
        <v>0.7218</v>
      </c>
      <c r="D1633" s="27" t="n">
        <v>1.8534</v>
      </c>
      <c r="E1633" s="27" t="s">
        <v>603</v>
      </c>
      <c r="F1633" s="27" t="s">
        <v>146</v>
      </c>
      <c r="G1633" s="32" t="n">
        <f aca="false">(A1633-A1632)*86400000</f>
        <v>32.000429</v>
      </c>
      <c r="H1633" s="3"/>
      <c r="I1633" s="3"/>
      <c r="J1633" s="3"/>
      <c r="K1633" s="3"/>
      <c r="L1633" s="3"/>
      <c r="M1633" s="3"/>
    </row>
    <row r="1634" customFormat="false" ht="15" hidden="false" customHeight="false" outlineLevel="0" collapsed="false">
      <c r="A1634" s="28" t="n">
        <v>46301.5243347569</v>
      </c>
      <c r="B1634" s="31" t="n">
        <f aca="false">(A1634-$A$5)*86400</f>
        <v>58.884999831</v>
      </c>
      <c r="C1634" s="27" t="n">
        <v>0.7235</v>
      </c>
      <c r="D1634" s="27" t="n">
        <v>1.8535</v>
      </c>
      <c r="E1634" s="27" t="s">
        <v>603</v>
      </c>
      <c r="F1634" s="27" t="s">
        <v>146</v>
      </c>
      <c r="G1634" s="32" t="n">
        <f aca="false">(A1634-A1633)*86400000</f>
        <v>47.999387</v>
      </c>
      <c r="H1634" s="3"/>
      <c r="I1634" s="3"/>
      <c r="J1634" s="3"/>
      <c r="K1634" s="3"/>
      <c r="L1634" s="3"/>
      <c r="M1634" s="3"/>
    </row>
    <row r="1635" customFormat="false" ht="15" hidden="false" customHeight="false" outlineLevel="0" collapsed="false">
      <c r="A1635" s="28" t="n">
        <v>46301.5243351273</v>
      </c>
      <c r="B1635" s="31" t="n">
        <f aca="false">(A1635-$A$5)*86400</f>
        <v>58.917000261</v>
      </c>
      <c r="C1635" s="27" t="n">
        <v>0.7256</v>
      </c>
      <c r="D1635" s="27" t="n">
        <v>1.8536</v>
      </c>
      <c r="E1635" s="27" t="s">
        <v>603</v>
      </c>
      <c r="F1635" s="27" t="s">
        <v>146</v>
      </c>
      <c r="G1635" s="32" t="n">
        <f aca="false">(A1635-A1634)*86400000</f>
        <v>32.000429</v>
      </c>
      <c r="H1635" s="3"/>
      <c r="I1635" s="3"/>
      <c r="J1635" s="3"/>
      <c r="K1635" s="3"/>
      <c r="L1635" s="3"/>
      <c r="M1635" s="3"/>
    </row>
    <row r="1636" customFormat="false" ht="15" hidden="false" customHeight="false" outlineLevel="0" collapsed="false">
      <c r="A1636" s="28" t="n">
        <v>46301.5243353241</v>
      </c>
      <c r="B1636" s="31" t="n">
        <f aca="false">(A1636-$A$5)*86400</f>
        <v>58.934000018</v>
      </c>
      <c r="C1636" s="27" t="n">
        <v>0.7143</v>
      </c>
      <c r="D1636" s="27" t="n">
        <v>1.8567</v>
      </c>
      <c r="E1636" s="27" t="s">
        <v>603</v>
      </c>
      <c r="F1636" s="27" t="s">
        <v>146</v>
      </c>
      <c r="G1636" s="32" t="n">
        <f aca="false">(A1636-A1635)*86400000</f>
        <v>16.999756</v>
      </c>
      <c r="H1636" s="3"/>
      <c r="I1636" s="3"/>
      <c r="J1636" s="3"/>
      <c r="K1636" s="3"/>
      <c r="L1636" s="3"/>
      <c r="M1636" s="3"/>
    </row>
    <row r="1637" customFormat="false" ht="15" hidden="false" customHeight="false" outlineLevel="0" collapsed="false">
      <c r="A1637" s="28" t="n">
        <v>46301.5243354977</v>
      </c>
      <c r="B1637" s="31" t="n">
        <f aca="false">(A1637-$A$5)*86400</f>
        <v>58.948999433</v>
      </c>
      <c r="C1637" s="27" t="n">
        <v>0.7061</v>
      </c>
      <c r="D1637" s="27" t="n">
        <v>1.8589</v>
      </c>
      <c r="E1637" s="27" t="s">
        <v>603</v>
      </c>
      <c r="F1637" s="27" t="s">
        <v>146</v>
      </c>
      <c r="G1637" s="32" t="n">
        <f aca="false">(A1637-A1636)*86400000</f>
        <v>14.999415</v>
      </c>
      <c r="H1637" s="3"/>
      <c r="I1637" s="3"/>
      <c r="J1637" s="3"/>
      <c r="K1637" s="3"/>
      <c r="L1637" s="3"/>
      <c r="M1637" s="3"/>
    </row>
    <row r="1638" customFormat="false" ht="15" hidden="false" customHeight="false" outlineLevel="0" collapsed="false">
      <c r="A1638" s="28" t="n">
        <v>46301.5243356829</v>
      </c>
      <c r="B1638" s="31" t="n">
        <f aca="false">(A1638-$A$5)*86400</f>
        <v>58.965000277</v>
      </c>
      <c r="C1638" s="27" t="n">
        <v>0.6993</v>
      </c>
      <c r="D1638" s="27" t="n">
        <v>1.8608</v>
      </c>
      <c r="E1638" s="27" t="s">
        <v>603</v>
      </c>
      <c r="F1638" s="27" t="s">
        <v>146</v>
      </c>
      <c r="G1638" s="32" t="n">
        <f aca="false">(A1638-A1637)*86400000</f>
        <v>16.000843</v>
      </c>
      <c r="H1638" s="3"/>
      <c r="I1638" s="3"/>
      <c r="J1638" s="3"/>
      <c r="K1638" s="3"/>
      <c r="L1638" s="3"/>
      <c r="M1638" s="3"/>
    </row>
    <row r="1639" customFormat="false" ht="15" hidden="false" customHeight="false" outlineLevel="0" collapsed="false">
      <c r="A1639" s="28" t="n">
        <v>46301.5243358681</v>
      </c>
      <c r="B1639" s="31" t="n">
        <f aca="false">(A1639-$A$5)*86400</f>
        <v>58.980999863</v>
      </c>
      <c r="C1639" s="27" t="n">
        <v>0.6932</v>
      </c>
      <c r="D1639" s="27" t="n">
        <v>1.8624</v>
      </c>
      <c r="E1639" s="27" t="s">
        <v>603</v>
      </c>
      <c r="F1639" s="27" t="s">
        <v>146</v>
      </c>
      <c r="G1639" s="32" t="n">
        <f aca="false">(A1639-A1638)*86400000</f>
        <v>15.999586</v>
      </c>
      <c r="H1639" s="3"/>
      <c r="I1639" s="3"/>
      <c r="J1639" s="3"/>
      <c r="K1639" s="3"/>
      <c r="L1639" s="3"/>
      <c r="M1639" s="3"/>
    </row>
    <row r="1640" customFormat="false" ht="15" hidden="false" customHeight="false" outlineLevel="0" collapsed="false">
      <c r="A1640" s="28" t="n">
        <v>46301.5243360532</v>
      </c>
      <c r="B1640" s="31" t="n">
        <f aca="false">(A1640-$A$5)*86400</f>
        <v>58.997000078</v>
      </c>
      <c r="C1640" s="27" t="n">
        <v>0.6882</v>
      </c>
      <c r="D1640" s="27" t="n">
        <v>1.8638</v>
      </c>
      <c r="E1640" s="27" t="s">
        <v>603</v>
      </c>
      <c r="F1640" s="27" t="s">
        <v>146</v>
      </c>
      <c r="G1640" s="32" t="n">
        <f aca="false">(A1640-A1639)*86400000</f>
        <v>16.000214</v>
      </c>
      <c r="H1640" s="3"/>
      <c r="I1640" s="3"/>
      <c r="J1640" s="3"/>
      <c r="K1640" s="3"/>
      <c r="L1640" s="3"/>
      <c r="M1640" s="3"/>
    </row>
    <row r="1641" customFormat="false" ht="15" hidden="false" customHeight="false" outlineLevel="0" collapsed="false">
      <c r="A1641" s="28" t="n">
        <v>46301.5243362384</v>
      </c>
      <c r="B1641" s="31" t="n">
        <f aca="false">(A1641-$A$5)*86400</f>
        <v>59.013000293</v>
      </c>
      <c r="C1641" s="27" t="n">
        <v>0.6841</v>
      </c>
      <c r="D1641" s="27" t="n">
        <v>1.8649</v>
      </c>
      <c r="E1641" s="27" t="s">
        <v>603</v>
      </c>
      <c r="F1641" s="27" t="s">
        <v>146</v>
      </c>
      <c r="G1641" s="32" t="n">
        <f aca="false">(A1641-A1640)*86400000</f>
        <v>16.000214</v>
      </c>
      <c r="H1641" s="3"/>
      <c r="I1641" s="3"/>
      <c r="J1641" s="3"/>
      <c r="K1641" s="3"/>
      <c r="L1641" s="3"/>
      <c r="M1641" s="3"/>
    </row>
    <row r="1642" customFormat="false" ht="15" hidden="false" customHeight="false" outlineLevel="0" collapsed="false">
      <c r="A1642" s="28" t="n">
        <v>46301.5243364236</v>
      </c>
      <c r="B1642" s="31" t="n">
        <f aca="false">(A1642-$A$5)*86400</f>
        <v>59.028999879</v>
      </c>
      <c r="C1642" s="27" t="n">
        <v>0.6807</v>
      </c>
      <c r="D1642" s="27" t="n">
        <v>1.8658</v>
      </c>
      <c r="E1642" s="27" t="s">
        <v>603</v>
      </c>
      <c r="F1642" s="27" t="s">
        <v>146</v>
      </c>
      <c r="G1642" s="32" t="n">
        <f aca="false">(A1642-A1641)*86400000</f>
        <v>15.999586</v>
      </c>
      <c r="H1642" s="3"/>
      <c r="I1642" s="3"/>
      <c r="J1642" s="3"/>
      <c r="K1642" s="3"/>
      <c r="L1642" s="3"/>
      <c r="M1642" s="3"/>
    </row>
    <row r="1643" customFormat="false" ht="15" hidden="false" customHeight="false" outlineLevel="0" collapsed="false">
      <c r="A1643" s="28" t="n">
        <v>46301.5243366204</v>
      </c>
      <c r="B1643" s="31" t="n">
        <f aca="false">(A1643-$A$5)*86400</f>
        <v>59.046000265</v>
      </c>
      <c r="C1643" s="27" t="n">
        <v>0.638</v>
      </c>
      <c r="D1643" s="27" t="n">
        <v>1.8424</v>
      </c>
      <c r="E1643" s="27" t="s">
        <v>603</v>
      </c>
      <c r="F1643" s="27" t="s">
        <v>146</v>
      </c>
      <c r="G1643" s="32" t="n">
        <f aca="false">(A1643-A1642)*86400000</f>
        <v>17.000385</v>
      </c>
      <c r="H1643" s="3"/>
      <c r="I1643" s="3"/>
      <c r="J1643" s="3"/>
      <c r="K1643" s="3"/>
      <c r="L1643" s="3"/>
      <c r="M1643" s="3"/>
    </row>
    <row r="1644" customFormat="false" ht="15" hidden="false" customHeight="false" outlineLevel="0" collapsed="false">
      <c r="A1644" s="28" t="n">
        <v>46301.5243368056</v>
      </c>
      <c r="B1644" s="31" t="n">
        <f aca="false">(A1644-$A$5)*86400</f>
        <v>59.061999851</v>
      </c>
      <c r="C1644" s="27" t="n">
        <v>0.6031</v>
      </c>
      <c r="D1644" s="27" t="n">
        <v>1.8232</v>
      </c>
      <c r="E1644" s="27" t="s">
        <v>603</v>
      </c>
      <c r="F1644" s="27" t="s">
        <v>146</v>
      </c>
      <c r="G1644" s="32" t="n">
        <f aca="false">(A1644-A1643)*86400000</f>
        <v>15.999586</v>
      </c>
      <c r="H1644" s="3"/>
      <c r="I1644" s="3"/>
      <c r="J1644" s="3"/>
      <c r="K1644" s="3"/>
      <c r="L1644" s="3"/>
      <c r="M1644" s="3"/>
    </row>
    <row r="1645" customFormat="false" ht="15" hidden="false" customHeight="false" outlineLevel="0" collapsed="false">
      <c r="A1645" s="28" t="n">
        <v>46301.5243370023</v>
      </c>
      <c r="B1645" s="31" t="n">
        <f aca="false">(A1645-$A$5)*86400</f>
        <v>59.079000866</v>
      </c>
      <c r="C1645" s="27" t="n">
        <v>0.5747</v>
      </c>
      <c r="D1645" s="27" t="n">
        <v>1.8076</v>
      </c>
      <c r="E1645" s="27" t="s">
        <v>603</v>
      </c>
      <c r="F1645" s="27" t="s">
        <v>146</v>
      </c>
      <c r="G1645" s="32" t="n">
        <f aca="false">(A1645-A1644)*86400000</f>
        <v>17.001014</v>
      </c>
      <c r="H1645" s="3"/>
      <c r="I1645" s="3"/>
      <c r="J1645" s="3"/>
      <c r="K1645" s="3"/>
      <c r="L1645" s="3"/>
      <c r="M1645" s="3"/>
    </row>
    <row r="1646" customFormat="false" ht="15" hidden="false" customHeight="false" outlineLevel="0" collapsed="false">
      <c r="A1646" s="28" t="n">
        <v>46301.5243371991</v>
      </c>
      <c r="B1646" s="31" t="n">
        <f aca="false">(A1646-$A$5)*86400</f>
        <v>59.095999994</v>
      </c>
      <c r="C1646" s="27" t="n">
        <v>0.5528</v>
      </c>
      <c r="D1646" s="27" t="n">
        <v>1.7956</v>
      </c>
      <c r="E1646" s="27" t="s">
        <v>603</v>
      </c>
      <c r="F1646" s="27" t="s">
        <v>146</v>
      </c>
      <c r="G1646" s="32" t="n">
        <f aca="false">(A1646-A1645)*86400000</f>
        <v>16.999128</v>
      </c>
      <c r="H1646" s="3"/>
      <c r="I1646" s="3"/>
      <c r="J1646" s="3"/>
      <c r="K1646" s="3"/>
      <c r="L1646" s="3"/>
      <c r="M1646" s="3"/>
    </row>
    <row r="1647" customFormat="false" ht="15" hidden="false" customHeight="false" outlineLevel="0" collapsed="false">
      <c r="A1647" s="28" t="n">
        <v>46301.5243373843</v>
      </c>
      <c r="B1647" s="31" t="n">
        <f aca="false">(A1647-$A$5)*86400</f>
        <v>59.112000209</v>
      </c>
      <c r="C1647" s="27" t="n">
        <v>0.5347</v>
      </c>
      <c r="D1647" s="27" t="n">
        <v>1.7856</v>
      </c>
      <c r="E1647" s="27" t="s">
        <v>603</v>
      </c>
      <c r="F1647" s="27" t="s">
        <v>146</v>
      </c>
      <c r="G1647" s="32" t="n">
        <f aca="false">(A1647-A1646)*86400000</f>
        <v>16.000214</v>
      </c>
      <c r="H1647" s="3"/>
      <c r="I1647" s="3"/>
      <c r="J1647" s="3"/>
      <c r="K1647" s="3"/>
      <c r="L1647" s="3"/>
      <c r="M1647" s="3"/>
    </row>
    <row r="1648" customFormat="false" ht="15" hidden="false" customHeight="false" outlineLevel="0" collapsed="false">
      <c r="A1648" s="28" t="n">
        <v>46301.5243375694</v>
      </c>
      <c r="B1648" s="31" t="n">
        <f aca="false">(A1648-$A$5)*86400</f>
        <v>59.127999795</v>
      </c>
      <c r="C1648" s="27" t="n">
        <v>0.5197</v>
      </c>
      <c r="D1648" s="27" t="n">
        <v>1.7774</v>
      </c>
      <c r="E1648" s="27" t="s">
        <v>603</v>
      </c>
      <c r="F1648" s="27" t="s">
        <v>146</v>
      </c>
      <c r="G1648" s="32" t="n">
        <f aca="false">(A1648-A1647)*86400000</f>
        <v>15.999586</v>
      </c>
      <c r="H1648" s="3"/>
      <c r="I1648" s="3"/>
      <c r="J1648" s="3"/>
      <c r="K1648" s="3"/>
      <c r="L1648" s="3"/>
      <c r="M1648" s="3"/>
    </row>
    <row r="1649" customFormat="false" ht="15" hidden="false" customHeight="false" outlineLevel="0" collapsed="false">
      <c r="A1649" s="28" t="n">
        <v>46301.5243377662</v>
      </c>
      <c r="B1649" s="31" t="n">
        <f aca="false">(A1649-$A$5)*86400</f>
        <v>59.144999552</v>
      </c>
      <c r="C1649" s="27" t="n">
        <v>0.5067</v>
      </c>
      <c r="D1649" s="27" t="n">
        <v>1.7703</v>
      </c>
      <c r="E1649" s="27" t="s">
        <v>603</v>
      </c>
      <c r="F1649" s="27" t="s">
        <v>146</v>
      </c>
      <c r="G1649" s="32" t="n">
        <f aca="false">(A1649-A1648)*86400000</f>
        <v>16.999756</v>
      </c>
      <c r="H1649" s="3"/>
      <c r="I1649" s="3"/>
      <c r="J1649" s="3"/>
      <c r="K1649" s="3"/>
      <c r="L1649" s="3"/>
      <c r="M1649" s="3"/>
    </row>
    <row r="1650" customFormat="false" ht="15" hidden="false" customHeight="false" outlineLevel="0" collapsed="false">
      <c r="A1650" s="28" t="n">
        <v>46301.5243379514</v>
      </c>
      <c r="B1650" s="31" t="n">
        <f aca="false">(A1650-$A$5)*86400</f>
        <v>59.161000396</v>
      </c>
      <c r="C1650" s="27" t="n">
        <v>0.4967</v>
      </c>
      <c r="D1650" s="27" t="n">
        <v>1.7648</v>
      </c>
      <c r="E1650" s="27" t="s">
        <v>603</v>
      </c>
      <c r="F1650" s="27" t="s">
        <v>146</v>
      </c>
      <c r="G1650" s="32" t="n">
        <f aca="false">(A1650-A1649)*86400000</f>
        <v>16.000843</v>
      </c>
      <c r="H1650" s="3"/>
      <c r="I1650" s="3"/>
      <c r="J1650" s="3"/>
      <c r="K1650" s="3"/>
      <c r="L1650" s="3"/>
      <c r="M1650" s="3"/>
    </row>
    <row r="1651" customFormat="false" ht="15" hidden="false" customHeight="false" outlineLevel="0" collapsed="false">
      <c r="A1651" s="28" t="n">
        <v>46301.5243381366</v>
      </c>
      <c r="B1651" s="31" t="n">
        <f aca="false">(A1651-$A$5)*86400</f>
        <v>59.176999982</v>
      </c>
      <c r="C1651" s="27" t="n">
        <v>0.4884</v>
      </c>
      <c r="D1651" s="27" t="n">
        <v>1.7602</v>
      </c>
      <c r="E1651" s="27" t="s">
        <v>603</v>
      </c>
      <c r="F1651" s="27" t="s">
        <v>146</v>
      </c>
      <c r="G1651" s="32" t="n">
        <f aca="false">(A1651-A1650)*86400000</f>
        <v>15.999586</v>
      </c>
      <c r="H1651" s="3"/>
      <c r="I1651" s="3"/>
      <c r="J1651" s="3"/>
      <c r="K1651" s="3"/>
      <c r="L1651" s="3"/>
      <c r="M1651" s="3"/>
    </row>
    <row r="1652" customFormat="false" ht="15" hidden="false" customHeight="false" outlineLevel="0" collapsed="false">
      <c r="A1652" s="28" t="n">
        <v>46301.5243383218</v>
      </c>
      <c r="B1652" s="31" t="n">
        <f aca="false">(A1652-$A$5)*86400</f>
        <v>59.193000197</v>
      </c>
      <c r="C1652" s="27" t="n">
        <v>0.4811</v>
      </c>
      <c r="D1652" s="27" t="n">
        <v>1.7562</v>
      </c>
      <c r="E1652" s="27" t="s">
        <v>603</v>
      </c>
      <c r="F1652" s="27" t="s">
        <v>146</v>
      </c>
      <c r="G1652" s="32" t="n">
        <f aca="false">(A1652-A1651)*86400000</f>
        <v>16.000214</v>
      </c>
      <c r="H1652" s="3"/>
      <c r="I1652" s="3"/>
      <c r="J1652" s="3"/>
      <c r="K1652" s="3"/>
      <c r="L1652" s="3"/>
      <c r="M1652" s="3"/>
    </row>
    <row r="1653" customFormat="false" ht="15" hidden="false" customHeight="false" outlineLevel="0" collapsed="false">
      <c r="A1653" s="28" t="n">
        <v>46301.5243385185</v>
      </c>
      <c r="B1653" s="31" t="n">
        <f aca="false">(A1653-$A$5)*86400</f>
        <v>59.209999954</v>
      </c>
      <c r="C1653" s="27" t="n">
        <v>0.4756</v>
      </c>
      <c r="D1653" s="27" t="n">
        <v>1.7532</v>
      </c>
      <c r="E1653" s="27" t="s">
        <v>603</v>
      </c>
      <c r="F1653" s="27" t="s">
        <v>146</v>
      </c>
      <c r="G1653" s="32" t="n">
        <f aca="false">(A1653-A1652)*86400000</f>
        <v>16.999756</v>
      </c>
      <c r="H1653" s="3"/>
      <c r="I1653" s="3"/>
      <c r="J1653" s="3"/>
      <c r="K1653" s="3"/>
      <c r="L1653" s="3"/>
      <c r="M1653" s="3"/>
    </row>
    <row r="1654" customFormat="false" ht="15" hidden="false" customHeight="false" outlineLevel="0" collapsed="false">
      <c r="A1654" s="28" t="n">
        <v>46301.5243387037</v>
      </c>
      <c r="B1654" s="31" t="n">
        <f aca="false">(A1654-$A$5)*86400</f>
        <v>59.22599954</v>
      </c>
      <c r="C1654" s="27" t="n">
        <v>0.4707</v>
      </c>
      <c r="D1654" s="27" t="n">
        <v>1.7505</v>
      </c>
      <c r="E1654" s="27" t="s">
        <v>603</v>
      </c>
      <c r="F1654" s="27" t="s">
        <v>146</v>
      </c>
      <c r="G1654" s="32" t="n">
        <f aca="false">(A1654-A1653)*86400000</f>
        <v>15.999586</v>
      </c>
      <c r="H1654" s="3"/>
      <c r="I1654" s="3"/>
      <c r="J1654" s="3"/>
      <c r="K1654" s="3"/>
      <c r="L1654" s="3"/>
      <c r="M1654" s="3"/>
    </row>
    <row r="1655" customFormat="false" ht="15" hidden="false" customHeight="false" outlineLevel="0" collapsed="false">
      <c r="A1655" s="28" t="n">
        <v>46301.5243389005</v>
      </c>
      <c r="B1655" s="31" t="n">
        <f aca="false">(A1655-$A$5)*86400</f>
        <v>59.242999926</v>
      </c>
      <c r="C1655" s="27" t="n">
        <v>0.4669</v>
      </c>
      <c r="D1655" s="27" t="n">
        <v>1.7484</v>
      </c>
      <c r="E1655" s="27" t="s">
        <v>603</v>
      </c>
      <c r="F1655" s="27" t="s">
        <v>146</v>
      </c>
      <c r="G1655" s="32" t="n">
        <f aca="false">(A1655-A1654)*86400000</f>
        <v>17.000385</v>
      </c>
      <c r="H1655" s="3"/>
      <c r="I1655" s="3"/>
      <c r="J1655" s="3"/>
      <c r="K1655" s="3"/>
      <c r="L1655" s="3"/>
      <c r="M1655" s="3"/>
    </row>
    <row r="1656" customFormat="false" ht="15" hidden="false" customHeight="false" outlineLevel="0" collapsed="false">
      <c r="A1656" s="28" t="n">
        <v>46301.5243390857</v>
      </c>
      <c r="B1656" s="31" t="n">
        <f aca="false">(A1656-$A$5)*86400</f>
        <v>59.259000141</v>
      </c>
      <c r="C1656" s="27" t="n">
        <v>0.4638</v>
      </c>
      <c r="D1656" s="27" t="n">
        <v>1.7467</v>
      </c>
      <c r="E1656" s="27" t="s">
        <v>603</v>
      </c>
      <c r="F1656" s="27" t="s">
        <v>146</v>
      </c>
      <c r="G1656" s="32" t="n">
        <f aca="false">(A1656-A1655)*86400000</f>
        <v>16.000214</v>
      </c>
      <c r="H1656" s="3"/>
      <c r="I1656" s="3"/>
      <c r="J1656" s="3"/>
      <c r="K1656" s="3"/>
      <c r="L1656" s="3"/>
      <c r="M1656" s="3"/>
    </row>
    <row r="1657" customFormat="false" ht="15" hidden="false" customHeight="false" outlineLevel="0" collapsed="false">
      <c r="A1657" s="28" t="n">
        <v>46301.5243392708</v>
      </c>
      <c r="B1657" s="31" t="n">
        <f aca="false">(A1657-$A$5)*86400</f>
        <v>59.275000984</v>
      </c>
      <c r="C1657" s="27" t="n">
        <v>0.4613</v>
      </c>
      <c r="D1657" s="27" t="n">
        <v>1.7453</v>
      </c>
      <c r="E1657" s="27" t="s">
        <v>603</v>
      </c>
      <c r="F1657" s="27" t="s">
        <v>146</v>
      </c>
      <c r="G1657" s="32" t="n">
        <f aca="false">(A1657-A1656)*86400000</f>
        <v>16.000843</v>
      </c>
      <c r="H1657" s="3"/>
      <c r="I1657" s="3"/>
      <c r="J1657" s="3"/>
      <c r="K1657" s="3"/>
      <c r="L1657" s="3"/>
      <c r="M1657" s="3"/>
    </row>
    <row r="1658" customFormat="false" ht="15" hidden="false" customHeight="false" outlineLevel="0" collapsed="false">
      <c r="A1658" s="28" t="n">
        <v>46301.524339456</v>
      </c>
      <c r="B1658" s="31" t="n">
        <f aca="false">(A1658-$A$5)*86400</f>
        <v>59.290999942</v>
      </c>
      <c r="C1658" s="27" t="n">
        <v>0.4592</v>
      </c>
      <c r="D1658" s="27" t="n">
        <v>1.7441</v>
      </c>
      <c r="E1658" s="27" t="s">
        <v>603</v>
      </c>
      <c r="F1658" s="27" t="s">
        <v>146</v>
      </c>
      <c r="G1658" s="32" t="n">
        <f aca="false">(A1658-A1657)*86400000</f>
        <v>15.998957</v>
      </c>
      <c r="H1658" s="3"/>
      <c r="I1658" s="3"/>
      <c r="J1658" s="3"/>
      <c r="K1658" s="3"/>
      <c r="L1658" s="3"/>
      <c r="M1658" s="3"/>
    </row>
    <row r="1659" customFormat="false" ht="15" hidden="false" customHeight="false" outlineLevel="0" collapsed="false">
      <c r="A1659" s="28" t="n">
        <v>46301.5243396412</v>
      </c>
      <c r="B1659" s="31" t="n">
        <f aca="false">(A1659-$A$5)*86400</f>
        <v>59.306999528</v>
      </c>
      <c r="C1659" s="27" t="n">
        <v>0.4574</v>
      </c>
      <c r="D1659" s="27" t="n">
        <v>1.7432</v>
      </c>
      <c r="E1659" s="27" t="s">
        <v>603</v>
      </c>
      <c r="F1659" s="27" t="s">
        <v>146</v>
      </c>
      <c r="G1659" s="32" t="n">
        <f aca="false">(A1659-A1658)*86400000</f>
        <v>15.999586</v>
      </c>
      <c r="H1659" s="3"/>
      <c r="I1659" s="3"/>
      <c r="J1659" s="3"/>
      <c r="K1659" s="3"/>
      <c r="L1659" s="3"/>
      <c r="M1659" s="3"/>
    </row>
    <row r="1660" customFormat="false" ht="15" hidden="false" customHeight="false" outlineLevel="0" collapsed="false">
      <c r="A1660" s="28" t="n">
        <v>46301.5243398264</v>
      </c>
      <c r="B1660" s="31" t="n">
        <f aca="false">(A1660-$A$5)*86400</f>
        <v>59.323000372</v>
      </c>
      <c r="C1660" s="27" t="n">
        <v>0.456</v>
      </c>
      <c r="D1660" s="27" t="n">
        <v>1.7424</v>
      </c>
      <c r="E1660" s="27" t="s">
        <v>603</v>
      </c>
      <c r="F1660" s="27" t="s">
        <v>146</v>
      </c>
      <c r="G1660" s="32" t="n">
        <f aca="false">(A1660-A1659)*86400000</f>
        <v>16.000843</v>
      </c>
      <c r="H1660" s="3"/>
      <c r="I1660" s="3"/>
      <c r="J1660" s="3"/>
      <c r="K1660" s="3"/>
      <c r="L1660" s="3"/>
      <c r="M1660" s="3"/>
    </row>
    <row r="1661" customFormat="false" ht="15" hidden="false" customHeight="false" outlineLevel="0" collapsed="false">
      <c r="A1661" s="28" t="n">
        <v>46301.5243401968</v>
      </c>
      <c r="B1661" s="31" t="n">
        <f aca="false">(A1661-$A$5)*86400</f>
        <v>59.355000173</v>
      </c>
      <c r="C1661" s="27" t="n">
        <v>0.4538</v>
      </c>
      <c r="D1661" s="27" t="n">
        <v>1.7412</v>
      </c>
      <c r="E1661" s="27" t="s">
        <v>603</v>
      </c>
      <c r="F1661" s="27" t="s">
        <v>146</v>
      </c>
      <c r="G1661" s="32" t="n">
        <f aca="false">(A1661-A1660)*86400000</f>
        <v>31.999801</v>
      </c>
      <c r="H1661" s="3"/>
      <c r="I1661" s="3"/>
      <c r="J1661" s="3"/>
      <c r="K1661" s="3"/>
      <c r="L1661" s="3"/>
      <c r="M1661" s="3"/>
    </row>
    <row r="1662" customFormat="false" ht="15" hidden="false" customHeight="false" outlineLevel="0" collapsed="false">
      <c r="A1662" s="28" t="n">
        <v>46301.524340382</v>
      </c>
      <c r="B1662" s="31" t="n">
        <f aca="false">(A1662-$A$5)*86400</f>
        <v>59.371000388</v>
      </c>
      <c r="C1662" s="27" t="n">
        <v>0.453</v>
      </c>
      <c r="D1662" s="27" t="n">
        <v>1.7407</v>
      </c>
      <c r="E1662" s="27" t="s">
        <v>603</v>
      </c>
      <c r="F1662" s="27" t="s">
        <v>146</v>
      </c>
      <c r="G1662" s="32" t="n">
        <f aca="false">(A1662-A1661)*86400000</f>
        <v>16.000214</v>
      </c>
      <c r="H1662" s="3"/>
      <c r="I1662" s="3"/>
      <c r="J1662" s="3"/>
      <c r="K1662" s="3"/>
      <c r="L1662" s="3"/>
      <c r="M1662" s="3"/>
    </row>
    <row r="1663" customFormat="false" ht="15" hidden="false" customHeight="false" outlineLevel="0" collapsed="false">
      <c r="A1663" s="28" t="n">
        <v>46301.5243409375</v>
      </c>
      <c r="B1663" s="31" t="n">
        <f aca="false">(A1663-$A$5)*86400</f>
        <v>59.419000404</v>
      </c>
      <c r="C1663" s="27" t="n">
        <v>0.4513</v>
      </c>
      <c r="D1663" s="27" t="n">
        <v>1.7398</v>
      </c>
      <c r="E1663" s="27" t="s">
        <v>603</v>
      </c>
      <c r="F1663" s="27" t="s">
        <v>146</v>
      </c>
      <c r="G1663" s="32" t="n">
        <f aca="false">(A1663-A1662)*86400000</f>
        <v>48.000016</v>
      </c>
      <c r="H1663" s="3"/>
      <c r="I1663" s="3"/>
      <c r="J1663" s="3"/>
      <c r="K1663" s="3"/>
      <c r="L1663" s="3"/>
      <c r="M1663" s="3"/>
    </row>
    <row r="1664" customFormat="false" ht="15" hidden="false" customHeight="false" outlineLevel="0" collapsed="false">
      <c r="A1664" s="28" t="n">
        <v>46301.5243414931</v>
      </c>
      <c r="B1664" s="31" t="n">
        <f aca="false">(A1664-$A$5)*86400</f>
        <v>59.467000421</v>
      </c>
      <c r="C1664" s="27" t="n">
        <v>0.4492</v>
      </c>
      <c r="D1664" s="27" t="n">
        <v>1.7387</v>
      </c>
      <c r="E1664" s="27" t="s">
        <v>603</v>
      </c>
      <c r="F1664" s="27" t="s">
        <v>146</v>
      </c>
      <c r="G1664" s="32" t="n">
        <f aca="false">(A1664-A1663)*86400000</f>
        <v>48.000016</v>
      </c>
      <c r="H1664" s="3"/>
      <c r="I1664" s="3"/>
      <c r="J1664" s="3"/>
      <c r="K1664" s="3"/>
      <c r="L1664" s="3"/>
      <c r="M1664" s="3"/>
    </row>
    <row r="1665" customFormat="false" ht="15" hidden="false" customHeight="false" outlineLevel="0" collapsed="false">
      <c r="A1665" s="28" t="n">
        <v>46301.5243459838</v>
      </c>
      <c r="B1665" s="31" t="n">
        <f aca="false">(A1665-$A$5)*86400</f>
        <v>59.854999347</v>
      </c>
      <c r="C1665" s="27" t="n">
        <v>0.459</v>
      </c>
      <c r="D1665" s="27" t="n">
        <v>1.6981</v>
      </c>
      <c r="E1665" s="27" t="s">
        <v>603</v>
      </c>
      <c r="F1665" s="27" t="s">
        <v>146</v>
      </c>
      <c r="G1665" s="32" t="n">
        <f aca="false">(A1665-A1664)*86400000</f>
        <v>387.998926</v>
      </c>
      <c r="H1665" s="3"/>
      <c r="I1665" s="3"/>
      <c r="J1665" s="3"/>
      <c r="K1665" s="3"/>
      <c r="L1665" s="3"/>
      <c r="M1665" s="3"/>
    </row>
    <row r="1666" customFormat="false" ht="15" hidden="false" customHeight="false" outlineLevel="0" collapsed="false">
      <c r="A1666" s="28" t="n">
        <v>46301.524346169</v>
      </c>
      <c r="B1666" s="31" t="n">
        <f aca="false">(A1666-$A$5)*86400</f>
        <v>59.871000191</v>
      </c>
      <c r="C1666" s="27" t="n">
        <v>0.4671</v>
      </c>
      <c r="D1666" s="27" t="n">
        <v>1.6647</v>
      </c>
      <c r="E1666" s="27" t="s">
        <v>603</v>
      </c>
      <c r="F1666" s="27" t="s">
        <v>146</v>
      </c>
      <c r="G1666" s="32" t="n">
        <f aca="false">(A1666-A1665)*86400000</f>
        <v>16.000843</v>
      </c>
      <c r="H1666" s="3"/>
      <c r="I1666" s="3"/>
      <c r="J1666" s="3"/>
      <c r="K1666" s="3"/>
      <c r="L1666" s="3"/>
      <c r="M1666" s="3"/>
    </row>
    <row r="1667" customFormat="false" ht="15" hidden="false" customHeight="false" outlineLevel="0" collapsed="false">
      <c r="A1667" s="28" t="n">
        <v>46301.5243463542</v>
      </c>
      <c r="B1667" s="31" t="n">
        <f aca="false">(A1667-$A$5)*86400</f>
        <v>59.887000406</v>
      </c>
      <c r="C1667" s="27" t="n">
        <v>0.4738</v>
      </c>
      <c r="D1667" s="27" t="n">
        <v>1.6371</v>
      </c>
      <c r="E1667" s="27" t="s">
        <v>603</v>
      </c>
      <c r="F1667" s="27" t="s">
        <v>146</v>
      </c>
      <c r="G1667" s="32" t="n">
        <f aca="false">(A1667-A1666)*86400000</f>
        <v>16.000214</v>
      </c>
      <c r="H1667" s="3"/>
      <c r="I1667" s="3"/>
      <c r="J1667" s="3"/>
      <c r="K1667" s="3"/>
      <c r="L1667" s="3"/>
      <c r="M1667" s="3"/>
    </row>
    <row r="1668" customFormat="false" ht="15" hidden="false" customHeight="false" outlineLevel="0" collapsed="false">
      <c r="A1668" s="28" t="n">
        <v>46301.5243465394</v>
      </c>
      <c r="B1668" s="31" t="n">
        <f aca="false">(A1668-$A$5)*86400</f>
        <v>59.902999992</v>
      </c>
      <c r="C1668" s="27" t="n">
        <v>0.4794</v>
      </c>
      <c r="D1668" s="27" t="n">
        <v>1.6143</v>
      </c>
      <c r="E1668" s="27" t="s">
        <v>603</v>
      </c>
      <c r="F1668" s="27" t="s">
        <v>146</v>
      </c>
      <c r="G1668" s="32" t="n">
        <f aca="false">(A1668-A1667)*86400000</f>
        <v>15.999586</v>
      </c>
      <c r="H1668" s="3"/>
      <c r="I1668" s="3"/>
      <c r="J1668" s="3"/>
      <c r="K1668" s="3"/>
      <c r="L1668" s="3"/>
      <c r="M1668" s="3"/>
    </row>
    <row r="1669" customFormat="false" ht="15" hidden="false" customHeight="false" outlineLevel="0" collapsed="false">
      <c r="A1669" s="28" t="n">
        <v>46301.5243467245</v>
      </c>
      <c r="B1669" s="31" t="n">
        <f aca="false">(A1669-$A$5)*86400</f>
        <v>59.919000207</v>
      </c>
      <c r="C1669" s="27" t="n">
        <v>0.4839</v>
      </c>
      <c r="D1669" s="27" t="n">
        <v>1.5955</v>
      </c>
      <c r="E1669" s="27" t="s">
        <v>603</v>
      </c>
      <c r="F1669" s="27" t="s">
        <v>146</v>
      </c>
      <c r="G1669" s="32" t="n">
        <f aca="false">(A1669-A1668)*86400000</f>
        <v>16.000214</v>
      </c>
      <c r="H1669" s="3"/>
      <c r="I1669" s="3"/>
      <c r="J1669" s="3"/>
      <c r="K1669" s="3"/>
      <c r="L1669" s="3"/>
      <c r="M1669" s="3"/>
    </row>
    <row r="1670" customFormat="false" ht="15" hidden="false" customHeight="false" outlineLevel="0" collapsed="false">
      <c r="A1670" s="28" t="n">
        <v>46301.5243469097</v>
      </c>
      <c r="B1670" s="31" t="n">
        <f aca="false">(A1670-$A$5)*86400</f>
        <v>59.934999793</v>
      </c>
      <c r="C1670" s="27" t="n">
        <v>0.4877</v>
      </c>
      <c r="D1670" s="27" t="n">
        <v>1.58</v>
      </c>
      <c r="E1670" s="27" t="s">
        <v>603</v>
      </c>
      <c r="F1670" s="27" t="s">
        <v>146</v>
      </c>
      <c r="G1670" s="32" t="n">
        <f aca="false">(A1670-A1669)*86400000</f>
        <v>15.999586</v>
      </c>
      <c r="H1670" s="3"/>
      <c r="I1670" s="3"/>
      <c r="J1670" s="3"/>
      <c r="K1670" s="3"/>
      <c r="L1670" s="3"/>
      <c r="M1670" s="3"/>
    </row>
    <row r="1671" customFormat="false" ht="15" hidden="false" customHeight="false" outlineLevel="0" collapsed="false">
      <c r="A1671" s="28" t="n">
        <v>46301.5243470833</v>
      </c>
      <c r="B1671" s="31" t="n">
        <f aca="false">(A1671-$A$5)*86400</f>
        <v>59.949999838</v>
      </c>
      <c r="C1671" s="27" t="n">
        <v>0.4908</v>
      </c>
      <c r="D1671" s="27" t="n">
        <v>1.5672</v>
      </c>
      <c r="E1671" s="27" t="s">
        <v>603</v>
      </c>
      <c r="F1671" s="27" t="s">
        <v>146</v>
      </c>
      <c r="G1671" s="32" t="n">
        <f aca="false">(A1671-A1670)*86400000</f>
        <v>15.000044</v>
      </c>
      <c r="H1671" s="3"/>
      <c r="I1671" s="3"/>
      <c r="J1671" s="3"/>
      <c r="K1671" s="3"/>
      <c r="L1671" s="3"/>
      <c r="M1671" s="3"/>
    </row>
    <row r="1672" customFormat="false" ht="15" hidden="false" customHeight="false" outlineLevel="0" collapsed="false">
      <c r="A1672" s="28" t="n">
        <v>46301.5243472801</v>
      </c>
      <c r="B1672" s="31" t="n">
        <f aca="false">(A1672-$A$5)*86400</f>
        <v>59.966999595</v>
      </c>
      <c r="C1672" s="27" t="n">
        <v>0.4932</v>
      </c>
      <c r="D1672" s="27" t="n">
        <v>1.5573</v>
      </c>
      <c r="E1672" s="27" t="s">
        <v>603</v>
      </c>
      <c r="F1672" s="27" t="s">
        <v>146</v>
      </c>
      <c r="G1672" s="32" t="n">
        <f aca="false">(A1672-A1671)*86400000</f>
        <v>16.999756</v>
      </c>
      <c r="H1672" s="3"/>
      <c r="I1672" s="3"/>
      <c r="J1672" s="3"/>
      <c r="K1672" s="3"/>
      <c r="L1672" s="3"/>
      <c r="M1672" s="3"/>
    </row>
    <row r="1673" customFormat="false" ht="15" hidden="false" customHeight="false" outlineLevel="0" collapsed="false">
      <c r="A1673" s="28" t="n">
        <v>46301.5243474653</v>
      </c>
      <c r="B1673" s="31" t="n">
        <f aca="false">(A1673-$A$5)*86400</f>
        <v>59.982999181</v>
      </c>
      <c r="C1673" s="27" t="n">
        <v>0.4954</v>
      </c>
      <c r="D1673" s="27" t="n">
        <v>1.5484</v>
      </c>
      <c r="E1673" s="27" t="s">
        <v>603</v>
      </c>
      <c r="F1673" s="27" t="s">
        <v>144</v>
      </c>
      <c r="G1673" s="32" t="n">
        <f aca="false">(A1673-A1672)*86400000</f>
        <v>15.999586</v>
      </c>
      <c r="H1673" s="3"/>
      <c r="I1673" s="3"/>
      <c r="J1673" s="3"/>
      <c r="K1673" s="3"/>
      <c r="L1673" s="3"/>
      <c r="M1673" s="3"/>
    </row>
    <row r="1674" customFormat="false" ht="15" hidden="false" customHeight="false" outlineLevel="0" collapsed="false">
      <c r="A1674" s="28" t="n">
        <v>46301.5243476505</v>
      </c>
      <c r="B1674" s="31" t="n">
        <f aca="false">(A1674-$A$5)*86400</f>
        <v>59.999000024</v>
      </c>
      <c r="C1674" s="27" t="n">
        <v>0.4971</v>
      </c>
      <c r="D1674" s="27" t="n">
        <v>1.5411</v>
      </c>
      <c r="E1674" s="27" t="s">
        <v>603</v>
      </c>
      <c r="F1674" s="27" t="s">
        <v>144</v>
      </c>
      <c r="G1674" s="32" t="n">
        <f aca="false">(A1674-A1673)*86400000</f>
        <v>16.000843</v>
      </c>
      <c r="H1674" s="3"/>
      <c r="I1674" s="3"/>
      <c r="J1674" s="3"/>
      <c r="K1674" s="3"/>
      <c r="L1674" s="3"/>
      <c r="M1674" s="3"/>
    </row>
    <row r="1675" customFormat="false" ht="15" hidden="false" customHeight="false" outlineLevel="0" collapsed="false">
      <c r="A1675" s="28" t="n">
        <v>46301.5243478357</v>
      </c>
      <c r="B1675" s="31" t="n">
        <f aca="false">(A1675-$A$5)*86400</f>
        <v>60.015000239</v>
      </c>
      <c r="C1675" s="27" t="n">
        <v>0.4986</v>
      </c>
      <c r="D1675" s="27" t="n">
        <v>1.5351</v>
      </c>
      <c r="E1675" s="27" t="s">
        <v>603</v>
      </c>
      <c r="F1675" s="27" t="s">
        <v>144</v>
      </c>
      <c r="G1675" s="32" t="n">
        <f aca="false">(A1675-A1674)*86400000</f>
        <v>16.000214</v>
      </c>
      <c r="H1675" s="3"/>
      <c r="I1675" s="3"/>
      <c r="J1675" s="3"/>
      <c r="K1675" s="3"/>
      <c r="L1675" s="3"/>
      <c r="M1675" s="3"/>
    </row>
    <row r="1676" customFormat="false" ht="15" hidden="false" customHeight="false" outlineLevel="0" collapsed="false">
      <c r="A1676" s="28" t="n">
        <v>46301.5243480208</v>
      </c>
      <c r="B1676" s="31" t="n">
        <f aca="false">(A1676-$A$5)*86400</f>
        <v>60.030999826</v>
      </c>
      <c r="C1676" s="27" t="n">
        <v>0.4999</v>
      </c>
      <c r="D1676" s="27" t="n">
        <v>1.5299</v>
      </c>
      <c r="E1676" s="27" t="s">
        <v>603</v>
      </c>
      <c r="F1676" s="27" t="s">
        <v>144</v>
      </c>
      <c r="G1676" s="32" t="n">
        <f aca="false">(A1676-A1675)*86400000</f>
        <v>15.999586</v>
      </c>
      <c r="H1676" s="3"/>
      <c r="I1676" s="3"/>
      <c r="J1676" s="3"/>
      <c r="K1676" s="3"/>
      <c r="L1676" s="3"/>
      <c r="M1676" s="3"/>
    </row>
    <row r="1677" customFormat="false" ht="15" hidden="false" customHeight="false" outlineLevel="0" collapsed="false">
      <c r="A1677" s="28" t="n">
        <v>46301.5243482176</v>
      </c>
      <c r="B1677" s="31" t="n">
        <f aca="false">(A1677-$A$5)*86400</f>
        <v>60.047999583</v>
      </c>
      <c r="C1677" s="27" t="n">
        <v>0.5009</v>
      </c>
      <c r="D1677" s="27" t="n">
        <v>1.5258</v>
      </c>
      <c r="E1677" s="27" t="s">
        <v>603</v>
      </c>
      <c r="F1677" s="27" t="s">
        <v>144</v>
      </c>
      <c r="G1677" s="32" t="n">
        <f aca="false">(A1677-A1676)*86400000</f>
        <v>16.999756</v>
      </c>
      <c r="H1677" s="3"/>
      <c r="I1677" s="3"/>
      <c r="J1677" s="3"/>
      <c r="K1677" s="3"/>
      <c r="L1677" s="3"/>
      <c r="M1677" s="3"/>
    </row>
    <row r="1678" customFormat="false" ht="15" hidden="false" customHeight="false" outlineLevel="0" collapsed="false">
      <c r="A1678" s="28" t="n">
        <v>46301.5243484028</v>
      </c>
      <c r="B1678" s="31" t="n">
        <f aca="false">(A1678-$A$5)*86400</f>
        <v>60.063999169</v>
      </c>
      <c r="C1678" s="27" t="n">
        <v>0.5017</v>
      </c>
      <c r="D1678" s="27" t="n">
        <v>1.5225</v>
      </c>
      <c r="E1678" s="27" t="s">
        <v>603</v>
      </c>
      <c r="F1678" s="27" t="s">
        <v>144</v>
      </c>
      <c r="G1678" s="32" t="n">
        <f aca="false">(A1678-A1677)*86400000</f>
        <v>15.999586</v>
      </c>
      <c r="H1678" s="3"/>
      <c r="I1678" s="3"/>
      <c r="J1678" s="3"/>
      <c r="K1678" s="3"/>
      <c r="L1678" s="3"/>
      <c r="M1678" s="3"/>
    </row>
    <row r="1679" customFormat="false" ht="15" hidden="false" customHeight="false" outlineLevel="0" collapsed="false">
      <c r="A1679" s="28" t="n">
        <v>46301.524348588</v>
      </c>
      <c r="B1679" s="31" t="n">
        <f aca="false">(A1679-$A$5)*86400</f>
        <v>60.080000013</v>
      </c>
      <c r="C1679" s="27" t="n">
        <v>0.4715</v>
      </c>
      <c r="D1679" s="27" t="n">
        <v>1.5087</v>
      </c>
      <c r="E1679" s="27" t="s">
        <v>603</v>
      </c>
      <c r="F1679" s="27" t="s">
        <v>144</v>
      </c>
      <c r="G1679" s="32" t="n">
        <f aca="false">(A1679-A1678)*86400000</f>
        <v>16.000843</v>
      </c>
      <c r="H1679" s="3"/>
      <c r="I1679" s="3"/>
      <c r="J1679" s="3"/>
      <c r="K1679" s="3"/>
      <c r="L1679" s="3"/>
      <c r="M1679" s="3"/>
    </row>
    <row r="1680" customFormat="false" ht="15" hidden="false" customHeight="false" outlineLevel="0" collapsed="false">
      <c r="A1680" s="28" t="n">
        <v>46301.5243487732</v>
      </c>
      <c r="B1680" s="31" t="n">
        <f aca="false">(A1680-$A$5)*86400</f>
        <v>60.096000228</v>
      </c>
      <c r="C1680" s="27" t="n">
        <v>0.4466</v>
      </c>
      <c r="D1680" s="27" t="n">
        <v>1.4972</v>
      </c>
      <c r="E1680" s="27" t="s">
        <v>603</v>
      </c>
      <c r="F1680" s="27" t="s">
        <v>144</v>
      </c>
      <c r="G1680" s="32" t="n">
        <f aca="false">(A1680-A1679)*86400000</f>
        <v>16.000214</v>
      </c>
      <c r="H1680" s="3"/>
      <c r="I1680" s="3"/>
      <c r="J1680" s="3"/>
      <c r="K1680" s="3"/>
      <c r="L1680" s="3"/>
      <c r="M1680" s="3"/>
    </row>
    <row r="1681" customFormat="false" ht="15" hidden="false" customHeight="false" outlineLevel="0" collapsed="false">
      <c r="A1681" s="28" t="n">
        <v>46301.5243489583</v>
      </c>
      <c r="B1681" s="31" t="n">
        <f aca="false">(A1681-$A$5)*86400</f>
        <v>60.111999814</v>
      </c>
      <c r="C1681" s="27" t="n">
        <v>0.4249</v>
      </c>
      <c r="D1681" s="27" t="n">
        <v>1.4873</v>
      </c>
      <c r="E1681" s="27" t="s">
        <v>603</v>
      </c>
      <c r="F1681" s="27" t="s">
        <v>144</v>
      </c>
      <c r="G1681" s="32" t="n">
        <f aca="false">(A1681-A1680)*86400000</f>
        <v>15.999586</v>
      </c>
      <c r="H1681" s="3"/>
      <c r="I1681" s="3"/>
      <c r="J1681" s="3"/>
      <c r="K1681" s="3"/>
      <c r="L1681" s="3"/>
      <c r="M1681" s="3"/>
    </row>
    <row r="1682" customFormat="false" ht="15" hidden="false" customHeight="false" outlineLevel="0" collapsed="false">
      <c r="A1682" s="28" t="n">
        <v>46301.5243491435</v>
      </c>
      <c r="B1682" s="31" t="n">
        <f aca="false">(A1682-$A$5)*86400</f>
        <v>60.128000029</v>
      </c>
      <c r="C1682" s="27" t="n">
        <v>0.4091</v>
      </c>
      <c r="D1682" s="27" t="n">
        <v>1.48</v>
      </c>
      <c r="E1682" s="27" t="s">
        <v>603</v>
      </c>
      <c r="F1682" s="27" t="s">
        <v>144</v>
      </c>
      <c r="G1682" s="32" t="n">
        <f aca="false">(A1682-A1681)*86400000</f>
        <v>16.000214</v>
      </c>
      <c r="H1682" s="3"/>
      <c r="I1682" s="3"/>
      <c r="J1682" s="3"/>
      <c r="K1682" s="3"/>
      <c r="L1682" s="3"/>
      <c r="M1682" s="3"/>
    </row>
    <row r="1683" customFormat="false" ht="15" hidden="false" customHeight="false" outlineLevel="0" collapsed="false">
      <c r="A1683" s="28" t="n">
        <v>46301.5243493287</v>
      </c>
      <c r="B1683" s="31" t="n">
        <f aca="false">(A1683-$A$5)*86400</f>
        <v>60.144000872</v>
      </c>
      <c r="C1683" s="27" t="n">
        <v>0.3951</v>
      </c>
      <c r="D1683" s="27" t="n">
        <v>1.4736</v>
      </c>
      <c r="E1683" s="27" t="s">
        <v>603</v>
      </c>
      <c r="F1683" s="27" t="s">
        <v>144</v>
      </c>
      <c r="G1683" s="32" t="n">
        <f aca="false">(A1683-A1682)*86400000</f>
        <v>16.000843</v>
      </c>
      <c r="H1683" s="3"/>
      <c r="I1683" s="3"/>
      <c r="J1683" s="3"/>
      <c r="K1683" s="3"/>
      <c r="L1683" s="3"/>
      <c r="M1683" s="3"/>
    </row>
    <row r="1684" customFormat="false" ht="15" hidden="false" customHeight="false" outlineLevel="0" collapsed="false">
      <c r="A1684" s="28" t="n">
        <v>46301.5243495255</v>
      </c>
      <c r="B1684" s="31" t="n">
        <f aca="false">(A1684-$A$5)*86400</f>
        <v>60.161000001</v>
      </c>
      <c r="C1684" s="27" t="n">
        <v>0.3829</v>
      </c>
      <c r="D1684" s="27" t="n">
        <v>1.468</v>
      </c>
      <c r="E1684" s="27" t="s">
        <v>603</v>
      </c>
      <c r="F1684" s="27" t="s">
        <v>144</v>
      </c>
      <c r="G1684" s="32" t="n">
        <f aca="false">(A1684-A1683)*86400000</f>
        <v>16.999128</v>
      </c>
      <c r="H1684" s="3"/>
      <c r="I1684" s="3"/>
      <c r="J1684" s="3"/>
      <c r="K1684" s="3"/>
      <c r="L1684" s="3"/>
      <c r="M1684" s="3"/>
    </row>
    <row r="1685" customFormat="false" ht="15" hidden="false" customHeight="false" outlineLevel="0" collapsed="false">
      <c r="A1685" s="28" t="n">
        <v>46301.5243497107</v>
      </c>
      <c r="B1685" s="31" t="n">
        <f aca="false">(A1685-$A$5)*86400</f>
        <v>60.177000216</v>
      </c>
      <c r="C1685" s="27" t="n">
        <v>0.3822</v>
      </c>
      <c r="D1685" s="27" t="n">
        <v>1.4578</v>
      </c>
      <c r="E1685" s="27" t="s">
        <v>603</v>
      </c>
      <c r="F1685" s="27" t="s">
        <v>144</v>
      </c>
      <c r="G1685" s="32" t="n">
        <f aca="false">(A1685-A1684)*86400000</f>
        <v>16.000214</v>
      </c>
      <c r="H1685" s="3"/>
      <c r="I1685" s="3"/>
      <c r="J1685" s="3"/>
      <c r="K1685" s="3"/>
      <c r="L1685" s="3"/>
      <c r="M1685" s="3"/>
    </row>
    <row r="1686" customFormat="false" ht="15" hidden="false" customHeight="false" outlineLevel="0" collapsed="false">
      <c r="A1686" s="28" t="n">
        <v>46301.5243498958</v>
      </c>
      <c r="B1686" s="31" t="n">
        <f aca="false">(A1686-$A$5)*86400</f>
        <v>60.192999802</v>
      </c>
      <c r="C1686" s="27" t="n">
        <v>0.3817</v>
      </c>
      <c r="D1686" s="27" t="n">
        <v>1.4494</v>
      </c>
      <c r="E1686" s="27" t="s">
        <v>603</v>
      </c>
      <c r="F1686" s="27" t="s">
        <v>144</v>
      </c>
      <c r="G1686" s="32" t="n">
        <f aca="false">(A1686-A1685)*86400000</f>
        <v>15.999586</v>
      </c>
      <c r="H1686" s="3"/>
      <c r="I1686" s="3"/>
      <c r="J1686" s="3"/>
      <c r="K1686" s="3"/>
      <c r="L1686" s="3"/>
      <c r="M1686" s="3"/>
    </row>
    <row r="1687" customFormat="false" ht="15" hidden="false" customHeight="false" outlineLevel="0" collapsed="false">
      <c r="A1687" s="28" t="n">
        <v>46301.524350081</v>
      </c>
      <c r="B1687" s="31" t="n">
        <f aca="false">(A1687-$A$5)*86400</f>
        <v>60.209000017</v>
      </c>
      <c r="C1687" s="27" t="n">
        <v>0.3812</v>
      </c>
      <c r="D1687" s="27" t="n">
        <v>1.4421</v>
      </c>
      <c r="E1687" s="27" t="s">
        <v>603</v>
      </c>
      <c r="F1687" s="27" t="s">
        <v>144</v>
      </c>
      <c r="G1687" s="32" t="n">
        <f aca="false">(A1687-A1686)*86400000</f>
        <v>16.000214</v>
      </c>
      <c r="H1687" s="3"/>
      <c r="I1687" s="3"/>
      <c r="J1687" s="3"/>
      <c r="K1687" s="3"/>
      <c r="L1687" s="3"/>
      <c r="M1687" s="3"/>
    </row>
    <row r="1688" customFormat="false" ht="15" hidden="false" customHeight="false" outlineLevel="0" collapsed="false">
      <c r="A1688" s="28" t="n">
        <v>46301.5243502778</v>
      </c>
      <c r="B1688" s="31" t="n">
        <f aca="false">(A1688-$A$5)*86400</f>
        <v>60.226000403</v>
      </c>
      <c r="C1688" s="27" t="n">
        <v>0.3808</v>
      </c>
      <c r="D1688" s="27" t="n">
        <v>1.4364</v>
      </c>
      <c r="E1688" s="27" t="s">
        <v>603</v>
      </c>
      <c r="F1688" s="27" t="s">
        <v>144</v>
      </c>
      <c r="G1688" s="32" t="n">
        <f aca="false">(A1688-A1687)*86400000</f>
        <v>17.000385</v>
      </c>
      <c r="H1688" s="3"/>
      <c r="I1688" s="3"/>
      <c r="J1688" s="3"/>
      <c r="K1688" s="3"/>
      <c r="L1688" s="3"/>
      <c r="M1688" s="3"/>
    </row>
    <row r="1689" customFormat="false" ht="15" hidden="false" customHeight="false" outlineLevel="0" collapsed="false">
      <c r="A1689" s="28" t="n">
        <v>46301.524350463</v>
      </c>
      <c r="B1689" s="31" t="n">
        <f aca="false">(A1689-$A$5)*86400</f>
        <v>60.241999989</v>
      </c>
      <c r="C1689" s="27" t="n">
        <v>0.3805</v>
      </c>
      <c r="D1689" s="27" t="n">
        <v>1.4318</v>
      </c>
      <c r="E1689" s="27" t="s">
        <v>603</v>
      </c>
      <c r="F1689" s="27" t="s">
        <v>144</v>
      </c>
      <c r="G1689" s="32" t="n">
        <f aca="false">(A1689-A1688)*86400000</f>
        <v>15.999586</v>
      </c>
      <c r="H1689" s="3"/>
      <c r="I1689" s="3"/>
      <c r="J1689" s="3"/>
      <c r="K1689" s="3"/>
      <c r="L1689" s="3"/>
      <c r="M1689" s="3"/>
    </row>
    <row r="1690" customFormat="false" ht="15" hidden="false" customHeight="false" outlineLevel="0" collapsed="false">
      <c r="A1690" s="28" t="n">
        <v>46301.5243506482</v>
      </c>
      <c r="B1690" s="31" t="n">
        <f aca="false">(A1690-$A$5)*86400</f>
        <v>60.258000204</v>
      </c>
      <c r="C1690" s="27" t="n">
        <v>0.3793</v>
      </c>
      <c r="D1690" s="27" t="n">
        <v>1.4265</v>
      </c>
      <c r="E1690" s="27" t="s">
        <v>603</v>
      </c>
      <c r="F1690" s="27" t="s">
        <v>144</v>
      </c>
      <c r="G1690" s="32" t="n">
        <f aca="false">(A1690-A1689)*86400000</f>
        <v>16.000214</v>
      </c>
      <c r="H1690" s="3"/>
      <c r="I1690" s="3"/>
      <c r="J1690" s="3"/>
      <c r="K1690" s="3"/>
      <c r="L1690" s="3"/>
      <c r="M1690" s="3"/>
    </row>
    <row r="1691" customFormat="false" ht="15" hidden="false" customHeight="false" outlineLevel="0" collapsed="false">
      <c r="A1691" s="28" t="n">
        <v>46301.5243508333</v>
      </c>
      <c r="B1691" s="31" t="n">
        <f aca="false">(A1691-$A$5)*86400</f>
        <v>60.274000419</v>
      </c>
      <c r="C1691" s="27" t="n">
        <v>0.3784</v>
      </c>
      <c r="D1691" s="27" t="n">
        <v>1.4221</v>
      </c>
      <c r="E1691" s="27" t="s">
        <v>603</v>
      </c>
      <c r="F1691" s="27" t="s">
        <v>144</v>
      </c>
      <c r="G1691" s="32" t="n">
        <f aca="false">(A1691-A1690)*86400000</f>
        <v>16.000214</v>
      </c>
      <c r="H1691" s="3"/>
      <c r="I1691" s="3"/>
      <c r="J1691" s="3"/>
      <c r="K1691" s="3"/>
      <c r="L1691" s="3"/>
      <c r="M1691" s="3"/>
    </row>
    <row r="1692" customFormat="false" ht="15" hidden="false" customHeight="false" outlineLevel="0" collapsed="false">
      <c r="A1692" s="28" t="n">
        <v>46301.5243510185</v>
      </c>
      <c r="B1692" s="31" t="n">
        <f aca="false">(A1692-$A$5)*86400</f>
        <v>60.290000005</v>
      </c>
      <c r="C1692" s="27" t="n">
        <v>0.3776</v>
      </c>
      <c r="D1692" s="27" t="n">
        <v>1.4185</v>
      </c>
      <c r="E1692" s="27" t="s">
        <v>603</v>
      </c>
      <c r="F1692" s="27" t="s">
        <v>144</v>
      </c>
      <c r="G1692" s="32" t="n">
        <f aca="false">(A1692-A1691)*86400000</f>
        <v>15.999586</v>
      </c>
      <c r="H1692" s="3"/>
      <c r="I1692" s="3"/>
      <c r="J1692" s="3"/>
      <c r="K1692" s="3"/>
      <c r="L1692" s="3"/>
      <c r="M1692" s="3"/>
    </row>
    <row r="1693" customFormat="false" ht="15" hidden="false" customHeight="false" outlineLevel="0" collapsed="false">
      <c r="A1693" s="28" t="n">
        <v>46301.5243512037</v>
      </c>
      <c r="B1693" s="31" t="n">
        <f aca="false">(A1693-$A$5)*86400</f>
        <v>60.306000849</v>
      </c>
      <c r="C1693" s="27" t="n">
        <v>0.377</v>
      </c>
      <c r="D1693" s="27" t="n">
        <v>1.4156</v>
      </c>
      <c r="E1693" s="27" t="s">
        <v>603</v>
      </c>
      <c r="F1693" s="27" t="s">
        <v>144</v>
      </c>
      <c r="G1693" s="32" t="n">
        <f aca="false">(A1693-A1692)*86400000</f>
        <v>16.000843</v>
      </c>
      <c r="H1693" s="3"/>
      <c r="I1693" s="3"/>
      <c r="J1693" s="3"/>
      <c r="K1693" s="3"/>
      <c r="L1693" s="3"/>
      <c r="M1693" s="3"/>
    </row>
    <row r="1694" customFormat="false" ht="15" hidden="false" customHeight="false" outlineLevel="0" collapsed="false">
      <c r="A1694" s="28" t="n">
        <v>46301.5243514005</v>
      </c>
      <c r="B1694" s="31" t="n">
        <f aca="false">(A1694-$A$5)*86400</f>
        <v>60.322999977</v>
      </c>
      <c r="C1694" s="27" t="n">
        <v>0.3765</v>
      </c>
      <c r="D1694" s="27" t="n">
        <v>1.4131</v>
      </c>
      <c r="E1694" s="27" t="s">
        <v>603</v>
      </c>
      <c r="F1694" s="27" t="s">
        <v>144</v>
      </c>
      <c r="G1694" s="32" t="n">
        <f aca="false">(A1694-A1693)*86400000</f>
        <v>16.999128</v>
      </c>
      <c r="H1694" s="3"/>
      <c r="I1694" s="3"/>
      <c r="J1694" s="3"/>
      <c r="K1694" s="3"/>
      <c r="L1694" s="3"/>
      <c r="M1694" s="3"/>
    </row>
    <row r="1695" customFormat="false" ht="15" hidden="false" customHeight="false" outlineLevel="0" collapsed="false">
      <c r="A1695" s="28" t="n">
        <v>46301.5243515741</v>
      </c>
      <c r="B1695" s="31" t="n">
        <f aca="false">(A1695-$A$5)*86400</f>
        <v>60.338000021</v>
      </c>
      <c r="C1695" s="27" t="n">
        <v>0.376</v>
      </c>
      <c r="D1695" s="27" t="n">
        <v>1.4111</v>
      </c>
      <c r="E1695" s="27" t="s">
        <v>603</v>
      </c>
      <c r="F1695" s="27" t="s">
        <v>144</v>
      </c>
      <c r="G1695" s="32" t="n">
        <f aca="false">(A1695-A1694)*86400000</f>
        <v>15.000044</v>
      </c>
      <c r="H1695" s="3"/>
      <c r="I1695" s="3"/>
      <c r="J1695" s="3"/>
      <c r="K1695" s="3"/>
      <c r="L1695" s="3"/>
      <c r="M1695" s="3"/>
    </row>
    <row r="1696" customFormat="false" ht="15" hidden="false" customHeight="false" outlineLevel="0" collapsed="false">
      <c r="A1696" s="28" t="n">
        <v>46301.5243517708</v>
      </c>
      <c r="B1696" s="31" t="n">
        <f aca="false">(A1696-$A$5)*86400</f>
        <v>60.355000407</v>
      </c>
      <c r="C1696" s="27" t="n">
        <v>0.3719</v>
      </c>
      <c r="D1696" s="27" t="n">
        <v>1.4057</v>
      </c>
      <c r="E1696" s="27" t="s">
        <v>603</v>
      </c>
      <c r="F1696" s="27" t="s">
        <v>144</v>
      </c>
      <c r="G1696" s="32" t="n">
        <f aca="false">(A1696-A1695)*86400000</f>
        <v>17.000385</v>
      </c>
      <c r="H1696" s="3"/>
      <c r="I1696" s="3"/>
      <c r="J1696" s="3"/>
      <c r="K1696" s="3"/>
      <c r="L1696" s="3"/>
      <c r="M1696" s="3"/>
    </row>
    <row r="1697" customFormat="false" ht="15" hidden="false" customHeight="false" outlineLevel="0" collapsed="false">
      <c r="A1697" s="28" t="n">
        <v>46301.5243519444</v>
      </c>
      <c r="B1697" s="31" t="n">
        <f aca="false">(A1697-$A$5)*86400</f>
        <v>60.369999823</v>
      </c>
      <c r="C1697" s="27" t="n">
        <v>0.369</v>
      </c>
      <c r="D1697" s="27" t="n">
        <v>1.4018</v>
      </c>
      <c r="E1697" s="27" t="s">
        <v>603</v>
      </c>
      <c r="F1697" s="27" t="s">
        <v>144</v>
      </c>
      <c r="G1697" s="32" t="n">
        <f aca="false">(A1697-A1696)*86400000</f>
        <v>14.999415</v>
      </c>
      <c r="H1697" s="3"/>
      <c r="I1697" s="3"/>
      <c r="J1697" s="3"/>
      <c r="K1697" s="3"/>
      <c r="L1697" s="3"/>
      <c r="M1697" s="3"/>
    </row>
    <row r="1698" customFormat="false" ht="15" hidden="false" customHeight="false" outlineLevel="0" collapsed="false">
      <c r="A1698" s="28" t="n">
        <v>46301.5243521296</v>
      </c>
      <c r="B1698" s="31" t="n">
        <f aca="false">(A1698-$A$5)*86400</f>
        <v>60.386000038</v>
      </c>
      <c r="C1698" s="27" t="n">
        <v>0.3663</v>
      </c>
      <c r="D1698" s="27" t="n">
        <v>1.3983</v>
      </c>
      <c r="E1698" s="27" t="s">
        <v>603</v>
      </c>
      <c r="F1698" s="27" t="s">
        <v>144</v>
      </c>
      <c r="G1698" s="32" t="n">
        <f aca="false">(A1698-A1697)*86400000</f>
        <v>16.000214</v>
      </c>
      <c r="H1698" s="3"/>
      <c r="I1698" s="3"/>
      <c r="J1698" s="3"/>
      <c r="K1698" s="3"/>
      <c r="L1698" s="3"/>
      <c r="M1698" s="3"/>
    </row>
    <row r="1699" customFormat="false" ht="15" hidden="false" customHeight="false" outlineLevel="0" collapsed="false">
      <c r="A1699" s="28" t="n">
        <v>46301.5243523148</v>
      </c>
      <c r="B1699" s="31" t="n">
        <f aca="false">(A1699-$A$5)*86400</f>
        <v>60.402000253</v>
      </c>
      <c r="C1699" s="27" t="n">
        <v>0.3641</v>
      </c>
      <c r="D1699" s="27" t="n">
        <v>1.3955</v>
      </c>
      <c r="E1699" s="27" t="s">
        <v>603</v>
      </c>
      <c r="F1699" s="27" t="s">
        <v>144</v>
      </c>
      <c r="G1699" s="32" t="n">
        <f aca="false">(A1699-A1698)*86400000</f>
        <v>16.000214</v>
      </c>
      <c r="H1699" s="3"/>
      <c r="I1699" s="3"/>
      <c r="J1699" s="3"/>
      <c r="K1699" s="3"/>
      <c r="L1699" s="3"/>
      <c r="M1699" s="3"/>
    </row>
    <row r="1700" customFormat="false" ht="15" hidden="false" customHeight="false" outlineLevel="0" collapsed="false">
      <c r="A1700" s="28" t="n">
        <v>46301.5243525</v>
      </c>
      <c r="B1700" s="31" t="n">
        <f aca="false">(A1700-$A$5)*86400</f>
        <v>60.417999839</v>
      </c>
      <c r="C1700" s="27" t="n">
        <v>0.3623</v>
      </c>
      <c r="D1700" s="27" t="n">
        <v>1.3931</v>
      </c>
      <c r="E1700" s="27" t="s">
        <v>603</v>
      </c>
      <c r="F1700" s="27" t="s">
        <v>144</v>
      </c>
      <c r="G1700" s="32" t="n">
        <f aca="false">(A1700-A1699)*86400000</f>
        <v>15.999586</v>
      </c>
      <c r="H1700" s="3"/>
      <c r="I1700" s="3"/>
      <c r="J1700" s="3"/>
      <c r="K1700" s="3"/>
      <c r="L1700" s="3"/>
      <c r="M1700" s="3"/>
    </row>
    <row r="1701" customFormat="false" ht="15" hidden="false" customHeight="false" outlineLevel="0" collapsed="false">
      <c r="A1701" s="28" t="n">
        <v>46301.5243526852</v>
      </c>
      <c r="B1701" s="31" t="n">
        <f aca="false">(A1701-$A$5)*86400</f>
        <v>60.433999425</v>
      </c>
      <c r="C1701" s="27" t="n">
        <v>0.3609</v>
      </c>
      <c r="D1701" s="27" t="n">
        <v>1.3912</v>
      </c>
      <c r="E1701" s="27" t="s">
        <v>603</v>
      </c>
      <c r="F1701" s="27" t="s">
        <v>144</v>
      </c>
      <c r="G1701" s="32" t="n">
        <f aca="false">(A1701-A1700)*86400000</f>
        <v>15.999586</v>
      </c>
      <c r="H1701" s="3"/>
      <c r="I1701" s="3"/>
      <c r="J1701" s="3"/>
      <c r="K1701" s="3"/>
      <c r="L1701" s="3"/>
      <c r="M1701" s="3"/>
    </row>
    <row r="1702" customFormat="false" ht="15" hidden="false" customHeight="false" outlineLevel="0" collapsed="false">
      <c r="A1702" s="28" t="n">
        <v>46301.5243528704</v>
      </c>
      <c r="B1702" s="31" t="n">
        <f aca="false">(A1702-$A$5)*86400</f>
        <v>60.450000269</v>
      </c>
      <c r="C1702" s="27" t="n">
        <v>0.3588</v>
      </c>
      <c r="D1702" s="27" t="n">
        <v>1.387</v>
      </c>
      <c r="E1702" s="27" t="s">
        <v>603</v>
      </c>
      <c r="F1702" s="27" t="s">
        <v>144</v>
      </c>
      <c r="G1702" s="32" t="n">
        <f aca="false">(A1702-A1701)*86400000</f>
        <v>16.000843</v>
      </c>
      <c r="H1702" s="3"/>
      <c r="I1702" s="3"/>
      <c r="J1702" s="3"/>
      <c r="K1702" s="3"/>
      <c r="L1702" s="3"/>
      <c r="M1702" s="3"/>
    </row>
    <row r="1703" customFormat="false" ht="15" hidden="false" customHeight="false" outlineLevel="0" collapsed="false">
      <c r="A1703" s="28" t="n">
        <v>46301.5243530556</v>
      </c>
      <c r="B1703" s="31" t="n">
        <f aca="false">(A1703-$A$5)*86400</f>
        <v>60.465999855</v>
      </c>
      <c r="C1703" s="27" t="n">
        <v>0.3571</v>
      </c>
      <c r="D1703" s="27" t="n">
        <v>1.3835</v>
      </c>
      <c r="E1703" s="27" t="s">
        <v>603</v>
      </c>
      <c r="F1703" s="27" t="s">
        <v>144</v>
      </c>
      <c r="G1703" s="32" t="n">
        <f aca="false">(A1703-A1702)*86400000</f>
        <v>15.999586</v>
      </c>
      <c r="H1703" s="3"/>
      <c r="I1703" s="3"/>
      <c r="J1703" s="3"/>
      <c r="K1703" s="3"/>
      <c r="L1703" s="3"/>
      <c r="M1703" s="3"/>
    </row>
    <row r="1704" customFormat="false" ht="15" hidden="false" customHeight="false" outlineLevel="0" collapsed="false">
      <c r="A1704" s="28" t="n">
        <v>46301.5243532407</v>
      </c>
      <c r="B1704" s="31" t="n">
        <f aca="false">(A1704-$A$5)*86400</f>
        <v>60.48200007</v>
      </c>
      <c r="C1704" s="27" t="n">
        <v>0.3557</v>
      </c>
      <c r="D1704" s="27" t="n">
        <v>1.3806</v>
      </c>
      <c r="E1704" s="27" t="s">
        <v>603</v>
      </c>
      <c r="F1704" s="27" t="s">
        <v>144</v>
      </c>
      <c r="G1704" s="32" t="n">
        <f aca="false">(A1704-A1703)*86400000</f>
        <v>16.000214</v>
      </c>
      <c r="H1704" s="3"/>
      <c r="I1704" s="3"/>
      <c r="J1704" s="3"/>
      <c r="K1704" s="3"/>
      <c r="L1704" s="3"/>
      <c r="M1704" s="3"/>
    </row>
    <row r="1705" customFormat="false" ht="15" hidden="false" customHeight="false" outlineLevel="0" collapsed="false">
      <c r="A1705" s="28" t="n">
        <v>46301.5243534259</v>
      </c>
      <c r="B1705" s="31" t="n">
        <f aca="false">(A1705-$A$5)*86400</f>
        <v>60.498000285</v>
      </c>
      <c r="C1705" s="27" t="n">
        <v>0.3545</v>
      </c>
      <c r="D1705" s="27" t="n">
        <v>1.3783</v>
      </c>
      <c r="E1705" s="27" t="s">
        <v>603</v>
      </c>
      <c r="F1705" s="27" t="s">
        <v>144</v>
      </c>
      <c r="G1705" s="32" t="n">
        <f aca="false">(A1705-A1704)*86400000</f>
        <v>16.000214</v>
      </c>
      <c r="H1705" s="3"/>
      <c r="I1705" s="3"/>
      <c r="J1705" s="3"/>
      <c r="K1705" s="3"/>
      <c r="L1705" s="3"/>
      <c r="M1705" s="3"/>
    </row>
    <row r="1706" customFormat="false" ht="15" hidden="false" customHeight="false" outlineLevel="0" collapsed="false">
      <c r="A1706" s="28" t="n">
        <v>46301.5243536111</v>
      </c>
      <c r="B1706" s="31" t="n">
        <f aca="false">(A1706-$A$5)*86400</f>
        <v>60.513999871</v>
      </c>
      <c r="C1706" s="27" t="n">
        <v>0.3535</v>
      </c>
      <c r="D1706" s="27" t="n">
        <v>1.3763</v>
      </c>
      <c r="E1706" s="27" t="s">
        <v>603</v>
      </c>
      <c r="F1706" s="27" t="s">
        <v>144</v>
      </c>
      <c r="G1706" s="32" t="n">
        <f aca="false">(A1706-A1705)*86400000</f>
        <v>15.999586</v>
      </c>
      <c r="H1706" s="3"/>
      <c r="I1706" s="3"/>
      <c r="J1706" s="3"/>
      <c r="K1706" s="3"/>
      <c r="L1706" s="3"/>
      <c r="M1706" s="3"/>
    </row>
    <row r="1707" customFormat="false" ht="15" hidden="false" customHeight="false" outlineLevel="0" collapsed="false">
      <c r="A1707" s="28" t="n">
        <v>46301.5243537963</v>
      </c>
      <c r="B1707" s="31" t="n">
        <f aca="false">(A1707-$A$5)*86400</f>
        <v>60.530000715</v>
      </c>
      <c r="C1707" s="27" t="n">
        <v>0.3527</v>
      </c>
      <c r="D1707" s="27" t="n">
        <v>1.3747</v>
      </c>
      <c r="E1707" s="27" t="s">
        <v>603</v>
      </c>
      <c r="F1707" s="27" t="s">
        <v>144</v>
      </c>
      <c r="G1707" s="32" t="n">
        <f aca="false">(A1707-A1706)*86400000</f>
        <v>16.000843</v>
      </c>
      <c r="H1707" s="3"/>
      <c r="I1707" s="3"/>
      <c r="J1707" s="3"/>
      <c r="K1707" s="3"/>
      <c r="L1707" s="3"/>
      <c r="M1707" s="3"/>
    </row>
    <row r="1708" customFormat="false" ht="15" hidden="false" customHeight="false" outlineLevel="0" collapsed="false">
      <c r="A1708" s="28" t="n">
        <v>46301.5243539815</v>
      </c>
      <c r="B1708" s="31" t="n">
        <f aca="false">(A1708-$A$5)*86400</f>
        <v>60.545999673</v>
      </c>
      <c r="C1708" s="27" t="n">
        <v>0.3521</v>
      </c>
      <c r="D1708" s="27" t="n">
        <v>1.3734</v>
      </c>
      <c r="E1708" s="27" t="s">
        <v>603</v>
      </c>
      <c r="F1708" s="27" t="s">
        <v>144</v>
      </c>
      <c r="G1708" s="32" t="n">
        <f aca="false">(A1708-A1707)*86400000</f>
        <v>15.998957</v>
      </c>
      <c r="H1708" s="3"/>
      <c r="I1708" s="3"/>
      <c r="J1708" s="3"/>
      <c r="K1708" s="3"/>
      <c r="L1708" s="3"/>
      <c r="M1708" s="3"/>
    </row>
    <row r="1709" customFormat="false" ht="15" hidden="false" customHeight="false" outlineLevel="0" collapsed="false">
      <c r="A1709" s="28" t="n">
        <v>46301.5243543519</v>
      </c>
      <c r="B1709" s="31" t="n">
        <f aca="false">(A1709-$A$5)*86400</f>
        <v>60.578000103</v>
      </c>
      <c r="C1709" s="27" t="n">
        <v>0.3511</v>
      </c>
      <c r="D1709" s="27" t="n">
        <v>1.3713</v>
      </c>
      <c r="E1709" s="27" t="s">
        <v>603</v>
      </c>
      <c r="F1709" s="27" t="s">
        <v>144</v>
      </c>
      <c r="G1709" s="32" t="n">
        <f aca="false">(A1709-A1708)*86400000</f>
        <v>32.000429</v>
      </c>
      <c r="H1709" s="3"/>
      <c r="I1709" s="3"/>
      <c r="J1709" s="3"/>
      <c r="K1709" s="3"/>
      <c r="L1709" s="3"/>
      <c r="M1709" s="3"/>
    </row>
    <row r="1710" customFormat="false" ht="15" hidden="false" customHeight="false" outlineLevel="0" collapsed="false">
      <c r="A1710" s="28" t="n">
        <v>46301.5243550926</v>
      </c>
      <c r="B1710" s="31" t="n">
        <f aca="false">(A1710-$A$5)*86400</f>
        <v>60.642000962</v>
      </c>
      <c r="C1710" s="27" t="n">
        <v>0.3499</v>
      </c>
      <c r="D1710" s="27" t="n">
        <v>1.3691</v>
      </c>
      <c r="E1710" s="27" t="s">
        <v>603</v>
      </c>
      <c r="F1710" s="27" t="s">
        <v>144</v>
      </c>
      <c r="G1710" s="32" t="n">
        <f aca="false">(A1710-A1709)*86400000</f>
        <v>64.000859</v>
      </c>
      <c r="H1710" s="3"/>
      <c r="I1710" s="3"/>
      <c r="J1710" s="3"/>
      <c r="K1710" s="3"/>
      <c r="L1710" s="3"/>
      <c r="M1710" s="3"/>
    </row>
    <row r="1711" customFormat="false" ht="15" hidden="false" customHeight="false" outlineLevel="0" collapsed="false">
      <c r="A1711" s="28" t="n">
        <v>46301.524355463</v>
      </c>
      <c r="B1711" s="31" t="n">
        <f aca="false">(A1711-$A$5)*86400</f>
        <v>60.674000135</v>
      </c>
      <c r="C1711" s="27" t="n">
        <v>0.349</v>
      </c>
      <c r="D1711" s="27" t="n">
        <v>1.3671</v>
      </c>
      <c r="E1711" s="27" t="s">
        <v>603</v>
      </c>
      <c r="F1711" s="27" t="s">
        <v>144</v>
      </c>
      <c r="G1711" s="32" t="n">
        <f aca="false">(A1711-A1710)*86400000</f>
        <v>31.999172</v>
      </c>
      <c r="H1711" s="3"/>
      <c r="I1711" s="3"/>
      <c r="J1711" s="3"/>
      <c r="K1711" s="3"/>
      <c r="L1711" s="3"/>
      <c r="M1711" s="3"/>
    </row>
    <row r="1712" customFormat="false" ht="15" hidden="false" customHeight="false" outlineLevel="0" collapsed="false">
      <c r="A1712" s="28" t="n">
        <v>46301.5243560185</v>
      </c>
      <c r="B1712" s="31" t="n">
        <f aca="false">(A1712-$A$5)*86400</f>
        <v>60.722000151</v>
      </c>
      <c r="C1712" s="27" t="n">
        <v>0.346</v>
      </c>
      <c r="D1712" s="27" t="n">
        <v>1.3631</v>
      </c>
      <c r="E1712" s="27" t="s">
        <v>603</v>
      </c>
      <c r="F1712" s="27" t="s">
        <v>144</v>
      </c>
      <c r="G1712" s="32" t="n">
        <f aca="false">(A1712-A1711)*86400000</f>
        <v>48.000016</v>
      </c>
      <c r="H1712" s="3"/>
      <c r="I1712" s="3"/>
      <c r="J1712" s="3"/>
      <c r="K1712" s="3"/>
      <c r="L1712" s="3"/>
      <c r="M1712" s="3"/>
    </row>
    <row r="1713" customFormat="false" ht="15" hidden="false" customHeight="false" outlineLevel="0" collapsed="false">
      <c r="A1713" s="28" t="n">
        <v>46301.5243562037</v>
      </c>
      <c r="B1713" s="31" t="n">
        <f aca="false">(A1713-$A$5)*86400</f>
        <v>60.738000366</v>
      </c>
      <c r="C1713" s="27" t="n">
        <v>0.3436</v>
      </c>
      <c r="D1713" s="27" t="n">
        <v>1.3598</v>
      </c>
      <c r="E1713" s="27" t="s">
        <v>603</v>
      </c>
      <c r="F1713" s="27" t="s">
        <v>144</v>
      </c>
      <c r="G1713" s="32" t="n">
        <f aca="false">(A1713-A1712)*86400000</f>
        <v>16.000214</v>
      </c>
      <c r="H1713" s="3"/>
      <c r="I1713" s="3"/>
      <c r="J1713" s="3"/>
      <c r="K1713" s="3"/>
      <c r="L1713" s="3"/>
      <c r="M1713" s="3"/>
    </row>
    <row r="1714" customFormat="false" ht="15" hidden="false" customHeight="false" outlineLevel="0" collapsed="false">
      <c r="A1714" s="28" t="n">
        <v>46301.5243563889</v>
      </c>
      <c r="B1714" s="31" t="n">
        <f aca="false">(A1714-$A$5)*86400</f>
        <v>60.753999953</v>
      </c>
      <c r="C1714" s="27" t="n">
        <v>0.3415</v>
      </c>
      <c r="D1714" s="27" t="n">
        <v>1.3571</v>
      </c>
      <c r="E1714" s="27" t="s">
        <v>603</v>
      </c>
      <c r="F1714" s="27" t="s">
        <v>144</v>
      </c>
      <c r="G1714" s="32" t="n">
        <f aca="false">(A1714-A1713)*86400000</f>
        <v>15.999586</v>
      </c>
      <c r="H1714" s="3"/>
      <c r="I1714" s="3"/>
      <c r="J1714" s="3"/>
      <c r="K1714" s="3"/>
      <c r="L1714" s="3"/>
      <c r="M1714" s="3"/>
    </row>
    <row r="1715" customFormat="false" ht="15" hidden="false" customHeight="false" outlineLevel="0" collapsed="false">
      <c r="A1715" s="28" t="n">
        <v>46301.5243565741</v>
      </c>
      <c r="B1715" s="31" t="n">
        <f aca="false">(A1715-$A$5)*86400</f>
        <v>60.769999539</v>
      </c>
      <c r="C1715" s="27" t="n">
        <v>0.3399</v>
      </c>
      <c r="D1715" s="27" t="n">
        <v>1.3549</v>
      </c>
      <c r="E1715" s="27" t="s">
        <v>603</v>
      </c>
      <c r="F1715" s="27" t="s">
        <v>144</v>
      </c>
      <c r="G1715" s="32" t="n">
        <f aca="false">(A1715-A1714)*86400000</f>
        <v>15.999586</v>
      </c>
      <c r="H1715" s="3"/>
      <c r="I1715" s="3"/>
      <c r="J1715" s="3"/>
      <c r="K1715" s="3"/>
      <c r="L1715" s="3"/>
      <c r="M1715" s="3"/>
    </row>
    <row r="1716" customFormat="false" ht="15" hidden="false" customHeight="false" outlineLevel="0" collapsed="false">
      <c r="A1716" s="28" t="n">
        <v>46301.5243567593</v>
      </c>
      <c r="B1716" s="31" t="n">
        <f aca="false">(A1716-$A$5)*86400</f>
        <v>60.786000383</v>
      </c>
      <c r="C1716" s="27" t="n">
        <v>0.3385</v>
      </c>
      <c r="D1716" s="27" t="n">
        <v>1.353</v>
      </c>
      <c r="E1716" s="27" t="s">
        <v>603</v>
      </c>
      <c r="F1716" s="27" t="s">
        <v>144</v>
      </c>
      <c r="G1716" s="32" t="n">
        <f aca="false">(A1716-A1715)*86400000</f>
        <v>16.000843</v>
      </c>
      <c r="H1716" s="3"/>
      <c r="I1716" s="3"/>
      <c r="J1716" s="3"/>
      <c r="K1716" s="3"/>
      <c r="L1716" s="3"/>
      <c r="M1716" s="3"/>
    </row>
    <row r="1717" customFormat="false" ht="15" hidden="false" customHeight="false" outlineLevel="0" collapsed="false">
      <c r="A1717" s="28" t="n">
        <v>46301.524356956</v>
      </c>
      <c r="B1717" s="31" t="n">
        <f aca="false">(A1717-$A$5)*86400</f>
        <v>60.80300014</v>
      </c>
      <c r="C1717" s="27" t="n">
        <v>0.3373</v>
      </c>
      <c r="D1717" s="27" t="n">
        <v>1.3514</v>
      </c>
      <c r="E1717" s="27" t="s">
        <v>603</v>
      </c>
      <c r="F1717" s="27" t="s">
        <v>144</v>
      </c>
      <c r="G1717" s="32" t="n">
        <f aca="false">(A1717-A1716)*86400000</f>
        <v>16.999756</v>
      </c>
      <c r="H1717" s="3"/>
      <c r="I1717" s="3"/>
      <c r="J1717" s="3"/>
      <c r="K1717" s="3"/>
      <c r="L1717" s="3"/>
      <c r="M1717" s="3"/>
    </row>
    <row r="1718" customFormat="false" ht="15" hidden="false" customHeight="false" outlineLevel="0" collapsed="false">
      <c r="A1718" s="28" t="n">
        <v>46301.5243573264</v>
      </c>
      <c r="B1718" s="31" t="n">
        <f aca="false">(A1718-$A$5)*86400</f>
        <v>60.834999941</v>
      </c>
      <c r="C1718" s="27" t="n">
        <v>0.3353</v>
      </c>
      <c r="D1718" s="27" t="n">
        <v>1.3486</v>
      </c>
      <c r="E1718" s="27" t="s">
        <v>603</v>
      </c>
      <c r="F1718" s="27" t="s">
        <v>144</v>
      </c>
      <c r="G1718" s="32" t="n">
        <f aca="false">(A1718-A1717)*86400000</f>
        <v>31.999801</v>
      </c>
      <c r="H1718" s="3"/>
      <c r="I1718" s="3"/>
      <c r="J1718" s="3"/>
      <c r="K1718" s="3"/>
      <c r="L1718" s="3"/>
      <c r="M1718" s="3"/>
    </row>
    <row r="1719" customFormat="false" ht="15" hidden="false" customHeight="false" outlineLevel="0" collapsed="false">
      <c r="A1719" s="28" t="n">
        <v>46301.5243575232</v>
      </c>
      <c r="B1719" s="31" t="n">
        <f aca="false">(A1719-$A$5)*86400</f>
        <v>60.852000326</v>
      </c>
      <c r="C1719" s="27" t="n">
        <v>0.3344</v>
      </c>
      <c r="D1719" s="27" t="n">
        <v>1.3473</v>
      </c>
      <c r="E1719" s="27" t="s">
        <v>603</v>
      </c>
      <c r="F1719" s="27" t="s">
        <v>144</v>
      </c>
      <c r="G1719" s="32" t="n">
        <f aca="false">(A1719-A1718)*86400000</f>
        <v>17.000385</v>
      </c>
      <c r="H1719" s="3"/>
      <c r="I1719" s="3"/>
      <c r="J1719" s="3"/>
      <c r="K1719" s="3"/>
      <c r="L1719" s="3"/>
      <c r="M1719" s="3"/>
    </row>
    <row r="1720" customFormat="false" ht="15" hidden="false" customHeight="false" outlineLevel="0" collapsed="false">
      <c r="A1720" s="28" t="n">
        <v>46301.5243577083</v>
      </c>
      <c r="B1720" s="31" t="n">
        <f aca="false">(A1720-$A$5)*86400</f>
        <v>60.867999913</v>
      </c>
      <c r="C1720" s="27" t="n">
        <v>0.3337</v>
      </c>
      <c r="D1720" s="27" t="n">
        <v>1.3462</v>
      </c>
      <c r="E1720" s="27" t="s">
        <v>603</v>
      </c>
      <c r="F1720" s="27" t="s">
        <v>144</v>
      </c>
      <c r="G1720" s="32" t="n">
        <f aca="false">(A1720-A1719)*86400000</f>
        <v>15.999586</v>
      </c>
      <c r="H1720" s="3"/>
      <c r="I1720" s="3"/>
      <c r="J1720" s="3"/>
      <c r="K1720" s="3"/>
      <c r="L1720" s="3"/>
      <c r="M1720" s="3"/>
    </row>
    <row r="1721" customFormat="false" ht="15" hidden="false" customHeight="false" outlineLevel="0" collapsed="false">
      <c r="A1721" s="28" t="n">
        <v>46301.5243580787</v>
      </c>
      <c r="B1721" s="31" t="n">
        <f aca="false">(A1721-$A$5)*86400</f>
        <v>60.900000343</v>
      </c>
      <c r="C1721" s="27" t="n">
        <v>0.3327</v>
      </c>
      <c r="D1721" s="27" t="n">
        <v>1.3447</v>
      </c>
      <c r="E1721" s="27" t="s">
        <v>603</v>
      </c>
      <c r="F1721" s="27" t="s">
        <v>144</v>
      </c>
      <c r="G1721" s="32" t="n">
        <f aca="false">(A1721-A1720)*86400000</f>
        <v>32.000429</v>
      </c>
      <c r="H1721" s="3"/>
      <c r="I1721" s="3"/>
      <c r="J1721" s="3"/>
      <c r="K1721" s="3"/>
      <c r="L1721" s="3"/>
      <c r="M1721" s="3"/>
    </row>
    <row r="1722" customFormat="false" ht="15" hidden="false" customHeight="false" outlineLevel="0" collapsed="false">
      <c r="A1722" s="28" t="n">
        <v>46301.5243582639</v>
      </c>
      <c r="B1722" s="31" t="n">
        <f aca="false">(A1722-$A$5)*86400</f>
        <v>60.915999929</v>
      </c>
      <c r="C1722" s="27" t="n">
        <v>0.3373</v>
      </c>
      <c r="D1722" s="27" t="n">
        <v>1.3433</v>
      </c>
      <c r="E1722" s="27" t="s">
        <v>603</v>
      </c>
      <c r="F1722" s="27" t="s">
        <v>144</v>
      </c>
      <c r="G1722" s="32" t="n">
        <f aca="false">(A1722-A1721)*86400000</f>
        <v>15.999586</v>
      </c>
      <c r="H1722" s="3"/>
      <c r="I1722" s="3"/>
      <c r="J1722" s="3"/>
      <c r="K1722" s="3"/>
      <c r="L1722" s="3"/>
      <c r="M1722" s="3"/>
    </row>
    <row r="1723" customFormat="false" ht="15" hidden="false" customHeight="false" outlineLevel="0" collapsed="false">
      <c r="A1723" s="28" t="n">
        <v>46301.5243584491</v>
      </c>
      <c r="B1723" s="31" t="n">
        <f aca="false">(A1723-$A$5)*86400</f>
        <v>60.931999515</v>
      </c>
      <c r="C1723" s="27" t="n">
        <v>0.341</v>
      </c>
      <c r="D1723" s="27" t="n">
        <v>1.3421</v>
      </c>
      <c r="E1723" s="27" t="s">
        <v>603</v>
      </c>
      <c r="F1723" s="27" t="s">
        <v>144</v>
      </c>
      <c r="G1723" s="32" t="n">
        <f aca="false">(A1723-A1722)*86400000</f>
        <v>15.999586</v>
      </c>
      <c r="H1723" s="3"/>
      <c r="I1723" s="3"/>
      <c r="J1723" s="3"/>
      <c r="K1723" s="3"/>
      <c r="L1723" s="3"/>
      <c r="M1723" s="3"/>
    </row>
    <row r="1724" customFormat="false" ht="15" hidden="false" customHeight="false" outlineLevel="0" collapsed="false">
      <c r="A1724" s="28" t="n">
        <v>46301.5243586343</v>
      </c>
      <c r="B1724" s="31" t="n">
        <f aca="false">(A1724-$A$5)*86400</f>
        <v>60.948000359</v>
      </c>
      <c r="C1724" s="27" t="n">
        <v>0.3443</v>
      </c>
      <c r="D1724" s="27" t="n">
        <v>1.3411</v>
      </c>
      <c r="E1724" s="27" t="s">
        <v>603</v>
      </c>
      <c r="F1724" s="27" t="s">
        <v>144</v>
      </c>
      <c r="G1724" s="32" t="n">
        <f aca="false">(A1724-A1723)*86400000</f>
        <v>16.000843</v>
      </c>
      <c r="H1724" s="3"/>
      <c r="I1724" s="3"/>
      <c r="J1724" s="3"/>
      <c r="K1724" s="3"/>
      <c r="L1724" s="3"/>
      <c r="M1724" s="3"/>
    </row>
    <row r="1725" customFormat="false" ht="15" hidden="false" customHeight="false" outlineLevel="0" collapsed="false">
      <c r="A1725" s="28" t="n">
        <v>46301.524358831</v>
      </c>
      <c r="B1725" s="31" t="n">
        <f aca="false">(A1725-$A$5)*86400</f>
        <v>60.965000116</v>
      </c>
      <c r="C1725" s="27" t="n">
        <v>0.3467</v>
      </c>
      <c r="D1725" s="27" t="n">
        <v>1.3404</v>
      </c>
      <c r="E1725" s="27" t="s">
        <v>603</v>
      </c>
      <c r="F1725" s="27" t="s">
        <v>144</v>
      </c>
      <c r="G1725" s="32" t="n">
        <f aca="false">(A1725-A1724)*86400000</f>
        <v>16.999756</v>
      </c>
      <c r="H1725" s="3"/>
      <c r="I1725" s="3"/>
      <c r="J1725" s="3"/>
      <c r="K1725" s="3"/>
      <c r="L1725" s="3"/>
      <c r="M1725" s="3"/>
    </row>
    <row r="1726" customFormat="false" ht="15" hidden="false" customHeight="false" outlineLevel="0" collapsed="false">
      <c r="A1726" s="28" t="n">
        <v>46301.5243590162</v>
      </c>
      <c r="B1726" s="31" t="n">
        <f aca="false">(A1726-$A$5)*86400</f>
        <v>60.981000959</v>
      </c>
      <c r="C1726" s="27" t="n">
        <v>0.3488</v>
      </c>
      <c r="D1726" s="27" t="n">
        <v>1.3397</v>
      </c>
      <c r="E1726" s="27" t="s">
        <v>603</v>
      </c>
      <c r="F1726" s="27" t="s">
        <v>144</v>
      </c>
      <c r="G1726" s="32" t="n">
        <f aca="false">(A1726-A1725)*86400000</f>
        <v>16.000843</v>
      </c>
      <c r="H1726" s="3"/>
      <c r="I1726" s="3"/>
      <c r="J1726" s="3"/>
      <c r="K1726" s="3"/>
      <c r="L1726" s="3"/>
      <c r="M1726" s="3"/>
    </row>
    <row r="1727" customFormat="false" ht="15" hidden="false" customHeight="false" outlineLevel="0" collapsed="false">
      <c r="A1727" s="28" t="n">
        <v>46301.5243592014</v>
      </c>
      <c r="B1727" s="31" t="n">
        <f aca="false">(A1727-$A$5)*86400</f>
        <v>60.996999917</v>
      </c>
      <c r="C1727" s="27" t="n">
        <v>0.3505</v>
      </c>
      <c r="D1727" s="27" t="n">
        <v>1.3392</v>
      </c>
      <c r="E1727" s="27" t="s">
        <v>603</v>
      </c>
      <c r="F1727" s="27" t="s">
        <v>144</v>
      </c>
      <c r="G1727" s="32" t="n">
        <f aca="false">(A1727-A1726)*86400000</f>
        <v>15.998957</v>
      </c>
      <c r="H1727" s="3"/>
      <c r="I1727" s="3"/>
      <c r="J1727" s="3"/>
      <c r="K1727" s="3"/>
      <c r="L1727" s="3"/>
      <c r="M1727" s="3"/>
    </row>
    <row r="1728" customFormat="false" ht="15" hidden="false" customHeight="false" outlineLevel="0" collapsed="false">
      <c r="A1728" s="28" t="n">
        <v>46301.5243593866</v>
      </c>
      <c r="B1728" s="31" t="n">
        <f aca="false">(A1728-$A$5)*86400</f>
        <v>61.012999503</v>
      </c>
      <c r="C1728" s="27" t="n">
        <v>0.3519</v>
      </c>
      <c r="D1728" s="27" t="n">
        <v>1.3388</v>
      </c>
      <c r="E1728" s="27" t="s">
        <v>603</v>
      </c>
      <c r="F1728" s="27" t="s">
        <v>144</v>
      </c>
      <c r="G1728" s="32" t="n">
        <f aca="false">(A1728-A1727)*86400000</f>
        <v>15.999586</v>
      </c>
      <c r="H1728" s="3"/>
      <c r="I1728" s="3"/>
      <c r="J1728" s="3"/>
      <c r="K1728" s="3"/>
      <c r="L1728" s="3"/>
      <c r="M1728" s="3"/>
    </row>
    <row r="1729" customFormat="false" ht="15" hidden="false" customHeight="false" outlineLevel="0" collapsed="false">
      <c r="A1729" s="28" t="n">
        <v>46301.5243595833</v>
      </c>
      <c r="B1729" s="31" t="n">
        <f aca="false">(A1729-$A$5)*86400</f>
        <v>61.029999889</v>
      </c>
      <c r="C1729" s="27" t="n">
        <v>0.3551</v>
      </c>
      <c r="D1729" s="27" t="n">
        <v>1.3374</v>
      </c>
      <c r="E1729" s="27" t="s">
        <v>603</v>
      </c>
      <c r="F1729" s="27" t="s">
        <v>144</v>
      </c>
      <c r="G1729" s="32" t="n">
        <f aca="false">(A1729-A1728)*86400000</f>
        <v>17.000385</v>
      </c>
      <c r="H1729" s="3"/>
      <c r="I1729" s="3"/>
      <c r="J1729" s="3"/>
      <c r="K1729" s="3"/>
      <c r="L1729" s="3"/>
      <c r="M1729" s="3"/>
    </row>
    <row r="1730" customFormat="false" ht="15" hidden="false" customHeight="false" outlineLevel="0" collapsed="false">
      <c r="A1730" s="28" t="n">
        <v>46301.5243597569</v>
      </c>
      <c r="B1730" s="31" t="n">
        <f aca="false">(A1730-$A$5)*86400</f>
        <v>61.044999933</v>
      </c>
      <c r="C1730" s="27" t="n">
        <v>0.3578</v>
      </c>
      <c r="D1730" s="27" t="n">
        <v>1.3363</v>
      </c>
      <c r="E1730" s="27" t="s">
        <v>603</v>
      </c>
      <c r="F1730" s="27" t="s">
        <v>144</v>
      </c>
      <c r="G1730" s="32" t="n">
        <f aca="false">(A1730-A1729)*86400000</f>
        <v>15.000044</v>
      </c>
      <c r="H1730" s="3"/>
      <c r="I1730" s="3"/>
      <c r="J1730" s="3"/>
      <c r="K1730" s="3"/>
      <c r="L1730" s="3"/>
      <c r="M1730" s="3"/>
    </row>
    <row r="1731" customFormat="false" ht="15" hidden="false" customHeight="false" outlineLevel="0" collapsed="false">
      <c r="A1731" s="28" t="n">
        <v>46301.5243599421</v>
      </c>
      <c r="B1731" s="31" t="n">
        <f aca="false">(A1731-$A$5)*86400</f>
        <v>61.061000148</v>
      </c>
      <c r="C1731" s="27" t="n">
        <v>0.36</v>
      </c>
      <c r="D1731" s="27" t="n">
        <v>1.3353</v>
      </c>
      <c r="E1731" s="27" t="s">
        <v>603</v>
      </c>
      <c r="F1731" s="27" t="s">
        <v>144</v>
      </c>
      <c r="G1731" s="32" t="n">
        <f aca="false">(A1731-A1730)*86400000</f>
        <v>16.000214</v>
      </c>
      <c r="H1731" s="3"/>
      <c r="I1731" s="3"/>
      <c r="J1731" s="3"/>
      <c r="K1731" s="3"/>
      <c r="L1731" s="3"/>
      <c r="M1731" s="3"/>
    </row>
    <row r="1732" customFormat="false" ht="15" hidden="false" customHeight="false" outlineLevel="0" collapsed="false">
      <c r="A1732" s="28" t="n">
        <v>46301.5243601273</v>
      </c>
      <c r="B1732" s="31" t="n">
        <f aca="false">(A1732-$A$5)*86400</f>
        <v>61.077000363</v>
      </c>
      <c r="C1732" s="27" t="n">
        <v>0.3617</v>
      </c>
      <c r="D1732" s="27" t="n">
        <v>1.3345</v>
      </c>
      <c r="E1732" s="27" t="s">
        <v>603</v>
      </c>
      <c r="F1732" s="27" t="s">
        <v>144</v>
      </c>
      <c r="G1732" s="32" t="n">
        <f aca="false">(A1732-A1731)*86400000</f>
        <v>16.000214</v>
      </c>
      <c r="H1732" s="3"/>
      <c r="I1732" s="3"/>
      <c r="J1732" s="3"/>
      <c r="K1732" s="3"/>
      <c r="L1732" s="3"/>
      <c r="M1732" s="3"/>
    </row>
    <row r="1733" customFormat="false" ht="15" hidden="false" customHeight="false" outlineLevel="0" collapsed="false">
      <c r="A1733" s="28" t="n">
        <v>46301.5243603125</v>
      </c>
      <c r="B1733" s="31" t="n">
        <f aca="false">(A1733-$A$5)*86400</f>
        <v>61.09299995</v>
      </c>
      <c r="C1733" s="27" t="n">
        <v>0.3632</v>
      </c>
      <c r="D1733" s="27" t="n">
        <v>1.3339</v>
      </c>
      <c r="E1733" s="27" t="s">
        <v>603</v>
      </c>
      <c r="F1733" s="27" t="s">
        <v>144</v>
      </c>
      <c r="G1733" s="32" t="n">
        <f aca="false">(A1733-A1732)*86400000</f>
        <v>15.999586</v>
      </c>
      <c r="H1733" s="3"/>
      <c r="I1733" s="3"/>
      <c r="J1733" s="3"/>
      <c r="K1733" s="3"/>
      <c r="L1733" s="3"/>
      <c r="M1733" s="3"/>
    </row>
    <row r="1734" customFormat="false" ht="15" hidden="false" customHeight="false" outlineLevel="0" collapsed="false">
      <c r="A1734" s="28" t="n">
        <v>46301.5243604977</v>
      </c>
      <c r="B1734" s="31" t="n">
        <f aca="false">(A1734-$A$5)*86400</f>
        <v>61.109000793</v>
      </c>
      <c r="C1734" s="27" t="n">
        <v>0.3645</v>
      </c>
      <c r="D1734" s="27" t="n">
        <v>1.3334</v>
      </c>
      <c r="E1734" s="27" t="s">
        <v>603</v>
      </c>
      <c r="F1734" s="27" t="s">
        <v>144</v>
      </c>
      <c r="G1734" s="32" t="n">
        <f aca="false">(A1734-A1733)*86400000</f>
        <v>16.000843</v>
      </c>
      <c r="H1734" s="3"/>
      <c r="I1734" s="3"/>
      <c r="J1734" s="3"/>
      <c r="K1734" s="3"/>
      <c r="L1734" s="3"/>
      <c r="M1734" s="3"/>
    </row>
    <row r="1735" customFormat="false" ht="15" hidden="false" customHeight="false" outlineLevel="0" collapsed="false">
      <c r="A1735" s="28" t="n">
        <v>46301.5243606829</v>
      </c>
      <c r="B1735" s="31" t="n">
        <f aca="false">(A1735-$A$5)*86400</f>
        <v>61.125000379</v>
      </c>
      <c r="C1735" s="27" t="n">
        <v>0.3663</v>
      </c>
      <c r="D1735" s="27" t="n">
        <v>1.3324</v>
      </c>
      <c r="E1735" s="27" t="s">
        <v>603</v>
      </c>
      <c r="F1735" s="27" t="s">
        <v>144</v>
      </c>
      <c r="G1735" s="32" t="n">
        <f aca="false">(A1735-A1734)*86400000</f>
        <v>15.999586</v>
      </c>
      <c r="H1735" s="3"/>
      <c r="I1735" s="3"/>
      <c r="J1735" s="3"/>
      <c r="K1735" s="3"/>
      <c r="L1735" s="3"/>
      <c r="M1735" s="3"/>
    </row>
    <row r="1736" customFormat="false" ht="15" hidden="false" customHeight="false" outlineLevel="0" collapsed="false">
      <c r="A1736" s="28" t="n">
        <v>46301.5243610532</v>
      </c>
      <c r="B1736" s="31" t="n">
        <f aca="false">(A1736-$A$5)*86400</f>
        <v>61.157000181</v>
      </c>
      <c r="C1736" s="27" t="n">
        <v>0.3692</v>
      </c>
      <c r="D1736" s="27" t="n">
        <v>1.3309</v>
      </c>
      <c r="E1736" s="27" t="s">
        <v>603</v>
      </c>
      <c r="F1736" s="27" t="s">
        <v>144</v>
      </c>
      <c r="G1736" s="32" t="n">
        <f aca="false">(A1736-A1735)*86400000</f>
        <v>31.999801</v>
      </c>
      <c r="H1736" s="3"/>
      <c r="I1736" s="3"/>
      <c r="J1736" s="3"/>
      <c r="K1736" s="3"/>
      <c r="L1736" s="3"/>
      <c r="M1736" s="3"/>
    </row>
    <row r="1737" customFormat="false" ht="15" hidden="false" customHeight="false" outlineLevel="0" collapsed="false">
      <c r="A1737" s="28" t="n">
        <v>46301.5243612384</v>
      </c>
      <c r="B1737" s="31" t="n">
        <f aca="false">(A1737-$A$5)*86400</f>
        <v>61.173000396</v>
      </c>
      <c r="C1737" s="27" t="n">
        <v>0.3703</v>
      </c>
      <c r="D1737" s="27" t="n">
        <v>1.3304</v>
      </c>
      <c r="E1737" s="27" t="s">
        <v>603</v>
      </c>
      <c r="F1737" s="27" t="s">
        <v>144</v>
      </c>
      <c r="G1737" s="32" t="n">
        <f aca="false">(A1737-A1736)*86400000</f>
        <v>16.000214</v>
      </c>
      <c r="H1737" s="3"/>
      <c r="I1737" s="3"/>
      <c r="J1737" s="3"/>
      <c r="K1737" s="3"/>
      <c r="L1737" s="3"/>
      <c r="M1737" s="3"/>
    </row>
    <row r="1738" customFormat="false" ht="15" hidden="false" customHeight="false" outlineLevel="0" collapsed="false">
      <c r="A1738" s="28" t="n">
        <v>46301.5243616088</v>
      </c>
      <c r="B1738" s="31" t="n">
        <f aca="false">(A1738-$A$5)*86400</f>
        <v>61.205000197</v>
      </c>
      <c r="C1738" s="27" t="n">
        <v>0.3719</v>
      </c>
      <c r="D1738" s="27" t="n">
        <v>1.3296</v>
      </c>
      <c r="E1738" s="27" t="s">
        <v>603</v>
      </c>
      <c r="F1738" s="27" t="s">
        <v>144</v>
      </c>
      <c r="G1738" s="32" t="n">
        <f aca="false">(A1738-A1737)*86400000</f>
        <v>31.999801</v>
      </c>
      <c r="H1738" s="3"/>
      <c r="I1738" s="3"/>
      <c r="J1738" s="3"/>
      <c r="K1738" s="3"/>
      <c r="L1738" s="3"/>
      <c r="M1738" s="3"/>
    </row>
    <row r="1739" customFormat="false" ht="15" hidden="false" customHeight="false" outlineLevel="0" collapsed="false">
      <c r="A1739" s="28" t="n">
        <v>46301.5243619792</v>
      </c>
      <c r="B1739" s="31" t="n">
        <f aca="false">(A1739-$A$5)*86400</f>
        <v>61.237000627</v>
      </c>
      <c r="C1739" s="27" t="n">
        <v>0.3729</v>
      </c>
      <c r="D1739" s="27" t="n">
        <v>1.329</v>
      </c>
      <c r="E1739" s="27" t="s">
        <v>603</v>
      </c>
      <c r="F1739" s="27" t="s">
        <v>144</v>
      </c>
      <c r="G1739" s="32" t="n">
        <f aca="false">(A1739-A1738)*86400000</f>
        <v>32.000429</v>
      </c>
      <c r="H1739" s="3"/>
      <c r="I1739" s="3"/>
      <c r="J1739" s="3"/>
      <c r="K1739" s="3"/>
      <c r="L1739" s="3"/>
      <c r="M1739" s="3"/>
    </row>
    <row r="1740" customFormat="false" ht="15" hidden="false" customHeight="false" outlineLevel="0" collapsed="false">
      <c r="A1740" s="28" t="n">
        <v>46301.5243625463</v>
      </c>
      <c r="B1740" s="31" t="n">
        <f aca="false">(A1740-$A$5)*86400</f>
        <v>61.286000185</v>
      </c>
      <c r="C1740" s="27" t="n">
        <v>0.3753</v>
      </c>
      <c r="D1740" s="27" t="n">
        <v>1.3278</v>
      </c>
      <c r="E1740" s="27" t="s">
        <v>603</v>
      </c>
      <c r="F1740" s="27" t="s">
        <v>144</v>
      </c>
      <c r="G1740" s="32" t="n">
        <f aca="false">(A1740-A1739)*86400000</f>
        <v>48.999558</v>
      </c>
      <c r="H1740" s="3"/>
      <c r="I1740" s="3"/>
      <c r="J1740" s="3"/>
      <c r="K1740" s="3"/>
      <c r="L1740" s="3"/>
      <c r="M1740" s="3"/>
    </row>
    <row r="1741" customFormat="false" ht="15" hidden="false" customHeight="false" outlineLevel="0" collapsed="false">
      <c r="A1741" s="28" t="n">
        <v>46301.5243633102</v>
      </c>
      <c r="B1741" s="31" t="n">
        <f aca="false">(A1741-$A$5)*86400</f>
        <v>61.352000758</v>
      </c>
      <c r="C1741" s="27" t="n">
        <v>0.3748</v>
      </c>
      <c r="D1741" s="27" t="n">
        <v>1.3266</v>
      </c>
      <c r="E1741" s="27" t="s">
        <v>603</v>
      </c>
      <c r="F1741" s="27" t="s">
        <v>144</v>
      </c>
      <c r="G1741" s="32" t="n">
        <f aca="false">(A1741-A1740)*86400000</f>
        <v>66.000572</v>
      </c>
      <c r="H1741" s="3"/>
      <c r="I1741" s="3"/>
      <c r="J1741" s="3"/>
      <c r="K1741" s="3"/>
      <c r="L1741" s="3"/>
      <c r="M1741" s="3"/>
    </row>
    <row r="1742" customFormat="false" ht="15" hidden="false" customHeight="false" outlineLevel="0" collapsed="false">
      <c r="A1742" s="28" t="n">
        <v>46301.5243634838</v>
      </c>
      <c r="B1742" s="31" t="n">
        <f aca="false">(A1742-$A$5)*86400</f>
        <v>61.367000173</v>
      </c>
      <c r="C1742" s="27" t="n">
        <v>0.3743</v>
      </c>
      <c r="D1742" s="27" t="n">
        <v>1.3256</v>
      </c>
      <c r="E1742" s="27" t="s">
        <v>603</v>
      </c>
      <c r="F1742" s="27" t="s">
        <v>144</v>
      </c>
      <c r="G1742" s="32" t="n">
        <f aca="false">(A1742-A1741)*86400000</f>
        <v>14.999415</v>
      </c>
      <c r="H1742" s="3"/>
      <c r="I1742" s="3"/>
      <c r="J1742" s="3"/>
      <c r="K1742" s="3"/>
      <c r="L1742" s="3"/>
      <c r="M1742" s="3"/>
    </row>
    <row r="1743" customFormat="false" ht="15" hidden="false" customHeight="false" outlineLevel="0" collapsed="false">
      <c r="A1743" s="28" t="n">
        <v>46301.524363669</v>
      </c>
      <c r="B1743" s="31" t="n">
        <f aca="false">(A1743-$A$5)*86400</f>
        <v>61.38299976</v>
      </c>
      <c r="C1743" s="27" t="n">
        <v>0.374</v>
      </c>
      <c r="D1743" s="27" t="n">
        <v>1.3247</v>
      </c>
      <c r="E1743" s="27" t="s">
        <v>603</v>
      </c>
      <c r="F1743" s="27" t="s">
        <v>144</v>
      </c>
      <c r="G1743" s="32" t="n">
        <f aca="false">(A1743-A1742)*86400000</f>
        <v>15.999586</v>
      </c>
      <c r="H1743" s="3"/>
      <c r="I1743" s="3"/>
      <c r="J1743" s="3"/>
      <c r="K1743" s="3"/>
      <c r="L1743" s="3"/>
      <c r="M1743" s="3"/>
    </row>
    <row r="1744" customFormat="false" ht="15" hidden="false" customHeight="false" outlineLevel="0" collapsed="false">
      <c r="A1744" s="28" t="n">
        <v>46301.5243645949</v>
      </c>
      <c r="B1744" s="31" t="n">
        <f aca="false">(A1744-$A$5)*86400</f>
        <v>61.463000206</v>
      </c>
      <c r="C1744" s="27" t="n">
        <v>0.3727</v>
      </c>
      <c r="D1744" s="27" t="n">
        <v>1.3224</v>
      </c>
      <c r="E1744" s="27" t="s">
        <v>603</v>
      </c>
      <c r="F1744" s="27" t="s">
        <v>144</v>
      </c>
      <c r="G1744" s="32" t="n">
        <f aca="false">(A1744-A1743)*86400000</f>
        <v>80.000446</v>
      </c>
      <c r="H1744" s="3"/>
      <c r="I1744" s="3"/>
      <c r="J1744" s="3"/>
      <c r="K1744" s="3"/>
      <c r="L1744" s="3"/>
      <c r="M1744" s="3"/>
    </row>
    <row r="1745" customFormat="false" ht="15" hidden="false" customHeight="false" outlineLevel="0" collapsed="false">
      <c r="A1745" s="28" t="n">
        <v>46301.5243647801</v>
      </c>
      <c r="B1745" s="31" t="n">
        <f aca="false">(A1745-$A$5)*86400</f>
        <v>61.479001049</v>
      </c>
      <c r="C1745" s="27" t="n">
        <v>0.371</v>
      </c>
      <c r="D1745" s="27" t="n">
        <v>1.3216</v>
      </c>
      <c r="E1745" s="27" t="s">
        <v>603</v>
      </c>
      <c r="F1745" s="27" t="s">
        <v>144</v>
      </c>
      <c r="G1745" s="32" t="n">
        <f aca="false">(A1745-A1744)*86400000</f>
        <v>16.000843</v>
      </c>
      <c r="H1745" s="3"/>
      <c r="I1745" s="3"/>
      <c r="J1745" s="3"/>
      <c r="K1745" s="3"/>
      <c r="L1745" s="3"/>
      <c r="M1745" s="3"/>
    </row>
    <row r="1746" customFormat="false" ht="15" hidden="false" customHeight="false" outlineLevel="0" collapsed="false">
      <c r="A1746" s="28" t="n">
        <v>46301.5243657407</v>
      </c>
      <c r="B1746" s="31" t="n">
        <f aca="false">(A1746-$A$5)*86400</f>
        <v>61.562000121</v>
      </c>
      <c r="C1746" s="27" t="n">
        <v>0.365</v>
      </c>
      <c r="D1746" s="27" t="n">
        <v>1.3224</v>
      </c>
      <c r="E1746" s="27" t="s">
        <v>603</v>
      </c>
      <c r="F1746" s="27" t="s">
        <v>144</v>
      </c>
      <c r="G1746" s="32" t="n">
        <f aca="false">(A1746-A1745)*86400000</f>
        <v>82.999072</v>
      </c>
      <c r="H1746" s="3"/>
      <c r="I1746" s="3"/>
      <c r="J1746" s="3"/>
      <c r="K1746" s="3"/>
      <c r="L1746" s="3"/>
      <c r="M1746" s="3"/>
    </row>
    <row r="1747" customFormat="false" ht="15" hidden="false" customHeight="false" outlineLevel="0" collapsed="false">
      <c r="A1747" s="28" t="n">
        <v>46301.5243659144</v>
      </c>
      <c r="B1747" s="31" t="n">
        <f aca="false">(A1747-$A$5)*86400</f>
        <v>61.577000166</v>
      </c>
      <c r="C1747" s="27" t="n">
        <v>0.3597</v>
      </c>
      <c r="D1747" s="27" t="n">
        <v>1.3231</v>
      </c>
      <c r="E1747" s="27" t="s">
        <v>603</v>
      </c>
      <c r="F1747" s="27" t="s">
        <v>144</v>
      </c>
      <c r="G1747" s="32" t="n">
        <f aca="false">(A1747-A1746)*86400000</f>
        <v>15.000044</v>
      </c>
      <c r="H1747" s="3"/>
      <c r="I1747" s="3"/>
      <c r="J1747" s="3"/>
      <c r="K1747" s="3"/>
      <c r="L1747" s="3"/>
      <c r="M1747" s="3"/>
    </row>
    <row r="1748" customFormat="false" ht="15" hidden="false" customHeight="false" outlineLevel="0" collapsed="false">
      <c r="A1748" s="28" t="n">
        <v>46301.5243660995</v>
      </c>
      <c r="B1748" s="31" t="n">
        <f aca="false">(A1748-$A$5)*86400</f>
        <v>61.593000381</v>
      </c>
      <c r="C1748" s="27" t="n">
        <v>0.3557</v>
      </c>
      <c r="D1748" s="27" t="n">
        <v>1.3236</v>
      </c>
      <c r="E1748" s="27" t="s">
        <v>603</v>
      </c>
      <c r="F1748" s="27" t="s">
        <v>144</v>
      </c>
      <c r="G1748" s="32" t="n">
        <f aca="false">(A1748-A1747)*86400000</f>
        <v>16.000214</v>
      </c>
      <c r="H1748" s="3"/>
      <c r="I1748" s="3"/>
      <c r="J1748" s="3"/>
      <c r="K1748" s="3"/>
      <c r="L1748" s="3"/>
      <c r="M1748" s="3"/>
    </row>
    <row r="1749" customFormat="false" ht="15" hidden="false" customHeight="false" outlineLevel="0" collapsed="false">
      <c r="A1749" s="28" t="n">
        <v>46301.5243662847</v>
      </c>
      <c r="B1749" s="31" t="n">
        <f aca="false">(A1749-$A$5)*86400</f>
        <v>61.608999967</v>
      </c>
      <c r="C1749" s="27" t="n">
        <v>0.3523</v>
      </c>
      <c r="D1749" s="27" t="n">
        <v>1.324</v>
      </c>
      <c r="E1749" s="27" t="s">
        <v>603</v>
      </c>
      <c r="F1749" s="27" t="s">
        <v>144</v>
      </c>
      <c r="G1749" s="32" t="n">
        <f aca="false">(A1749-A1748)*86400000</f>
        <v>15.999586</v>
      </c>
      <c r="H1749" s="3"/>
      <c r="I1749" s="3"/>
      <c r="J1749" s="3"/>
      <c r="K1749" s="3"/>
      <c r="L1749" s="3"/>
      <c r="M1749" s="3"/>
    </row>
    <row r="1750" customFormat="false" ht="15" hidden="false" customHeight="false" outlineLevel="0" collapsed="false">
      <c r="A1750" s="28" t="n">
        <v>46301.5243664699</v>
      </c>
      <c r="B1750" s="31" t="n">
        <f aca="false">(A1750-$A$5)*86400</f>
        <v>61.625000182</v>
      </c>
      <c r="C1750" s="27" t="n">
        <v>0.3496</v>
      </c>
      <c r="D1750" s="27" t="n">
        <v>1.3244</v>
      </c>
      <c r="E1750" s="27" t="s">
        <v>603</v>
      </c>
      <c r="F1750" s="27" t="s">
        <v>144</v>
      </c>
      <c r="G1750" s="32" t="n">
        <f aca="false">(A1750-A1749)*86400000</f>
        <v>16.000214</v>
      </c>
      <c r="H1750" s="3"/>
      <c r="I1750" s="3"/>
      <c r="J1750" s="3"/>
      <c r="K1750" s="3"/>
      <c r="L1750" s="3"/>
      <c r="M1750" s="3"/>
    </row>
    <row r="1751" customFormat="false" ht="15" hidden="false" customHeight="false" outlineLevel="0" collapsed="false">
      <c r="A1751" s="28" t="n">
        <v>46301.5243666551</v>
      </c>
      <c r="B1751" s="31" t="n">
        <f aca="false">(A1751-$A$5)*86400</f>
        <v>61.641001026</v>
      </c>
      <c r="C1751" s="27" t="n">
        <v>0.3473</v>
      </c>
      <c r="D1751" s="27" t="n">
        <v>1.3247</v>
      </c>
      <c r="E1751" s="27" t="s">
        <v>603</v>
      </c>
      <c r="F1751" s="27" t="s">
        <v>144</v>
      </c>
      <c r="G1751" s="32" t="n">
        <f aca="false">(A1751-A1750)*86400000</f>
        <v>16.000843</v>
      </c>
      <c r="H1751" s="3"/>
      <c r="I1751" s="3"/>
      <c r="J1751" s="3"/>
      <c r="K1751" s="3"/>
      <c r="L1751" s="3"/>
      <c r="M1751" s="3"/>
    </row>
    <row r="1752" customFormat="false" ht="15" hidden="false" customHeight="false" outlineLevel="0" collapsed="false">
      <c r="A1752" s="28" t="n">
        <v>46301.5243668403</v>
      </c>
      <c r="B1752" s="31" t="n">
        <f aca="false">(A1752-$A$5)*86400</f>
        <v>61.657000612</v>
      </c>
      <c r="C1752" s="27" t="n">
        <v>0.3454</v>
      </c>
      <c r="D1752" s="27" t="n">
        <v>1.3249</v>
      </c>
      <c r="E1752" s="27" t="s">
        <v>603</v>
      </c>
      <c r="F1752" s="27" t="s">
        <v>144</v>
      </c>
      <c r="G1752" s="32" t="n">
        <f aca="false">(A1752-A1751)*86400000</f>
        <v>15.999586</v>
      </c>
      <c r="H1752" s="3"/>
      <c r="I1752" s="3"/>
      <c r="J1752" s="3"/>
      <c r="K1752" s="3"/>
      <c r="L1752" s="3"/>
      <c r="M1752" s="3"/>
    </row>
    <row r="1753" customFormat="false" ht="15" hidden="false" customHeight="false" outlineLevel="0" collapsed="false">
      <c r="A1753" s="28" t="n">
        <v>46301.5243670255</v>
      </c>
      <c r="B1753" s="31" t="n">
        <f aca="false">(A1753-$A$5)*86400</f>
        <v>61.67299957</v>
      </c>
      <c r="C1753" s="27" t="n">
        <v>0.3399</v>
      </c>
      <c r="D1753" s="27" t="n">
        <v>1.3246</v>
      </c>
      <c r="E1753" s="27" t="s">
        <v>603</v>
      </c>
      <c r="F1753" s="27" t="s">
        <v>144</v>
      </c>
      <c r="G1753" s="32" t="n">
        <f aca="false">(A1753-A1752)*86400000</f>
        <v>15.998957</v>
      </c>
      <c r="H1753" s="3"/>
      <c r="I1753" s="3"/>
      <c r="J1753" s="3"/>
      <c r="K1753" s="3"/>
      <c r="L1753" s="3"/>
      <c r="M1753" s="3"/>
    </row>
    <row r="1754" customFormat="false" ht="15" hidden="false" customHeight="false" outlineLevel="0" collapsed="false">
      <c r="A1754" s="28" t="n">
        <v>46301.5243672107</v>
      </c>
      <c r="B1754" s="31" t="n">
        <f aca="false">(A1754-$A$5)*86400</f>
        <v>61.689000413</v>
      </c>
      <c r="C1754" s="27" t="n">
        <v>0.3354</v>
      </c>
      <c r="D1754" s="27" t="n">
        <v>1.3244</v>
      </c>
      <c r="E1754" s="27" t="s">
        <v>603</v>
      </c>
      <c r="F1754" s="27" t="s">
        <v>144</v>
      </c>
      <c r="G1754" s="32" t="n">
        <f aca="false">(A1754-A1753)*86400000</f>
        <v>16.000843</v>
      </c>
      <c r="H1754" s="3"/>
      <c r="I1754" s="3"/>
      <c r="J1754" s="3"/>
      <c r="K1754" s="3"/>
      <c r="L1754" s="3"/>
      <c r="M1754" s="3"/>
    </row>
    <row r="1755" customFormat="false" ht="15" hidden="false" customHeight="false" outlineLevel="0" collapsed="false">
      <c r="A1755" s="28" t="n">
        <v>46301.5243673958</v>
      </c>
      <c r="B1755" s="31" t="n">
        <f aca="false">(A1755-$A$5)*86400</f>
        <v>61.705</v>
      </c>
      <c r="C1755" s="27" t="n">
        <v>0.3317</v>
      </c>
      <c r="D1755" s="27" t="n">
        <v>1.3242</v>
      </c>
      <c r="E1755" s="27" t="s">
        <v>603</v>
      </c>
      <c r="F1755" s="27" t="s">
        <v>144</v>
      </c>
      <c r="G1755" s="32" t="n">
        <f aca="false">(A1755-A1754)*86400000</f>
        <v>15.999586</v>
      </c>
      <c r="H1755" s="3"/>
      <c r="I1755" s="3"/>
      <c r="J1755" s="3"/>
      <c r="K1755" s="3"/>
      <c r="L1755" s="3"/>
      <c r="M1755" s="3"/>
    </row>
    <row r="1756" customFormat="false" ht="15" hidden="false" customHeight="false" outlineLevel="0" collapsed="false">
      <c r="A1756" s="28" t="n">
        <v>46301.524367581</v>
      </c>
      <c r="B1756" s="31" t="n">
        <f aca="false">(A1756-$A$5)*86400</f>
        <v>61.721000215</v>
      </c>
      <c r="C1756" s="27" t="n">
        <v>0.3287</v>
      </c>
      <c r="D1756" s="27" t="n">
        <v>1.3241</v>
      </c>
      <c r="E1756" s="27" t="s">
        <v>603</v>
      </c>
      <c r="F1756" s="27" t="s">
        <v>144</v>
      </c>
      <c r="G1756" s="32" t="n">
        <f aca="false">(A1756-A1755)*86400000</f>
        <v>16.000214</v>
      </c>
      <c r="H1756" s="3"/>
      <c r="I1756" s="3"/>
      <c r="J1756" s="3"/>
      <c r="K1756" s="3"/>
      <c r="L1756" s="3"/>
      <c r="M1756" s="3"/>
    </row>
    <row r="1757" customFormat="false" ht="15" hidden="false" customHeight="false" outlineLevel="0" collapsed="false">
      <c r="A1757" s="28" t="n">
        <v>46301.5243677662</v>
      </c>
      <c r="B1757" s="31" t="n">
        <f aca="false">(A1757-$A$5)*86400</f>
        <v>61.736999801</v>
      </c>
      <c r="C1757" s="27" t="n">
        <v>0.3261</v>
      </c>
      <c r="D1757" s="27" t="n">
        <v>1.3239</v>
      </c>
      <c r="E1757" s="27" t="s">
        <v>603</v>
      </c>
      <c r="F1757" s="27" t="s">
        <v>144</v>
      </c>
      <c r="G1757" s="32" t="n">
        <f aca="false">(A1757-A1756)*86400000</f>
        <v>15.999586</v>
      </c>
      <c r="H1757" s="3"/>
      <c r="I1757" s="3"/>
      <c r="J1757" s="3"/>
      <c r="K1757" s="3"/>
      <c r="L1757" s="3"/>
      <c r="M1757" s="3"/>
    </row>
    <row r="1758" customFormat="false" ht="15" hidden="false" customHeight="false" outlineLevel="0" collapsed="false">
      <c r="A1758" s="28" t="n">
        <v>46301.5243679514</v>
      </c>
      <c r="B1758" s="31" t="n">
        <f aca="false">(A1758-$A$5)*86400</f>
        <v>61.753000016</v>
      </c>
      <c r="C1758" s="27" t="n">
        <v>0.3241</v>
      </c>
      <c r="D1758" s="27" t="n">
        <v>1.3238</v>
      </c>
      <c r="E1758" s="27" t="s">
        <v>603</v>
      </c>
      <c r="F1758" s="27" t="s">
        <v>144</v>
      </c>
      <c r="G1758" s="32" t="n">
        <f aca="false">(A1758-A1757)*86400000</f>
        <v>16.000214</v>
      </c>
      <c r="H1758" s="3"/>
      <c r="I1758" s="3"/>
      <c r="J1758" s="3"/>
      <c r="K1758" s="3"/>
      <c r="L1758" s="3"/>
      <c r="M1758" s="3"/>
    </row>
    <row r="1759" customFormat="false" ht="15" hidden="false" customHeight="false" outlineLevel="0" collapsed="false">
      <c r="A1759" s="28" t="n">
        <v>46301.5243681366</v>
      </c>
      <c r="B1759" s="31" t="n">
        <f aca="false">(A1759-$A$5)*86400</f>
        <v>61.769000859</v>
      </c>
      <c r="C1759" s="27" t="n">
        <v>0.3223</v>
      </c>
      <c r="D1759" s="27" t="n">
        <v>1.3238</v>
      </c>
      <c r="E1759" s="27" t="s">
        <v>603</v>
      </c>
      <c r="F1759" s="27" t="s">
        <v>144</v>
      </c>
      <c r="G1759" s="32" t="n">
        <f aca="false">(A1759-A1758)*86400000</f>
        <v>16.000843</v>
      </c>
      <c r="H1759" s="3"/>
      <c r="I1759" s="3"/>
      <c r="J1759" s="3"/>
      <c r="K1759" s="3"/>
      <c r="L1759" s="3"/>
      <c r="M1759" s="3"/>
    </row>
    <row r="1760" customFormat="false" ht="15" hidden="false" customHeight="false" outlineLevel="0" collapsed="false">
      <c r="A1760" s="28" t="n">
        <v>46301.5243683218</v>
      </c>
      <c r="B1760" s="31" t="n">
        <f aca="false">(A1760-$A$5)*86400</f>
        <v>61.785000446</v>
      </c>
      <c r="C1760" s="27" t="n">
        <v>0.3197</v>
      </c>
      <c r="D1760" s="27" t="n">
        <v>1.3231</v>
      </c>
      <c r="E1760" s="27" t="s">
        <v>603</v>
      </c>
      <c r="F1760" s="27" t="s">
        <v>144</v>
      </c>
      <c r="G1760" s="32" t="n">
        <f aca="false">(A1760-A1759)*86400000</f>
        <v>15.999586</v>
      </c>
      <c r="H1760" s="3"/>
      <c r="I1760" s="3"/>
      <c r="J1760" s="3"/>
      <c r="K1760" s="3"/>
      <c r="L1760" s="3"/>
      <c r="M1760" s="3"/>
    </row>
    <row r="1761" customFormat="false" ht="15" hidden="false" customHeight="false" outlineLevel="0" collapsed="false">
      <c r="A1761" s="28" t="n">
        <v>46301.5243685069</v>
      </c>
      <c r="B1761" s="31" t="n">
        <f aca="false">(A1761-$A$5)*86400</f>
        <v>61.801000032</v>
      </c>
      <c r="C1761" s="27" t="n">
        <v>0.3176</v>
      </c>
      <c r="D1761" s="27" t="n">
        <v>1.3225</v>
      </c>
      <c r="E1761" s="27" t="s">
        <v>603</v>
      </c>
      <c r="F1761" s="27" t="s">
        <v>144</v>
      </c>
      <c r="G1761" s="32" t="n">
        <f aca="false">(A1761-A1760)*86400000</f>
        <v>15.999586</v>
      </c>
      <c r="H1761" s="3"/>
      <c r="I1761" s="3"/>
      <c r="J1761" s="3"/>
      <c r="K1761" s="3"/>
      <c r="L1761" s="3"/>
      <c r="M1761" s="3"/>
    </row>
    <row r="1762" customFormat="false" ht="15" hidden="false" customHeight="false" outlineLevel="0" collapsed="false">
      <c r="A1762" s="28" t="n">
        <v>46301.5243686921</v>
      </c>
      <c r="B1762" s="31" t="n">
        <f aca="false">(A1762-$A$5)*86400</f>
        <v>61.817000247</v>
      </c>
      <c r="C1762" s="27" t="n">
        <v>0.3158</v>
      </c>
      <c r="D1762" s="27" t="n">
        <v>1.322</v>
      </c>
      <c r="E1762" s="27" t="s">
        <v>603</v>
      </c>
      <c r="F1762" s="27" t="s">
        <v>144</v>
      </c>
      <c r="G1762" s="32" t="n">
        <f aca="false">(A1762-A1761)*86400000</f>
        <v>16.000214</v>
      </c>
      <c r="H1762" s="3"/>
      <c r="I1762" s="3"/>
      <c r="J1762" s="3"/>
      <c r="K1762" s="3"/>
      <c r="L1762" s="3"/>
      <c r="M1762" s="3"/>
    </row>
    <row r="1763" customFormat="false" ht="15" hidden="false" customHeight="false" outlineLevel="0" collapsed="false">
      <c r="A1763" s="28" t="n">
        <v>46301.5243688773</v>
      </c>
      <c r="B1763" s="31" t="n">
        <f aca="false">(A1763-$A$5)*86400</f>
        <v>61.832999833</v>
      </c>
      <c r="C1763" s="27" t="n">
        <v>0.3143</v>
      </c>
      <c r="D1763" s="27" t="n">
        <v>1.3216</v>
      </c>
      <c r="E1763" s="27" t="s">
        <v>603</v>
      </c>
      <c r="F1763" s="27" t="s">
        <v>144</v>
      </c>
      <c r="G1763" s="32" t="n">
        <f aca="false">(A1763-A1762)*86400000</f>
        <v>15.999586</v>
      </c>
      <c r="H1763" s="3"/>
      <c r="I1763" s="3"/>
      <c r="J1763" s="3"/>
      <c r="K1763" s="3"/>
      <c r="L1763" s="3"/>
      <c r="M1763" s="3"/>
    </row>
    <row r="1764" customFormat="false" ht="15" hidden="false" customHeight="false" outlineLevel="0" collapsed="false">
      <c r="A1764" s="28" t="n">
        <v>46301.5243692593</v>
      </c>
      <c r="B1764" s="31" t="n">
        <f aca="false">(A1764-$A$5)*86400</f>
        <v>61.866000434</v>
      </c>
      <c r="C1764" s="27" t="n">
        <v>0.3121</v>
      </c>
      <c r="D1764" s="27" t="n">
        <v>1.3211</v>
      </c>
      <c r="E1764" s="27" t="s">
        <v>603</v>
      </c>
      <c r="F1764" s="27" t="s">
        <v>144</v>
      </c>
      <c r="G1764" s="32" t="n">
        <f aca="false">(A1764-A1763)*86400000</f>
        <v>33.0006</v>
      </c>
      <c r="H1764" s="3"/>
      <c r="I1764" s="3"/>
      <c r="J1764" s="3"/>
      <c r="K1764" s="3"/>
      <c r="L1764" s="3"/>
      <c r="M1764" s="3"/>
    </row>
    <row r="1765" customFormat="false" ht="15" hidden="false" customHeight="false" outlineLevel="0" collapsed="false">
      <c r="A1765" s="28" t="n">
        <v>46301.5243696181</v>
      </c>
      <c r="B1765" s="31" t="n">
        <f aca="false">(A1765-$A$5)*86400</f>
        <v>61.897000693</v>
      </c>
      <c r="C1765" s="27" t="n">
        <v>0.3106</v>
      </c>
      <c r="D1765" s="27" t="n">
        <v>1.3207</v>
      </c>
      <c r="E1765" s="27" t="s">
        <v>603</v>
      </c>
      <c r="F1765" s="27" t="s">
        <v>144</v>
      </c>
      <c r="G1765" s="32" t="n">
        <f aca="false">(A1765-A1764)*86400000</f>
        <v>31.000259</v>
      </c>
      <c r="H1765" s="3"/>
      <c r="I1765" s="3"/>
      <c r="J1765" s="3"/>
      <c r="K1765" s="3"/>
      <c r="L1765" s="3"/>
      <c r="M1765" s="3"/>
    </row>
    <row r="1766" customFormat="false" ht="15" hidden="false" customHeight="false" outlineLevel="0" collapsed="false">
      <c r="A1766" s="28" t="n">
        <v>46301.5243701736</v>
      </c>
      <c r="B1766" s="31" t="n">
        <f aca="false">(A1766-$A$5)*86400</f>
        <v>61.945000081</v>
      </c>
      <c r="C1766" s="27" t="n">
        <v>0.3092</v>
      </c>
      <c r="D1766" s="27" t="n">
        <v>1.3203</v>
      </c>
      <c r="E1766" s="27" t="s">
        <v>603</v>
      </c>
      <c r="F1766" s="27" t="s">
        <v>144</v>
      </c>
      <c r="G1766" s="32" t="n">
        <f aca="false">(A1766-A1765)*86400000</f>
        <v>47.999387</v>
      </c>
      <c r="H1766" s="3"/>
      <c r="I1766" s="3"/>
      <c r="J1766" s="3"/>
      <c r="K1766" s="3"/>
      <c r="L1766" s="3"/>
      <c r="M1766" s="3"/>
    </row>
    <row r="1767" customFormat="false" ht="15" hidden="false" customHeight="false" outlineLevel="0" collapsed="false">
      <c r="A1767" s="28" t="n">
        <v>46301.5243703588</v>
      </c>
      <c r="B1767" s="31" t="n">
        <f aca="false">(A1767-$A$5)*86400</f>
        <v>61.961000296</v>
      </c>
      <c r="C1767" s="27" t="n">
        <v>0.3074</v>
      </c>
      <c r="D1767" s="27" t="n">
        <v>1.3198</v>
      </c>
      <c r="E1767" s="27" t="s">
        <v>603</v>
      </c>
      <c r="F1767" s="27" t="s">
        <v>144</v>
      </c>
      <c r="G1767" s="32" t="n">
        <f aca="false">(A1767-A1766)*86400000</f>
        <v>16.000214</v>
      </c>
      <c r="H1767" s="3"/>
      <c r="I1767" s="3"/>
      <c r="J1767" s="3"/>
      <c r="K1767" s="3"/>
      <c r="L1767" s="3"/>
      <c r="M1767" s="3"/>
    </row>
    <row r="1768" customFormat="false" ht="15" hidden="false" customHeight="false" outlineLevel="0" collapsed="false">
      <c r="A1768" s="28" t="n">
        <v>46301.524374456</v>
      </c>
      <c r="B1768" s="31" t="n">
        <f aca="false">(A1768-$A$5)*86400</f>
        <v>62.315000337</v>
      </c>
      <c r="C1768" s="27" t="n">
        <v>0.3125</v>
      </c>
      <c r="D1768" s="27" t="n">
        <v>1.3209</v>
      </c>
      <c r="E1768" s="27" t="s">
        <v>603</v>
      </c>
      <c r="F1768" s="27" t="s">
        <v>144</v>
      </c>
      <c r="G1768" s="32" t="n">
        <f aca="false">(A1768-A1767)*86400000</f>
        <v>354.000041</v>
      </c>
      <c r="H1768" s="3"/>
      <c r="I1768" s="3"/>
      <c r="J1768" s="3"/>
      <c r="K1768" s="3"/>
      <c r="L1768" s="3"/>
      <c r="M1768" s="3"/>
    </row>
    <row r="1769" customFormat="false" ht="15" hidden="false" customHeight="false" outlineLevel="0" collapsed="false">
      <c r="A1769" s="28" t="n">
        <v>46301.5243746296</v>
      </c>
      <c r="B1769" s="31" t="n">
        <f aca="false">(A1769-$A$5)*86400</f>
        <v>62.330000381</v>
      </c>
      <c r="C1769" s="27" t="n">
        <v>0.3167</v>
      </c>
      <c r="D1769" s="27" t="n">
        <v>1.3218</v>
      </c>
      <c r="E1769" s="27" t="s">
        <v>603</v>
      </c>
      <c r="F1769" s="27" t="s">
        <v>144</v>
      </c>
      <c r="G1769" s="32" t="n">
        <f aca="false">(A1769-A1768)*86400000</f>
        <v>15.000044</v>
      </c>
      <c r="H1769" s="3"/>
      <c r="I1769" s="3"/>
      <c r="J1769" s="3"/>
      <c r="K1769" s="3"/>
      <c r="L1769" s="3"/>
      <c r="M1769" s="3"/>
    </row>
    <row r="1770" customFormat="false" ht="15" hidden="false" customHeight="false" outlineLevel="0" collapsed="false">
      <c r="A1770" s="28" t="n">
        <v>46301.5243748148</v>
      </c>
      <c r="B1770" s="31" t="n">
        <f aca="false">(A1770-$A$5)*86400</f>
        <v>62.345999968</v>
      </c>
      <c r="C1770" s="27" t="n">
        <v>0.3201</v>
      </c>
      <c r="D1770" s="27" t="n">
        <v>1.3226</v>
      </c>
      <c r="E1770" s="27" t="s">
        <v>603</v>
      </c>
      <c r="F1770" s="27" t="s">
        <v>144</v>
      </c>
      <c r="G1770" s="32" t="n">
        <f aca="false">(A1770-A1769)*86400000</f>
        <v>15.999586</v>
      </c>
      <c r="H1770" s="3"/>
      <c r="I1770" s="3"/>
      <c r="J1770" s="3"/>
      <c r="K1770" s="3"/>
      <c r="L1770" s="3"/>
      <c r="M1770" s="3"/>
    </row>
    <row r="1771" customFormat="false" ht="15" hidden="false" customHeight="false" outlineLevel="0" collapsed="false">
      <c r="A1771" s="28" t="n">
        <v>46301.524375</v>
      </c>
      <c r="B1771" s="31" t="n">
        <f aca="false">(A1771-$A$5)*86400</f>
        <v>62.362000183</v>
      </c>
      <c r="C1771" s="27" t="n">
        <v>0.323</v>
      </c>
      <c r="D1771" s="27" t="n">
        <v>1.3232</v>
      </c>
      <c r="E1771" s="27" t="s">
        <v>603</v>
      </c>
      <c r="F1771" s="27" t="s">
        <v>144</v>
      </c>
      <c r="G1771" s="32" t="n">
        <f aca="false">(A1771-A1770)*86400000</f>
        <v>16.000214</v>
      </c>
      <c r="H1771" s="3"/>
      <c r="I1771" s="3"/>
      <c r="J1771" s="3"/>
      <c r="K1771" s="3"/>
      <c r="L1771" s="3"/>
      <c r="M1771" s="3"/>
    </row>
    <row r="1772" customFormat="false" ht="15" hidden="false" customHeight="false" outlineLevel="0" collapsed="false">
      <c r="A1772" s="28" t="n">
        <v>46301.5243751852</v>
      </c>
      <c r="B1772" s="31" t="n">
        <f aca="false">(A1772-$A$5)*86400</f>
        <v>62.378000398</v>
      </c>
      <c r="C1772" s="27" t="n">
        <v>0.3253</v>
      </c>
      <c r="D1772" s="27" t="n">
        <v>1.3237</v>
      </c>
      <c r="E1772" s="27" t="s">
        <v>603</v>
      </c>
      <c r="F1772" s="27" t="s">
        <v>144</v>
      </c>
      <c r="G1772" s="32" t="n">
        <f aca="false">(A1772-A1771)*86400000</f>
        <v>16.000214</v>
      </c>
      <c r="H1772" s="3"/>
      <c r="I1772" s="3"/>
      <c r="J1772" s="3"/>
      <c r="K1772" s="3"/>
      <c r="L1772" s="3"/>
      <c r="M1772" s="3"/>
    </row>
    <row r="1773" customFormat="false" ht="15" hidden="false" customHeight="false" outlineLevel="0" collapsed="false">
      <c r="A1773" s="28" t="n">
        <v>46301.5243753704</v>
      </c>
      <c r="B1773" s="31" t="n">
        <f aca="false">(A1773-$A$5)*86400</f>
        <v>62.393999984</v>
      </c>
      <c r="C1773" s="27" t="n">
        <v>0.3273</v>
      </c>
      <c r="D1773" s="27" t="n">
        <v>1.3241</v>
      </c>
      <c r="E1773" s="27" t="s">
        <v>603</v>
      </c>
      <c r="F1773" s="27" t="s">
        <v>144</v>
      </c>
      <c r="G1773" s="32" t="n">
        <f aca="false">(A1773-A1772)*86400000</f>
        <v>15.999586</v>
      </c>
      <c r="H1773" s="3"/>
      <c r="I1773" s="3"/>
      <c r="J1773" s="3"/>
      <c r="K1773" s="3"/>
      <c r="L1773" s="3"/>
      <c r="M1773" s="3"/>
    </row>
    <row r="1774" customFormat="false" ht="15" hidden="false" customHeight="false" outlineLevel="0" collapsed="false">
      <c r="A1774" s="28" t="n">
        <v>46301.5243755556</v>
      </c>
      <c r="B1774" s="31" t="n">
        <f aca="false">(A1774-$A$5)*86400</f>
        <v>62.410000199</v>
      </c>
      <c r="C1774" s="27" t="n">
        <v>0.3181</v>
      </c>
      <c r="D1774" s="27" t="n">
        <v>1.3068</v>
      </c>
      <c r="E1774" s="27" t="s">
        <v>603</v>
      </c>
      <c r="F1774" s="27" t="s">
        <v>144</v>
      </c>
      <c r="G1774" s="32" t="n">
        <f aca="false">(A1774-A1773)*86400000</f>
        <v>16.000214</v>
      </c>
      <c r="H1774" s="3"/>
      <c r="I1774" s="3"/>
      <c r="J1774" s="3"/>
      <c r="K1774" s="3"/>
      <c r="L1774" s="3"/>
      <c r="M1774" s="3"/>
    </row>
    <row r="1775" customFormat="false" ht="15" hidden="false" customHeight="false" outlineLevel="0" collapsed="false">
      <c r="A1775" s="28" t="n">
        <v>46301.5243757407</v>
      </c>
      <c r="B1775" s="31" t="n">
        <f aca="false">(A1775-$A$5)*86400</f>
        <v>62.425999785</v>
      </c>
      <c r="C1775" s="27" t="n">
        <v>0.3105</v>
      </c>
      <c r="D1775" s="27" t="n">
        <v>1.2924</v>
      </c>
      <c r="E1775" s="27" t="s">
        <v>603</v>
      </c>
      <c r="F1775" s="27" t="s">
        <v>144</v>
      </c>
      <c r="G1775" s="32" t="n">
        <f aca="false">(A1775-A1774)*86400000</f>
        <v>15.999586</v>
      </c>
      <c r="H1775" s="3"/>
      <c r="I1775" s="3"/>
      <c r="J1775" s="3"/>
      <c r="K1775" s="3"/>
      <c r="L1775" s="3"/>
      <c r="M1775" s="3"/>
    </row>
    <row r="1776" customFormat="false" ht="15" hidden="false" customHeight="false" outlineLevel="0" collapsed="false">
      <c r="A1776" s="28" t="n">
        <v>46301.5243759259</v>
      </c>
      <c r="B1776" s="31" t="n">
        <f aca="false">(A1776-$A$5)*86400</f>
        <v>62.441999372</v>
      </c>
      <c r="C1776" s="27" t="n">
        <v>0.3043</v>
      </c>
      <c r="D1776" s="27" t="n">
        <v>1.2806</v>
      </c>
      <c r="E1776" s="27" t="s">
        <v>603</v>
      </c>
      <c r="F1776" s="27" t="s">
        <v>144</v>
      </c>
      <c r="G1776" s="32" t="n">
        <f aca="false">(A1776-A1775)*86400000</f>
        <v>15.999586</v>
      </c>
      <c r="H1776" s="3"/>
      <c r="I1776" s="3"/>
      <c r="J1776" s="3"/>
      <c r="K1776" s="3"/>
      <c r="L1776" s="3"/>
      <c r="M1776" s="3"/>
    </row>
    <row r="1777" customFormat="false" ht="15" hidden="false" customHeight="false" outlineLevel="0" collapsed="false">
      <c r="A1777" s="28" t="n">
        <v>46301.5243761111</v>
      </c>
      <c r="B1777" s="31" t="n">
        <f aca="false">(A1777-$A$5)*86400</f>
        <v>62.458000215</v>
      </c>
      <c r="C1777" s="27" t="n">
        <v>0.2991</v>
      </c>
      <c r="D1777" s="27" t="n">
        <v>1.2709</v>
      </c>
      <c r="E1777" s="27" t="s">
        <v>603</v>
      </c>
      <c r="F1777" s="27" t="s">
        <v>144</v>
      </c>
      <c r="G1777" s="32" t="n">
        <f aca="false">(A1777-A1776)*86400000</f>
        <v>16.000843</v>
      </c>
      <c r="H1777" s="3"/>
      <c r="I1777" s="3"/>
      <c r="J1777" s="3"/>
      <c r="K1777" s="3"/>
      <c r="L1777" s="3"/>
      <c r="M1777" s="3"/>
    </row>
    <row r="1778" customFormat="false" ht="15" hidden="false" customHeight="false" outlineLevel="0" collapsed="false">
      <c r="A1778" s="28" t="n">
        <v>46301.5243762963</v>
      </c>
      <c r="B1778" s="31" t="n">
        <f aca="false">(A1778-$A$5)*86400</f>
        <v>62.473999802</v>
      </c>
      <c r="C1778" s="27" t="n">
        <v>0.2949</v>
      </c>
      <c r="D1778" s="27" t="n">
        <v>1.2628</v>
      </c>
      <c r="E1778" s="27" t="s">
        <v>603</v>
      </c>
      <c r="F1778" s="27" t="s">
        <v>144</v>
      </c>
      <c r="G1778" s="32" t="n">
        <f aca="false">(A1778-A1777)*86400000</f>
        <v>15.999586</v>
      </c>
      <c r="H1778" s="3"/>
      <c r="I1778" s="3"/>
      <c r="J1778" s="3"/>
      <c r="K1778" s="3"/>
      <c r="L1778" s="3"/>
      <c r="M1778" s="3"/>
    </row>
    <row r="1779" customFormat="false" ht="15" hidden="false" customHeight="false" outlineLevel="0" collapsed="false">
      <c r="A1779" s="28" t="n">
        <v>46301.5243764815</v>
      </c>
      <c r="B1779" s="31" t="n">
        <f aca="false">(A1779-$A$5)*86400</f>
        <v>62.490000016</v>
      </c>
      <c r="C1779" s="27" t="n">
        <v>0.2914</v>
      </c>
      <c r="D1779" s="27" t="n">
        <v>1.2562</v>
      </c>
      <c r="E1779" s="27" t="s">
        <v>603</v>
      </c>
      <c r="F1779" s="27" t="s">
        <v>144</v>
      </c>
      <c r="G1779" s="32" t="n">
        <f aca="false">(A1779-A1778)*86400000</f>
        <v>16.000214</v>
      </c>
      <c r="H1779" s="3"/>
      <c r="I1779" s="3"/>
      <c r="J1779" s="3"/>
      <c r="K1779" s="3"/>
      <c r="L1779" s="3"/>
      <c r="M1779" s="3"/>
    </row>
    <row r="1780" customFormat="false" ht="15" hidden="false" customHeight="false" outlineLevel="0" collapsed="false">
      <c r="A1780" s="28" t="n">
        <v>46301.5243766667</v>
      </c>
      <c r="B1780" s="31" t="n">
        <f aca="false">(A1780-$A$5)*86400</f>
        <v>62.506000231</v>
      </c>
      <c r="C1780" s="27" t="n">
        <v>0.2872</v>
      </c>
      <c r="D1780" s="27" t="n">
        <v>1.2406</v>
      </c>
      <c r="E1780" s="27" t="s">
        <v>603</v>
      </c>
      <c r="F1780" s="27" t="s">
        <v>144</v>
      </c>
      <c r="G1780" s="32" t="n">
        <f aca="false">(A1780-A1779)*86400000</f>
        <v>16.000214</v>
      </c>
      <c r="H1780" s="3"/>
      <c r="I1780" s="3"/>
      <c r="J1780" s="3"/>
      <c r="K1780" s="3"/>
      <c r="L1780" s="3"/>
      <c r="M1780" s="3"/>
    </row>
    <row r="1781" customFormat="false" ht="15" hidden="false" customHeight="false" outlineLevel="0" collapsed="false">
      <c r="A1781" s="28" t="n">
        <v>46301.5243768519</v>
      </c>
      <c r="B1781" s="31" t="n">
        <f aca="false">(A1781-$A$5)*86400</f>
        <v>62.521999818</v>
      </c>
      <c r="C1781" s="27" t="n">
        <v>0.2838</v>
      </c>
      <c r="D1781" s="27" t="n">
        <v>1.2277</v>
      </c>
      <c r="E1781" s="27" t="s">
        <v>603</v>
      </c>
      <c r="F1781" s="27" t="s">
        <v>144</v>
      </c>
      <c r="G1781" s="32" t="n">
        <f aca="false">(A1781-A1780)*86400000</f>
        <v>15.999586</v>
      </c>
      <c r="H1781" s="3"/>
      <c r="I1781" s="3"/>
      <c r="J1781" s="3"/>
      <c r="K1781" s="3"/>
      <c r="L1781" s="3"/>
      <c r="M1781" s="3"/>
    </row>
    <row r="1782" customFormat="false" ht="15" hidden="false" customHeight="false" outlineLevel="0" collapsed="false">
      <c r="A1782" s="28" t="n">
        <v>46301.524377037</v>
      </c>
      <c r="B1782" s="31" t="n">
        <f aca="false">(A1782-$A$5)*86400</f>
        <v>62.538000661</v>
      </c>
      <c r="C1782" s="27" t="n">
        <v>0.2809</v>
      </c>
      <c r="D1782" s="27" t="n">
        <v>1.2171</v>
      </c>
      <c r="E1782" s="27" t="s">
        <v>603</v>
      </c>
      <c r="F1782" s="27" t="s">
        <v>144</v>
      </c>
      <c r="G1782" s="32" t="n">
        <f aca="false">(A1782-A1781)*86400000</f>
        <v>16.000843</v>
      </c>
      <c r="H1782" s="3"/>
      <c r="I1782" s="3"/>
      <c r="J1782" s="3"/>
      <c r="K1782" s="3"/>
      <c r="L1782" s="3"/>
      <c r="M1782" s="3"/>
    </row>
    <row r="1783" customFormat="false" ht="15" hidden="false" customHeight="false" outlineLevel="0" collapsed="false">
      <c r="A1783" s="28" t="n">
        <v>46301.5243772338</v>
      </c>
      <c r="B1783" s="31" t="n">
        <f aca="false">(A1783-$A$5)*86400</f>
        <v>62.555000418</v>
      </c>
      <c r="C1783" s="27" t="n">
        <v>0.2786</v>
      </c>
      <c r="D1783" s="27" t="n">
        <v>1.2083</v>
      </c>
      <c r="E1783" s="27" t="s">
        <v>603</v>
      </c>
      <c r="F1783" s="27" t="s">
        <v>144</v>
      </c>
      <c r="G1783" s="32" t="n">
        <f aca="false">(A1783-A1782)*86400000</f>
        <v>16.999756</v>
      </c>
      <c r="H1783" s="3"/>
      <c r="I1783" s="3"/>
      <c r="J1783" s="3"/>
      <c r="K1783" s="3"/>
      <c r="L1783" s="3"/>
      <c r="M1783" s="3"/>
    </row>
    <row r="1784" customFormat="false" ht="15" hidden="false" customHeight="false" outlineLevel="0" collapsed="false">
      <c r="A1784" s="28" t="n">
        <v>46301.5243774074</v>
      </c>
      <c r="B1784" s="31" t="n">
        <f aca="false">(A1784-$A$5)*86400</f>
        <v>62.569999205</v>
      </c>
      <c r="C1784" s="27" t="n">
        <v>0.2766</v>
      </c>
      <c r="D1784" s="27" t="n">
        <v>1.2011</v>
      </c>
      <c r="E1784" s="27" t="s">
        <v>603</v>
      </c>
      <c r="F1784" s="27" t="s">
        <v>144</v>
      </c>
      <c r="G1784" s="32" t="n">
        <f aca="false">(A1784-A1783)*86400000</f>
        <v>14.998787</v>
      </c>
      <c r="H1784" s="3"/>
      <c r="I1784" s="3"/>
      <c r="J1784" s="3"/>
      <c r="K1784" s="3"/>
      <c r="L1784" s="3"/>
      <c r="M1784" s="3"/>
    </row>
    <row r="1785" customFormat="false" ht="15" hidden="false" customHeight="false" outlineLevel="0" collapsed="false">
      <c r="A1785" s="28" t="n">
        <v>46301.5243775926</v>
      </c>
      <c r="B1785" s="31" t="n">
        <f aca="false">(A1785-$A$5)*86400</f>
        <v>62.586000049</v>
      </c>
      <c r="C1785" s="27" t="n">
        <v>0.2749</v>
      </c>
      <c r="D1785" s="27" t="n">
        <v>1.1948</v>
      </c>
      <c r="E1785" s="27" t="s">
        <v>603</v>
      </c>
      <c r="F1785" s="27" t="s">
        <v>144</v>
      </c>
      <c r="G1785" s="32" t="n">
        <f aca="false">(A1785-A1784)*86400000</f>
        <v>16.000843</v>
      </c>
      <c r="H1785" s="3"/>
      <c r="I1785" s="3"/>
      <c r="J1785" s="3"/>
      <c r="K1785" s="3"/>
      <c r="L1785" s="3"/>
      <c r="M1785" s="3"/>
    </row>
    <row r="1786" customFormat="false" ht="15" hidden="false" customHeight="false" outlineLevel="0" collapsed="false">
      <c r="A1786" s="28" t="n">
        <v>46301.5243777778</v>
      </c>
      <c r="B1786" s="31" t="n">
        <f aca="false">(A1786-$A$5)*86400</f>
        <v>62.602000264</v>
      </c>
      <c r="C1786" s="27" t="n">
        <v>0.2736</v>
      </c>
      <c r="D1786" s="27" t="n">
        <v>1.1899</v>
      </c>
      <c r="E1786" s="27" t="s">
        <v>603</v>
      </c>
      <c r="F1786" s="27" t="s">
        <v>144</v>
      </c>
      <c r="G1786" s="32" t="n">
        <f aca="false">(A1786-A1785)*86400000</f>
        <v>16.000214</v>
      </c>
      <c r="H1786" s="3"/>
      <c r="I1786" s="3"/>
      <c r="J1786" s="3"/>
      <c r="K1786" s="3"/>
      <c r="L1786" s="3"/>
      <c r="M1786" s="3"/>
    </row>
    <row r="1787" customFormat="false" ht="15" hidden="false" customHeight="false" outlineLevel="0" collapsed="false">
      <c r="A1787" s="28" t="n">
        <v>46301.524377963</v>
      </c>
      <c r="B1787" s="31" t="n">
        <f aca="false">(A1787-$A$5)*86400</f>
        <v>62.61799985</v>
      </c>
      <c r="C1787" s="27" t="n">
        <v>0.2726</v>
      </c>
      <c r="D1787" s="27" t="n">
        <v>1.1859</v>
      </c>
      <c r="E1787" s="27" t="s">
        <v>603</v>
      </c>
      <c r="F1787" s="27" t="s">
        <v>144</v>
      </c>
      <c r="G1787" s="32" t="n">
        <f aca="false">(A1787-A1786)*86400000</f>
        <v>15.999586</v>
      </c>
      <c r="H1787" s="3"/>
      <c r="I1787" s="3"/>
      <c r="J1787" s="3"/>
      <c r="K1787" s="3"/>
      <c r="L1787" s="3"/>
      <c r="M1787" s="3"/>
    </row>
    <row r="1788" customFormat="false" ht="15" hidden="false" customHeight="false" outlineLevel="0" collapsed="false">
      <c r="A1788" s="28" t="n">
        <v>46301.5243781482</v>
      </c>
      <c r="B1788" s="31" t="n">
        <f aca="false">(A1788-$A$5)*86400</f>
        <v>62.634000065</v>
      </c>
      <c r="C1788" s="27" t="n">
        <v>0.2717</v>
      </c>
      <c r="D1788" s="27" t="n">
        <v>1.1826</v>
      </c>
      <c r="E1788" s="27" t="s">
        <v>603</v>
      </c>
      <c r="F1788" s="27" t="s">
        <v>144</v>
      </c>
      <c r="G1788" s="32" t="n">
        <f aca="false">(A1788-A1787)*86400000</f>
        <v>16.000214</v>
      </c>
      <c r="H1788" s="3"/>
      <c r="I1788" s="3"/>
      <c r="J1788" s="3"/>
      <c r="K1788" s="3"/>
      <c r="L1788" s="3"/>
      <c r="M1788" s="3"/>
    </row>
    <row r="1789" customFormat="false" ht="15" hidden="false" customHeight="false" outlineLevel="0" collapsed="false">
      <c r="A1789" s="28" t="n">
        <v>46301.5243783333</v>
      </c>
      <c r="B1789" s="31" t="n">
        <f aca="false">(A1789-$A$5)*86400</f>
        <v>62.650000909</v>
      </c>
      <c r="C1789" s="27" t="n">
        <v>0.2709</v>
      </c>
      <c r="D1789" s="27" t="n">
        <v>1.1799</v>
      </c>
      <c r="E1789" s="27" t="s">
        <v>603</v>
      </c>
      <c r="F1789" s="27" t="s">
        <v>144</v>
      </c>
      <c r="G1789" s="32" t="n">
        <f aca="false">(A1789-A1788)*86400000</f>
        <v>16.000843</v>
      </c>
      <c r="H1789" s="3"/>
      <c r="I1789" s="3"/>
      <c r="J1789" s="3"/>
      <c r="K1789" s="3"/>
      <c r="L1789" s="3"/>
      <c r="M1789" s="3"/>
    </row>
    <row r="1790" customFormat="false" ht="15" hidden="false" customHeight="false" outlineLevel="0" collapsed="false">
      <c r="A1790" s="28" t="n">
        <v>46301.5243785185</v>
      </c>
      <c r="B1790" s="31" t="n">
        <f aca="false">(A1790-$A$5)*86400</f>
        <v>62.666000495</v>
      </c>
      <c r="C1790" s="27" t="n">
        <v>0.2703</v>
      </c>
      <c r="D1790" s="27" t="n">
        <v>1.1776</v>
      </c>
      <c r="E1790" s="27" t="s">
        <v>603</v>
      </c>
      <c r="F1790" s="27" t="s">
        <v>144</v>
      </c>
      <c r="G1790" s="32" t="n">
        <f aca="false">(A1790-A1789)*86400000</f>
        <v>15.999586</v>
      </c>
      <c r="H1790" s="3"/>
      <c r="I1790" s="3"/>
      <c r="J1790" s="3"/>
      <c r="K1790" s="3"/>
      <c r="L1790" s="3"/>
      <c r="M1790" s="3"/>
    </row>
    <row r="1791" customFormat="false" ht="15" hidden="false" customHeight="false" outlineLevel="0" collapsed="false">
      <c r="A1791" s="28" t="n">
        <v>46301.5243787153</v>
      </c>
      <c r="B1791" s="31" t="n">
        <f aca="false">(A1791-$A$5)*86400</f>
        <v>62.683000252</v>
      </c>
      <c r="C1791" s="27" t="n">
        <v>0.2698</v>
      </c>
      <c r="D1791" s="27" t="n">
        <v>1.1756</v>
      </c>
      <c r="E1791" s="27" t="s">
        <v>603</v>
      </c>
      <c r="F1791" s="27" t="s">
        <v>144</v>
      </c>
      <c r="G1791" s="32" t="n">
        <f aca="false">(A1791-A1790)*86400000</f>
        <v>16.999756</v>
      </c>
      <c r="H1791" s="3"/>
      <c r="I1791" s="3"/>
      <c r="J1791" s="3"/>
      <c r="K1791" s="3"/>
      <c r="L1791" s="3"/>
      <c r="M1791" s="3"/>
    </row>
    <row r="1792" customFormat="false" ht="15" hidden="false" customHeight="false" outlineLevel="0" collapsed="false">
      <c r="A1792" s="28" t="n">
        <v>46301.5243789005</v>
      </c>
      <c r="B1792" s="31" t="n">
        <f aca="false">(A1792-$A$5)*86400</f>
        <v>62.698999838</v>
      </c>
      <c r="C1792" s="27" t="n">
        <v>0.2694</v>
      </c>
      <c r="D1792" s="27" t="n">
        <v>1.1741</v>
      </c>
      <c r="E1792" s="27" t="s">
        <v>603</v>
      </c>
      <c r="F1792" s="27" t="s">
        <v>144</v>
      </c>
      <c r="G1792" s="32" t="n">
        <f aca="false">(A1792-A1791)*86400000</f>
        <v>15.999586</v>
      </c>
      <c r="H1792" s="3"/>
      <c r="I1792" s="3"/>
      <c r="J1792" s="3"/>
      <c r="K1792" s="3"/>
      <c r="L1792" s="3"/>
      <c r="M1792" s="3"/>
    </row>
    <row r="1793" customFormat="false" ht="15" hidden="false" customHeight="false" outlineLevel="0" collapsed="false">
      <c r="A1793" s="28" t="n">
        <v>46301.5243790972</v>
      </c>
      <c r="B1793" s="31" t="n">
        <f aca="false">(A1793-$A$5)*86400</f>
        <v>62.716000224</v>
      </c>
      <c r="C1793" s="27" t="n">
        <v>0.269</v>
      </c>
      <c r="D1793" s="27" t="n">
        <v>1.1728</v>
      </c>
      <c r="E1793" s="27" t="s">
        <v>603</v>
      </c>
      <c r="F1793" s="27" t="s">
        <v>144</v>
      </c>
      <c r="G1793" s="32" t="n">
        <f aca="false">(A1793-A1792)*86400000</f>
        <v>17.000385</v>
      </c>
      <c r="H1793" s="3"/>
      <c r="I1793" s="3"/>
      <c r="J1793" s="3"/>
      <c r="K1793" s="3"/>
      <c r="L1793" s="3"/>
      <c r="M1793" s="3"/>
    </row>
    <row r="1794" customFormat="false" ht="15" hidden="false" customHeight="false" outlineLevel="0" collapsed="false">
      <c r="A1794" s="28" t="n">
        <v>46301.5243794676</v>
      </c>
      <c r="B1794" s="31" t="n">
        <f aca="false">(A1794-$A$5)*86400</f>
        <v>62.748000025</v>
      </c>
      <c r="C1794" s="27" t="n">
        <v>0.2685</v>
      </c>
      <c r="D1794" s="27" t="n">
        <v>1.1709</v>
      </c>
      <c r="E1794" s="27" t="s">
        <v>603</v>
      </c>
      <c r="F1794" s="27" t="s">
        <v>144</v>
      </c>
      <c r="G1794" s="32" t="n">
        <f aca="false">(A1794-A1793)*86400000</f>
        <v>31.999801</v>
      </c>
      <c r="H1794" s="3"/>
      <c r="I1794" s="3"/>
      <c r="J1794" s="3"/>
      <c r="K1794" s="3"/>
      <c r="L1794" s="3"/>
      <c r="M1794" s="3"/>
    </row>
    <row r="1795" customFormat="false" ht="15" hidden="false" customHeight="false" outlineLevel="0" collapsed="false">
      <c r="A1795" s="28" t="n">
        <v>46301.5243802199</v>
      </c>
      <c r="B1795" s="31" t="n">
        <f aca="false">(A1795-$A$5)*86400</f>
        <v>62.81299917</v>
      </c>
      <c r="C1795" s="27" t="n">
        <v>0.261</v>
      </c>
      <c r="D1795" s="27" t="n">
        <v>1.1532</v>
      </c>
      <c r="E1795" s="27" t="s">
        <v>603</v>
      </c>
      <c r="F1795" s="27" t="s">
        <v>144</v>
      </c>
      <c r="G1795" s="32" t="n">
        <f aca="false">(A1795-A1794)*86400000</f>
        <v>64.999144</v>
      </c>
      <c r="H1795" s="3"/>
      <c r="I1795" s="3"/>
      <c r="J1795" s="3"/>
      <c r="K1795" s="3"/>
      <c r="L1795" s="3"/>
      <c r="M1795" s="3"/>
    </row>
    <row r="1796" customFormat="false" ht="15" hidden="false" customHeight="false" outlineLevel="0" collapsed="false">
      <c r="A1796" s="28" t="n">
        <v>46301.5243803935</v>
      </c>
      <c r="B1796" s="31" t="n">
        <f aca="false">(A1796-$A$5)*86400</f>
        <v>62.828000471</v>
      </c>
      <c r="C1796" s="27" t="n">
        <v>0.2552</v>
      </c>
      <c r="D1796" s="27" t="n">
        <v>1.1399</v>
      </c>
      <c r="E1796" s="27" t="s">
        <v>603</v>
      </c>
      <c r="F1796" s="27" t="s">
        <v>144</v>
      </c>
      <c r="G1796" s="32" t="n">
        <f aca="false">(A1796-A1795)*86400000</f>
        <v>15.001301</v>
      </c>
      <c r="H1796" s="3"/>
      <c r="I1796" s="3"/>
      <c r="J1796" s="3"/>
      <c r="K1796" s="3"/>
      <c r="L1796" s="3"/>
      <c r="M1796" s="3"/>
    </row>
    <row r="1797" customFormat="false" ht="15" hidden="false" customHeight="false" outlineLevel="0" collapsed="false">
      <c r="A1797" s="28" t="n">
        <v>46301.5243805787</v>
      </c>
      <c r="B1797" s="31" t="n">
        <f aca="false">(A1797-$A$5)*86400</f>
        <v>62.844000058</v>
      </c>
      <c r="C1797" s="27" t="n">
        <v>0.2505</v>
      </c>
      <c r="D1797" s="27" t="n">
        <v>1.129</v>
      </c>
      <c r="E1797" s="27" t="s">
        <v>603</v>
      </c>
      <c r="F1797" s="27" t="s">
        <v>144</v>
      </c>
      <c r="G1797" s="32" t="n">
        <f aca="false">(A1797-A1796)*86400000</f>
        <v>15.999586</v>
      </c>
      <c r="H1797" s="3"/>
      <c r="I1797" s="3"/>
      <c r="J1797" s="3"/>
      <c r="K1797" s="3"/>
      <c r="L1797" s="3"/>
      <c r="M1797" s="3"/>
    </row>
    <row r="1798" customFormat="false" ht="15" hidden="false" customHeight="false" outlineLevel="0" collapsed="false">
      <c r="A1798" s="28" t="n">
        <v>46301.5243807639</v>
      </c>
      <c r="B1798" s="31" t="n">
        <f aca="false">(A1798-$A$5)*86400</f>
        <v>62.860000273</v>
      </c>
      <c r="C1798" s="27" t="n">
        <v>0.2465</v>
      </c>
      <c r="D1798" s="27" t="n">
        <v>1.12</v>
      </c>
      <c r="E1798" s="27" t="s">
        <v>603</v>
      </c>
      <c r="F1798" s="27" t="s">
        <v>144</v>
      </c>
      <c r="G1798" s="32" t="n">
        <f aca="false">(A1798-A1797)*86400000</f>
        <v>16.000214</v>
      </c>
      <c r="H1798" s="3"/>
      <c r="I1798" s="3"/>
      <c r="J1798" s="3"/>
      <c r="K1798" s="3"/>
      <c r="L1798" s="3"/>
      <c r="M1798" s="3"/>
    </row>
    <row r="1799" customFormat="false" ht="15" hidden="false" customHeight="false" outlineLevel="0" collapsed="false">
      <c r="A1799" s="28" t="n">
        <v>46301.5243809491</v>
      </c>
      <c r="B1799" s="31" t="n">
        <f aca="false">(A1799-$A$5)*86400</f>
        <v>62.875999859</v>
      </c>
      <c r="C1799" s="27" t="n">
        <v>0.2432</v>
      </c>
      <c r="D1799" s="27" t="n">
        <v>1.1126</v>
      </c>
      <c r="E1799" s="27" t="s">
        <v>603</v>
      </c>
      <c r="F1799" s="27" t="s">
        <v>144</v>
      </c>
      <c r="G1799" s="32" t="n">
        <f aca="false">(A1799-A1798)*86400000</f>
        <v>15.999586</v>
      </c>
      <c r="H1799" s="3"/>
      <c r="I1799" s="3"/>
      <c r="J1799" s="3"/>
      <c r="K1799" s="3"/>
      <c r="L1799" s="3"/>
      <c r="M1799" s="3"/>
    </row>
    <row r="1800" customFormat="false" ht="15" hidden="false" customHeight="false" outlineLevel="0" collapsed="false">
      <c r="A1800" s="28" t="n">
        <v>46301.5243811343</v>
      </c>
      <c r="B1800" s="31" t="n">
        <f aca="false">(A1800-$A$5)*86400</f>
        <v>62.892000074</v>
      </c>
      <c r="C1800" s="27" t="n">
        <v>0.2405</v>
      </c>
      <c r="D1800" s="27" t="n">
        <v>1.1065</v>
      </c>
      <c r="E1800" s="27" t="s">
        <v>603</v>
      </c>
      <c r="F1800" s="27" t="s">
        <v>144</v>
      </c>
      <c r="G1800" s="32" t="n">
        <f aca="false">(A1800-A1799)*86400000</f>
        <v>16.000214</v>
      </c>
      <c r="H1800" s="3"/>
      <c r="I1800" s="3"/>
      <c r="J1800" s="3"/>
      <c r="K1800" s="3"/>
      <c r="L1800" s="3"/>
      <c r="M1800" s="3"/>
    </row>
    <row r="1801" customFormat="false" ht="15" hidden="false" customHeight="false" outlineLevel="0" collapsed="false">
      <c r="A1801" s="28" t="n">
        <v>46301.524381331</v>
      </c>
      <c r="B1801" s="31" t="n">
        <f aca="false">(A1801-$A$5)*86400</f>
        <v>62.90900046</v>
      </c>
      <c r="C1801" s="27" t="n">
        <v>0.2382</v>
      </c>
      <c r="D1801" s="27" t="n">
        <v>1.1011</v>
      </c>
      <c r="E1801" s="27" t="s">
        <v>603</v>
      </c>
      <c r="F1801" s="27" t="s">
        <v>144</v>
      </c>
      <c r="G1801" s="32" t="n">
        <f aca="false">(A1801-A1800)*86400000</f>
        <v>17.000385</v>
      </c>
      <c r="H1801" s="3"/>
      <c r="I1801" s="3"/>
      <c r="J1801" s="3"/>
      <c r="K1801" s="3"/>
      <c r="L1801" s="3"/>
      <c r="M1801" s="3"/>
    </row>
    <row r="1802" customFormat="false" ht="15" hidden="false" customHeight="false" outlineLevel="0" collapsed="false">
      <c r="A1802" s="28" t="n">
        <v>46301.5243815162</v>
      </c>
      <c r="B1802" s="31" t="n">
        <f aca="false">(A1802-$A$5)*86400</f>
        <v>62.925000046</v>
      </c>
      <c r="C1802" s="27" t="n">
        <v>0.2364</v>
      </c>
      <c r="D1802" s="27" t="n">
        <v>1.097</v>
      </c>
      <c r="E1802" s="27" t="s">
        <v>603</v>
      </c>
      <c r="F1802" s="27" t="s">
        <v>144</v>
      </c>
      <c r="G1802" s="32" t="n">
        <f aca="false">(A1802-A1801)*86400000</f>
        <v>15.999586</v>
      </c>
      <c r="H1802" s="3"/>
      <c r="I1802" s="3"/>
      <c r="J1802" s="3"/>
      <c r="K1802" s="3"/>
      <c r="L1802" s="3"/>
      <c r="M1802" s="3"/>
    </row>
    <row r="1803" customFormat="false" ht="15" hidden="false" customHeight="false" outlineLevel="0" collapsed="false">
      <c r="A1803" s="28" t="n">
        <v>46301.5243817014</v>
      </c>
      <c r="B1803" s="31" t="n">
        <f aca="false">(A1803-$A$5)*86400</f>
        <v>62.941000261</v>
      </c>
      <c r="C1803" s="27" t="n">
        <v>0.2349</v>
      </c>
      <c r="D1803" s="27" t="n">
        <v>1.0936</v>
      </c>
      <c r="E1803" s="27" t="s">
        <v>603</v>
      </c>
      <c r="F1803" s="27" t="s">
        <v>144</v>
      </c>
      <c r="G1803" s="32" t="n">
        <f aca="false">(A1803-A1802)*86400000</f>
        <v>16.000214</v>
      </c>
      <c r="H1803" s="3"/>
      <c r="I1803" s="3"/>
      <c r="J1803" s="3"/>
      <c r="K1803" s="3"/>
      <c r="L1803" s="3"/>
      <c r="M1803" s="3"/>
    </row>
    <row r="1804" customFormat="false" ht="15" hidden="false" customHeight="false" outlineLevel="0" collapsed="false">
      <c r="A1804" s="28" t="n">
        <v>46301.5243818866</v>
      </c>
      <c r="B1804" s="31" t="n">
        <f aca="false">(A1804-$A$5)*86400</f>
        <v>62.956999847</v>
      </c>
      <c r="C1804" s="27" t="n">
        <v>0.2337</v>
      </c>
      <c r="D1804" s="27" t="n">
        <v>1.0908</v>
      </c>
      <c r="E1804" s="27" t="s">
        <v>603</v>
      </c>
      <c r="F1804" s="27" t="s">
        <v>144</v>
      </c>
      <c r="G1804" s="32" t="n">
        <f aca="false">(A1804-A1803)*86400000</f>
        <v>15.999586</v>
      </c>
      <c r="H1804" s="3"/>
      <c r="I1804" s="3"/>
      <c r="J1804" s="3"/>
      <c r="K1804" s="3"/>
      <c r="L1804" s="3"/>
      <c r="M1804" s="3"/>
    </row>
    <row r="1805" customFormat="false" ht="15" hidden="false" customHeight="false" outlineLevel="0" collapsed="false">
      <c r="A1805" s="28" t="n">
        <v>46301.5243820833</v>
      </c>
      <c r="B1805" s="31" t="n">
        <f aca="false">(A1805-$A$5)*86400</f>
        <v>62.973999604</v>
      </c>
      <c r="C1805" s="27" t="n">
        <v>0.2327</v>
      </c>
      <c r="D1805" s="27" t="n">
        <v>1.0886</v>
      </c>
      <c r="E1805" s="27" t="s">
        <v>603</v>
      </c>
      <c r="F1805" s="27" t="s">
        <v>144</v>
      </c>
      <c r="G1805" s="32" t="n">
        <f aca="false">(A1805-A1804)*86400000</f>
        <v>16.999756</v>
      </c>
      <c r="H1805" s="3"/>
      <c r="I1805" s="3"/>
      <c r="J1805" s="3"/>
      <c r="K1805" s="3"/>
      <c r="L1805" s="3"/>
      <c r="M1805" s="3"/>
    </row>
    <row r="1806" customFormat="false" ht="15" hidden="false" customHeight="false" outlineLevel="0" collapsed="false">
      <c r="A1806" s="28" t="n">
        <v>46301.524382257</v>
      </c>
      <c r="B1806" s="31" t="n">
        <f aca="false">(A1806-$A$5)*86400</f>
        <v>62.989000277</v>
      </c>
      <c r="C1806" s="27" t="n">
        <v>0.2318</v>
      </c>
      <c r="D1806" s="27" t="n">
        <v>1.0866</v>
      </c>
      <c r="E1806" s="27" t="s">
        <v>603</v>
      </c>
      <c r="F1806" s="27" t="s">
        <v>144</v>
      </c>
      <c r="G1806" s="32" t="n">
        <f aca="false">(A1806-A1805)*86400000</f>
        <v>15.000673</v>
      </c>
      <c r="H1806" s="3"/>
      <c r="I1806" s="3"/>
      <c r="J1806" s="3"/>
      <c r="K1806" s="3"/>
      <c r="L1806" s="3"/>
      <c r="M1806" s="3"/>
    </row>
    <row r="1807" customFormat="false" ht="15" hidden="false" customHeight="false" outlineLevel="0" collapsed="false">
      <c r="A1807" s="28" t="n">
        <v>46301.5243826389</v>
      </c>
      <c r="B1807" s="31" t="n">
        <f aca="false">(A1807-$A$5)*86400</f>
        <v>63.022000249</v>
      </c>
      <c r="C1807" s="27" t="n">
        <v>0.2305</v>
      </c>
      <c r="D1807" s="27" t="n">
        <v>1.0836</v>
      </c>
      <c r="E1807" s="27" t="s">
        <v>603</v>
      </c>
      <c r="F1807" s="27" t="s">
        <v>144</v>
      </c>
      <c r="G1807" s="32" t="n">
        <f aca="false">(A1807-A1806)*86400000</f>
        <v>32.999971</v>
      </c>
      <c r="H1807" s="3"/>
      <c r="I1807" s="3"/>
      <c r="J1807" s="3"/>
      <c r="K1807" s="3"/>
      <c r="L1807" s="3"/>
      <c r="M1807" s="3"/>
    </row>
    <row r="1808" customFormat="false" ht="15" hidden="false" customHeight="false" outlineLevel="0" collapsed="false">
      <c r="A1808" s="28" t="n">
        <v>46301.5243830093</v>
      </c>
      <c r="B1808" s="31" t="n">
        <f aca="false">(A1808-$A$5)*86400</f>
        <v>63.05400005</v>
      </c>
      <c r="C1808" s="27" t="n">
        <v>0.2279</v>
      </c>
      <c r="D1808" s="27" t="n">
        <v>1.0803</v>
      </c>
      <c r="E1808" s="27" t="s">
        <v>603</v>
      </c>
      <c r="F1808" s="27" t="s">
        <v>144</v>
      </c>
      <c r="G1808" s="32" t="n">
        <f aca="false">(A1808-A1807)*86400000</f>
        <v>31.999801</v>
      </c>
      <c r="H1808" s="3"/>
      <c r="I1808" s="3"/>
      <c r="J1808" s="3"/>
      <c r="K1808" s="3"/>
      <c r="L1808" s="3"/>
      <c r="M1808" s="3"/>
    </row>
    <row r="1809" customFormat="false" ht="15" hidden="false" customHeight="false" outlineLevel="0" collapsed="false">
      <c r="A1809" s="28" t="n">
        <v>46301.524383206</v>
      </c>
      <c r="B1809" s="31" t="n">
        <f aca="false">(A1809-$A$5)*86400</f>
        <v>63.071000436</v>
      </c>
      <c r="C1809" s="27" t="n">
        <v>0.226</v>
      </c>
      <c r="D1809" s="27" t="n">
        <v>1.0783</v>
      </c>
      <c r="E1809" s="27" t="s">
        <v>603</v>
      </c>
      <c r="F1809" s="27" t="s">
        <v>144</v>
      </c>
      <c r="G1809" s="32" t="n">
        <f aca="false">(A1809-A1808)*86400000</f>
        <v>17.000385</v>
      </c>
      <c r="H1809" s="3"/>
      <c r="I1809" s="3"/>
      <c r="J1809" s="3"/>
      <c r="K1809" s="3"/>
      <c r="L1809" s="3"/>
      <c r="M1809" s="3"/>
    </row>
    <row r="1810" customFormat="false" ht="15" hidden="false" customHeight="false" outlineLevel="0" collapsed="false">
      <c r="A1810" s="28" t="n">
        <v>46301.5243833912</v>
      </c>
      <c r="B1810" s="31" t="n">
        <f aca="false">(A1810-$A$5)*86400</f>
        <v>63.087000022</v>
      </c>
      <c r="C1810" s="27" t="n">
        <v>0.2246</v>
      </c>
      <c r="D1810" s="27" t="n">
        <v>1.0768</v>
      </c>
      <c r="E1810" s="27" t="s">
        <v>603</v>
      </c>
      <c r="F1810" s="27" t="s">
        <v>144</v>
      </c>
      <c r="G1810" s="32" t="n">
        <f aca="false">(A1810-A1809)*86400000</f>
        <v>15.999586</v>
      </c>
      <c r="H1810" s="3"/>
      <c r="I1810" s="3"/>
      <c r="J1810" s="3"/>
      <c r="K1810" s="3"/>
      <c r="L1810" s="3"/>
      <c r="M1810" s="3"/>
    </row>
    <row r="1811" customFormat="false" ht="15" hidden="false" customHeight="false" outlineLevel="0" collapsed="false">
      <c r="A1811" s="28" t="n">
        <v>46301.5243835764</v>
      </c>
      <c r="B1811" s="31" t="n">
        <f aca="false">(A1811-$A$5)*86400</f>
        <v>63.103000237</v>
      </c>
      <c r="C1811" s="27" t="n">
        <v>0.2234</v>
      </c>
      <c r="D1811" s="27" t="n">
        <v>1.0755</v>
      </c>
      <c r="E1811" s="27" t="s">
        <v>603</v>
      </c>
      <c r="F1811" s="27" t="s">
        <v>144</v>
      </c>
      <c r="G1811" s="32" t="n">
        <f aca="false">(A1811-A1810)*86400000</f>
        <v>16.000214</v>
      </c>
      <c r="H1811" s="3"/>
      <c r="I1811" s="3"/>
      <c r="J1811" s="3"/>
      <c r="K1811" s="3"/>
      <c r="L1811" s="3"/>
      <c r="M1811" s="3"/>
    </row>
    <row r="1812" customFormat="false" ht="15" hidden="false" customHeight="false" outlineLevel="0" collapsed="false">
      <c r="A1812" s="28" t="n">
        <v>46301.5243837732</v>
      </c>
      <c r="B1812" s="31" t="n">
        <f aca="false">(A1812-$A$5)*86400</f>
        <v>63.119999994</v>
      </c>
      <c r="C1812" s="27" t="n">
        <v>0.2223</v>
      </c>
      <c r="D1812" s="27" t="n">
        <v>1.0744</v>
      </c>
      <c r="E1812" s="27" t="s">
        <v>603</v>
      </c>
      <c r="F1812" s="27" t="s">
        <v>144</v>
      </c>
      <c r="G1812" s="32" t="n">
        <f aca="false">(A1812-A1811)*86400000</f>
        <v>16.999756</v>
      </c>
      <c r="H1812" s="3"/>
      <c r="I1812" s="3"/>
      <c r="J1812" s="3"/>
      <c r="K1812" s="3"/>
      <c r="L1812" s="3"/>
      <c r="M1812" s="3"/>
    </row>
    <row r="1813" customFormat="false" ht="15" hidden="false" customHeight="false" outlineLevel="0" collapsed="false">
      <c r="A1813" s="28" t="n">
        <v>46301.5243841435</v>
      </c>
      <c r="B1813" s="31" t="n">
        <f aca="false">(A1813-$A$5)*86400</f>
        <v>63.151999167</v>
      </c>
      <c r="C1813" s="27" t="n">
        <v>0.2209</v>
      </c>
      <c r="D1813" s="27" t="n">
        <v>1.0729</v>
      </c>
      <c r="E1813" s="27" t="s">
        <v>603</v>
      </c>
      <c r="F1813" s="27" t="s">
        <v>144</v>
      </c>
      <c r="G1813" s="32" t="n">
        <f aca="false">(A1813-A1812)*86400000</f>
        <v>31.999172</v>
      </c>
      <c r="H1813" s="3"/>
      <c r="I1813" s="3"/>
      <c r="J1813" s="3"/>
      <c r="K1813" s="3"/>
      <c r="L1813" s="3"/>
      <c r="M1813" s="3"/>
    </row>
    <row r="1814" customFormat="false" ht="15" hidden="false" customHeight="false" outlineLevel="0" collapsed="false">
      <c r="A1814" s="28" t="n">
        <v>46301.5243848843</v>
      </c>
      <c r="B1814" s="31" t="n">
        <f aca="false">(A1814-$A$5)*86400</f>
        <v>63.216000027</v>
      </c>
      <c r="C1814" s="27" t="n">
        <v>0.2192</v>
      </c>
      <c r="D1814" s="27" t="n">
        <v>1.0711</v>
      </c>
      <c r="E1814" s="27" t="s">
        <v>603</v>
      </c>
      <c r="F1814" s="27" t="s">
        <v>144</v>
      </c>
      <c r="G1814" s="32" t="n">
        <f aca="false">(A1814-A1813)*86400000</f>
        <v>64.000859</v>
      </c>
      <c r="H1814" s="3"/>
      <c r="I1814" s="3"/>
      <c r="J1814" s="3"/>
      <c r="K1814" s="3"/>
      <c r="L1814" s="3"/>
      <c r="M1814" s="3"/>
    </row>
    <row r="1815" customFormat="false" ht="15" hidden="false" customHeight="false" outlineLevel="0" collapsed="false">
      <c r="A1815" s="28" t="n">
        <v>46301.5243852662</v>
      </c>
      <c r="B1815" s="31" t="n">
        <f aca="false">(A1815-$A$5)*86400</f>
        <v>63.248999998</v>
      </c>
      <c r="C1815" s="27" t="n">
        <v>0.2178</v>
      </c>
      <c r="D1815" s="27" t="n">
        <v>1.0808</v>
      </c>
      <c r="E1815" s="27" t="s">
        <v>603</v>
      </c>
      <c r="F1815" s="27" t="s">
        <v>144</v>
      </c>
      <c r="G1815" s="32" t="n">
        <f aca="false">(A1815-A1814)*86400000</f>
        <v>32.999971</v>
      </c>
      <c r="H1815" s="3"/>
      <c r="I1815" s="3"/>
      <c r="J1815" s="3"/>
      <c r="K1815" s="3"/>
      <c r="L1815" s="3"/>
      <c r="M1815" s="3"/>
    </row>
    <row r="1816" customFormat="false" ht="15" hidden="false" customHeight="false" outlineLevel="0" collapsed="false">
      <c r="A1816" s="28" t="n">
        <v>46301.5243854398</v>
      </c>
      <c r="B1816" s="31" t="n">
        <f aca="false">(A1816-$A$5)*86400</f>
        <v>63.263999414</v>
      </c>
      <c r="C1816" s="27" t="n">
        <v>0.217</v>
      </c>
      <c r="D1816" s="27" t="n">
        <v>1.0891</v>
      </c>
      <c r="E1816" s="27" t="s">
        <v>603</v>
      </c>
      <c r="F1816" s="27" t="s">
        <v>144</v>
      </c>
      <c r="G1816" s="32" t="n">
        <f aca="false">(A1816-A1815)*86400000</f>
        <v>14.999415</v>
      </c>
      <c r="H1816" s="3"/>
      <c r="I1816" s="3"/>
      <c r="J1816" s="3"/>
      <c r="K1816" s="3"/>
      <c r="L1816" s="3"/>
      <c r="M1816" s="3"/>
    </row>
    <row r="1817" customFormat="false" ht="15" hidden="false" customHeight="false" outlineLevel="0" collapsed="false">
      <c r="A1817" s="28" t="n">
        <v>46301.524385625</v>
      </c>
      <c r="B1817" s="31" t="n">
        <f aca="false">(A1817-$A$5)*86400</f>
        <v>63.280000258</v>
      </c>
      <c r="C1817" s="27" t="n">
        <v>0.2162</v>
      </c>
      <c r="D1817" s="27" t="n">
        <v>1.0959</v>
      </c>
      <c r="E1817" s="27" t="s">
        <v>603</v>
      </c>
      <c r="F1817" s="27" t="s">
        <v>144</v>
      </c>
      <c r="G1817" s="32" t="n">
        <f aca="false">(A1817-A1816)*86400000</f>
        <v>16.000843</v>
      </c>
      <c r="H1817" s="3"/>
      <c r="I1817" s="3"/>
      <c r="J1817" s="3"/>
      <c r="K1817" s="3"/>
      <c r="L1817" s="3"/>
      <c r="M1817" s="3"/>
    </row>
    <row r="1818" customFormat="false" ht="15" hidden="false" customHeight="false" outlineLevel="0" collapsed="false">
      <c r="A1818" s="28" t="n">
        <v>46301.5243858218</v>
      </c>
      <c r="B1818" s="31" t="n">
        <f aca="false">(A1818-$A$5)*86400</f>
        <v>63.297000015</v>
      </c>
      <c r="C1818" s="27" t="n">
        <v>0.2156</v>
      </c>
      <c r="D1818" s="27" t="n">
        <v>1.1015</v>
      </c>
      <c r="E1818" s="27" t="s">
        <v>603</v>
      </c>
      <c r="F1818" s="27" t="s">
        <v>144</v>
      </c>
      <c r="G1818" s="32" t="n">
        <f aca="false">(A1818-A1817)*86400000</f>
        <v>16.999756</v>
      </c>
      <c r="H1818" s="3"/>
      <c r="I1818" s="3"/>
      <c r="J1818" s="3"/>
      <c r="K1818" s="3"/>
      <c r="L1818" s="3"/>
      <c r="M1818" s="3"/>
    </row>
    <row r="1819" customFormat="false" ht="15" hidden="false" customHeight="false" outlineLevel="0" collapsed="false">
      <c r="A1819" s="28" t="n">
        <v>46301.524386007</v>
      </c>
      <c r="B1819" s="31" t="n">
        <f aca="false">(A1819-$A$5)*86400</f>
        <v>63.313000858</v>
      </c>
      <c r="C1819" s="27" t="n">
        <v>0.2151</v>
      </c>
      <c r="D1819" s="27" t="n">
        <v>1.1064</v>
      </c>
      <c r="E1819" s="27" t="s">
        <v>603</v>
      </c>
      <c r="F1819" s="27" t="s">
        <v>144</v>
      </c>
      <c r="G1819" s="32" t="n">
        <f aca="false">(A1819-A1818)*86400000</f>
        <v>16.000843</v>
      </c>
      <c r="H1819" s="3"/>
      <c r="I1819" s="3"/>
      <c r="J1819" s="3"/>
      <c r="K1819" s="3"/>
      <c r="L1819" s="3"/>
      <c r="M1819" s="3"/>
    </row>
    <row r="1820" customFormat="false" ht="15" hidden="false" customHeight="false" outlineLevel="0" collapsed="false">
      <c r="A1820" s="28" t="n">
        <v>46301.5243861806</v>
      </c>
      <c r="B1820" s="31" t="n">
        <f aca="false">(A1820-$A$5)*86400</f>
        <v>63.328000274</v>
      </c>
      <c r="C1820" s="27" t="n">
        <v>0.2147</v>
      </c>
      <c r="D1820" s="27" t="n">
        <v>1.1099</v>
      </c>
      <c r="E1820" s="27" t="s">
        <v>603</v>
      </c>
      <c r="F1820" s="27" t="s">
        <v>144</v>
      </c>
      <c r="G1820" s="32" t="n">
        <f aca="false">(A1820-A1819)*86400000</f>
        <v>14.999415</v>
      </c>
      <c r="H1820" s="3"/>
      <c r="I1820" s="3"/>
      <c r="J1820" s="3"/>
      <c r="K1820" s="3"/>
      <c r="L1820" s="3"/>
      <c r="M1820" s="3"/>
    </row>
    <row r="1821" customFormat="false" ht="15" hidden="false" customHeight="false" outlineLevel="0" collapsed="false">
      <c r="A1821" s="28" t="n">
        <v>46301.5243863657</v>
      </c>
      <c r="B1821" s="31" t="n">
        <f aca="false">(A1821-$A$5)*86400</f>
        <v>63.34399986</v>
      </c>
      <c r="C1821" s="27" t="n">
        <v>0.2144</v>
      </c>
      <c r="D1821" s="27" t="n">
        <v>1.1131</v>
      </c>
      <c r="E1821" s="27" t="s">
        <v>603</v>
      </c>
      <c r="F1821" s="27" t="s">
        <v>144</v>
      </c>
      <c r="G1821" s="32" t="n">
        <f aca="false">(A1821-A1820)*86400000</f>
        <v>15.999586</v>
      </c>
      <c r="H1821" s="3"/>
      <c r="I1821" s="3"/>
      <c r="J1821" s="3"/>
      <c r="K1821" s="3"/>
      <c r="L1821" s="3"/>
      <c r="M1821" s="3"/>
    </row>
    <row r="1822" customFormat="false" ht="15" hidden="false" customHeight="false" outlineLevel="0" collapsed="false">
      <c r="A1822" s="28" t="n">
        <v>46301.5243865625</v>
      </c>
      <c r="B1822" s="31" t="n">
        <f aca="false">(A1822-$A$5)*86400</f>
        <v>63.361000246</v>
      </c>
      <c r="C1822" s="27" t="n">
        <v>0.2223</v>
      </c>
      <c r="D1822" s="27" t="n">
        <v>1.1136</v>
      </c>
      <c r="E1822" s="27" t="s">
        <v>603</v>
      </c>
      <c r="F1822" s="27" t="s">
        <v>144</v>
      </c>
      <c r="G1822" s="32" t="n">
        <f aca="false">(A1822-A1821)*86400000</f>
        <v>17.000385</v>
      </c>
      <c r="H1822" s="3"/>
      <c r="I1822" s="3"/>
      <c r="J1822" s="3"/>
      <c r="K1822" s="3"/>
      <c r="L1822" s="3"/>
      <c r="M1822" s="3"/>
    </row>
    <row r="1823" customFormat="false" ht="15" hidden="false" customHeight="false" outlineLevel="0" collapsed="false">
      <c r="A1823" s="28" t="n">
        <v>46301.5243867477</v>
      </c>
      <c r="B1823" s="31" t="n">
        <f aca="false">(A1823-$A$5)*86400</f>
        <v>63.376999832</v>
      </c>
      <c r="C1823" s="27" t="n">
        <v>0.2293</v>
      </c>
      <c r="D1823" s="27" t="n">
        <v>1.114</v>
      </c>
      <c r="E1823" s="27" t="s">
        <v>603</v>
      </c>
      <c r="F1823" s="27" t="s">
        <v>144</v>
      </c>
      <c r="G1823" s="32" t="n">
        <f aca="false">(A1823-A1822)*86400000</f>
        <v>15.999586</v>
      </c>
      <c r="H1823" s="3"/>
      <c r="I1823" s="3"/>
      <c r="J1823" s="3"/>
      <c r="K1823" s="3"/>
      <c r="L1823" s="3"/>
      <c r="M1823" s="3"/>
    </row>
    <row r="1824" customFormat="false" ht="15" hidden="false" customHeight="false" outlineLevel="0" collapsed="false">
      <c r="A1824" s="28" t="n">
        <v>46301.5243869329</v>
      </c>
      <c r="B1824" s="31" t="n">
        <f aca="false">(A1824-$A$5)*86400</f>
        <v>63.393000047</v>
      </c>
      <c r="C1824" s="27" t="n">
        <v>0.2346</v>
      </c>
      <c r="D1824" s="27" t="n">
        <v>1.1144</v>
      </c>
      <c r="E1824" s="27" t="s">
        <v>603</v>
      </c>
      <c r="F1824" s="27" t="s">
        <v>144</v>
      </c>
      <c r="G1824" s="32" t="n">
        <f aca="false">(A1824-A1823)*86400000</f>
        <v>16.000214</v>
      </c>
      <c r="H1824" s="3"/>
      <c r="I1824" s="3"/>
      <c r="J1824" s="3"/>
      <c r="K1824" s="3"/>
      <c r="L1824" s="3"/>
      <c r="M1824" s="3"/>
    </row>
    <row r="1825" customFormat="false" ht="15" hidden="false" customHeight="false" outlineLevel="0" collapsed="false">
      <c r="A1825" s="28" t="n">
        <v>46301.5243871181</v>
      </c>
      <c r="B1825" s="31" t="n">
        <f aca="false">(A1825-$A$5)*86400</f>
        <v>63.409000262</v>
      </c>
      <c r="C1825" s="27" t="n">
        <v>0.2391</v>
      </c>
      <c r="D1825" s="27" t="n">
        <v>1.1147</v>
      </c>
      <c r="E1825" s="27" t="s">
        <v>603</v>
      </c>
      <c r="F1825" s="27" t="s">
        <v>144</v>
      </c>
      <c r="G1825" s="32" t="n">
        <f aca="false">(A1825-A1824)*86400000</f>
        <v>16.000214</v>
      </c>
      <c r="H1825" s="3"/>
      <c r="I1825" s="3"/>
      <c r="J1825" s="3"/>
      <c r="K1825" s="3"/>
      <c r="L1825" s="3"/>
      <c r="M1825" s="3"/>
    </row>
    <row r="1826" customFormat="false" ht="15" hidden="false" customHeight="false" outlineLevel="0" collapsed="false">
      <c r="A1826" s="28" t="n">
        <v>46301.5243873148</v>
      </c>
      <c r="B1826" s="31" t="n">
        <f aca="false">(A1826-$A$5)*86400</f>
        <v>63.42599939</v>
      </c>
      <c r="C1826" s="27" t="n">
        <v>0.2427</v>
      </c>
      <c r="D1826" s="27" t="n">
        <v>1.1149</v>
      </c>
      <c r="E1826" s="27" t="s">
        <v>603</v>
      </c>
      <c r="F1826" s="27" t="s">
        <v>144</v>
      </c>
      <c r="G1826" s="32" t="n">
        <f aca="false">(A1826-A1825)*86400000</f>
        <v>16.999128</v>
      </c>
      <c r="H1826" s="3"/>
      <c r="I1826" s="3"/>
      <c r="J1826" s="3"/>
      <c r="K1826" s="3"/>
      <c r="L1826" s="3"/>
      <c r="M1826" s="3"/>
    </row>
    <row r="1827" customFormat="false" ht="15" hidden="false" customHeight="false" outlineLevel="0" collapsed="false">
      <c r="A1827" s="28" t="n">
        <v>46301.5243875</v>
      </c>
      <c r="B1827" s="31" t="n">
        <f aca="false">(A1827-$A$5)*86400</f>
        <v>63.442000234</v>
      </c>
      <c r="C1827" s="27" t="n">
        <v>0.2457</v>
      </c>
      <c r="D1827" s="27" t="n">
        <v>1.1151</v>
      </c>
      <c r="E1827" s="27" t="s">
        <v>603</v>
      </c>
      <c r="F1827" s="27" t="s">
        <v>144</v>
      </c>
      <c r="G1827" s="32" t="n">
        <f aca="false">(A1827-A1826)*86400000</f>
        <v>16.000843</v>
      </c>
      <c r="H1827" s="3"/>
      <c r="I1827" s="3"/>
      <c r="J1827" s="3"/>
      <c r="K1827" s="3"/>
      <c r="L1827" s="3"/>
      <c r="M1827" s="3"/>
    </row>
    <row r="1828" customFormat="false" ht="15" hidden="false" customHeight="false" outlineLevel="0" collapsed="false">
      <c r="A1828" s="28" t="n">
        <v>46301.5243876736</v>
      </c>
      <c r="B1828" s="31" t="n">
        <f aca="false">(A1828-$A$5)*86400</f>
        <v>63.457000278</v>
      </c>
      <c r="C1828" s="27" t="n">
        <v>0.2482</v>
      </c>
      <c r="D1828" s="27" t="n">
        <v>1.1152</v>
      </c>
      <c r="E1828" s="27" t="s">
        <v>603</v>
      </c>
      <c r="F1828" s="27" t="s">
        <v>144</v>
      </c>
      <c r="G1828" s="32" t="n">
        <f aca="false">(A1828-A1827)*86400000</f>
        <v>15.000044</v>
      </c>
      <c r="H1828" s="3"/>
      <c r="I1828" s="3"/>
      <c r="J1828" s="3"/>
      <c r="K1828" s="3"/>
      <c r="L1828" s="3"/>
      <c r="M1828" s="3"/>
    </row>
    <row r="1829" customFormat="false" ht="15" hidden="false" customHeight="false" outlineLevel="0" collapsed="false">
      <c r="A1829" s="28" t="n">
        <v>46301.5243878588</v>
      </c>
      <c r="B1829" s="31" t="n">
        <f aca="false">(A1829-$A$5)*86400</f>
        <v>63.472999865</v>
      </c>
      <c r="C1829" s="27" t="n">
        <v>0.2503</v>
      </c>
      <c r="D1829" s="27" t="n">
        <v>1.1154</v>
      </c>
      <c r="E1829" s="27" t="s">
        <v>603</v>
      </c>
      <c r="F1829" s="27" t="s">
        <v>144</v>
      </c>
      <c r="G1829" s="32" t="n">
        <f aca="false">(A1829-A1828)*86400000</f>
        <v>15.999586</v>
      </c>
      <c r="H1829" s="3"/>
      <c r="I1829" s="3"/>
      <c r="J1829" s="3"/>
      <c r="K1829" s="3"/>
      <c r="L1829" s="3"/>
      <c r="M1829" s="3"/>
    </row>
    <row r="1830" customFormat="false" ht="15" hidden="false" customHeight="false" outlineLevel="0" collapsed="false">
      <c r="A1830" s="28" t="n">
        <v>46301.524388044</v>
      </c>
      <c r="B1830" s="31" t="n">
        <f aca="false">(A1830-$A$5)*86400</f>
        <v>63.48900008</v>
      </c>
      <c r="C1830" s="27" t="n">
        <v>0.252</v>
      </c>
      <c r="D1830" s="27" t="n">
        <v>1.1155</v>
      </c>
      <c r="E1830" s="27" t="s">
        <v>603</v>
      </c>
      <c r="F1830" s="27" t="s">
        <v>144</v>
      </c>
      <c r="G1830" s="32" t="n">
        <f aca="false">(A1830-A1829)*86400000</f>
        <v>16.000214</v>
      </c>
      <c r="H1830" s="3"/>
      <c r="I1830" s="3"/>
      <c r="J1830" s="3"/>
      <c r="K1830" s="3"/>
      <c r="L1830" s="3"/>
      <c r="M1830" s="3"/>
    </row>
    <row r="1831" customFormat="false" ht="15" hidden="false" customHeight="false" outlineLevel="0" collapsed="false">
      <c r="A1831" s="28" t="n">
        <v>46301.5243882407</v>
      </c>
      <c r="B1831" s="31" t="n">
        <f aca="false">(A1831-$A$5)*86400</f>
        <v>63.505999837</v>
      </c>
      <c r="C1831" s="27" t="n">
        <v>0.2534</v>
      </c>
      <c r="D1831" s="27" t="n">
        <v>1.1156</v>
      </c>
      <c r="E1831" s="27" t="s">
        <v>603</v>
      </c>
      <c r="F1831" s="27" t="s">
        <v>144</v>
      </c>
      <c r="G1831" s="32" t="n">
        <f aca="false">(A1831-A1830)*86400000</f>
        <v>16.999756</v>
      </c>
      <c r="H1831" s="3"/>
      <c r="I1831" s="3"/>
      <c r="J1831" s="3"/>
      <c r="K1831" s="3"/>
      <c r="L1831" s="3"/>
      <c r="M1831" s="3"/>
    </row>
    <row r="1832" customFormat="false" ht="15" hidden="false" customHeight="false" outlineLevel="0" collapsed="false">
      <c r="A1832" s="28" t="n">
        <v>46301.5243884144</v>
      </c>
      <c r="B1832" s="31" t="n">
        <f aca="false">(A1832-$A$5)*86400</f>
        <v>63.520999881</v>
      </c>
      <c r="C1832" s="27" t="n">
        <v>0.2545</v>
      </c>
      <c r="D1832" s="27" t="n">
        <v>1.1156</v>
      </c>
      <c r="E1832" s="27" t="s">
        <v>603</v>
      </c>
      <c r="F1832" s="27" t="s">
        <v>144</v>
      </c>
      <c r="G1832" s="32" t="n">
        <f aca="false">(A1832-A1831)*86400000</f>
        <v>15.000044</v>
      </c>
      <c r="H1832" s="3"/>
      <c r="I1832" s="3"/>
      <c r="J1832" s="3"/>
      <c r="K1832" s="3"/>
      <c r="L1832" s="3"/>
      <c r="M1832" s="3"/>
    </row>
    <row r="1833" customFormat="false" ht="15" hidden="false" customHeight="false" outlineLevel="0" collapsed="false">
      <c r="A1833" s="28" t="n">
        <v>46301.5243885995</v>
      </c>
      <c r="B1833" s="31" t="n">
        <f aca="false">(A1833-$A$5)*86400</f>
        <v>63.537000096</v>
      </c>
      <c r="C1833" s="27" t="n">
        <v>0.2555</v>
      </c>
      <c r="D1833" s="27" t="n">
        <v>1.1157</v>
      </c>
      <c r="E1833" s="27" t="s">
        <v>603</v>
      </c>
      <c r="F1833" s="27" t="s">
        <v>144</v>
      </c>
      <c r="G1833" s="32" t="n">
        <f aca="false">(A1833-A1832)*86400000</f>
        <v>16.000214</v>
      </c>
      <c r="H1833" s="3"/>
      <c r="I1833" s="3"/>
      <c r="J1833" s="3"/>
      <c r="K1833" s="3"/>
      <c r="L1833" s="3"/>
      <c r="M1833" s="3"/>
    </row>
    <row r="1834" customFormat="false" ht="15" hidden="false" customHeight="false" outlineLevel="0" collapsed="false">
      <c r="A1834" s="28" t="n">
        <v>46301.5243887847</v>
      </c>
      <c r="B1834" s="31" t="n">
        <f aca="false">(A1834-$A$5)*86400</f>
        <v>63.552999682</v>
      </c>
      <c r="C1834" s="27" t="n">
        <v>0.2563</v>
      </c>
      <c r="D1834" s="27" t="n">
        <v>1.1157</v>
      </c>
      <c r="E1834" s="27" t="s">
        <v>603</v>
      </c>
      <c r="F1834" s="27" t="s">
        <v>144</v>
      </c>
      <c r="G1834" s="32" t="n">
        <f aca="false">(A1834-A1833)*86400000</f>
        <v>15.999586</v>
      </c>
      <c r="H1834" s="3"/>
      <c r="I1834" s="3"/>
      <c r="J1834" s="3"/>
      <c r="K1834" s="3"/>
      <c r="L1834" s="3"/>
      <c r="M1834" s="3"/>
    </row>
    <row r="1835" customFormat="false" ht="15" hidden="false" customHeight="false" outlineLevel="0" collapsed="false">
      <c r="A1835" s="28" t="n">
        <v>46301.5243893634</v>
      </c>
      <c r="B1835" s="31" t="n">
        <f aca="false">(A1835-$A$5)*86400</f>
        <v>63.603000668</v>
      </c>
      <c r="C1835" s="27" t="n">
        <v>0.258</v>
      </c>
      <c r="D1835" s="27" t="n">
        <v>1.1158</v>
      </c>
      <c r="E1835" s="27" t="s">
        <v>603</v>
      </c>
      <c r="F1835" s="27" t="s">
        <v>144</v>
      </c>
      <c r="G1835" s="32" t="n">
        <f aca="false">(A1835-A1834)*86400000</f>
        <v>50.000986</v>
      </c>
      <c r="H1835" s="3"/>
      <c r="I1835" s="3"/>
      <c r="J1835" s="3"/>
      <c r="K1835" s="3"/>
      <c r="L1835" s="3"/>
      <c r="M1835" s="3"/>
    </row>
    <row r="1836" customFormat="false" ht="15" hidden="false" customHeight="false" outlineLevel="0" collapsed="false">
      <c r="A1836" s="28" t="n">
        <v>46301.5243897338</v>
      </c>
      <c r="B1836" s="31" t="n">
        <f aca="false">(A1836-$A$5)*86400</f>
        <v>63.634999841</v>
      </c>
      <c r="C1836" s="27" t="n">
        <v>0.26</v>
      </c>
      <c r="D1836" s="27" t="n">
        <v>1.116</v>
      </c>
      <c r="E1836" s="27" t="s">
        <v>603</v>
      </c>
      <c r="F1836" s="27" t="s">
        <v>144</v>
      </c>
      <c r="G1836" s="32" t="n">
        <f aca="false">(A1836-A1835)*86400000</f>
        <v>31.999172</v>
      </c>
      <c r="H1836" s="3"/>
      <c r="I1836" s="3"/>
      <c r="J1836" s="3"/>
      <c r="K1836" s="3"/>
      <c r="L1836" s="3"/>
      <c r="M1836" s="3"/>
    </row>
    <row r="1837" customFormat="false" ht="15" hidden="false" customHeight="false" outlineLevel="0" collapsed="false">
      <c r="A1837" s="28" t="n">
        <v>46301.5243903009</v>
      </c>
      <c r="B1837" s="31" t="n">
        <f aca="false">(A1837-$A$5)*86400</f>
        <v>63.684000656</v>
      </c>
      <c r="C1837" s="27" t="n">
        <v>0.2674</v>
      </c>
      <c r="D1837" s="27" t="n">
        <v>1.1137</v>
      </c>
      <c r="E1837" s="27" t="s">
        <v>603</v>
      </c>
      <c r="F1837" s="27" t="s">
        <v>144</v>
      </c>
      <c r="G1837" s="32" t="n">
        <f aca="false">(A1837-A1836)*86400000</f>
        <v>49.000815</v>
      </c>
      <c r="H1837" s="3"/>
      <c r="I1837" s="3"/>
      <c r="J1837" s="3"/>
      <c r="K1837" s="3"/>
      <c r="L1837" s="3"/>
      <c r="M1837" s="3"/>
    </row>
    <row r="1838" customFormat="false" ht="15" hidden="false" customHeight="false" outlineLevel="0" collapsed="false">
      <c r="A1838" s="28" t="n">
        <v>46301.5243904861</v>
      </c>
      <c r="B1838" s="31" t="n">
        <f aca="false">(A1838-$A$5)*86400</f>
        <v>63.700000243</v>
      </c>
      <c r="C1838" s="27" t="n">
        <v>0.2734</v>
      </c>
      <c r="D1838" s="27" t="n">
        <v>1.1117</v>
      </c>
      <c r="E1838" s="27" t="s">
        <v>603</v>
      </c>
      <c r="F1838" s="27" t="s">
        <v>144</v>
      </c>
      <c r="G1838" s="32" t="n">
        <f aca="false">(A1838-A1837)*86400000</f>
        <v>15.999586</v>
      </c>
      <c r="H1838" s="3"/>
      <c r="I1838" s="3"/>
      <c r="J1838" s="3"/>
      <c r="K1838" s="3"/>
      <c r="L1838" s="3"/>
      <c r="M1838" s="3"/>
    </row>
    <row r="1839" customFormat="false" ht="15" hidden="false" customHeight="false" outlineLevel="0" collapsed="false">
      <c r="A1839" s="28" t="n">
        <v>46301.5243906829</v>
      </c>
      <c r="B1839" s="31" t="n">
        <f aca="false">(A1839-$A$5)*86400</f>
        <v>63.717</v>
      </c>
      <c r="C1839" s="27" t="n">
        <v>0.2785</v>
      </c>
      <c r="D1839" s="27" t="n">
        <v>1.1101</v>
      </c>
      <c r="E1839" s="27" t="s">
        <v>603</v>
      </c>
      <c r="F1839" s="27" t="s">
        <v>144</v>
      </c>
      <c r="G1839" s="32" t="n">
        <f aca="false">(A1839-A1838)*86400000</f>
        <v>16.999756</v>
      </c>
      <c r="H1839" s="3"/>
      <c r="I1839" s="3"/>
      <c r="J1839" s="3"/>
      <c r="K1839" s="3"/>
      <c r="L1839" s="3"/>
      <c r="M1839" s="3"/>
    </row>
    <row r="1840" customFormat="false" ht="15" hidden="false" customHeight="false" outlineLevel="0" collapsed="false">
      <c r="A1840" s="28" t="n">
        <v>46301.5243908565</v>
      </c>
      <c r="B1840" s="31" t="n">
        <f aca="false">(A1840-$A$5)*86400</f>
        <v>63.732000044</v>
      </c>
      <c r="C1840" s="27" t="n">
        <v>0.2826</v>
      </c>
      <c r="D1840" s="27" t="n">
        <v>1.1088</v>
      </c>
      <c r="E1840" s="27" t="s">
        <v>603</v>
      </c>
      <c r="F1840" s="27" t="s">
        <v>144</v>
      </c>
      <c r="G1840" s="32" t="n">
        <f aca="false">(A1840-A1839)*86400000</f>
        <v>15.000044</v>
      </c>
      <c r="H1840" s="3"/>
      <c r="I1840" s="3"/>
      <c r="J1840" s="3"/>
      <c r="K1840" s="3"/>
      <c r="L1840" s="3"/>
      <c r="M1840" s="3"/>
    </row>
    <row r="1841" customFormat="false" ht="15" hidden="false" customHeight="false" outlineLevel="0" collapsed="false">
      <c r="A1841" s="28" t="n">
        <v>46301.5243910417</v>
      </c>
      <c r="B1841" s="31" t="n">
        <f aca="false">(A1841-$A$5)*86400</f>
        <v>63.748000259</v>
      </c>
      <c r="C1841" s="27" t="n">
        <v>0.286</v>
      </c>
      <c r="D1841" s="27" t="n">
        <v>1.1078</v>
      </c>
      <c r="E1841" s="27" t="s">
        <v>603</v>
      </c>
      <c r="F1841" s="27" t="s">
        <v>144</v>
      </c>
      <c r="G1841" s="32" t="n">
        <f aca="false">(A1841-A1840)*86400000</f>
        <v>16.000214</v>
      </c>
      <c r="H1841" s="3"/>
      <c r="I1841" s="3"/>
      <c r="J1841" s="3"/>
      <c r="K1841" s="3"/>
      <c r="L1841" s="3"/>
      <c r="M1841" s="3"/>
    </row>
    <row r="1842" customFormat="false" ht="15" hidden="false" customHeight="false" outlineLevel="0" collapsed="false">
      <c r="A1842" s="28" t="n">
        <v>46301.5243912269</v>
      </c>
      <c r="B1842" s="31" t="n">
        <f aca="false">(A1842-$A$5)*86400</f>
        <v>63.763999845</v>
      </c>
      <c r="C1842" s="27" t="n">
        <v>0.2889</v>
      </c>
      <c r="D1842" s="27" t="n">
        <v>1.1069</v>
      </c>
      <c r="E1842" s="27" t="s">
        <v>603</v>
      </c>
      <c r="F1842" s="27" t="s">
        <v>144</v>
      </c>
      <c r="G1842" s="32" t="n">
        <f aca="false">(A1842-A1841)*86400000</f>
        <v>15.999586</v>
      </c>
      <c r="H1842" s="3"/>
      <c r="I1842" s="3"/>
      <c r="J1842" s="3"/>
      <c r="K1842" s="3"/>
      <c r="L1842" s="3"/>
      <c r="M1842" s="3"/>
    </row>
    <row r="1843" customFormat="false" ht="15" hidden="false" customHeight="false" outlineLevel="0" collapsed="false">
      <c r="A1843" s="28" t="n">
        <v>46301.5243914236</v>
      </c>
      <c r="B1843" s="31" t="n">
        <f aca="false">(A1843-$A$5)*86400</f>
        <v>63.781000231</v>
      </c>
      <c r="C1843" s="27" t="n">
        <v>0.2912</v>
      </c>
      <c r="D1843" s="27" t="n">
        <v>1.1061</v>
      </c>
      <c r="E1843" s="27" t="s">
        <v>603</v>
      </c>
      <c r="F1843" s="27" t="s">
        <v>144</v>
      </c>
      <c r="G1843" s="32" t="n">
        <f aca="false">(A1843-A1842)*86400000</f>
        <v>17.000385</v>
      </c>
      <c r="H1843" s="3"/>
      <c r="I1843" s="3"/>
      <c r="J1843" s="3"/>
      <c r="K1843" s="3"/>
      <c r="L1843" s="3"/>
      <c r="M1843" s="3"/>
    </row>
    <row r="1844" customFormat="false" ht="15" hidden="false" customHeight="false" outlineLevel="0" collapsed="false">
      <c r="A1844" s="28" t="n">
        <v>46301.5243916088</v>
      </c>
      <c r="B1844" s="31" t="n">
        <f aca="false">(A1844-$A$5)*86400</f>
        <v>63.796999817</v>
      </c>
      <c r="C1844" s="27" t="n">
        <v>0.2931</v>
      </c>
      <c r="D1844" s="27" t="n">
        <v>1.1055</v>
      </c>
      <c r="E1844" s="27" t="s">
        <v>603</v>
      </c>
      <c r="F1844" s="27" t="s">
        <v>144</v>
      </c>
      <c r="G1844" s="32" t="n">
        <f aca="false">(A1844-A1843)*86400000</f>
        <v>15.999586</v>
      </c>
      <c r="H1844" s="3"/>
      <c r="I1844" s="3"/>
      <c r="J1844" s="3"/>
      <c r="K1844" s="3"/>
      <c r="L1844" s="3"/>
      <c r="M1844" s="3"/>
    </row>
    <row r="1845" customFormat="false" ht="15" hidden="false" customHeight="false" outlineLevel="0" collapsed="false">
      <c r="A1845" s="28" t="n">
        <v>46301.524391794</v>
      </c>
      <c r="B1845" s="31" t="n">
        <f aca="false">(A1845-$A$5)*86400</f>
        <v>63.813000032</v>
      </c>
      <c r="C1845" s="27" t="n">
        <v>0.2947</v>
      </c>
      <c r="D1845" s="27" t="n">
        <v>1.105</v>
      </c>
      <c r="E1845" s="27" t="s">
        <v>603</v>
      </c>
      <c r="F1845" s="27" t="s">
        <v>144</v>
      </c>
      <c r="G1845" s="32" t="n">
        <f aca="false">(A1845-A1844)*86400000</f>
        <v>16.000214</v>
      </c>
      <c r="H1845" s="3"/>
      <c r="I1845" s="3"/>
      <c r="J1845" s="3"/>
      <c r="K1845" s="3"/>
      <c r="L1845" s="3"/>
      <c r="M1845" s="3"/>
    </row>
    <row r="1846" customFormat="false" ht="15" hidden="false" customHeight="false" outlineLevel="0" collapsed="false">
      <c r="A1846" s="28" t="n">
        <v>46301.5243921644</v>
      </c>
      <c r="B1846" s="31" t="n">
        <f aca="false">(A1846-$A$5)*86400</f>
        <v>63.844999833</v>
      </c>
      <c r="C1846" s="27" t="n">
        <v>0.2971</v>
      </c>
      <c r="D1846" s="27" t="n">
        <v>1.1043</v>
      </c>
      <c r="E1846" s="27" t="s">
        <v>603</v>
      </c>
      <c r="F1846" s="27" t="s">
        <v>144</v>
      </c>
      <c r="G1846" s="32" t="n">
        <f aca="false">(A1846-A1845)*86400000</f>
        <v>31.999801</v>
      </c>
      <c r="H1846" s="3"/>
      <c r="I1846" s="3"/>
      <c r="J1846" s="3"/>
      <c r="K1846" s="3"/>
      <c r="L1846" s="3"/>
      <c r="M1846" s="3"/>
    </row>
    <row r="1847" customFormat="false" ht="15" hidden="false" customHeight="false" outlineLevel="0" collapsed="false">
      <c r="A1847" s="28" t="n">
        <v>46301.524392338</v>
      </c>
      <c r="B1847" s="31" t="n">
        <f aca="false">(A1847-$A$5)*86400</f>
        <v>63.859999878</v>
      </c>
      <c r="C1847" s="27" t="n">
        <v>0.298</v>
      </c>
      <c r="D1847" s="27" t="n">
        <v>1.104</v>
      </c>
      <c r="E1847" s="27" t="s">
        <v>603</v>
      </c>
      <c r="F1847" s="27" t="s">
        <v>144</v>
      </c>
      <c r="G1847" s="32" t="n">
        <f aca="false">(A1847-A1846)*86400000</f>
        <v>15.000044</v>
      </c>
      <c r="H1847" s="3"/>
      <c r="I1847" s="3"/>
      <c r="J1847" s="3"/>
      <c r="K1847" s="3"/>
      <c r="L1847" s="3"/>
      <c r="M1847" s="3"/>
    </row>
    <row r="1848" customFormat="false" ht="15" hidden="false" customHeight="false" outlineLevel="0" collapsed="false">
      <c r="A1848" s="28" t="n">
        <v>46301.5243929167</v>
      </c>
      <c r="B1848" s="31" t="n">
        <f aca="false">(A1848-$A$5)*86400</f>
        <v>63.910000235</v>
      </c>
      <c r="C1848" s="27" t="n">
        <v>0.2999</v>
      </c>
      <c r="D1848" s="27" t="n">
        <v>1.1034</v>
      </c>
      <c r="E1848" s="27" t="s">
        <v>603</v>
      </c>
      <c r="F1848" s="27" t="s">
        <v>144</v>
      </c>
      <c r="G1848" s="32" t="n">
        <f aca="false">(A1848-A1847)*86400000</f>
        <v>50.000357</v>
      </c>
      <c r="H1848" s="3"/>
      <c r="I1848" s="3"/>
      <c r="J1848" s="3"/>
      <c r="K1848" s="3"/>
      <c r="L1848" s="3"/>
      <c r="M1848" s="3"/>
    </row>
    <row r="1849" customFormat="false" ht="15" hidden="false" customHeight="false" outlineLevel="0" collapsed="false">
      <c r="A1849" s="28" t="n">
        <v>46301.5243934607</v>
      </c>
      <c r="B1849" s="31" t="n">
        <f aca="false">(A1849-$A$5)*86400</f>
        <v>63.957000081</v>
      </c>
      <c r="C1849" s="27" t="n">
        <v>0.3022</v>
      </c>
      <c r="D1849" s="27" t="n">
        <v>1.1027</v>
      </c>
      <c r="E1849" s="27" t="s">
        <v>603</v>
      </c>
      <c r="F1849" s="27" t="s">
        <v>144</v>
      </c>
      <c r="G1849" s="32" t="n">
        <f aca="false">(A1849-A1848)*86400000</f>
        <v>46.999845</v>
      </c>
      <c r="H1849" s="3"/>
      <c r="I1849" s="3"/>
      <c r="J1849" s="3"/>
      <c r="K1849" s="3"/>
      <c r="L1849" s="3"/>
      <c r="M1849" s="3"/>
    </row>
    <row r="1850" customFormat="false" ht="15" hidden="false" customHeight="false" outlineLevel="0" collapsed="false">
      <c r="A1850" s="28" t="n">
        <v>46301.5243943866</v>
      </c>
      <c r="B1850" s="31" t="n">
        <f aca="false">(A1850-$A$5)*86400</f>
        <v>64.036999898</v>
      </c>
      <c r="C1850" s="27" t="n">
        <v>0.3015</v>
      </c>
      <c r="D1850" s="27" t="n">
        <v>1.1101</v>
      </c>
      <c r="E1850" s="27" t="s">
        <v>603</v>
      </c>
      <c r="F1850" s="27" t="s">
        <v>144</v>
      </c>
      <c r="G1850" s="32" t="n">
        <f aca="false">(A1850-A1849)*86400000</f>
        <v>79.999817</v>
      </c>
      <c r="H1850" s="3"/>
      <c r="I1850" s="3"/>
      <c r="J1850" s="3"/>
      <c r="K1850" s="3"/>
      <c r="L1850" s="3"/>
      <c r="M1850" s="3"/>
    </row>
    <row r="1851" customFormat="false" ht="15" hidden="false" customHeight="false" outlineLevel="0" collapsed="false">
      <c r="A1851" s="28" t="n">
        <v>46301.5243945718</v>
      </c>
      <c r="B1851" s="31" t="n">
        <f aca="false">(A1851-$A$5)*86400</f>
        <v>64.053000113</v>
      </c>
      <c r="C1851" s="27" t="n">
        <v>0.3009</v>
      </c>
      <c r="D1851" s="27" t="n">
        <v>1.1162</v>
      </c>
      <c r="E1851" s="27" t="s">
        <v>603</v>
      </c>
      <c r="F1851" s="27" t="s">
        <v>144</v>
      </c>
      <c r="G1851" s="32" t="n">
        <f aca="false">(A1851-A1850)*86400000</f>
        <v>16.000214</v>
      </c>
      <c r="H1851" s="3"/>
      <c r="I1851" s="3"/>
      <c r="J1851" s="3"/>
      <c r="K1851" s="3"/>
      <c r="L1851" s="3"/>
      <c r="M1851" s="3"/>
    </row>
    <row r="1852" customFormat="false" ht="15" hidden="false" customHeight="false" outlineLevel="0" collapsed="false">
      <c r="A1852" s="28" t="n">
        <v>46301.524394757</v>
      </c>
      <c r="B1852" s="31" t="n">
        <f aca="false">(A1852-$A$5)*86400</f>
        <v>64.069000328</v>
      </c>
      <c r="C1852" s="27" t="n">
        <v>0.3004</v>
      </c>
      <c r="D1852" s="27" t="n">
        <v>1.1213</v>
      </c>
      <c r="E1852" s="27" t="s">
        <v>603</v>
      </c>
      <c r="F1852" s="27" t="s">
        <v>144</v>
      </c>
      <c r="G1852" s="32" t="n">
        <f aca="false">(A1852-A1851)*86400000</f>
        <v>16.000214</v>
      </c>
      <c r="H1852" s="3"/>
      <c r="I1852" s="3"/>
      <c r="J1852" s="3"/>
      <c r="K1852" s="3"/>
      <c r="L1852" s="3"/>
      <c r="M1852" s="3"/>
    </row>
    <row r="1853" customFormat="false" ht="15" hidden="false" customHeight="false" outlineLevel="0" collapsed="false">
      <c r="A1853" s="28" t="n">
        <v>46301.5243949421</v>
      </c>
      <c r="B1853" s="31" t="n">
        <f aca="false">(A1853-$A$5)*86400</f>
        <v>64.084999915</v>
      </c>
      <c r="C1853" s="27" t="n">
        <v>0.2999</v>
      </c>
      <c r="D1853" s="27" t="n">
        <v>1.1254</v>
      </c>
      <c r="E1853" s="27" t="s">
        <v>603</v>
      </c>
      <c r="F1853" s="27" t="s">
        <v>144</v>
      </c>
      <c r="G1853" s="32" t="n">
        <f aca="false">(A1853-A1852)*86400000</f>
        <v>15.999586</v>
      </c>
      <c r="H1853" s="3"/>
      <c r="I1853" s="3"/>
      <c r="J1853" s="3"/>
      <c r="K1853" s="3"/>
      <c r="L1853" s="3"/>
      <c r="M1853" s="3"/>
    </row>
    <row r="1854" customFormat="false" ht="15" hidden="false" customHeight="false" outlineLevel="0" collapsed="false">
      <c r="A1854" s="28" t="n">
        <v>46301.5243951273</v>
      </c>
      <c r="B1854" s="31" t="n">
        <f aca="false">(A1854-$A$5)*86400</f>
        <v>64.101000758</v>
      </c>
      <c r="C1854" s="27" t="n">
        <v>0.2996</v>
      </c>
      <c r="D1854" s="27" t="n">
        <v>1.1289</v>
      </c>
      <c r="E1854" s="27" t="s">
        <v>603</v>
      </c>
      <c r="F1854" s="27" t="s">
        <v>144</v>
      </c>
      <c r="G1854" s="32" t="n">
        <f aca="false">(A1854-A1853)*86400000</f>
        <v>16.000843</v>
      </c>
      <c r="H1854" s="3"/>
      <c r="I1854" s="3"/>
      <c r="J1854" s="3"/>
      <c r="K1854" s="3"/>
      <c r="L1854" s="3"/>
      <c r="M1854" s="3"/>
    </row>
    <row r="1855" customFormat="false" ht="15" hidden="false" customHeight="false" outlineLevel="0" collapsed="false">
      <c r="A1855" s="28" t="n">
        <v>46301.5243953125</v>
      </c>
      <c r="B1855" s="31" t="n">
        <f aca="false">(A1855-$A$5)*86400</f>
        <v>64.117000345</v>
      </c>
      <c r="C1855" s="27" t="n">
        <v>0.2993</v>
      </c>
      <c r="D1855" s="27" t="n">
        <v>1.1317</v>
      </c>
      <c r="E1855" s="27" t="s">
        <v>603</v>
      </c>
      <c r="F1855" s="27" t="s">
        <v>144</v>
      </c>
      <c r="G1855" s="32" t="n">
        <f aca="false">(A1855-A1854)*86400000</f>
        <v>15.999586</v>
      </c>
      <c r="H1855" s="3"/>
      <c r="I1855" s="3"/>
      <c r="J1855" s="3"/>
      <c r="K1855" s="3"/>
      <c r="L1855" s="3"/>
      <c r="M1855" s="3"/>
    </row>
    <row r="1856" customFormat="false" ht="15" hidden="false" customHeight="false" outlineLevel="0" collapsed="false">
      <c r="A1856" s="28" t="n">
        <v>46301.5243954977</v>
      </c>
      <c r="B1856" s="31" t="n">
        <f aca="false">(A1856-$A$5)*86400</f>
        <v>64.132999931</v>
      </c>
      <c r="C1856" s="27" t="n">
        <v>0.2991</v>
      </c>
      <c r="D1856" s="27" t="n">
        <v>1.134</v>
      </c>
      <c r="E1856" s="27" t="s">
        <v>603</v>
      </c>
      <c r="F1856" s="27" t="s">
        <v>144</v>
      </c>
      <c r="G1856" s="32" t="n">
        <f aca="false">(A1856-A1855)*86400000</f>
        <v>15.999586</v>
      </c>
      <c r="H1856" s="3"/>
      <c r="I1856" s="3"/>
      <c r="J1856" s="3"/>
      <c r="K1856" s="3"/>
      <c r="L1856" s="3"/>
      <c r="M1856" s="3"/>
    </row>
    <row r="1857" customFormat="false" ht="15" hidden="false" customHeight="false" outlineLevel="0" collapsed="false">
      <c r="A1857" s="28" t="n">
        <v>46301.5243956829</v>
      </c>
      <c r="B1857" s="31" t="n">
        <f aca="false">(A1857-$A$5)*86400</f>
        <v>64.149000146</v>
      </c>
      <c r="C1857" s="27" t="n">
        <v>0.3368</v>
      </c>
      <c r="D1857" s="27" t="n">
        <v>1.1868</v>
      </c>
      <c r="E1857" s="27" t="s">
        <v>603</v>
      </c>
      <c r="F1857" s="27" t="s">
        <v>144</v>
      </c>
      <c r="G1857" s="32" t="n">
        <f aca="false">(A1857-A1856)*86400000</f>
        <v>16.000214</v>
      </c>
      <c r="H1857" s="3"/>
      <c r="I1857" s="3"/>
      <c r="J1857" s="3"/>
      <c r="K1857" s="3"/>
      <c r="L1857" s="3"/>
      <c r="M1857" s="3"/>
    </row>
    <row r="1858" customFormat="false" ht="15" hidden="false" customHeight="false" outlineLevel="0" collapsed="false">
      <c r="A1858" s="28" t="n">
        <v>46301.5243958796</v>
      </c>
      <c r="B1858" s="31" t="n">
        <f aca="false">(A1858-$A$5)*86400</f>
        <v>64.165999903</v>
      </c>
      <c r="C1858" s="27" t="n">
        <v>0.3679</v>
      </c>
      <c r="D1858" s="27" t="n">
        <v>1.2303</v>
      </c>
      <c r="E1858" s="27" t="s">
        <v>603</v>
      </c>
      <c r="F1858" s="27" t="s">
        <v>144</v>
      </c>
      <c r="G1858" s="32" t="n">
        <f aca="false">(A1858-A1857)*86400000</f>
        <v>16.999756</v>
      </c>
      <c r="H1858" s="3"/>
      <c r="I1858" s="3"/>
      <c r="J1858" s="3"/>
      <c r="K1858" s="3"/>
      <c r="L1858" s="3"/>
      <c r="M1858" s="3"/>
    </row>
    <row r="1859" customFormat="false" ht="15" hidden="false" customHeight="false" outlineLevel="0" collapsed="false">
      <c r="A1859" s="28" t="n">
        <v>46301.5243960648</v>
      </c>
      <c r="B1859" s="31" t="n">
        <f aca="false">(A1859-$A$5)*86400</f>
        <v>64.181999489</v>
      </c>
      <c r="C1859" s="27" t="n">
        <v>0.3935</v>
      </c>
      <c r="D1859" s="27" t="n">
        <v>1.2663</v>
      </c>
      <c r="E1859" s="27" t="s">
        <v>603</v>
      </c>
      <c r="F1859" s="27" t="s">
        <v>144</v>
      </c>
      <c r="G1859" s="32" t="n">
        <f aca="false">(A1859-A1858)*86400000</f>
        <v>15.999586</v>
      </c>
      <c r="H1859" s="3"/>
      <c r="I1859" s="3"/>
      <c r="J1859" s="3"/>
      <c r="K1859" s="3"/>
      <c r="L1859" s="3"/>
      <c r="M1859" s="3"/>
    </row>
    <row r="1860" customFormat="false" ht="15" hidden="false" customHeight="false" outlineLevel="0" collapsed="false">
      <c r="A1860" s="28" t="n">
        <v>46301.52439625</v>
      </c>
      <c r="B1860" s="31" t="n">
        <f aca="false">(A1860-$A$5)*86400</f>
        <v>64.198000333</v>
      </c>
      <c r="C1860" s="27" t="n">
        <v>0.4147</v>
      </c>
      <c r="D1860" s="27" t="n">
        <v>1.2959</v>
      </c>
      <c r="E1860" s="27" t="s">
        <v>603</v>
      </c>
      <c r="F1860" s="27" t="s">
        <v>144</v>
      </c>
      <c r="G1860" s="32" t="n">
        <f aca="false">(A1860-A1859)*86400000</f>
        <v>16.000843</v>
      </c>
      <c r="H1860" s="3"/>
      <c r="I1860" s="3"/>
      <c r="J1860" s="3"/>
      <c r="K1860" s="3"/>
      <c r="L1860" s="3"/>
      <c r="M1860" s="3"/>
    </row>
    <row r="1861" customFormat="false" ht="15" hidden="false" customHeight="false" outlineLevel="0" collapsed="false">
      <c r="A1861" s="28" t="n">
        <v>46301.5243964352</v>
      </c>
      <c r="B1861" s="31" t="n">
        <f aca="false">(A1861-$A$5)*86400</f>
        <v>64.213999919</v>
      </c>
      <c r="C1861" s="27" t="n">
        <v>0.4322</v>
      </c>
      <c r="D1861" s="27" t="n">
        <v>1.3204</v>
      </c>
      <c r="E1861" s="27" t="s">
        <v>603</v>
      </c>
      <c r="F1861" s="27" t="s">
        <v>144</v>
      </c>
      <c r="G1861" s="32" t="n">
        <f aca="false">(A1861-A1860)*86400000</f>
        <v>15.999586</v>
      </c>
      <c r="H1861" s="3"/>
      <c r="I1861" s="3"/>
      <c r="J1861" s="3"/>
      <c r="K1861" s="3"/>
      <c r="L1861" s="3"/>
      <c r="M1861" s="3"/>
    </row>
    <row r="1862" customFormat="false" ht="15" hidden="false" customHeight="false" outlineLevel="0" collapsed="false">
      <c r="A1862" s="28" t="n">
        <v>46301.5243966204</v>
      </c>
      <c r="B1862" s="31" t="n">
        <f aca="false">(A1862-$A$5)*86400</f>
        <v>64.230000134</v>
      </c>
      <c r="C1862" s="27" t="n">
        <v>0.4466</v>
      </c>
      <c r="D1862" s="27" t="n">
        <v>1.3406</v>
      </c>
      <c r="E1862" s="27" t="s">
        <v>603</v>
      </c>
      <c r="F1862" s="27" t="s">
        <v>144</v>
      </c>
      <c r="G1862" s="32" t="n">
        <f aca="false">(A1862-A1861)*86400000</f>
        <v>16.000214</v>
      </c>
      <c r="H1862" s="3"/>
      <c r="I1862" s="3"/>
      <c r="J1862" s="3"/>
      <c r="K1862" s="3"/>
      <c r="L1862" s="3"/>
      <c r="M1862" s="3"/>
    </row>
    <row r="1863" customFormat="false" ht="15" hidden="false" customHeight="false" outlineLevel="0" collapsed="false">
      <c r="A1863" s="28" t="n">
        <v>46301.5243968056</v>
      </c>
      <c r="B1863" s="31" t="n">
        <f aca="false">(A1863-$A$5)*86400</f>
        <v>64.246000349</v>
      </c>
      <c r="C1863" s="27" t="n">
        <v>0.4585</v>
      </c>
      <c r="D1863" s="27" t="n">
        <v>1.3573</v>
      </c>
      <c r="E1863" s="27" t="s">
        <v>603</v>
      </c>
      <c r="F1863" s="27" t="s">
        <v>144</v>
      </c>
      <c r="G1863" s="32" t="n">
        <f aca="false">(A1863-A1862)*86400000</f>
        <v>16.000214</v>
      </c>
      <c r="H1863" s="3"/>
      <c r="I1863" s="3"/>
      <c r="J1863" s="3"/>
      <c r="K1863" s="3"/>
      <c r="L1863" s="3"/>
      <c r="M1863" s="3"/>
    </row>
    <row r="1864" customFormat="false" ht="15" hidden="false" customHeight="false" outlineLevel="0" collapsed="false">
      <c r="A1864" s="28" t="n">
        <v>46301.5243969907</v>
      </c>
      <c r="B1864" s="31" t="n">
        <f aca="false">(A1864-$A$5)*86400</f>
        <v>64.261999935</v>
      </c>
      <c r="C1864" s="27" t="n">
        <v>0.486</v>
      </c>
      <c r="D1864" s="27" t="n">
        <v>1.3914</v>
      </c>
      <c r="E1864" s="27" t="s">
        <v>603</v>
      </c>
      <c r="F1864" s="27" t="s">
        <v>144</v>
      </c>
      <c r="G1864" s="32" t="n">
        <f aca="false">(A1864-A1863)*86400000</f>
        <v>15.999586</v>
      </c>
      <c r="H1864" s="3"/>
      <c r="I1864" s="3"/>
      <c r="J1864" s="3"/>
      <c r="K1864" s="3"/>
      <c r="L1864" s="3"/>
      <c r="M1864" s="3"/>
    </row>
    <row r="1865" customFormat="false" ht="15" hidden="false" customHeight="false" outlineLevel="0" collapsed="false">
      <c r="A1865" s="28" t="n">
        <v>46301.5243971759</v>
      </c>
      <c r="B1865" s="31" t="n">
        <f aca="false">(A1865-$A$5)*86400</f>
        <v>64.27800015</v>
      </c>
      <c r="C1865" s="27" t="n">
        <v>0.5099</v>
      </c>
      <c r="D1865" s="27" t="n">
        <v>1.4211</v>
      </c>
      <c r="E1865" s="27" t="s">
        <v>603</v>
      </c>
      <c r="F1865" s="27" t="s">
        <v>144</v>
      </c>
      <c r="G1865" s="32" t="n">
        <f aca="false">(A1865-A1864)*86400000</f>
        <v>16.000214</v>
      </c>
      <c r="H1865" s="3"/>
      <c r="I1865" s="3"/>
      <c r="J1865" s="3"/>
      <c r="K1865" s="3"/>
      <c r="L1865" s="3"/>
      <c r="M1865" s="3"/>
    </row>
    <row r="1866" customFormat="false" ht="15" hidden="false" customHeight="false" outlineLevel="0" collapsed="false">
      <c r="A1866" s="28" t="n">
        <v>46301.5243973611</v>
      </c>
      <c r="B1866" s="31" t="n">
        <f aca="false">(A1866-$A$5)*86400</f>
        <v>64.293999737</v>
      </c>
      <c r="C1866" s="27" t="n">
        <v>0.5284</v>
      </c>
      <c r="D1866" s="27" t="n">
        <v>1.4441</v>
      </c>
      <c r="E1866" s="27" t="s">
        <v>603</v>
      </c>
      <c r="F1866" s="27" t="s">
        <v>144</v>
      </c>
      <c r="G1866" s="32" t="n">
        <f aca="false">(A1866-A1865)*86400000</f>
        <v>15.999586</v>
      </c>
      <c r="H1866" s="3"/>
      <c r="I1866" s="3"/>
      <c r="J1866" s="3"/>
      <c r="K1866" s="3"/>
      <c r="L1866" s="3"/>
      <c r="M1866" s="3"/>
    </row>
    <row r="1867" customFormat="false" ht="15" hidden="false" customHeight="false" outlineLevel="0" collapsed="false">
      <c r="A1867" s="28" t="n">
        <v>46301.5243975579</v>
      </c>
      <c r="B1867" s="31" t="n">
        <f aca="false">(A1867-$A$5)*86400</f>
        <v>64.311000122</v>
      </c>
      <c r="C1867" s="27" t="n">
        <v>0.5437</v>
      </c>
      <c r="D1867" s="27" t="n">
        <v>1.463</v>
      </c>
      <c r="E1867" s="27" t="s">
        <v>603</v>
      </c>
      <c r="F1867" s="27" t="s">
        <v>144</v>
      </c>
      <c r="G1867" s="32" t="n">
        <f aca="false">(A1867-A1866)*86400000</f>
        <v>17.000385</v>
      </c>
      <c r="H1867" s="3"/>
      <c r="I1867" s="3"/>
      <c r="J1867" s="3"/>
      <c r="K1867" s="3"/>
      <c r="L1867" s="3"/>
      <c r="M1867" s="3"/>
    </row>
    <row r="1868" customFormat="false" ht="15" hidden="false" customHeight="false" outlineLevel="0" collapsed="false">
      <c r="A1868" s="28" t="n">
        <v>46301.5243977431</v>
      </c>
      <c r="B1868" s="31" t="n">
        <f aca="false">(A1868-$A$5)*86400</f>
        <v>64.327000337</v>
      </c>
      <c r="C1868" s="27" t="n">
        <v>0.5563</v>
      </c>
      <c r="D1868" s="27" t="n">
        <v>1.4787</v>
      </c>
      <c r="E1868" s="27" t="s">
        <v>603</v>
      </c>
      <c r="F1868" s="27" t="s">
        <v>144</v>
      </c>
      <c r="G1868" s="32" t="n">
        <f aca="false">(A1868-A1867)*86400000</f>
        <v>16.000214</v>
      </c>
      <c r="H1868" s="3"/>
      <c r="I1868" s="3"/>
      <c r="J1868" s="3"/>
      <c r="K1868" s="3"/>
      <c r="L1868" s="3"/>
      <c r="M1868" s="3"/>
    </row>
    <row r="1869" customFormat="false" ht="15" hidden="false" customHeight="false" outlineLevel="0" collapsed="false">
      <c r="A1869" s="28" t="n">
        <v>46301.5243979282</v>
      </c>
      <c r="B1869" s="31" t="n">
        <f aca="false">(A1869-$A$5)*86400</f>
        <v>64.342999923</v>
      </c>
      <c r="C1869" s="27" t="n">
        <v>0.5666</v>
      </c>
      <c r="D1869" s="27" t="n">
        <v>1.4916</v>
      </c>
      <c r="E1869" s="27" t="s">
        <v>603</v>
      </c>
      <c r="F1869" s="27" t="s">
        <v>144</v>
      </c>
      <c r="G1869" s="32" t="n">
        <f aca="false">(A1869-A1868)*86400000</f>
        <v>15.999586</v>
      </c>
      <c r="H1869" s="3"/>
      <c r="I1869" s="3"/>
      <c r="J1869" s="3"/>
      <c r="K1869" s="3"/>
      <c r="L1869" s="3"/>
      <c r="M1869" s="3"/>
    </row>
    <row r="1870" customFormat="false" ht="15" hidden="false" customHeight="false" outlineLevel="0" collapsed="false">
      <c r="A1870" s="28" t="n">
        <v>46301.5243981134</v>
      </c>
      <c r="B1870" s="31" t="n">
        <f aca="false">(A1870-$A$5)*86400</f>
        <v>64.359000767</v>
      </c>
      <c r="C1870" s="27" t="n">
        <v>0.5784</v>
      </c>
      <c r="D1870" s="27" t="n">
        <v>1.5114</v>
      </c>
      <c r="E1870" s="27" t="s">
        <v>603</v>
      </c>
      <c r="F1870" s="27" t="s">
        <v>144</v>
      </c>
      <c r="G1870" s="32" t="n">
        <f aca="false">(A1870-A1869)*86400000</f>
        <v>16.000843</v>
      </c>
      <c r="H1870" s="3"/>
      <c r="I1870" s="3"/>
      <c r="J1870" s="3"/>
      <c r="K1870" s="3"/>
      <c r="L1870" s="3"/>
      <c r="M1870" s="3"/>
    </row>
    <row r="1871" customFormat="false" ht="15" hidden="false" customHeight="false" outlineLevel="0" collapsed="false">
      <c r="A1871" s="28" t="n">
        <v>46301.524398287</v>
      </c>
      <c r="B1871" s="31" t="n">
        <f aca="false">(A1871-$A$5)*86400</f>
        <v>64.374000183</v>
      </c>
      <c r="C1871" s="27" t="n">
        <v>0.5881</v>
      </c>
      <c r="D1871" s="27" t="n">
        <v>1.5278</v>
      </c>
      <c r="E1871" s="27" t="s">
        <v>603</v>
      </c>
      <c r="F1871" s="27" t="s">
        <v>144</v>
      </c>
      <c r="G1871" s="32" t="n">
        <f aca="false">(A1871-A1870)*86400000</f>
        <v>14.999415</v>
      </c>
      <c r="H1871" s="3"/>
      <c r="I1871" s="3"/>
      <c r="J1871" s="3"/>
      <c r="K1871" s="3"/>
      <c r="L1871" s="3"/>
      <c r="M1871" s="3"/>
    </row>
    <row r="1872" customFormat="false" ht="15" hidden="false" customHeight="false" outlineLevel="0" collapsed="false">
      <c r="A1872" s="28" t="n">
        <v>46301.5243984722</v>
      </c>
      <c r="B1872" s="31" t="n">
        <f aca="false">(A1872-$A$5)*86400</f>
        <v>64.390001026</v>
      </c>
      <c r="C1872" s="27" t="n">
        <v>0.596</v>
      </c>
      <c r="D1872" s="27" t="n">
        <v>1.5413</v>
      </c>
      <c r="E1872" s="27" t="s">
        <v>603</v>
      </c>
      <c r="F1872" s="27" t="s">
        <v>144</v>
      </c>
      <c r="G1872" s="32" t="n">
        <f aca="false">(A1872-A1871)*86400000</f>
        <v>16.000843</v>
      </c>
      <c r="H1872" s="3"/>
      <c r="I1872" s="3"/>
      <c r="J1872" s="3"/>
      <c r="K1872" s="3"/>
      <c r="L1872" s="3"/>
      <c r="M1872" s="3"/>
    </row>
    <row r="1873" customFormat="false" ht="15" hidden="false" customHeight="false" outlineLevel="0" collapsed="false">
      <c r="A1873" s="28" t="n">
        <v>46301.5243986574</v>
      </c>
      <c r="B1873" s="31" t="n">
        <f aca="false">(A1873-$A$5)*86400</f>
        <v>64.406000613</v>
      </c>
      <c r="C1873" s="27" t="n">
        <v>0.6026</v>
      </c>
      <c r="D1873" s="27" t="n">
        <v>1.5524</v>
      </c>
      <c r="E1873" s="27" t="s">
        <v>603</v>
      </c>
      <c r="F1873" s="27" t="s">
        <v>144</v>
      </c>
      <c r="G1873" s="32" t="n">
        <f aca="false">(A1873-A1872)*86400000</f>
        <v>15.999586</v>
      </c>
      <c r="H1873" s="3"/>
      <c r="I1873" s="3"/>
      <c r="J1873" s="3"/>
      <c r="K1873" s="3"/>
      <c r="L1873" s="3"/>
      <c r="M1873" s="3"/>
    </row>
    <row r="1874" customFormat="false" ht="15" hidden="false" customHeight="false" outlineLevel="0" collapsed="false">
      <c r="A1874" s="28" t="n">
        <v>46301.5243988542</v>
      </c>
      <c r="B1874" s="31" t="n">
        <f aca="false">(A1874-$A$5)*86400</f>
        <v>64.42300037</v>
      </c>
      <c r="C1874" s="27" t="n">
        <v>0.6084</v>
      </c>
      <c r="D1874" s="27" t="n">
        <v>1.5621</v>
      </c>
      <c r="E1874" s="27" t="s">
        <v>603</v>
      </c>
      <c r="F1874" s="27" t="s">
        <v>144</v>
      </c>
      <c r="G1874" s="32" t="n">
        <f aca="false">(A1874-A1873)*86400000</f>
        <v>16.999756</v>
      </c>
      <c r="H1874" s="3"/>
      <c r="I1874" s="3"/>
      <c r="J1874" s="3"/>
      <c r="K1874" s="3"/>
      <c r="L1874" s="3"/>
      <c r="M1874" s="3"/>
    </row>
    <row r="1875" customFormat="false" ht="15" hidden="false" customHeight="false" outlineLevel="0" collapsed="false">
      <c r="A1875" s="28" t="n">
        <v>46301.5243990509</v>
      </c>
      <c r="B1875" s="31" t="n">
        <f aca="false">(A1875-$A$5)*86400</f>
        <v>64.440000755</v>
      </c>
      <c r="C1875" s="27" t="n">
        <v>0.6128</v>
      </c>
      <c r="D1875" s="27" t="n">
        <v>1.5696</v>
      </c>
      <c r="E1875" s="27" t="s">
        <v>603</v>
      </c>
      <c r="F1875" s="27" t="s">
        <v>144</v>
      </c>
      <c r="G1875" s="32" t="n">
        <f aca="false">(A1875-A1874)*86400000</f>
        <v>17.000385</v>
      </c>
      <c r="H1875" s="3"/>
      <c r="I1875" s="3"/>
      <c r="J1875" s="3"/>
      <c r="K1875" s="3"/>
      <c r="L1875" s="3"/>
      <c r="M1875" s="3"/>
    </row>
    <row r="1876" customFormat="false" ht="15" hidden="false" customHeight="false" outlineLevel="0" collapsed="false">
      <c r="A1876" s="28" t="n">
        <v>46301.5243992361</v>
      </c>
      <c r="B1876" s="31" t="n">
        <f aca="false">(A1876-$A$5)*86400</f>
        <v>64.455999713</v>
      </c>
      <c r="C1876" s="27" t="n">
        <v>0.6165</v>
      </c>
      <c r="D1876" s="27" t="n">
        <v>1.5758</v>
      </c>
      <c r="E1876" s="27" t="s">
        <v>603</v>
      </c>
      <c r="F1876" s="27" t="s">
        <v>144</v>
      </c>
      <c r="G1876" s="32" t="n">
        <f aca="false">(A1876-A1875)*86400000</f>
        <v>15.998957</v>
      </c>
      <c r="H1876" s="3"/>
      <c r="I1876" s="3"/>
      <c r="J1876" s="3"/>
      <c r="K1876" s="3"/>
      <c r="L1876" s="3"/>
      <c r="M1876" s="3"/>
    </row>
    <row r="1877" customFormat="false" ht="15" hidden="false" customHeight="false" outlineLevel="0" collapsed="false">
      <c r="A1877" s="28" t="n">
        <v>46301.5243994213</v>
      </c>
      <c r="B1877" s="31" t="n">
        <f aca="false">(A1877-$A$5)*86400</f>
        <v>64.471999299</v>
      </c>
      <c r="C1877" s="27" t="n">
        <v>0.6195</v>
      </c>
      <c r="D1877" s="27" t="n">
        <v>1.5809</v>
      </c>
      <c r="E1877" s="27" t="s">
        <v>603</v>
      </c>
      <c r="F1877" s="27" t="s">
        <v>144</v>
      </c>
      <c r="G1877" s="32" t="n">
        <f aca="false">(A1877-A1876)*86400000</f>
        <v>15.999586</v>
      </c>
      <c r="H1877" s="3"/>
      <c r="I1877" s="3"/>
      <c r="J1877" s="3"/>
      <c r="K1877" s="3"/>
      <c r="L1877" s="3"/>
      <c r="M1877" s="3"/>
    </row>
    <row r="1878" customFormat="false" ht="15" hidden="false" customHeight="false" outlineLevel="0" collapsed="false">
      <c r="A1878" s="28" t="n">
        <v>46301.5243996065</v>
      </c>
      <c r="B1878" s="31" t="n">
        <f aca="false">(A1878-$A$5)*86400</f>
        <v>64.488000143</v>
      </c>
      <c r="C1878" s="27" t="n">
        <v>0.6221</v>
      </c>
      <c r="D1878" s="27" t="n">
        <v>1.5854</v>
      </c>
      <c r="E1878" s="27" t="s">
        <v>603</v>
      </c>
      <c r="F1878" s="27" t="s">
        <v>144</v>
      </c>
      <c r="G1878" s="32" t="n">
        <f aca="false">(A1878-A1877)*86400000</f>
        <v>16.000843</v>
      </c>
      <c r="H1878" s="3"/>
      <c r="I1878" s="3"/>
      <c r="J1878" s="3"/>
      <c r="K1878" s="3"/>
      <c r="L1878" s="3"/>
      <c r="M1878" s="3"/>
    </row>
    <row r="1879" customFormat="false" ht="15" hidden="false" customHeight="false" outlineLevel="0" collapsed="false">
      <c r="A1879" s="28" t="n">
        <v>46301.5243998032</v>
      </c>
      <c r="B1879" s="31" t="n">
        <f aca="false">(A1879-$A$5)*86400</f>
        <v>64.5049999</v>
      </c>
      <c r="C1879" s="27" t="n">
        <v>0.6243</v>
      </c>
      <c r="D1879" s="27" t="n">
        <v>1.589</v>
      </c>
      <c r="E1879" s="27" t="s">
        <v>603</v>
      </c>
      <c r="F1879" s="27" t="s">
        <v>144</v>
      </c>
      <c r="G1879" s="32" t="n">
        <f aca="false">(A1879-A1878)*86400000</f>
        <v>16.999756</v>
      </c>
      <c r="H1879" s="3"/>
      <c r="I1879" s="3"/>
      <c r="J1879" s="3"/>
      <c r="K1879" s="3"/>
      <c r="L1879" s="3"/>
      <c r="M1879" s="3"/>
    </row>
    <row r="1880" customFormat="false" ht="15" hidden="false" customHeight="false" outlineLevel="0" collapsed="false">
      <c r="A1880" s="28" t="n">
        <v>46301.5243999884</v>
      </c>
      <c r="B1880" s="31" t="n">
        <f aca="false">(A1880-$A$5)*86400</f>
        <v>64.521000743</v>
      </c>
      <c r="C1880" s="27" t="n">
        <v>0.6259</v>
      </c>
      <c r="D1880" s="27" t="n">
        <v>1.5918</v>
      </c>
      <c r="E1880" s="27" t="s">
        <v>603</v>
      </c>
      <c r="F1880" s="27" t="s">
        <v>144</v>
      </c>
      <c r="G1880" s="32" t="n">
        <f aca="false">(A1880-A1879)*86400000</f>
        <v>16.000843</v>
      </c>
      <c r="H1880" s="3"/>
      <c r="I1880" s="3"/>
      <c r="J1880" s="3"/>
      <c r="K1880" s="3"/>
      <c r="L1880" s="3"/>
      <c r="M1880" s="3"/>
    </row>
    <row r="1881" customFormat="false" ht="15" hidden="false" customHeight="false" outlineLevel="0" collapsed="false">
      <c r="A1881" s="28" t="n">
        <v>46301.5244001736</v>
      </c>
      <c r="B1881" s="31" t="n">
        <f aca="false">(A1881-$A$5)*86400</f>
        <v>64.536999701</v>
      </c>
      <c r="C1881" s="27" t="n">
        <v>0.6273</v>
      </c>
      <c r="D1881" s="27" t="n">
        <v>1.5941</v>
      </c>
      <c r="E1881" s="27" t="s">
        <v>603</v>
      </c>
      <c r="F1881" s="27" t="s">
        <v>144</v>
      </c>
      <c r="G1881" s="32" t="n">
        <f aca="false">(A1881-A1880)*86400000</f>
        <v>15.998957</v>
      </c>
      <c r="H1881" s="3"/>
      <c r="I1881" s="3"/>
      <c r="J1881" s="3"/>
      <c r="K1881" s="3"/>
      <c r="L1881" s="3"/>
      <c r="M1881" s="3"/>
    </row>
    <row r="1882" customFormat="false" ht="15" hidden="false" customHeight="false" outlineLevel="0" collapsed="false">
      <c r="A1882" s="28" t="n">
        <v>46301.5244003588</v>
      </c>
      <c r="B1882" s="31" t="n">
        <f aca="false">(A1882-$A$5)*86400</f>
        <v>64.552999287</v>
      </c>
      <c r="C1882" s="27" t="n">
        <v>0.6284</v>
      </c>
      <c r="D1882" s="27" t="n">
        <v>1.5961</v>
      </c>
      <c r="E1882" s="27" t="s">
        <v>603</v>
      </c>
      <c r="F1882" s="27" t="s">
        <v>144</v>
      </c>
      <c r="G1882" s="32" t="n">
        <f aca="false">(A1882-A1881)*86400000</f>
        <v>15.999586</v>
      </c>
      <c r="H1882" s="3"/>
      <c r="I1882" s="3"/>
      <c r="J1882" s="3"/>
      <c r="K1882" s="3"/>
      <c r="L1882" s="3"/>
      <c r="M1882" s="3"/>
    </row>
    <row r="1883" customFormat="false" ht="15" hidden="false" customHeight="false" outlineLevel="0" collapsed="false">
      <c r="A1883" s="28" t="n">
        <v>46301.524400544</v>
      </c>
      <c r="B1883" s="31" t="n">
        <f aca="false">(A1883-$A$5)*86400</f>
        <v>64.569000131</v>
      </c>
      <c r="C1883" s="27" t="n">
        <v>0.6294</v>
      </c>
      <c r="D1883" s="27" t="n">
        <v>1.5976</v>
      </c>
      <c r="E1883" s="27" t="s">
        <v>603</v>
      </c>
      <c r="F1883" s="27" t="s">
        <v>144</v>
      </c>
      <c r="G1883" s="32" t="n">
        <f aca="false">(A1883-A1882)*86400000</f>
        <v>16.000843</v>
      </c>
      <c r="H1883" s="3"/>
      <c r="I1883" s="3"/>
      <c r="J1883" s="3"/>
      <c r="K1883" s="3"/>
      <c r="L1883" s="3"/>
      <c r="M1883" s="3"/>
    </row>
    <row r="1884" customFormat="false" ht="15" hidden="false" customHeight="false" outlineLevel="0" collapsed="false">
      <c r="A1884" s="28" t="n">
        <v>46301.5244007407</v>
      </c>
      <c r="B1884" s="31" t="n">
        <f aca="false">(A1884-$A$5)*86400</f>
        <v>64.585999888</v>
      </c>
      <c r="C1884" s="27" t="n">
        <v>0.6302</v>
      </c>
      <c r="D1884" s="27" t="n">
        <v>1.5991</v>
      </c>
      <c r="E1884" s="27" t="s">
        <v>603</v>
      </c>
      <c r="F1884" s="27" t="s">
        <v>144</v>
      </c>
      <c r="G1884" s="32" t="n">
        <f aca="false">(A1884-A1883)*86400000</f>
        <v>16.999756</v>
      </c>
      <c r="H1884" s="3"/>
      <c r="I1884" s="3"/>
      <c r="J1884" s="3"/>
      <c r="K1884" s="3"/>
      <c r="L1884" s="3"/>
      <c r="M1884" s="3"/>
    </row>
    <row r="1885" customFormat="false" ht="15" hidden="false" customHeight="false" outlineLevel="0" collapsed="false">
      <c r="A1885" s="28" t="n">
        <v>46301.5244010995</v>
      </c>
      <c r="B1885" s="31" t="n">
        <f aca="false">(A1885-$A$5)*86400</f>
        <v>64.617000147</v>
      </c>
      <c r="C1885" s="27" t="n">
        <v>0.6313</v>
      </c>
      <c r="D1885" s="27" t="n">
        <v>1.6009</v>
      </c>
      <c r="E1885" s="27" t="s">
        <v>603</v>
      </c>
      <c r="F1885" s="27" t="s">
        <v>144</v>
      </c>
      <c r="G1885" s="32" t="n">
        <f aca="false">(A1885-A1884)*86400000</f>
        <v>31.000259</v>
      </c>
      <c r="H1885" s="3"/>
      <c r="I1885" s="3"/>
      <c r="J1885" s="3"/>
      <c r="K1885" s="3"/>
      <c r="L1885" s="3"/>
      <c r="M1885" s="3"/>
    </row>
    <row r="1886" customFormat="false" ht="15" hidden="false" customHeight="false" outlineLevel="0" collapsed="false">
      <c r="A1886" s="28" t="n">
        <v>46301.5244012963</v>
      </c>
      <c r="B1886" s="31" t="n">
        <f aca="false">(A1886-$A$5)*86400</f>
        <v>64.633999275</v>
      </c>
      <c r="C1886" s="27" t="n">
        <v>0.6318</v>
      </c>
      <c r="D1886" s="27" t="n">
        <v>1.6017</v>
      </c>
      <c r="E1886" s="27" t="s">
        <v>603</v>
      </c>
      <c r="F1886" s="27" t="s">
        <v>144</v>
      </c>
      <c r="G1886" s="32" t="n">
        <f aca="false">(A1886-A1885)*86400000</f>
        <v>16.999128</v>
      </c>
      <c r="H1886" s="3"/>
      <c r="I1886" s="3"/>
      <c r="J1886" s="3"/>
      <c r="K1886" s="3"/>
      <c r="L1886" s="3"/>
      <c r="M1886" s="3"/>
    </row>
    <row r="1887" customFormat="false" ht="15" hidden="false" customHeight="false" outlineLevel="0" collapsed="false">
      <c r="A1887" s="28" t="n">
        <v>46301.5244018403</v>
      </c>
      <c r="B1887" s="31" t="n">
        <f aca="false">(A1887-$A$5)*86400</f>
        <v>64.681000378</v>
      </c>
      <c r="C1887" s="27" t="n">
        <v>0.6326</v>
      </c>
      <c r="D1887" s="27" t="n">
        <v>1.6032</v>
      </c>
      <c r="E1887" s="27" t="s">
        <v>603</v>
      </c>
      <c r="F1887" s="27" t="s">
        <v>144</v>
      </c>
      <c r="G1887" s="32" t="n">
        <f aca="false">(A1887-A1886)*86400000</f>
        <v>47.001102</v>
      </c>
      <c r="H1887" s="3"/>
      <c r="I1887" s="3"/>
      <c r="J1887" s="3"/>
      <c r="K1887" s="3"/>
      <c r="L1887" s="3"/>
      <c r="M1887" s="3"/>
    </row>
    <row r="1888" customFormat="false" ht="15" hidden="false" customHeight="false" outlineLevel="0" collapsed="false">
      <c r="A1888" s="28" t="n">
        <v>46301.5244022107</v>
      </c>
      <c r="B1888" s="31" t="n">
        <f aca="false">(A1888-$A$5)*86400</f>
        <v>64.71300018</v>
      </c>
      <c r="C1888" s="27" t="n">
        <v>0.6338</v>
      </c>
      <c r="D1888" s="27" t="n">
        <v>1.6051</v>
      </c>
      <c r="E1888" s="27" t="s">
        <v>603</v>
      </c>
      <c r="F1888" s="27" t="s">
        <v>144</v>
      </c>
      <c r="G1888" s="32" t="n">
        <f aca="false">(A1888-A1887)*86400000</f>
        <v>31.999801</v>
      </c>
      <c r="H1888" s="3"/>
      <c r="I1888" s="3"/>
      <c r="J1888" s="3"/>
      <c r="K1888" s="3"/>
      <c r="L1888" s="3"/>
      <c r="M1888" s="3"/>
    </row>
    <row r="1889" customFormat="false" ht="15" hidden="false" customHeight="false" outlineLevel="0" collapsed="false">
      <c r="A1889" s="28" t="n">
        <v>46301.5244098495</v>
      </c>
      <c r="B1889" s="31" t="n">
        <f aca="false">(A1889-$A$5)*86400</f>
        <v>65.373000246</v>
      </c>
      <c r="C1889" s="27" t="n">
        <v>0.7344</v>
      </c>
      <c r="D1889" s="27" t="n">
        <v>1.6262</v>
      </c>
      <c r="E1889" s="27" t="s">
        <v>603</v>
      </c>
      <c r="F1889" s="27" t="s">
        <v>144</v>
      </c>
      <c r="G1889" s="32" t="n">
        <f aca="false">(A1889-A1888)*86400000</f>
        <v>660.000066</v>
      </c>
      <c r="H1889" s="3"/>
      <c r="I1889" s="3"/>
      <c r="J1889" s="3"/>
      <c r="K1889" s="3"/>
      <c r="L1889" s="3"/>
      <c r="M1889" s="3"/>
    </row>
    <row r="1890" customFormat="false" ht="15" hidden="false" customHeight="false" outlineLevel="0" collapsed="false">
      <c r="A1890" s="28" t="n">
        <v>46301.5244100463</v>
      </c>
      <c r="B1890" s="31" t="n">
        <f aca="false">(A1890-$A$5)*86400</f>
        <v>65.390000632</v>
      </c>
      <c r="C1890" s="27" t="n">
        <v>0.8121</v>
      </c>
      <c r="D1890" s="27" t="n">
        <v>1.6425</v>
      </c>
      <c r="E1890" s="27" t="s">
        <v>603</v>
      </c>
      <c r="F1890" s="27" t="s">
        <v>144</v>
      </c>
      <c r="G1890" s="32" t="n">
        <f aca="false">(A1890-A1889)*86400000</f>
        <v>17.000385</v>
      </c>
      <c r="H1890" s="3"/>
      <c r="I1890" s="3"/>
      <c r="J1890" s="3"/>
      <c r="K1890" s="3"/>
      <c r="L1890" s="3"/>
      <c r="M1890" s="3"/>
    </row>
    <row r="1891" customFormat="false" ht="15" hidden="false" customHeight="false" outlineLevel="0" collapsed="false">
      <c r="A1891" s="28" t="n">
        <v>46301.5244102315</v>
      </c>
      <c r="B1891" s="31" t="n">
        <f aca="false">(A1891-$A$5)*86400</f>
        <v>65.406000218</v>
      </c>
      <c r="C1891" s="27" t="n">
        <v>0.8762</v>
      </c>
      <c r="D1891" s="27" t="n">
        <v>1.6559</v>
      </c>
      <c r="E1891" s="27" t="s">
        <v>603</v>
      </c>
      <c r="F1891" s="27" t="s">
        <v>144</v>
      </c>
      <c r="G1891" s="32" t="n">
        <f aca="false">(A1891-A1890)*86400000</f>
        <v>15.999586</v>
      </c>
      <c r="H1891" s="3"/>
      <c r="I1891" s="3"/>
      <c r="J1891" s="3"/>
      <c r="K1891" s="3"/>
      <c r="L1891" s="3"/>
      <c r="M1891" s="3"/>
    </row>
    <row r="1892" customFormat="false" ht="15" hidden="false" customHeight="false" outlineLevel="0" collapsed="false">
      <c r="A1892" s="28" t="n">
        <v>46301.5244104051</v>
      </c>
      <c r="B1892" s="31" t="n">
        <f aca="false">(A1892-$A$5)*86400</f>
        <v>65.420999634</v>
      </c>
      <c r="C1892" s="27" t="n">
        <v>0.9291</v>
      </c>
      <c r="D1892" s="27" t="n">
        <v>1.667</v>
      </c>
      <c r="E1892" s="27" t="s">
        <v>603</v>
      </c>
      <c r="F1892" s="27" t="s">
        <v>144</v>
      </c>
      <c r="G1892" s="32" t="n">
        <f aca="false">(A1892-A1891)*86400000</f>
        <v>14.999415</v>
      </c>
      <c r="H1892" s="3"/>
      <c r="I1892" s="3"/>
      <c r="J1892" s="3"/>
      <c r="K1892" s="3"/>
      <c r="L1892" s="3"/>
      <c r="M1892" s="3"/>
    </row>
    <row r="1893" customFormat="false" ht="15" hidden="false" customHeight="false" outlineLevel="0" collapsed="false">
      <c r="A1893" s="28" t="n">
        <v>46301.5244105903</v>
      </c>
      <c r="B1893" s="31" t="n">
        <f aca="false">(A1893-$A$5)*86400</f>
        <v>65.43699922</v>
      </c>
      <c r="C1893" s="27" t="n">
        <v>0.9728</v>
      </c>
      <c r="D1893" s="27" t="n">
        <v>1.6762</v>
      </c>
      <c r="E1893" s="27" t="s">
        <v>603</v>
      </c>
      <c r="F1893" s="27" t="s">
        <v>144</v>
      </c>
      <c r="G1893" s="32" t="n">
        <f aca="false">(A1893-A1892)*86400000</f>
        <v>15.999586</v>
      </c>
      <c r="H1893" s="3"/>
      <c r="I1893" s="3"/>
      <c r="J1893" s="3"/>
      <c r="K1893" s="3"/>
      <c r="L1893" s="3"/>
      <c r="M1893" s="3"/>
    </row>
    <row r="1894" customFormat="false" ht="15" hidden="false" customHeight="false" outlineLevel="0" collapsed="false">
      <c r="A1894" s="28" t="n">
        <v>46301.5244107755</v>
      </c>
      <c r="B1894" s="31" t="n">
        <f aca="false">(A1894-$A$5)*86400</f>
        <v>65.453000064</v>
      </c>
      <c r="C1894" s="27" t="n">
        <v>1.0088</v>
      </c>
      <c r="D1894" s="27" t="n">
        <v>1.6838</v>
      </c>
      <c r="E1894" s="27" t="s">
        <v>603</v>
      </c>
      <c r="F1894" s="27" t="s">
        <v>144</v>
      </c>
      <c r="G1894" s="32" t="n">
        <f aca="false">(A1894-A1893)*86400000</f>
        <v>16.000843</v>
      </c>
      <c r="H1894" s="3"/>
      <c r="I1894" s="3"/>
      <c r="J1894" s="3"/>
      <c r="K1894" s="3"/>
      <c r="L1894" s="3"/>
      <c r="M1894" s="3"/>
    </row>
    <row r="1895" customFormat="false" ht="15" hidden="false" customHeight="false" outlineLevel="0" collapsed="false">
      <c r="A1895" s="28" t="n">
        <v>46301.5244109722</v>
      </c>
      <c r="B1895" s="31" t="n">
        <f aca="false">(A1895-$A$5)*86400</f>
        <v>65.46999982</v>
      </c>
      <c r="C1895" s="27" t="n">
        <v>1.0386</v>
      </c>
      <c r="D1895" s="27" t="n">
        <v>1.69</v>
      </c>
      <c r="E1895" s="27" t="s">
        <v>603</v>
      </c>
      <c r="F1895" s="27" t="s">
        <v>144</v>
      </c>
      <c r="G1895" s="32" t="n">
        <f aca="false">(A1895-A1894)*86400000</f>
        <v>16.999756</v>
      </c>
      <c r="H1895" s="3"/>
      <c r="I1895" s="3"/>
      <c r="J1895" s="3"/>
      <c r="K1895" s="3"/>
      <c r="L1895" s="3"/>
      <c r="M1895" s="3"/>
    </row>
    <row r="1896" customFormat="false" ht="15" hidden="false" customHeight="false" outlineLevel="0" collapsed="false">
      <c r="A1896" s="28" t="n">
        <v>46301.5244111574</v>
      </c>
      <c r="B1896" s="31" t="n">
        <f aca="false">(A1896-$A$5)*86400</f>
        <v>65.486000035</v>
      </c>
      <c r="C1896" s="27" t="n">
        <v>1.0816</v>
      </c>
      <c r="D1896" s="27" t="n">
        <v>1.6986</v>
      </c>
      <c r="E1896" s="27" t="s">
        <v>603</v>
      </c>
      <c r="F1896" s="27" t="s">
        <v>144</v>
      </c>
      <c r="G1896" s="32" t="n">
        <f aca="false">(A1896-A1895)*86400000</f>
        <v>16.000214</v>
      </c>
      <c r="H1896" s="3"/>
      <c r="I1896" s="3"/>
      <c r="J1896" s="3"/>
      <c r="K1896" s="3"/>
      <c r="L1896" s="3"/>
      <c r="M1896" s="3"/>
    </row>
    <row r="1897" customFormat="false" ht="15" hidden="false" customHeight="false" outlineLevel="0" collapsed="false">
      <c r="A1897" s="28" t="n">
        <v>46301.524411331</v>
      </c>
      <c r="B1897" s="31" t="n">
        <f aca="false">(A1897-$A$5)*86400</f>
        <v>65.50100008</v>
      </c>
      <c r="C1897" s="27" t="n">
        <v>1.1171</v>
      </c>
      <c r="D1897" s="27" t="n">
        <v>1.7057</v>
      </c>
      <c r="E1897" s="27" t="s">
        <v>603</v>
      </c>
      <c r="F1897" s="27" t="s">
        <v>144</v>
      </c>
      <c r="G1897" s="32" t="n">
        <f aca="false">(A1897-A1896)*86400000</f>
        <v>15.000044</v>
      </c>
      <c r="H1897" s="3"/>
      <c r="I1897" s="3"/>
      <c r="J1897" s="3"/>
      <c r="K1897" s="3"/>
      <c r="L1897" s="3"/>
      <c r="M1897" s="3"/>
    </row>
    <row r="1898" customFormat="false" ht="15" hidden="false" customHeight="false" outlineLevel="0" collapsed="false">
      <c r="A1898" s="28" t="n">
        <v>46301.5244115162</v>
      </c>
      <c r="B1898" s="31" t="n">
        <f aca="false">(A1898-$A$5)*86400</f>
        <v>65.517000923</v>
      </c>
      <c r="C1898" s="27" t="n">
        <v>1.1464</v>
      </c>
      <c r="D1898" s="27" t="n">
        <v>1.7115</v>
      </c>
      <c r="E1898" s="27" t="s">
        <v>603</v>
      </c>
      <c r="F1898" s="27" t="s">
        <v>144</v>
      </c>
      <c r="G1898" s="32" t="n">
        <f aca="false">(A1898-A1897)*86400000</f>
        <v>16.000843</v>
      </c>
      <c r="H1898" s="3"/>
      <c r="I1898" s="3"/>
      <c r="J1898" s="3"/>
      <c r="K1898" s="3"/>
      <c r="L1898" s="3"/>
      <c r="M1898" s="3"/>
    </row>
    <row r="1899" customFormat="false" ht="15" hidden="false" customHeight="false" outlineLevel="0" collapsed="false">
      <c r="A1899" s="28" t="n">
        <v>46301.524411713</v>
      </c>
      <c r="B1899" s="31" t="n">
        <f aca="false">(A1899-$A$5)*86400</f>
        <v>65.534000052</v>
      </c>
      <c r="C1899" s="27" t="n">
        <v>1.1705</v>
      </c>
      <c r="D1899" s="27" t="n">
        <v>1.7163</v>
      </c>
      <c r="E1899" s="27" t="s">
        <v>603</v>
      </c>
      <c r="F1899" s="27" t="s">
        <v>144</v>
      </c>
      <c r="G1899" s="32" t="n">
        <f aca="false">(A1899-A1898)*86400000</f>
        <v>16.999128</v>
      </c>
      <c r="H1899" s="3"/>
      <c r="I1899" s="3"/>
      <c r="J1899" s="3"/>
      <c r="K1899" s="3"/>
      <c r="L1899" s="3"/>
      <c r="M1899" s="3"/>
    </row>
    <row r="1900" customFormat="false" ht="15" hidden="false" customHeight="false" outlineLevel="0" collapsed="false">
      <c r="A1900" s="28" t="n">
        <v>46301.5244118982</v>
      </c>
      <c r="B1900" s="31" t="n">
        <f aca="false">(A1900-$A$5)*86400</f>
        <v>65.550000267</v>
      </c>
      <c r="C1900" s="27" t="n">
        <v>1.1905</v>
      </c>
      <c r="D1900" s="27" t="n">
        <v>1.7203</v>
      </c>
      <c r="E1900" s="27" t="s">
        <v>603</v>
      </c>
      <c r="F1900" s="27" t="s">
        <v>144</v>
      </c>
      <c r="G1900" s="32" t="n">
        <f aca="false">(A1900-A1899)*86400000</f>
        <v>16.000214</v>
      </c>
      <c r="H1900" s="3"/>
      <c r="I1900" s="3"/>
      <c r="J1900" s="3"/>
      <c r="K1900" s="3"/>
      <c r="L1900" s="3"/>
      <c r="M1900" s="3"/>
    </row>
    <row r="1901" customFormat="false" ht="15" hidden="false" customHeight="false" outlineLevel="0" collapsed="false">
      <c r="A1901" s="28" t="n">
        <v>46301.5244120833</v>
      </c>
      <c r="B1901" s="31" t="n">
        <f aca="false">(A1901-$A$5)*86400</f>
        <v>65.565999853</v>
      </c>
      <c r="C1901" s="27" t="n">
        <v>1.207</v>
      </c>
      <c r="D1901" s="27" t="n">
        <v>1.7236</v>
      </c>
      <c r="E1901" s="27" t="s">
        <v>603</v>
      </c>
      <c r="F1901" s="27" t="s">
        <v>144</v>
      </c>
      <c r="G1901" s="32" t="n">
        <f aca="false">(A1901-A1900)*86400000</f>
        <v>15.999586</v>
      </c>
      <c r="H1901" s="3"/>
      <c r="I1901" s="3"/>
      <c r="J1901" s="3"/>
      <c r="K1901" s="3"/>
      <c r="L1901" s="3"/>
      <c r="M1901" s="3"/>
    </row>
    <row r="1902" customFormat="false" ht="15" hidden="false" customHeight="false" outlineLevel="0" collapsed="false">
      <c r="A1902" s="28" t="n">
        <v>46301.5244122685</v>
      </c>
      <c r="B1902" s="31" t="n">
        <f aca="false">(A1902-$A$5)*86400</f>
        <v>65.582000068</v>
      </c>
      <c r="C1902" s="27" t="n">
        <v>1.2213</v>
      </c>
      <c r="D1902" s="27" t="n">
        <v>1.7264</v>
      </c>
      <c r="E1902" s="27" t="s">
        <v>603</v>
      </c>
      <c r="F1902" s="27" t="s">
        <v>144</v>
      </c>
      <c r="G1902" s="32" t="n">
        <f aca="false">(A1902-A1901)*86400000</f>
        <v>16.000214</v>
      </c>
      <c r="H1902" s="3"/>
      <c r="I1902" s="3"/>
      <c r="J1902" s="3"/>
      <c r="K1902" s="3"/>
      <c r="L1902" s="3"/>
      <c r="M1902" s="3"/>
    </row>
    <row r="1903" customFormat="false" ht="15" hidden="false" customHeight="false" outlineLevel="0" collapsed="false">
      <c r="A1903" s="28" t="n">
        <v>46301.5244124537</v>
      </c>
      <c r="B1903" s="31" t="n">
        <f aca="false">(A1903-$A$5)*86400</f>
        <v>65.598000911</v>
      </c>
      <c r="C1903" s="27" t="n">
        <v>1.2324</v>
      </c>
      <c r="D1903" s="27" t="n">
        <v>1.7287</v>
      </c>
      <c r="E1903" s="27" t="s">
        <v>603</v>
      </c>
      <c r="F1903" s="27" t="s">
        <v>144</v>
      </c>
      <c r="G1903" s="32" t="n">
        <f aca="false">(A1903-A1902)*86400000</f>
        <v>16.000843</v>
      </c>
      <c r="H1903" s="3"/>
      <c r="I1903" s="3"/>
      <c r="J1903" s="3"/>
      <c r="K1903" s="3"/>
      <c r="L1903" s="3"/>
      <c r="M1903" s="3"/>
    </row>
    <row r="1904" customFormat="false" ht="15" hidden="false" customHeight="false" outlineLevel="0" collapsed="false">
      <c r="A1904" s="28" t="n">
        <v>46301.5244126273</v>
      </c>
      <c r="B1904" s="31" t="n">
        <f aca="false">(A1904-$A$5)*86400</f>
        <v>65.613000327</v>
      </c>
      <c r="C1904" s="27" t="n">
        <v>1.2415</v>
      </c>
      <c r="D1904" s="27" t="n">
        <v>1.7305</v>
      </c>
      <c r="E1904" s="27" t="s">
        <v>603</v>
      </c>
      <c r="F1904" s="27" t="s">
        <v>144</v>
      </c>
      <c r="G1904" s="32" t="n">
        <f aca="false">(A1904-A1903)*86400000</f>
        <v>14.999415</v>
      </c>
      <c r="H1904" s="3"/>
      <c r="I1904" s="3"/>
      <c r="J1904" s="3"/>
      <c r="K1904" s="3"/>
      <c r="L1904" s="3"/>
      <c r="M1904" s="3"/>
    </row>
    <row r="1905" customFormat="false" ht="15" hidden="false" customHeight="false" outlineLevel="0" collapsed="false">
      <c r="A1905" s="28" t="n">
        <v>46301.5244128125</v>
      </c>
      <c r="B1905" s="31" t="n">
        <f aca="false">(A1905-$A$5)*86400</f>
        <v>65.628999914</v>
      </c>
      <c r="C1905" s="27" t="n">
        <v>1.2491</v>
      </c>
      <c r="D1905" s="27" t="n">
        <v>1.732</v>
      </c>
      <c r="E1905" s="27" t="s">
        <v>603</v>
      </c>
      <c r="F1905" s="27" t="s">
        <v>144</v>
      </c>
      <c r="G1905" s="32" t="n">
        <f aca="false">(A1905-A1904)*86400000</f>
        <v>15.999586</v>
      </c>
      <c r="H1905" s="3"/>
      <c r="I1905" s="3"/>
      <c r="J1905" s="3"/>
      <c r="K1905" s="3"/>
      <c r="L1905" s="3"/>
      <c r="M1905" s="3"/>
    </row>
    <row r="1906" customFormat="false" ht="15" hidden="false" customHeight="false" outlineLevel="0" collapsed="false">
      <c r="A1906" s="28" t="n">
        <v>46301.5244129977</v>
      </c>
      <c r="B1906" s="31" t="n">
        <f aca="false">(A1906-$A$5)*86400</f>
        <v>65.645000757</v>
      </c>
      <c r="C1906" s="27" t="n">
        <v>1.2553</v>
      </c>
      <c r="D1906" s="27" t="n">
        <v>1.7332</v>
      </c>
      <c r="E1906" s="27" t="s">
        <v>603</v>
      </c>
      <c r="F1906" s="27" t="s">
        <v>144</v>
      </c>
      <c r="G1906" s="32" t="n">
        <f aca="false">(A1906-A1905)*86400000</f>
        <v>16.000843</v>
      </c>
      <c r="H1906" s="3"/>
      <c r="I1906" s="3"/>
      <c r="J1906" s="3"/>
      <c r="K1906" s="3"/>
      <c r="L1906" s="3"/>
      <c r="M1906" s="3"/>
    </row>
    <row r="1907" customFormat="false" ht="15" hidden="false" customHeight="false" outlineLevel="0" collapsed="false">
      <c r="A1907" s="28" t="n">
        <v>46301.5244131829</v>
      </c>
      <c r="B1907" s="31" t="n">
        <f aca="false">(A1907-$A$5)*86400</f>
        <v>65.661000343</v>
      </c>
      <c r="C1907" s="27" t="n">
        <v>1.2605</v>
      </c>
      <c r="D1907" s="27" t="n">
        <v>1.7342</v>
      </c>
      <c r="E1907" s="27" t="s">
        <v>603</v>
      </c>
      <c r="F1907" s="27" t="s">
        <v>144</v>
      </c>
      <c r="G1907" s="32" t="n">
        <f aca="false">(A1907-A1906)*86400000</f>
        <v>15.999586</v>
      </c>
      <c r="H1907" s="3"/>
      <c r="I1907" s="3"/>
      <c r="J1907" s="3"/>
      <c r="K1907" s="3"/>
      <c r="L1907" s="3"/>
      <c r="M1907" s="3"/>
    </row>
    <row r="1908" customFormat="false" ht="15" hidden="false" customHeight="false" outlineLevel="0" collapsed="false">
      <c r="A1908" s="28" t="n">
        <v>46301.5244133796</v>
      </c>
      <c r="B1908" s="31" t="n">
        <f aca="false">(A1908-$A$5)*86400</f>
        <v>65.6780001</v>
      </c>
      <c r="C1908" s="27" t="n">
        <v>1.265</v>
      </c>
      <c r="D1908" s="27" t="n">
        <v>1.7351</v>
      </c>
      <c r="E1908" s="27" t="s">
        <v>603</v>
      </c>
      <c r="F1908" s="27" t="s">
        <v>144</v>
      </c>
      <c r="G1908" s="32" t="n">
        <f aca="false">(A1908-A1907)*86400000</f>
        <v>16.999756</v>
      </c>
      <c r="H1908" s="3"/>
      <c r="I1908" s="3"/>
      <c r="J1908" s="3"/>
      <c r="K1908" s="3"/>
      <c r="L1908" s="3"/>
      <c r="M1908" s="3"/>
    </row>
    <row r="1909" customFormat="false" ht="15" hidden="false" customHeight="false" outlineLevel="0" collapsed="false">
      <c r="A1909" s="28" t="n">
        <v>46301.5244135764</v>
      </c>
      <c r="B1909" s="31" t="n">
        <f aca="false">(A1909-$A$5)*86400</f>
        <v>65.695000486</v>
      </c>
      <c r="C1909" s="27" t="n">
        <v>1.2684</v>
      </c>
      <c r="D1909" s="27" t="n">
        <v>1.7358</v>
      </c>
      <c r="E1909" s="27" t="s">
        <v>603</v>
      </c>
      <c r="F1909" s="27" t="s">
        <v>144</v>
      </c>
      <c r="G1909" s="32" t="n">
        <f aca="false">(A1909-A1908)*86400000</f>
        <v>17.000385</v>
      </c>
      <c r="H1909" s="3"/>
      <c r="I1909" s="3"/>
      <c r="J1909" s="3"/>
      <c r="K1909" s="3"/>
      <c r="L1909" s="3"/>
      <c r="M1909" s="3"/>
    </row>
    <row r="1910" customFormat="false" ht="15" hidden="false" customHeight="false" outlineLevel="0" collapsed="false">
      <c r="A1910" s="28" t="n">
        <v>46301.52441375</v>
      </c>
      <c r="B1910" s="31" t="n">
        <f aca="false">(A1910-$A$5)*86400</f>
        <v>65.709999902</v>
      </c>
      <c r="C1910" s="27" t="n">
        <v>1.2713</v>
      </c>
      <c r="D1910" s="27" t="n">
        <v>1.7364</v>
      </c>
      <c r="E1910" s="27" t="s">
        <v>603</v>
      </c>
      <c r="F1910" s="27" t="s">
        <v>144</v>
      </c>
      <c r="G1910" s="32" t="n">
        <f aca="false">(A1910-A1909)*86400000</f>
        <v>14.999415</v>
      </c>
      <c r="H1910" s="3"/>
      <c r="I1910" s="3"/>
      <c r="J1910" s="3"/>
      <c r="K1910" s="3"/>
      <c r="L1910" s="3"/>
      <c r="M1910" s="3"/>
    </row>
    <row r="1911" customFormat="false" ht="15" hidden="false" customHeight="false" outlineLevel="0" collapsed="false">
      <c r="A1911" s="28" t="n">
        <v>46301.5244139352</v>
      </c>
      <c r="B1911" s="31" t="n">
        <f aca="false">(A1911-$A$5)*86400</f>
        <v>65.726000745</v>
      </c>
      <c r="C1911" s="27" t="n">
        <v>1.2736</v>
      </c>
      <c r="D1911" s="27" t="n">
        <v>1.7369</v>
      </c>
      <c r="E1911" s="27" t="s">
        <v>603</v>
      </c>
      <c r="F1911" s="27" t="s">
        <v>144</v>
      </c>
      <c r="G1911" s="32" t="n">
        <f aca="false">(A1911-A1910)*86400000</f>
        <v>16.000843</v>
      </c>
      <c r="H1911" s="3"/>
      <c r="I1911" s="3"/>
      <c r="J1911" s="3"/>
      <c r="K1911" s="3"/>
      <c r="L1911" s="3"/>
      <c r="M1911" s="3"/>
    </row>
    <row r="1912" customFormat="false" ht="15" hidden="false" customHeight="false" outlineLevel="0" collapsed="false">
      <c r="A1912" s="28" t="n">
        <v>46301.5244141204</v>
      </c>
      <c r="B1912" s="31" t="n">
        <f aca="false">(A1912-$A$5)*86400</f>
        <v>65.742000332</v>
      </c>
      <c r="C1912" s="27" t="n">
        <v>1.2756</v>
      </c>
      <c r="D1912" s="27" t="n">
        <v>1.7373</v>
      </c>
      <c r="E1912" s="27" t="s">
        <v>603</v>
      </c>
      <c r="F1912" s="27" t="s">
        <v>144</v>
      </c>
      <c r="G1912" s="32" t="n">
        <f aca="false">(A1912-A1911)*86400000</f>
        <v>15.999586</v>
      </c>
      <c r="H1912" s="3"/>
      <c r="I1912" s="3"/>
      <c r="J1912" s="3"/>
      <c r="K1912" s="3"/>
      <c r="L1912" s="3"/>
      <c r="M1912" s="3"/>
    </row>
    <row r="1913" customFormat="false" ht="15" hidden="false" customHeight="false" outlineLevel="0" collapsed="false">
      <c r="A1913" s="28" t="n">
        <v>46301.5244143056</v>
      </c>
      <c r="B1913" s="31" t="n">
        <f aca="false">(A1913-$A$5)*86400</f>
        <v>65.757999918</v>
      </c>
      <c r="C1913" s="27" t="n">
        <v>1.2772</v>
      </c>
      <c r="D1913" s="27" t="n">
        <v>1.7376</v>
      </c>
      <c r="E1913" s="27" t="s">
        <v>603</v>
      </c>
      <c r="F1913" s="27" t="s">
        <v>144</v>
      </c>
      <c r="G1913" s="32" t="n">
        <f aca="false">(A1913-A1912)*86400000</f>
        <v>15.999586</v>
      </c>
      <c r="H1913" s="3"/>
      <c r="I1913" s="3"/>
      <c r="J1913" s="3"/>
      <c r="K1913" s="3"/>
      <c r="L1913" s="3"/>
      <c r="M1913" s="3"/>
    </row>
    <row r="1914" customFormat="false" ht="15" hidden="false" customHeight="false" outlineLevel="0" collapsed="false">
      <c r="A1914" s="28" t="n">
        <v>46301.5244144907</v>
      </c>
      <c r="B1914" s="31" t="n">
        <f aca="false">(A1914-$A$5)*86400</f>
        <v>65.774000133</v>
      </c>
      <c r="C1914" s="27" t="n">
        <v>1.2785</v>
      </c>
      <c r="D1914" s="27" t="n">
        <v>1.7378</v>
      </c>
      <c r="E1914" s="27" t="s">
        <v>603</v>
      </c>
      <c r="F1914" s="27" t="s">
        <v>144</v>
      </c>
      <c r="G1914" s="32" t="n">
        <f aca="false">(A1914-A1913)*86400000</f>
        <v>16.000214</v>
      </c>
      <c r="H1914" s="3"/>
      <c r="I1914" s="3"/>
      <c r="J1914" s="3"/>
      <c r="K1914" s="3"/>
      <c r="L1914" s="3"/>
      <c r="M1914" s="3"/>
    </row>
    <row r="1915" customFormat="false" ht="15" hidden="false" customHeight="false" outlineLevel="0" collapsed="false">
      <c r="A1915" s="28" t="n">
        <v>46301.5244146759</v>
      </c>
      <c r="B1915" s="31" t="n">
        <f aca="false">(A1915-$A$5)*86400</f>
        <v>65.790000348</v>
      </c>
      <c r="C1915" s="27" t="n">
        <v>1.2796</v>
      </c>
      <c r="D1915" s="27" t="n">
        <v>1.7381</v>
      </c>
      <c r="E1915" s="27" t="s">
        <v>603</v>
      </c>
      <c r="F1915" s="27" t="s">
        <v>144</v>
      </c>
      <c r="G1915" s="32" t="n">
        <f aca="false">(A1915-A1914)*86400000</f>
        <v>16.000214</v>
      </c>
      <c r="H1915" s="3"/>
      <c r="I1915" s="3"/>
      <c r="J1915" s="3"/>
      <c r="K1915" s="3"/>
      <c r="L1915" s="3"/>
      <c r="M1915" s="3"/>
    </row>
    <row r="1916" customFormat="false" ht="15" hidden="false" customHeight="false" outlineLevel="0" collapsed="false">
      <c r="A1916" s="28" t="n">
        <v>46301.5244150463</v>
      </c>
      <c r="B1916" s="31" t="n">
        <f aca="false">(A1916-$A$5)*86400</f>
        <v>65.822000149</v>
      </c>
      <c r="C1916" s="27" t="n">
        <v>1.2812</v>
      </c>
      <c r="D1916" s="27" t="n">
        <v>1.7384</v>
      </c>
      <c r="E1916" s="27" t="s">
        <v>603</v>
      </c>
      <c r="F1916" s="27" t="s">
        <v>144</v>
      </c>
      <c r="G1916" s="32" t="n">
        <f aca="false">(A1916-A1915)*86400000</f>
        <v>31.999801</v>
      </c>
      <c r="H1916" s="3"/>
      <c r="I1916" s="3"/>
      <c r="J1916" s="3"/>
      <c r="K1916" s="3"/>
      <c r="L1916" s="3"/>
      <c r="M1916" s="3"/>
    </row>
    <row r="1917" customFormat="false" ht="15" hidden="false" customHeight="false" outlineLevel="0" collapsed="false">
      <c r="A1917" s="28" t="n">
        <v>46301.5244154167</v>
      </c>
      <c r="B1917" s="31" t="n">
        <f aca="false">(A1917-$A$5)*86400</f>
        <v>65.853999322</v>
      </c>
      <c r="C1917" s="27" t="n">
        <v>1.2824</v>
      </c>
      <c r="D1917" s="27" t="n">
        <v>1.7386</v>
      </c>
      <c r="E1917" s="27" t="s">
        <v>603</v>
      </c>
      <c r="F1917" s="27" t="s">
        <v>144</v>
      </c>
      <c r="G1917" s="32" t="n">
        <f aca="false">(A1917-A1916)*86400000</f>
        <v>31.999172</v>
      </c>
      <c r="H1917" s="3"/>
      <c r="I1917" s="3"/>
      <c r="J1917" s="3"/>
      <c r="K1917" s="3"/>
      <c r="L1917" s="3"/>
      <c r="M1917" s="3"/>
    </row>
    <row r="1918" customFormat="false" ht="15" hidden="false" customHeight="false" outlineLevel="0" collapsed="false">
      <c r="A1918" s="28" t="n">
        <v>46301.5244159954</v>
      </c>
      <c r="B1918" s="31" t="n">
        <f aca="false">(A1918-$A$5)*86400</f>
        <v>65.904000308</v>
      </c>
      <c r="C1918" s="27" t="n">
        <v>1.2848</v>
      </c>
      <c r="D1918" s="27" t="n">
        <v>1.7391</v>
      </c>
      <c r="E1918" s="27" t="s">
        <v>603</v>
      </c>
      <c r="F1918" s="27" t="s">
        <v>144</v>
      </c>
      <c r="G1918" s="32" t="n">
        <f aca="false">(A1918-A1917)*86400000</f>
        <v>50.000986</v>
      </c>
      <c r="H1918" s="3"/>
      <c r="I1918" s="3"/>
      <c r="J1918" s="3"/>
      <c r="K1918" s="3"/>
      <c r="L1918" s="3"/>
      <c r="M1918" s="3"/>
    </row>
    <row r="1919" customFormat="false" ht="15" hidden="false" customHeight="false" outlineLevel="0" collapsed="false">
      <c r="A1919" s="28" t="n">
        <v>46301.5244239931</v>
      </c>
      <c r="B1919" s="31" t="n">
        <f aca="false">(A1919-$A$5)*86400</f>
        <v>66.594999376</v>
      </c>
      <c r="C1919" s="27" t="n">
        <v>1.2826</v>
      </c>
      <c r="D1919" s="27" t="n">
        <v>1.6779</v>
      </c>
      <c r="E1919" s="27" t="s">
        <v>603</v>
      </c>
      <c r="F1919" s="27" t="s">
        <v>144</v>
      </c>
      <c r="G1919" s="32" t="n">
        <f aca="false">(A1919-A1918)*86400000</f>
        <v>690.999068</v>
      </c>
      <c r="H1919" s="3"/>
      <c r="I1919" s="3"/>
      <c r="J1919" s="3"/>
      <c r="K1919" s="3"/>
      <c r="L1919" s="3"/>
      <c r="M1919" s="3"/>
    </row>
    <row r="1920" customFormat="false" ht="15" hidden="false" customHeight="false" outlineLevel="0" collapsed="false">
      <c r="A1920" s="28" t="n">
        <v>46301.5244241898</v>
      </c>
      <c r="B1920" s="31" t="n">
        <f aca="false">(A1920-$A$5)*86400</f>
        <v>66.61200039</v>
      </c>
      <c r="C1920" s="27" t="n">
        <v>1.2807</v>
      </c>
      <c r="D1920" s="27" t="n">
        <v>1.6236</v>
      </c>
      <c r="E1920" s="27" t="s">
        <v>603</v>
      </c>
      <c r="F1920" s="27" t="s">
        <v>144</v>
      </c>
      <c r="G1920" s="32" t="n">
        <f aca="false">(A1920-A1919)*86400000</f>
        <v>17.001014</v>
      </c>
      <c r="H1920" s="3"/>
      <c r="I1920" s="3"/>
      <c r="J1920" s="3"/>
      <c r="K1920" s="3"/>
      <c r="L1920" s="3"/>
      <c r="M1920" s="3"/>
    </row>
    <row r="1921" customFormat="false" ht="15" hidden="false" customHeight="false" outlineLevel="0" collapsed="false">
      <c r="A1921" s="28" t="n">
        <v>46301.5244243634</v>
      </c>
      <c r="B1921" s="31" t="n">
        <f aca="false">(A1921-$A$5)*86400</f>
        <v>66.626999806</v>
      </c>
      <c r="C1921" s="27" t="n">
        <v>1.2791</v>
      </c>
      <c r="D1921" s="27" t="n">
        <v>1.5789</v>
      </c>
      <c r="E1921" s="27" t="s">
        <v>603</v>
      </c>
      <c r="F1921" s="27" t="s">
        <v>144</v>
      </c>
      <c r="G1921" s="32" t="n">
        <f aca="false">(A1921-A1920)*86400000</f>
        <v>14.999415</v>
      </c>
      <c r="H1921" s="3"/>
      <c r="I1921" s="3"/>
      <c r="J1921" s="3"/>
      <c r="K1921" s="3"/>
      <c r="L1921" s="3"/>
      <c r="M1921" s="3"/>
    </row>
    <row r="1922" customFormat="false" ht="15" hidden="false" customHeight="false" outlineLevel="0" collapsed="false">
      <c r="A1922" s="28" t="n">
        <v>46301.5244245602</v>
      </c>
      <c r="B1922" s="31" t="n">
        <f aca="false">(A1922-$A$5)*86400</f>
        <v>66.64400082</v>
      </c>
      <c r="C1922" s="27" t="n">
        <v>1.2778</v>
      </c>
      <c r="D1922" s="27" t="n">
        <v>1.542</v>
      </c>
      <c r="E1922" s="27" t="s">
        <v>603</v>
      </c>
      <c r="F1922" s="27" t="s">
        <v>144</v>
      </c>
      <c r="G1922" s="32" t="n">
        <f aca="false">(A1922-A1921)*86400000</f>
        <v>17.001014</v>
      </c>
      <c r="H1922" s="3"/>
      <c r="I1922" s="3"/>
      <c r="J1922" s="3"/>
      <c r="K1922" s="3"/>
      <c r="L1922" s="3"/>
      <c r="M1922" s="3"/>
    </row>
    <row r="1923" customFormat="false" ht="15" hidden="false" customHeight="false" outlineLevel="0" collapsed="false">
      <c r="A1923" s="28" t="n">
        <v>46301.5244247338</v>
      </c>
      <c r="B1923" s="31" t="n">
        <f aca="false">(A1923-$A$5)*86400</f>
        <v>66.659000236</v>
      </c>
      <c r="C1923" s="27" t="n">
        <v>1.2768</v>
      </c>
      <c r="D1923" s="27" t="n">
        <v>1.5115</v>
      </c>
      <c r="E1923" s="27" t="s">
        <v>603</v>
      </c>
      <c r="F1923" s="27" t="s">
        <v>144</v>
      </c>
      <c r="G1923" s="32" t="n">
        <f aca="false">(A1923-A1922)*86400000</f>
        <v>14.999415</v>
      </c>
      <c r="H1923" s="3"/>
      <c r="I1923" s="3"/>
      <c r="J1923" s="3"/>
      <c r="K1923" s="3"/>
      <c r="L1923" s="3"/>
      <c r="M1923" s="3"/>
    </row>
    <row r="1924" customFormat="false" ht="15" hidden="false" customHeight="false" outlineLevel="0" collapsed="false">
      <c r="A1924" s="28" t="n">
        <v>46301.524424919</v>
      </c>
      <c r="B1924" s="31" t="n">
        <f aca="false">(A1924-$A$5)*86400</f>
        <v>66.674999822</v>
      </c>
      <c r="C1924" s="27" t="n">
        <v>1.2759</v>
      </c>
      <c r="D1924" s="27" t="n">
        <v>1.4863</v>
      </c>
      <c r="E1924" s="27" t="s">
        <v>603</v>
      </c>
      <c r="F1924" s="27" t="s">
        <v>144</v>
      </c>
      <c r="G1924" s="32" t="n">
        <f aca="false">(A1924-A1923)*86400000</f>
        <v>15.999586</v>
      </c>
      <c r="H1924" s="3"/>
      <c r="I1924" s="3"/>
      <c r="J1924" s="3"/>
      <c r="K1924" s="3"/>
      <c r="L1924" s="3"/>
      <c r="M1924" s="3"/>
    </row>
    <row r="1925" customFormat="false" ht="15" hidden="false" customHeight="false" outlineLevel="0" collapsed="false">
      <c r="A1925" s="28" t="n">
        <v>46301.5244251042</v>
      </c>
      <c r="B1925" s="31" t="n">
        <f aca="false">(A1925-$A$5)*86400</f>
        <v>66.691000666</v>
      </c>
      <c r="C1925" s="27" t="n">
        <v>1.2752</v>
      </c>
      <c r="D1925" s="27" t="n">
        <v>1.4656</v>
      </c>
      <c r="E1925" s="27" t="s">
        <v>603</v>
      </c>
      <c r="F1925" s="27" t="s">
        <v>144</v>
      </c>
      <c r="G1925" s="32" t="n">
        <f aca="false">(A1925-A1924)*86400000</f>
        <v>16.000843</v>
      </c>
      <c r="H1925" s="3"/>
      <c r="I1925" s="3"/>
      <c r="J1925" s="3"/>
      <c r="K1925" s="3"/>
      <c r="L1925" s="3"/>
      <c r="M1925" s="3"/>
    </row>
    <row r="1926" customFormat="false" ht="15" hidden="false" customHeight="false" outlineLevel="0" collapsed="false">
      <c r="A1926" s="28" t="n">
        <v>46301.5244252894</v>
      </c>
      <c r="B1926" s="31" t="n">
        <f aca="false">(A1926-$A$5)*86400</f>
        <v>66.707000252</v>
      </c>
      <c r="C1926" s="27" t="n">
        <v>1.2746</v>
      </c>
      <c r="D1926" s="27" t="n">
        <v>1.4484</v>
      </c>
      <c r="E1926" s="27" t="s">
        <v>603</v>
      </c>
      <c r="F1926" s="27" t="s">
        <v>144</v>
      </c>
      <c r="G1926" s="32" t="n">
        <f aca="false">(A1926-A1925)*86400000</f>
        <v>15.999586</v>
      </c>
      <c r="H1926" s="3"/>
      <c r="I1926" s="3"/>
      <c r="J1926" s="3"/>
      <c r="K1926" s="3"/>
      <c r="L1926" s="3"/>
      <c r="M1926" s="3"/>
    </row>
    <row r="1927" customFormat="false" ht="15" hidden="false" customHeight="false" outlineLevel="0" collapsed="false">
      <c r="A1927" s="28" t="n">
        <v>46301.5244254745</v>
      </c>
      <c r="B1927" s="31" t="n">
        <f aca="false">(A1927-$A$5)*86400</f>
        <v>66.72299921</v>
      </c>
      <c r="C1927" s="27" t="n">
        <v>1.2741</v>
      </c>
      <c r="D1927" s="27" t="n">
        <v>1.4343</v>
      </c>
      <c r="E1927" s="27" t="s">
        <v>603</v>
      </c>
      <c r="F1927" s="27" t="s">
        <v>144</v>
      </c>
      <c r="G1927" s="32" t="n">
        <f aca="false">(A1927-A1926)*86400000</f>
        <v>15.998957</v>
      </c>
      <c r="H1927" s="3"/>
      <c r="I1927" s="3"/>
      <c r="J1927" s="3"/>
      <c r="K1927" s="3"/>
      <c r="L1927" s="3"/>
      <c r="M1927" s="3"/>
    </row>
    <row r="1928" customFormat="false" ht="15" hidden="false" customHeight="false" outlineLevel="0" collapsed="false">
      <c r="A1928" s="28" t="n">
        <v>46301.5244256597</v>
      </c>
      <c r="B1928" s="31" t="n">
        <f aca="false">(A1928-$A$5)*86400</f>
        <v>66.739000054</v>
      </c>
      <c r="C1928" s="27" t="n">
        <v>1.2736</v>
      </c>
      <c r="D1928" s="27" t="n">
        <v>1.4226</v>
      </c>
      <c r="E1928" s="27" t="s">
        <v>603</v>
      </c>
      <c r="F1928" s="27" t="s">
        <v>144</v>
      </c>
      <c r="G1928" s="32" t="n">
        <f aca="false">(A1928-A1927)*86400000</f>
        <v>16.000843</v>
      </c>
      <c r="H1928" s="3"/>
      <c r="I1928" s="3"/>
      <c r="J1928" s="3"/>
      <c r="K1928" s="3"/>
      <c r="L1928" s="3"/>
      <c r="M1928" s="3"/>
    </row>
    <row r="1929" customFormat="false" ht="15" hidden="false" customHeight="false" outlineLevel="0" collapsed="false">
      <c r="A1929" s="28" t="n">
        <v>46301.5244258565</v>
      </c>
      <c r="B1929" s="31" t="n">
        <f aca="false">(A1929-$A$5)*86400</f>
        <v>66.75599981</v>
      </c>
      <c r="C1929" s="27" t="n">
        <v>1.2733</v>
      </c>
      <c r="D1929" s="27" t="n">
        <v>1.4124</v>
      </c>
      <c r="E1929" s="27" t="s">
        <v>603</v>
      </c>
      <c r="F1929" s="27" t="s">
        <v>144</v>
      </c>
      <c r="G1929" s="32" t="n">
        <f aca="false">(A1929-A1928)*86400000</f>
        <v>16.999756</v>
      </c>
      <c r="H1929" s="3"/>
      <c r="I1929" s="3"/>
      <c r="J1929" s="3"/>
      <c r="K1929" s="3"/>
      <c r="L1929" s="3"/>
      <c r="M1929" s="3"/>
    </row>
    <row r="1930" customFormat="false" ht="15" hidden="false" customHeight="false" outlineLevel="0" collapsed="false">
      <c r="A1930" s="28" t="n">
        <v>46301.5244260532</v>
      </c>
      <c r="B1930" s="31" t="n">
        <f aca="false">(A1930-$A$5)*86400</f>
        <v>66.773000196</v>
      </c>
      <c r="C1930" s="27" t="n">
        <v>1.273</v>
      </c>
      <c r="D1930" s="27" t="n">
        <v>1.4046</v>
      </c>
      <c r="E1930" s="27" t="s">
        <v>603</v>
      </c>
      <c r="F1930" s="27" t="s">
        <v>144</v>
      </c>
      <c r="G1930" s="32" t="n">
        <f aca="false">(A1930-A1929)*86400000</f>
        <v>17.000385</v>
      </c>
      <c r="H1930" s="3"/>
      <c r="I1930" s="3"/>
      <c r="J1930" s="3"/>
      <c r="K1930" s="3"/>
      <c r="L1930" s="3"/>
      <c r="M1930" s="3"/>
    </row>
    <row r="1931" customFormat="false" ht="15" hidden="false" customHeight="false" outlineLevel="0" collapsed="false">
      <c r="A1931" s="28" t="n">
        <v>46301.5244262269</v>
      </c>
      <c r="B1931" s="31" t="n">
        <f aca="false">(A1931-$A$5)*86400</f>
        <v>66.78800024</v>
      </c>
      <c r="C1931" s="27" t="n">
        <v>1.2728</v>
      </c>
      <c r="D1931" s="27" t="n">
        <v>1.3981</v>
      </c>
      <c r="E1931" s="27" t="s">
        <v>603</v>
      </c>
      <c r="F1931" s="27" t="s">
        <v>144</v>
      </c>
      <c r="G1931" s="32" t="n">
        <f aca="false">(A1931-A1930)*86400000</f>
        <v>15.000044</v>
      </c>
      <c r="H1931" s="3"/>
      <c r="I1931" s="3"/>
      <c r="J1931" s="3"/>
      <c r="K1931" s="3"/>
      <c r="L1931" s="3"/>
      <c r="M1931" s="3"/>
    </row>
    <row r="1932" customFormat="false" ht="15" hidden="false" customHeight="false" outlineLevel="0" collapsed="false">
      <c r="A1932" s="28" t="n">
        <v>46301.524426412</v>
      </c>
      <c r="B1932" s="31" t="n">
        <f aca="false">(A1932-$A$5)*86400</f>
        <v>66.803999198</v>
      </c>
      <c r="C1932" s="27" t="n">
        <v>1.2726</v>
      </c>
      <c r="D1932" s="27" t="n">
        <v>1.3927</v>
      </c>
      <c r="E1932" s="27" t="s">
        <v>603</v>
      </c>
      <c r="F1932" s="27" t="s">
        <v>144</v>
      </c>
      <c r="G1932" s="32" t="n">
        <f aca="false">(A1932-A1931)*86400000</f>
        <v>15.998957</v>
      </c>
      <c r="H1932" s="3"/>
      <c r="I1932" s="3"/>
      <c r="J1932" s="3"/>
      <c r="K1932" s="3"/>
      <c r="L1932" s="3"/>
      <c r="M1932" s="3"/>
    </row>
    <row r="1933" customFormat="false" ht="15" hidden="false" customHeight="false" outlineLevel="0" collapsed="false">
      <c r="A1933" s="28" t="n">
        <v>46301.5244266088</v>
      </c>
      <c r="B1933" s="31" t="n">
        <f aca="false">(A1933-$A$5)*86400</f>
        <v>66.821000212</v>
      </c>
      <c r="C1933" s="27" t="n">
        <v>1.3025</v>
      </c>
      <c r="D1933" s="27" t="n">
        <v>1.3926</v>
      </c>
      <c r="E1933" s="27" t="s">
        <v>603</v>
      </c>
      <c r="F1933" s="27" t="s">
        <v>144</v>
      </c>
      <c r="G1933" s="32" t="n">
        <f aca="false">(A1933-A1932)*86400000</f>
        <v>17.001014</v>
      </c>
      <c r="H1933" s="3"/>
      <c r="I1933" s="3"/>
      <c r="J1933" s="3"/>
      <c r="K1933" s="3"/>
      <c r="L1933" s="3"/>
      <c r="M1933" s="3"/>
    </row>
    <row r="1934" customFormat="false" ht="15" hidden="false" customHeight="false" outlineLevel="0" collapsed="false">
      <c r="A1934" s="28" t="n">
        <v>46301.524426794</v>
      </c>
      <c r="B1934" s="31" t="n">
        <f aca="false">(A1934-$A$5)*86400</f>
        <v>66.836999799</v>
      </c>
      <c r="C1934" s="27" t="n">
        <v>1.3256</v>
      </c>
      <c r="D1934" s="27" t="n">
        <v>1.3924</v>
      </c>
      <c r="E1934" s="27" t="s">
        <v>603</v>
      </c>
      <c r="F1934" s="27" t="s">
        <v>144</v>
      </c>
      <c r="G1934" s="32" t="n">
        <f aca="false">(A1934-A1933)*86400000</f>
        <v>15.999586</v>
      </c>
      <c r="H1934" s="3"/>
      <c r="I1934" s="3"/>
      <c r="J1934" s="3"/>
      <c r="K1934" s="3"/>
      <c r="L1934" s="3"/>
      <c r="M1934" s="3"/>
    </row>
    <row r="1935" customFormat="false" ht="15" hidden="false" customHeight="false" outlineLevel="0" collapsed="false">
      <c r="A1935" s="28" t="n">
        <v>46301.5244269792</v>
      </c>
      <c r="B1935" s="31" t="n">
        <f aca="false">(A1935-$A$5)*86400</f>
        <v>66.853000642</v>
      </c>
      <c r="C1935" s="27" t="n">
        <v>1.3446</v>
      </c>
      <c r="D1935" s="27" t="n">
        <v>1.3923</v>
      </c>
      <c r="E1935" s="27" t="s">
        <v>603</v>
      </c>
      <c r="F1935" s="27" t="s">
        <v>144</v>
      </c>
      <c r="G1935" s="32" t="n">
        <f aca="false">(A1935-A1934)*86400000</f>
        <v>16.000843</v>
      </c>
      <c r="H1935" s="3"/>
      <c r="I1935" s="3"/>
      <c r="J1935" s="3"/>
      <c r="K1935" s="3"/>
      <c r="L1935" s="3"/>
      <c r="M1935" s="3"/>
    </row>
    <row r="1936" customFormat="false" ht="15" hidden="false" customHeight="false" outlineLevel="0" collapsed="false">
      <c r="A1936" s="28" t="n">
        <v>46301.5244271644</v>
      </c>
      <c r="B1936" s="31" t="n">
        <f aca="false">(A1936-$A$5)*86400</f>
        <v>66.869000229</v>
      </c>
      <c r="C1936" s="27" t="n">
        <v>1.3603</v>
      </c>
      <c r="D1936" s="27" t="n">
        <v>1.3923</v>
      </c>
      <c r="E1936" s="27" t="s">
        <v>603</v>
      </c>
      <c r="F1936" s="27" t="s">
        <v>144</v>
      </c>
      <c r="G1936" s="32" t="n">
        <f aca="false">(A1936-A1935)*86400000</f>
        <v>15.999586</v>
      </c>
      <c r="H1936" s="3"/>
      <c r="I1936" s="3"/>
      <c r="J1936" s="3"/>
      <c r="K1936" s="3"/>
      <c r="L1936" s="3"/>
      <c r="M1936" s="3"/>
    </row>
    <row r="1937" customFormat="false" ht="15" hidden="false" customHeight="false" outlineLevel="0" collapsed="false">
      <c r="A1937" s="28" t="n">
        <v>46301.5244273611</v>
      </c>
      <c r="B1937" s="31" t="n">
        <f aca="false">(A1937-$A$5)*86400</f>
        <v>66.885999985</v>
      </c>
      <c r="C1937" s="27" t="n">
        <v>1.374</v>
      </c>
      <c r="D1937" s="27" t="n">
        <v>1.3922</v>
      </c>
      <c r="E1937" s="27" t="s">
        <v>603</v>
      </c>
      <c r="F1937" s="27" t="s">
        <v>144</v>
      </c>
      <c r="G1937" s="32" t="n">
        <f aca="false">(A1937-A1936)*86400000</f>
        <v>16.999756</v>
      </c>
      <c r="H1937" s="3"/>
      <c r="I1937" s="3"/>
      <c r="J1937" s="3"/>
      <c r="K1937" s="3"/>
      <c r="L1937" s="3"/>
      <c r="M1937" s="3"/>
    </row>
    <row r="1938" customFormat="false" ht="15" hidden="false" customHeight="false" outlineLevel="0" collapsed="false">
      <c r="A1938" s="28" t="n">
        <v>46301.5244275579</v>
      </c>
      <c r="B1938" s="31" t="n">
        <f aca="false">(A1938-$A$5)*86400</f>
        <v>66.903000371</v>
      </c>
      <c r="C1938" s="27" t="n">
        <v>1.3892</v>
      </c>
      <c r="D1938" s="27" t="n">
        <v>1.391</v>
      </c>
      <c r="E1938" s="27" t="s">
        <v>603</v>
      </c>
      <c r="F1938" s="27" t="s">
        <v>144</v>
      </c>
      <c r="G1938" s="32" t="n">
        <f aca="false">(A1938-A1937)*86400000</f>
        <v>17.000385</v>
      </c>
      <c r="H1938" s="3"/>
      <c r="I1938" s="3"/>
      <c r="J1938" s="3"/>
      <c r="K1938" s="3"/>
      <c r="L1938" s="3"/>
      <c r="M1938" s="3"/>
    </row>
    <row r="1939" customFormat="false" ht="15" hidden="false" customHeight="false" outlineLevel="0" collapsed="false">
      <c r="A1939" s="28" t="n">
        <v>46301.5244277431</v>
      </c>
      <c r="B1939" s="31" t="n">
        <f aca="false">(A1939-$A$5)*86400</f>
        <v>66.918999329</v>
      </c>
      <c r="C1939" s="27" t="n">
        <v>1.4017</v>
      </c>
      <c r="D1939" s="27" t="n">
        <v>1.3901</v>
      </c>
      <c r="E1939" s="27" t="s">
        <v>603</v>
      </c>
      <c r="F1939" s="27" t="s">
        <v>144</v>
      </c>
      <c r="G1939" s="32" t="n">
        <f aca="false">(A1939-A1938)*86400000</f>
        <v>15.998957</v>
      </c>
      <c r="H1939" s="3"/>
      <c r="I1939" s="3"/>
      <c r="J1939" s="3"/>
      <c r="K1939" s="3"/>
      <c r="L1939" s="3"/>
      <c r="M1939" s="3"/>
    </row>
    <row r="1940" customFormat="false" ht="15" hidden="false" customHeight="false" outlineLevel="0" collapsed="false">
      <c r="A1940" s="28" t="n">
        <v>46301.5244279167</v>
      </c>
      <c r="B1940" s="31" t="n">
        <f aca="false">(A1940-$A$5)*86400</f>
        <v>66.93400063</v>
      </c>
      <c r="C1940" s="27" t="n">
        <v>1.412</v>
      </c>
      <c r="D1940" s="27" t="n">
        <v>1.3893</v>
      </c>
      <c r="E1940" s="27" t="s">
        <v>603</v>
      </c>
      <c r="F1940" s="27" t="s">
        <v>144</v>
      </c>
      <c r="G1940" s="32" t="n">
        <f aca="false">(A1940-A1939)*86400000</f>
        <v>15.001301</v>
      </c>
      <c r="H1940" s="3"/>
      <c r="I1940" s="3"/>
      <c r="J1940" s="3"/>
      <c r="K1940" s="3"/>
      <c r="L1940" s="3"/>
      <c r="M1940" s="3"/>
    </row>
    <row r="1941" customFormat="false" ht="15" hidden="false" customHeight="false" outlineLevel="0" collapsed="false">
      <c r="A1941" s="28" t="n">
        <v>46301.5244281019</v>
      </c>
      <c r="B1941" s="31" t="n">
        <f aca="false">(A1941-$A$5)*86400</f>
        <v>66.950000217</v>
      </c>
      <c r="C1941" s="27" t="n">
        <v>1.4206</v>
      </c>
      <c r="D1941" s="27" t="n">
        <v>1.3886</v>
      </c>
      <c r="E1941" s="27" t="s">
        <v>603</v>
      </c>
      <c r="F1941" s="27" t="s">
        <v>144</v>
      </c>
      <c r="G1941" s="32" t="n">
        <f aca="false">(A1941-A1940)*86400000</f>
        <v>15.999586</v>
      </c>
      <c r="H1941" s="3"/>
      <c r="I1941" s="3"/>
      <c r="J1941" s="3"/>
      <c r="K1941" s="3"/>
      <c r="L1941" s="3"/>
      <c r="M1941" s="3"/>
    </row>
    <row r="1942" customFormat="false" ht="15" hidden="false" customHeight="false" outlineLevel="0" collapsed="false">
      <c r="A1942" s="28" t="n">
        <v>46301.524428287</v>
      </c>
      <c r="B1942" s="31" t="n">
        <f aca="false">(A1942-$A$5)*86400</f>
        <v>66.965999803</v>
      </c>
      <c r="C1942" s="27" t="n">
        <v>1.4272</v>
      </c>
      <c r="D1942" s="27" t="n">
        <v>1.3881</v>
      </c>
      <c r="E1942" s="27" t="s">
        <v>603</v>
      </c>
      <c r="F1942" s="27" t="s">
        <v>144</v>
      </c>
      <c r="G1942" s="32" t="n">
        <f aca="false">(A1942-A1941)*86400000</f>
        <v>15.999586</v>
      </c>
      <c r="H1942" s="3"/>
      <c r="I1942" s="3"/>
      <c r="J1942" s="3"/>
      <c r="K1942" s="3"/>
      <c r="L1942" s="3"/>
      <c r="M1942" s="3"/>
    </row>
    <row r="1943" customFormat="false" ht="15" hidden="false" customHeight="false" outlineLevel="0" collapsed="false">
      <c r="A1943" s="28" t="n">
        <v>46301.5244284838</v>
      </c>
      <c r="B1943" s="31" t="n">
        <f aca="false">(A1943-$A$5)*86400</f>
        <v>66.983000189</v>
      </c>
      <c r="C1943" s="27" t="n">
        <v>1.4334</v>
      </c>
      <c r="D1943" s="27" t="n">
        <v>1.3876</v>
      </c>
      <c r="E1943" s="27" t="s">
        <v>603</v>
      </c>
      <c r="F1943" s="27" t="s">
        <v>144</v>
      </c>
      <c r="G1943" s="32" t="n">
        <f aca="false">(A1943-A1942)*86400000</f>
        <v>17.000385</v>
      </c>
      <c r="H1943" s="3"/>
      <c r="I1943" s="3"/>
      <c r="J1943" s="3"/>
      <c r="K1943" s="3"/>
      <c r="L1943" s="3"/>
      <c r="M1943" s="3"/>
    </row>
    <row r="1944" customFormat="false" ht="15" hidden="false" customHeight="false" outlineLevel="0" collapsed="false">
      <c r="A1944" s="28" t="n">
        <v>46301.5244286806</v>
      </c>
      <c r="B1944" s="31" t="n">
        <f aca="false">(A1944-$A$5)*86400</f>
        <v>67</v>
      </c>
      <c r="C1944" s="27" t="n">
        <v>1.4382</v>
      </c>
      <c r="D1944" s="27" t="n">
        <v>1.3872</v>
      </c>
      <c r="E1944" s="27" t="s">
        <v>603</v>
      </c>
      <c r="F1944" s="27" t="s">
        <v>144</v>
      </c>
      <c r="G1944" s="32" t="n">
        <f aca="false">(A1944-A1943)*86400000</f>
        <v>16.999128</v>
      </c>
      <c r="H1944" s="3"/>
      <c r="I1944" s="3"/>
      <c r="J1944" s="3"/>
      <c r="K1944" s="3"/>
      <c r="L1944" s="3"/>
      <c r="M1944" s="3"/>
    </row>
    <row r="1945" customFormat="false" ht="15" hidden="false" customHeight="false" outlineLevel="0" collapsed="false">
      <c r="A1945" s="28" t="n">
        <v>46301.5244288657</v>
      </c>
      <c r="B1945" s="31" t="n">
        <f aca="false">(A1945-$A$5)*86400</f>
        <v>67.01600016</v>
      </c>
      <c r="C1945" s="27" t="n">
        <v>1.4422</v>
      </c>
      <c r="D1945" s="27" t="n">
        <v>1.3869</v>
      </c>
      <c r="E1945" s="27" t="s">
        <v>603</v>
      </c>
      <c r="F1945" s="27" t="s">
        <v>144</v>
      </c>
      <c r="G1945" s="32" t="n">
        <f aca="false">(A1945-A1944)*86400000</f>
        <v>16.000843</v>
      </c>
      <c r="H1945" s="3"/>
      <c r="I1945" s="3"/>
      <c r="J1945" s="3"/>
      <c r="K1945" s="3"/>
      <c r="L1945" s="3"/>
      <c r="M1945" s="3"/>
    </row>
    <row r="1946" customFormat="false" ht="15" hidden="false" customHeight="false" outlineLevel="0" collapsed="false">
      <c r="A1946" s="28" t="n">
        <v>46301.5244290509</v>
      </c>
      <c r="B1946" s="31" t="n">
        <f aca="false">(A1946-$A$5)*86400</f>
        <v>67.032000375</v>
      </c>
      <c r="C1946" s="27" t="n">
        <v>1.4454</v>
      </c>
      <c r="D1946" s="27" t="n">
        <v>1.3867</v>
      </c>
      <c r="E1946" s="27" t="s">
        <v>603</v>
      </c>
      <c r="F1946" s="27" t="s">
        <v>144</v>
      </c>
      <c r="G1946" s="32" t="n">
        <f aca="false">(A1946-A1945)*86400000</f>
        <v>16.000214</v>
      </c>
      <c r="H1946" s="3"/>
      <c r="I1946" s="3"/>
      <c r="J1946" s="3"/>
      <c r="K1946" s="3"/>
      <c r="L1946" s="3"/>
      <c r="M1946" s="3"/>
    </row>
    <row r="1947" customFormat="false" ht="15" hidden="false" customHeight="false" outlineLevel="0" collapsed="false">
      <c r="A1947" s="28" t="n">
        <v>46301.5244292361</v>
      </c>
      <c r="B1947" s="31" t="n">
        <f aca="false">(A1947-$A$5)*86400</f>
        <v>67.047999962</v>
      </c>
      <c r="C1947" s="27" t="n">
        <v>1.4483</v>
      </c>
      <c r="D1947" s="27" t="n">
        <v>1.3865</v>
      </c>
      <c r="E1947" s="27" t="s">
        <v>603</v>
      </c>
      <c r="F1947" s="27" t="s">
        <v>144</v>
      </c>
      <c r="G1947" s="32" t="n">
        <f aca="false">(A1947-A1946)*86400000</f>
        <v>15.999586</v>
      </c>
      <c r="H1947" s="3"/>
      <c r="I1947" s="3"/>
      <c r="J1947" s="3"/>
      <c r="K1947" s="3"/>
      <c r="L1947" s="3"/>
      <c r="M1947" s="3"/>
    </row>
    <row r="1948" customFormat="false" ht="15" hidden="false" customHeight="false" outlineLevel="0" collapsed="false">
      <c r="A1948" s="28" t="n">
        <v>46301.5244294213</v>
      </c>
      <c r="B1948" s="31" t="n">
        <f aca="false">(A1948-$A$5)*86400</f>
        <v>67.064000177</v>
      </c>
      <c r="C1948" s="27" t="n">
        <v>1.4505</v>
      </c>
      <c r="D1948" s="27" t="n">
        <v>1.3863</v>
      </c>
      <c r="E1948" s="27" t="s">
        <v>603</v>
      </c>
      <c r="F1948" s="27" t="s">
        <v>144</v>
      </c>
      <c r="G1948" s="32" t="n">
        <f aca="false">(A1948-A1947)*86400000</f>
        <v>16.000214</v>
      </c>
      <c r="H1948" s="3"/>
      <c r="I1948" s="3"/>
      <c r="J1948" s="3"/>
      <c r="K1948" s="3"/>
      <c r="L1948" s="3"/>
      <c r="M1948" s="3"/>
    </row>
    <row r="1949" customFormat="false" ht="15" hidden="false" customHeight="false" outlineLevel="0" collapsed="false">
      <c r="A1949" s="28" t="n">
        <v>46301.5244296181</v>
      </c>
      <c r="B1949" s="31" t="n">
        <f aca="false">(A1949-$A$5)*86400</f>
        <v>67.080999934</v>
      </c>
      <c r="C1949" s="27" t="n">
        <v>1.4523</v>
      </c>
      <c r="D1949" s="27" t="n">
        <v>1.3862</v>
      </c>
      <c r="E1949" s="27" t="s">
        <v>603</v>
      </c>
      <c r="F1949" s="27" t="s">
        <v>144</v>
      </c>
      <c r="G1949" s="32" t="n">
        <f aca="false">(A1949-A1948)*86400000</f>
        <v>16.999756</v>
      </c>
      <c r="H1949" s="3"/>
      <c r="I1949" s="3"/>
      <c r="J1949" s="3"/>
      <c r="K1949" s="3"/>
      <c r="L1949" s="3"/>
      <c r="M1949" s="3"/>
    </row>
    <row r="1950" customFormat="false" ht="15" hidden="false" customHeight="false" outlineLevel="0" collapsed="false">
      <c r="A1950" s="28" t="n">
        <v>46301.5244298032</v>
      </c>
      <c r="B1950" s="31" t="n">
        <f aca="false">(A1950-$A$5)*86400</f>
        <v>67.097000149</v>
      </c>
      <c r="C1950" s="27" t="n">
        <v>1.4538</v>
      </c>
      <c r="D1950" s="27" t="n">
        <v>1.386</v>
      </c>
      <c r="E1950" s="27" t="s">
        <v>603</v>
      </c>
      <c r="F1950" s="27" t="s">
        <v>144</v>
      </c>
      <c r="G1950" s="32" t="n">
        <f aca="false">(A1950-A1949)*86400000</f>
        <v>16.000214</v>
      </c>
      <c r="H1950" s="3"/>
      <c r="I1950" s="3"/>
      <c r="J1950" s="3"/>
      <c r="K1950" s="3"/>
      <c r="L1950" s="3"/>
      <c r="M1950" s="3"/>
    </row>
    <row r="1951" customFormat="false" ht="15" hidden="false" customHeight="false" outlineLevel="0" collapsed="false">
      <c r="A1951" s="28" t="n">
        <v>46301.5244299769</v>
      </c>
      <c r="B1951" s="31" t="n">
        <f aca="false">(A1951-$A$5)*86400</f>
        <v>67.112000193</v>
      </c>
      <c r="C1951" s="27" t="n">
        <v>1.455</v>
      </c>
      <c r="D1951" s="27" t="n">
        <v>1.386</v>
      </c>
      <c r="E1951" s="27" t="s">
        <v>603</v>
      </c>
      <c r="F1951" s="27" t="s">
        <v>144</v>
      </c>
      <c r="G1951" s="32" t="n">
        <f aca="false">(A1951-A1950)*86400000</f>
        <v>15.000044</v>
      </c>
      <c r="H1951" s="3"/>
      <c r="I1951" s="3"/>
      <c r="J1951" s="3"/>
      <c r="K1951" s="3"/>
      <c r="L1951" s="3"/>
      <c r="M1951" s="3"/>
    </row>
    <row r="1952" customFormat="false" ht="15" hidden="false" customHeight="false" outlineLevel="0" collapsed="false">
      <c r="A1952" s="28" t="n">
        <v>46301.524430162</v>
      </c>
      <c r="B1952" s="31" t="n">
        <f aca="false">(A1952-$A$5)*86400</f>
        <v>67.128000408</v>
      </c>
      <c r="C1952" s="27" t="n">
        <v>1.4561</v>
      </c>
      <c r="D1952" s="27" t="n">
        <v>1.3859</v>
      </c>
      <c r="E1952" s="27" t="s">
        <v>603</v>
      </c>
      <c r="F1952" s="27" t="s">
        <v>144</v>
      </c>
      <c r="G1952" s="32" t="n">
        <f aca="false">(A1952-A1951)*86400000</f>
        <v>16.000214</v>
      </c>
      <c r="H1952" s="3"/>
      <c r="I1952" s="3"/>
      <c r="J1952" s="3"/>
      <c r="K1952" s="3"/>
      <c r="L1952" s="3"/>
      <c r="M1952" s="3"/>
    </row>
    <row r="1953" customFormat="false" ht="15" hidden="false" customHeight="false" outlineLevel="0" collapsed="false">
      <c r="A1953" s="28" t="n">
        <v>46301.524430544</v>
      </c>
      <c r="B1953" s="31" t="n">
        <f aca="false">(A1953-$A$5)*86400</f>
        <v>67.160999751</v>
      </c>
      <c r="C1953" s="27" t="n">
        <v>1.4576</v>
      </c>
      <c r="D1953" s="27" t="n">
        <v>1.3858</v>
      </c>
      <c r="E1953" s="27" t="s">
        <v>603</v>
      </c>
      <c r="F1953" s="27" t="s">
        <v>144</v>
      </c>
      <c r="G1953" s="32" t="n">
        <f aca="false">(A1953-A1952)*86400000</f>
        <v>32.999343</v>
      </c>
      <c r="H1953" s="3"/>
      <c r="I1953" s="3"/>
      <c r="J1953" s="3"/>
      <c r="K1953" s="3"/>
      <c r="L1953" s="3"/>
      <c r="M1953" s="3"/>
    </row>
    <row r="1954" customFormat="false" ht="15" hidden="false" customHeight="false" outlineLevel="0" collapsed="false">
      <c r="A1954" s="28" t="n">
        <v>46301.5244312847</v>
      </c>
      <c r="B1954" s="31" t="n">
        <f aca="false">(A1954-$A$5)*86400</f>
        <v>67.224999982</v>
      </c>
      <c r="C1954" s="27" t="n">
        <v>1.4609</v>
      </c>
      <c r="D1954" s="27" t="n">
        <v>1.3855</v>
      </c>
      <c r="E1954" s="27" t="s">
        <v>603</v>
      </c>
      <c r="F1954" s="27" t="s">
        <v>144</v>
      </c>
      <c r="G1954" s="32" t="n">
        <f aca="false">(A1954-A1953)*86400000</f>
        <v>64.000231</v>
      </c>
      <c r="H1954" s="3"/>
      <c r="I1954" s="3"/>
      <c r="J1954" s="3"/>
      <c r="K1954" s="3"/>
      <c r="L1954" s="3"/>
      <c r="M1954" s="3"/>
    </row>
    <row r="1955" customFormat="false" ht="15" hidden="false" customHeight="false" outlineLevel="0" collapsed="false">
      <c r="A1955" s="28" t="n">
        <v>46301.5244426505</v>
      </c>
      <c r="B1955" s="31" t="n">
        <f aca="false">(A1955-$A$5)*86400</f>
        <v>68.207000917</v>
      </c>
      <c r="C1955" s="27" t="n">
        <v>1.4132</v>
      </c>
      <c r="D1955" s="27" t="n">
        <v>1.3761</v>
      </c>
      <c r="E1955" s="27" t="s">
        <v>603</v>
      </c>
      <c r="F1955" s="27" t="s">
        <v>144</v>
      </c>
      <c r="G1955" s="32" t="n">
        <f aca="false">(A1955-A1954)*86400000</f>
        <v>982.000934</v>
      </c>
      <c r="H1955" s="3"/>
      <c r="I1955" s="3"/>
      <c r="J1955" s="3"/>
      <c r="K1955" s="3"/>
      <c r="L1955" s="3"/>
      <c r="M1955" s="3"/>
    </row>
    <row r="1956" customFormat="false" ht="15" hidden="false" customHeight="false" outlineLevel="0" collapsed="false">
      <c r="A1956" s="28" t="n">
        <v>46301.5244428472</v>
      </c>
      <c r="B1956" s="31" t="n">
        <f aca="false">(A1956-$A$5)*86400</f>
        <v>68.224000046</v>
      </c>
      <c r="C1956" s="27" t="n">
        <v>1.3738</v>
      </c>
      <c r="D1956" s="27" t="n">
        <v>1.3684</v>
      </c>
      <c r="E1956" s="27" t="s">
        <v>603</v>
      </c>
      <c r="F1956" s="27" t="s">
        <v>144</v>
      </c>
      <c r="G1956" s="32" t="n">
        <f aca="false">(A1956-A1955)*86400000</f>
        <v>16.999128</v>
      </c>
      <c r="H1956" s="3"/>
      <c r="I1956" s="3"/>
      <c r="J1956" s="3"/>
      <c r="K1956" s="3"/>
      <c r="L1956" s="3"/>
      <c r="M1956" s="3"/>
    </row>
    <row r="1957" customFormat="false" ht="15" hidden="false" customHeight="false" outlineLevel="0" collapsed="false">
      <c r="A1957" s="28" t="n">
        <v>46301.5244430208</v>
      </c>
      <c r="B1957" s="31" t="n">
        <f aca="false">(A1957-$A$5)*86400</f>
        <v>68.23900009</v>
      </c>
      <c r="C1957" s="27" t="n">
        <v>1.3413</v>
      </c>
      <c r="D1957" s="27" t="n">
        <v>1.362</v>
      </c>
      <c r="E1957" s="27" t="s">
        <v>603</v>
      </c>
      <c r="F1957" s="27" t="s">
        <v>144</v>
      </c>
      <c r="G1957" s="32" t="n">
        <f aca="false">(A1957-A1956)*86400000</f>
        <v>15.000044</v>
      </c>
      <c r="H1957" s="3"/>
      <c r="I1957" s="3"/>
      <c r="J1957" s="3"/>
      <c r="K1957" s="3"/>
      <c r="L1957" s="3"/>
      <c r="M1957" s="3"/>
    </row>
    <row r="1958" customFormat="false" ht="15" hidden="false" customHeight="false" outlineLevel="0" collapsed="false">
      <c r="A1958" s="28" t="n">
        <v>46301.524443206</v>
      </c>
      <c r="B1958" s="31" t="n">
        <f aca="false">(A1958-$A$5)*86400</f>
        <v>68.255000305</v>
      </c>
      <c r="C1958" s="27" t="n">
        <v>1.3145</v>
      </c>
      <c r="D1958" s="27" t="n">
        <v>1.3567</v>
      </c>
      <c r="E1958" s="27" t="s">
        <v>603</v>
      </c>
      <c r="F1958" s="27" t="s">
        <v>144</v>
      </c>
      <c r="G1958" s="32" t="n">
        <f aca="false">(A1958-A1957)*86400000</f>
        <v>16.000214</v>
      </c>
      <c r="H1958" s="3"/>
      <c r="I1958" s="3"/>
      <c r="J1958" s="3"/>
      <c r="K1958" s="3"/>
      <c r="L1958" s="3"/>
      <c r="M1958" s="3"/>
    </row>
    <row r="1959" customFormat="false" ht="15" hidden="false" customHeight="false" outlineLevel="0" collapsed="false">
      <c r="A1959" s="28" t="n">
        <v>46301.5244433912</v>
      </c>
      <c r="B1959" s="31" t="n">
        <f aca="false">(A1959-$A$5)*86400</f>
        <v>68.270999891</v>
      </c>
      <c r="C1959" s="27" t="n">
        <v>1.2924</v>
      </c>
      <c r="D1959" s="27" t="n">
        <v>1.3524</v>
      </c>
      <c r="E1959" s="27" t="s">
        <v>603</v>
      </c>
      <c r="F1959" s="27" t="s">
        <v>144</v>
      </c>
      <c r="G1959" s="32" t="n">
        <f aca="false">(A1959-A1958)*86400000</f>
        <v>15.999586</v>
      </c>
      <c r="H1959" s="3"/>
      <c r="I1959" s="3"/>
      <c r="J1959" s="3"/>
      <c r="K1959" s="3"/>
      <c r="L1959" s="3"/>
      <c r="M1959" s="3"/>
    </row>
    <row r="1960" customFormat="false" ht="15" hidden="false" customHeight="false" outlineLevel="0" collapsed="false">
      <c r="A1960" s="28" t="n">
        <v>46301.5244435764</v>
      </c>
      <c r="B1960" s="31" t="n">
        <f aca="false">(A1960-$A$5)*86400</f>
        <v>68.287000106</v>
      </c>
      <c r="C1960" s="27" t="n">
        <v>1.2741</v>
      </c>
      <c r="D1960" s="27" t="n">
        <v>1.3488</v>
      </c>
      <c r="E1960" s="27" t="s">
        <v>603</v>
      </c>
      <c r="F1960" s="27" t="s">
        <v>144</v>
      </c>
      <c r="G1960" s="32" t="n">
        <f aca="false">(A1960-A1959)*86400000</f>
        <v>16.000214</v>
      </c>
      <c r="H1960" s="3"/>
      <c r="I1960" s="3"/>
      <c r="J1960" s="3"/>
      <c r="K1960" s="3"/>
      <c r="L1960" s="3"/>
      <c r="M1960" s="3"/>
    </row>
    <row r="1961" customFormat="false" ht="15" hidden="false" customHeight="false" outlineLevel="0" collapsed="false">
      <c r="A1961" s="28" t="n">
        <v>46301.5244437616</v>
      </c>
      <c r="B1961" s="31" t="n">
        <f aca="false">(A1961-$A$5)*86400</f>
        <v>68.303000321</v>
      </c>
      <c r="C1961" s="27" t="n">
        <v>1.259</v>
      </c>
      <c r="D1961" s="27" t="n">
        <v>1.3458</v>
      </c>
      <c r="E1961" s="27" t="s">
        <v>603</v>
      </c>
      <c r="F1961" s="27" t="s">
        <v>144</v>
      </c>
      <c r="G1961" s="32" t="n">
        <f aca="false">(A1961-A1960)*86400000</f>
        <v>16.000214</v>
      </c>
      <c r="H1961" s="3"/>
      <c r="I1961" s="3"/>
      <c r="J1961" s="3"/>
      <c r="K1961" s="3"/>
      <c r="L1961" s="3"/>
      <c r="M1961" s="3"/>
    </row>
    <row r="1962" customFormat="false" ht="15" hidden="false" customHeight="false" outlineLevel="0" collapsed="false">
      <c r="A1962" s="28" t="n">
        <v>46301.5244439583</v>
      </c>
      <c r="B1962" s="31" t="n">
        <f aca="false">(A1962-$A$5)*86400</f>
        <v>68.320000078</v>
      </c>
      <c r="C1962" s="27" t="n">
        <v>1.2459</v>
      </c>
      <c r="D1962" s="27" t="n">
        <v>1.3432</v>
      </c>
      <c r="E1962" s="27" t="s">
        <v>603</v>
      </c>
      <c r="F1962" s="27" t="s">
        <v>144</v>
      </c>
      <c r="G1962" s="32" t="n">
        <f aca="false">(A1962-A1961)*86400000</f>
        <v>16.999756</v>
      </c>
      <c r="H1962" s="3"/>
      <c r="I1962" s="3"/>
      <c r="J1962" s="3"/>
      <c r="K1962" s="3"/>
      <c r="L1962" s="3"/>
      <c r="M1962" s="3"/>
    </row>
    <row r="1963" customFormat="false" ht="15" hidden="false" customHeight="false" outlineLevel="0" collapsed="false">
      <c r="A1963" s="28" t="n">
        <v>46301.5244441551</v>
      </c>
      <c r="B1963" s="31" t="n">
        <f aca="false">(A1963-$A$5)*86400</f>
        <v>68.336999835</v>
      </c>
      <c r="C1963" s="27" t="n">
        <v>1.2357</v>
      </c>
      <c r="D1963" s="27" t="n">
        <v>1.3412</v>
      </c>
      <c r="E1963" s="27" t="s">
        <v>603</v>
      </c>
      <c r="F1963" s="27" t="s">
        <v>144</v>
      </c>
      <c r="G1963" s="32" t="n">
        <f aca="false">(A1963-A1962)*86400000</f>
        <v>16.999756</v>
      </c>
      <c r="H1963" s="3"/>
      <c r="I1963" s="3"/>
      <c r="J1963" s="3"/>
      <c r="K1963" s="3"/>
      <c r="L1963" s="3"/>
      <c r="M1963" s="3"/>
    </row>
    <row r="1964" customFormat="false" ht="15" hidden="false" customHeight="false" outlineLevel="0" collapsed="false">
      <c r="A1964" s="28" t="n">
        <v>46301.5244443403</v>
      </c>
      <c r="B1964" s="31" t="n">
        <f aca="false">(A1964-$A$5)*86400</f>
        <v>68.35300005</v>
      </c>
      <c r="C1964" s="27" t="n">
        <v>1.2274</v>
      </c>
      <c r="D1964" s="27" t="n">
        <v>1.3396</v>
      </c>
      <c r="E1964" s="27" t="s">
        <v>603</v>
      </c>
      <c r="F1964" s="27" t="s">
        <v>144</v>
      </c>
      <c r="G1964" s="32" t="n">
        <f aca="false">(A1964-A1963)*86400000</f>
        <v>16.000214</v>
      </c>
      <c r="H1964" s="3"/>
      <c r="I1964" s="3"/>
      <c r="J1964" s="3"/>
      <c r="K1964" s="3"/>
      <c r="L1964" s="3"/>
      <c r="M1964" s="3"/>
    </row>
    <row r="1965" customFormat="false" ht="15" hidden="false" customHeight="false" outlineLevel="0" collapsed="false">
      <c r="A1965" s="28" t="n">
        <v>46301.5244445255</v>
      </c>
      <c r="B1965" s="31" t="n">
        <f aca="false">(A1965-$A$5)*86400</f>
        <v>68.368999636</v>
      </c>
      <c r="C1965" s="27" t="n">
        <v>1.2205</v>
      </c>
      <c r="D1965" s="27" t="n">
        <v>1.3382</v>
      </c>
      <c r="E1965" s="27" t="s">
        <v>603</v>
      </c>
      <c r="F1965" s="27" t="s">
        <v>144</v>
      </c>
      <c r="G1965" s="32" t="n">
        <f aca="false">(A1965-A1964)*86400000</f>
        <v>15.999586</v>
      </c>
      <c r="H1965" s="3"/>
      <c r="I1965" s="3"/>
      <c r="J1965" s="3"/>
      <c r="K1965" s="3"/>
      <c r="L1965" s="3"/>
      <c r="M1965" s="3"/>
    </row>
    <row r="1966" customFormat="false" ht="15" hidden="false" customHeight="false" outlineLevel="0" collapsed="false">
      <c r="A1966" s="28" t="n">
        <v>46301.5244446991</v>
      </c>
      <c r="B1966" s="31" t="n">
        <f aca="false">(A1966-$A$5)*86400</f>
        <v>68.384000309</v>
      </c>
      <c r="C1966" s="27" t="n">
        <v>1.2148</v>
      </c>
      <c r="D1966" s="27" t="n">
        <v>1.3371</v>
      </c>
      <c r="E1966" s="27" t="s">
        <v>603</v>
      </c>
      <c r="F1966" s="27" t="s">
        <v>144</v>
      </c>
      <c r="G1966" s="32" t="n">
        <f aca="false">(A1966-A1965)*86400000</f>
        <v>15.000673</v>
      </c>
      <c r="H1966" s="3"/>
      <c r="I1966" s="3"/>
      <c r="J1966" s="3"/>
      <c r="K1966" s="3"/>
      <c r="L1966" s="3"/>
      <c r="M1966" s="3"/>
    </row>
    <row r="1967" customFormat="false" ht="15" hidden="false" customHeight="false" outlineLevel="0" collapsed="false">
      <c r="A1967" s="28" t="n">
        <v>46301.5244448843</v>
      </c>
      <c r="B1967" s="31" t="n">
        <f aca="false">(A1967-$A$5)*86400</f>
        <v>68.399999896</v>
      </c>
      <c r="C1967" s="27" t="n">
        <v>1.21</v>
      </c>
      <c r="D1967" s="27" t="n">
        <v>1.3362</v>
      </c>
      <c r="E1967" s="27" t="s">
        <v>603</v>
      </c>
      <c r="F1967" s="27" t="s">
        <v>144</v>
      </c>
      <c r="G1967" s="32" t="n">
        <f aca="false">(A1967-A1966)*86400000</f>
        <v>15.999586</v>
      </c>
      <c r="H1967" s="3"/>
      <c r="I1967" s="3"/>
      <c r="J1967" s="3"/>
      <c r="K1967" s="3"/>
      <c r="L1967" s="3"/>
      <c r="M1967" s="3"/>
    </row>
    <row r="1968" customFormat="false" ht="15" hidden="false" customHeight="false" outlineLevel="0" collapsed="false">
      <c r="A1968" s="28" t="n">
        <v>46301.5244450694</v>
      </c>
      <c r="B1968" s="31" t="n">
        <f aca="false">(A1968-$A$5)*86400</f>
        <v>68.415999482</v>
      </c>
      <c r="C1968" s="27" t="n">
        <v>1.2062</v>
      </c>
      <c r="D1968" s="27" t="n">
        <v>1.3354</v>
      </c>
      <c r="E1968" s="27" t="s">
        <v>603</v>
      </c>
      <c r="F1968" s="27" t="s">
        <v>144</v>
      </c>
      <c r="G1968" s="32" t="n">
        <f aca="false">(A1968-A1967)*86400000</f>
        <v>15.999586</v>
      </c>
      <c r="H1968" s="3"/>
      <c r="I1968" s="3"/>
      <c r="J1968" s="3"/>
      <c r="K1968" s="3"/>
      <c r="L1968" s="3"/>
      <c r="M1968" s="3"/>
    </row>
    <row r="1969" customFormat="false" ht="15" hidden="false" customHeight="false" outlineLevel="0" collapsed="false">
      <c r="A1969" s="28" t="n">
        <v>46301.5244452546</v>
      </c>
      <c r="B1969" s="31" t="n">
        <f aca="false">(A1969-$A$5)*86400</f>
        <v>68.432000325</v>
      </c>
      <c r="C1969" s="27" t="n">
        <v>1.203</v>
      </c>
      <c r="D1969" s="27" t="n">
        <v>1.3348</v>
      </c>
      <c r="E1969" s="27" t="s">
        <v>603</v>
      </c>
      <c r="F1969" s="27" t="s">
        <v>144</v>
      </c>
      <c r="G1969" s="32" t="n">
        <f aca="false">(A1969-A1968)*86400000</f>
        <v>16.000843</v>
      </c>
      <c r="H1969" s="3"/>
      <c r="I1969" s="3"/>
      <c r="J1969" s="3"/>
      <c r="K1969" s="3"/>
      <c r="L1969" s="3"/>
      <c r="M1969" s="3"/>
    </row>
    <row r="1970" customFormat="false" ht="15" hidden="false" customHeight="false" outlineLevel="0" collapsed="false">
      <c r="A1970" s="28" t="n">
        <v>46301.5244454398</v>
      </c>
      <c r="B1970" s="31" t="n">
        <f aca="false">(A1970-$A$5)*86400</f>
        <v>68.447999912</v>
      </c>
      <c r="C1970" s="27" t="n">
        <v>1.2003</v>
      </c>
      <c r="D1970" s="27" t="n">
        <v>1.3343</v>
      </c>
      <c r="E1970" s="27" t="s">
        <v>603</v>
      </c>
      <c r="F1970" s="27" t="s">
        <v>144</v>
      </c>
      <c r="G1970" s="32" t="n">
        <f aca="false">(A1970-A1969)*86400000</f>
        <v>15.999586</v>
      </c>
      <c r="H1970" s="3"/>
      <c r="I1970" s="3"/>
      <c r="J1970" s="3"/>
      <c r="K1970" s="3"/>
      <c r="L1970" s="3"/>
      <c r="M1970" s="3"/>
    </row>
    <row r="1971" customFormat="false" ht="15" hidden="false" customHeight="false" outlineLevel="0" collapsed="false">
      <c r="A1971" s="28" t="n">
        <v>46301.5244456366</v>
      </c>
      <c r="B1971" s="31" t="n">
        <f aca="false">(A1971-$A$5)*86400</f>
        <v>68.465000926</v>
      </c>
      <c r="C1971" s="27" t="n">
        <v>1.2006</v>
      </c>
      <c r="D1971" s="27" t="n">
        <v>1.3386</v>
      </c>
      <c r="E1971" s="27" t="s">
        <v>603</v>
      </c>
      <c r="F1971" s="27" t="s">
        <v>144</v>
      </c>
      <c r="G1971" s="32" t="n">
        <f aca="false">(A1971-A1970)*86400000</f>
        <v>17.001014</v>
      </c>
      <c r="H1971" s="3"/>
      <c r="I1971" s="3"/>
      <c r="J1971" s="3"/>
      <c r="K1971" s="3"/>
      <c r="L1971" s="3"/>
      <c r="M1971" s="3"/>
    </row>
    <row r="1972" customFormat="false" ht="15" hidden="false" customHeight="false" outlineLevel="0" collapsed="false">
      <c r="A1972" s="28" t="n">
        <v>46301.5244458218</v>
      </c>
      <c r="B1972" s="31" t="n">
        <f aca="false">(A1972-$A$5)*86400</f>
        <v>68.480999884</v>
      </c>
      <c r="C1972" s="27" t="n">
        <v>1.2008</v>
      </c>
      <c r="D1972" s="27" t="n">
        <v>1.3421</v>
      </c>
      <c r="E1972" s="27" t="s">
        <v>603</v>
      </c>
      <c r="F1972" s="27" t="s">
        <v>144</v>
      </c>
      <c r="G1972" s="32" t="n">
        <f aca="false">(A1972-A1971)*86400000</f>
        <v>15.998957</v>
      </c>
      <c r="H1972" s="3"/>
      <c r="I1972" s="3"/>
      <c r="J1972" s="3"/>
      <c r="K1972" s="3"/>
      <c r="L1972" s="3"/>
      <c r="M1972" s="3"/>
    </row>
    <row r="1973" customFormat="false" ht="15" hidden="false" customHeight="false" outlineLevel="0" collapsed="false">
      <c r="A1973" s="28" t="n">
        <v>46301.5244460069</v>
      </c>
      <c r="B1973" s="31" t="n">
        <f aca="false">(A1973-$A$5)*86400</f>
        <v>68.49699947</v>
      </c>
      <c r="C1973" s="27" t="n">
        <v>1.2011</v>
      </c>
      <c r="D1973" s="27" t="n">
        <v>1.3452</v>
      </c>
      <c r="E1973" s="27" t="s">
        <v>603</v>
      </c>
      <c r="F1973" s="27" t="s">
        <v>144</v>
      </c>
      <c r="G1973" s="32" t="n">
        <f aca="false">(A1973-A1972)*86400000</f>
        <v>15.999586</v>
      </c>
      <c r="H1973" s="3"/>
      <c r="I1973" s="3"/>
      <c r="J1973" s="3"/>
      <c r="K1973" s="3"/>
      <c r="L1973" s="3"/>
      <c r="M1973" s="3"/>
    </row>
    <row r="1974" customFormat="false" ht="15" hidden="false" customHeight="false" outlineLevel="0" collapsed="false">
      <c r="A1974" s="28" t="n">
        <v>46301.5244461921</v>
      </c>
      <c r="B1974" s="31" t="n">
        <f aca="false">(A1974-$A$5)*86400</f>
        <v>68.513000314</v>
      </c>
      <c r="C1974" s="27" t="n">
        <v>1.2012</v>
      </c>
      <c r="D1974" s="27" t="n">
        <v>1.3475</v>
      </c>
      <c r="E1974" s="27" t="s">
        <v>603</v>
      </c>
      <c r="F1974" s="27" t="s">
        <v>144</v>
      </c>
      <c r="G1974" s="32" t="n">
        <f aca="false">(A1974-A1973)*86400000</f>
        <v>16.000843</v>
      </c>
      <c r="H1974" s="3"/>
      <c r="I1974" s="3"/>
      <c r="J1974" s="3"/>
      <c r="K1974" s="3"/>
      <c r="L1974" s="3"/>
      <c r="M1974" s="3"/>
    </row>
    <row r="1975" customFormat="false" ht="15" hidden="false" customHeight="false" outlineLevel="0" collapsed="false">
      <c r="A1975" s="28" t="n">
        <v>46301.5244463889</v>
      </c>
      <c r="B1975" s="31" t="n">
        <f aca="false">(A1975-$A$5)*86400</f>
        <v>68.530000071</v>
      </c>
      <c r="C1975" s="27" t="n">
        <v>1.2014</v>
      </c>
      <c r="D1975" s="27" t="n">
        <v>1.3495</v>
      </c>
      <c r="E1975" s="27" t="s">
        <v>603</v>
      </c>
      <c r="F1975" s="27" t="s">
        <v>144</v>
      </c>
      <c r="G1975" s="32" t="n">
        <f aca="false">(A1975-A1974)*86400000</f>
        <v>16.999756</v>
      </c>
      <c r="H1975" s="3"/>
      <c r="I1975" s="3"/>
      <c r="J1975" s="3"/>
      <c r="K1975" s="3"/>
      <c r="L1975" s="3"/>
      <c r="M1975" s="3"/>
    </row>
    <row r="1976" customFormat="false" ht="15" hidden="false" customHeight="false" outlineLevel="0" collapsed="false">
      <c r="A1976" s="28" t="n">
        <v>46301.5244467593</v>
      </c>
      <c r="B1976" s="31" t="n">
        <f aca="false">(A1976-$A$5)*86400</f>
        <v>68.561999872</v>
      </c>
      <c r="C1976" s="27" t="n">
        <v>1.2016</v>
      </c>
      <c r="D1976" s="27" t="n">
        <v>1.3525</v>
      </c>
      <c r="E1976" s="27" t="s">
        <v>603</v>
      </c>
      <c r="F1976" s="27" t="s">
        <v>144</v>
      </c>
      <c r="G1976" s="32" t="n">
        <f aca="false">(A1976-A1975)*86400000</f>
        <v>31.999801</v>
      </c>
      <c r="H1976" s="3"/>
      <c r="I1976" s="3"/>
      <c r="J1976" s="3"/>
      <c r="K1976" s="3"/>
      <c r="L1976" s="3"/>
      <c r="M1976" s="3"/>
    </row>
    <row r="1977" customFormat="false" ht="15" hidden="false" customHeight="false" outlineLevel="0" collapsed="false">
      <c r="A1977" s="28" t="n">
        <v>46301.5244471412</v>
      </c>
      <c r="B1977" s="31" t="n">
        <f aca="false">(A1977-$A$5)*86400</f>
        <v>68.594999844</v>
      </c>
      <c r="C1977" s="27" t="n">
        <v>1.2017</v>
      </c>
      <c r="D1977" s="27" t="n">
        <v>1.3546</v>
      </c>
      <c r="E1977" s="27" t="s">
        <v>603</v>
      </c>
      <c r="F1977" s="27" t="s">
        <v>144</v>
      </c>
      <c r="G1977" s="32" t="n">
        <f aca="false">(A1977-A1976)*86400000</f>
        <v>32.999971</v>
      </c>
      <c r="H1977" s="3"/>
      <c r="I1977" s="3"/>
      <c r="J1977" s="3"/>
      <c r="K1977" s="3"/>
      <c r="L1977" s="3"/>
      <c r="M1977" s="3"/>
    </row>
    <row r="1978" customFormat="false" ht="15" hidden="false" customHeight="false" outlineLevel="0" collapsed="false">
      <c r="A1978" s="28" t="n">
        <v>46301.5244476852</v>
      </c>
      <c r="B1978" s="31" t="n">
        <f aca="false">(A1978-$A$5)*86400</f>
        <v>68.642000318</v>
      </c>
      <c r="C1978" s="27" t="n">
        <v>1.2018</v>
      </c>
      <c r="D1978" s="27" t="n">
        <v>1.3564</v>
      </c>
      <c r="E1978" s="27" t="s">
        <v>603</v>
      </c>
      <c r="F1978" s="27" t="s">
        <v>144</v>
      </c>
      <c r="G1978" s="32" t="n">
        <f aca="false">(A1978-A1977)*86400000</f>
        <v>47.000474</v>
      </c>
      <c r="H1978" s="3"/>
      <c r="I1978" s="3"/>
      <c r="J1978" s="3"/>
      <c r="K1978" s="3"/>
      <c r="L1978" s="3"/>
      <c r="M1978" s="3"/>
    </row>
    <row r="1979" customFormat="false" ht="15" hidden="false" customHeight="false" outlineLevel="0" collapsed="false">
      <c r="A1979" s="28" t="n">
        <v>46301.5244480671</v>
      </c>
      <c r="B1979" s="31" t="n">
        <f aca="false">(A1979-$A$5)*86400</f>
        <v>68.67500029</v>
      </c>
      <c r="C1979" s="27" t="n">
        <v>1.202</v>
      </c>
      <c r="D1979" s="27" t="n">
        <v>1.3588</v>
      </c>
      <c r="E1979" s="27" t="s">
        <v>603</v>
      </c>
      <c r="F1979" s="27" t="s">
        <v>144</v>
      </c>
      <c r="G1979" s="32" t="n">
        <f aca="false">(A1979-A1978)*86400000</f>
        <v>32.999971</v>
      </c>
      <c r="H1979" s="3"/>
      <c r="I1979" s="3"/>
      <c r="J1979" s="3"/>
      <c r="K1979" s="3"/>
      <c r="L1979" s="3"/>
      <c r="M1979" s="3"/>
    </row>
    <row r="1980" customFormat="false" ht="15" hidden="false" customHeight="false" outlineLevel="0" collapsed="false">
      <c r="A1980" s="28" t="n">
        <v>46301.5244672338</v>
      </c>
      <c r="B1980" s="31" t="n">
        <f aca="false">(A1980-$A$5)*86400</f>
        <v>70.330999279</v>
      </c>
      <c r="C1980" s="27" t="n">
        <v>1.0981</v>
      </c>
      <c r="D1980" s="27" t="n">
        <v>1.4363</v>
      </c>
      <c r="E1980" s="27" t="s">
        <v>603</v>
      </c>
      <c r="F1980" s="27" t="s">
        <v>144</v>
      </c>
      <c r="G1980" s="32" t="n">
        <f aca="false">(A1980-A1979)*86400000</f>
        <v>1655.998989</v>
      </c>
      <c r="H1980" s="3"/>
      <c r="I1980" s="3"/>
      <c r="J1980" s="3"/>
      <c r="K1980" s="3"/>
      <c r="L1980" s="3"/>
      <c r="M1980" s="3"/>
    </row>
    <row r="1981" customFormat="false" ht="15" hidden="false" customHeight="false" outlineLevel="0" collapsed="false">
      <c r="A1981" s="28" t="n">
        <v>46301.524467419</v>
      </c>
      <c r="B1981" s="31" t="n">
        <f aca="false">(A1981-$A$5)*86400</f>
        <v>70.347000123</v>
      </c>
      <c r="C1981" s="27" t="n">
        <v>1.0124</v>
      </c>
      <c r="D1981" s="27" t="n">
        <v>1.5002</v>
      </c>
      <c r="E1981" s="27" t="s">
        <v>603</v>
      </c>
      <c r="F1981" s="27" t="s">
        <v>144</v>
      </c>
      <c r="G1981" s="32" t="n">
        <f aca="false">(A1981-A1980)*86400000</f>
        <v>16.000843</v>
      </c>
      <c r="H1981" s="3"/>
      <c r="I1981" s="3"/>
      <c r="J1981" s="3"/>
      <c r="K1981" s="3"/>
      <c r="L1981" s="3"/>
      <c r="M1981" s="3"/>
    </row>
    <row r="1982" customFormat="false" ht="15" hidden="false" customHeight="false" outlineLevel="0" collapsed="false">
      <c r="A1982" s="28" t="n">
        <v>46301.5244676042</v>
      </c>
      <c r="B1982" s="31" t="n">
        <f aca="false">(A1982-$A$5)*86400</f>
        <v>70.363000337</v>
      </c>
      <c r="C1982" s="27" t="n">
        <v>0.9416</v>
      </c>
      <c r="D1982" s="27" t="n">
        <v>1.553</v>
      </c>
      <c r="E1982" s="27" t="s">
        <v>603</v>
      </c>
      <c r="F1982" s="27" t="s">
        <v>144</v>
      </c>
      <c r="G1982" s="32" t="n">
        <f aca="false">(A1982-A1981)*86400000</f>
        <v>16.000214</v>
      </c>
      <c r="H1982" s="3"/>
      <c r="I1982" s="3"/>
      <c r="J1982" s="3"/>
      <c r="K1982" s="3"/>
      <c r="L1982" s="3"/>
      <c r="M1982" s="3"/>
    </row>
    <row r="1983" customFormat="false" ht="15" hidden="false" customHeight="false" outlineLevel="0" collapsed="false">
      <c r="A1983" s="28" t="n">
        <v>46301.5244677778</v>
      </c>
      <c r="B1983" s="31" t="n">
        <f aca="false">(A1983-$A$5)*86400</f>
        <v>70.378000382</v>
      </c>
      <c r="C1983" s="27" t="n">
        <v>0.8832</v>
      </c>
      <c r="D1983" s="27" t="n">
        <v>1.5966</v>
      </c>
      <c r="E1983" s="27" t="s">
        <v>603</v>
      </c>
      <c r="F1983" s="27" t="s">
        <v>144</v>
      </c>
      <c r="G1983" s="32" t="n">
        <f aca="false">(A1983-A1982)*86400000</f>
        <v>15.000044</v>
      </c>
      <c r="H1983" s="3"/>
      <c r="I1983" s="3"/>
      <c r="J1983" s="3"/>
      <c r="K1983" s="3"/>
      <c r="L1983" s="3"/>
      <c r="M1983" s="3"/>
    </row>
    <row r="1984" customFormat="false" ht="15" hidden="false" customHeight="false" outlineLevel="0" collapsed="false">
      <c r="A1984" s="28" t="n">
        <v>46301.5244679745</v>
      </c>
      <c r="B1984" s="31" t="n">
        <f aca="false">(A1984-$A$5)*86400</f>
        <v>70.395000139</v>
      </c>
      <c r="C1984" s="27" t="n">
        <v>0.835</v>
      </c>
      <c r="D1984" s="27" t="n">
        <v>1.6325</v>
      </c>
      <c r="E1984" s="27" t="s">
        <v>603</v>
      </c>
      <c r="F1984" s="27" t="s">
        <v>144</v>
      </c>
      <c r="G1984" s="32" t="n">
        <f aca="false">(A1984-A1983)*86400000</f>
        <v>16.999756</v>
      </c>
      <c r="H1984" s="3"/>
      <c r="I1984" s="3"/>
      <c r="J1984" s="3"/>
      <c r="K1984" s="3"/>
      <c r="L1984" s="3"/>
      <c r="M1984" s="3"/>
    </row>
    <row r="1985" customFormat="false" ht="15" hidden="false" customHeight="false" outlineLevel="0" collapsed="false">
      <c r="A1985" s="28" t="n">
        <v>46301.5244681597</v>
      </c>
      <c r="B1985" s="31" t="n">
        <f aca="false">(A1985-$A$5)*86400</f>
        <v>70.411000982</v>
      </c>
      <c r="C1985" s="27" t="n">
        <v>0.793</v>
      </c>
      <c r="D1985" s="27" t="n">
        <v>1.6639</v>
      </c>
      <c r="E1985" s="27" t="s">
        <v>603</v>
      </c>
      <c r="F1985" s="27" t="s">
        <v>144</v>
      </c>
      <c r="G1985" s="32" t="n">
        <f aca="false">(A1985-A1984)*86400000</f>
        <v>16.000843</v>
      </c>
      <c r="H1985" s="3"/>
      <c r="I1985" s="3"/>
      <c r="J1985" s="3"/>
      <c r="K1985" s="3"/>
      <c r="L1985" s="3"/>
      <c r="M1985" s="3"/>
    </row>
    <row r="1986" customFormat="false" ht="15" hidden="false" customHeight="false" outlineLevel="0" collapsed="false">
      <c r="A1986" s="28" t="n">
        <v>46301.5244683565</v>
      </c>
      <c r="B1986" s="31" t="n">
        <f aca="false">(A1986-$A$5)*86400</f>
        <v>70.428000111</v>
      </c>
      <c r="C1986" s="27" t="n">
        <v>0.7605</v>
      </c>
      <c r="D1986" s="27" t="n">
        <v>1.6881</v>
      </c>
      <c r="E1986" s="27" t="s">
        <v>603</v>
      </c>
      <c r="F1986" s="27" t="s">
        <v>144</v>
      </c>
      <c r="G1986" s="32" t="n">
        <f aca="false">(A1986-A1985)*86400000</f>
        <v>16.999128</v>
      </c>
      <c r="H1986" s="3"/>
      <c r="I1986" s="3"/>
      <c r="J1986" s="3"/>
      <c r="K1986" s="3"/>
      <c r="L1986" s="3"/>
      <c r="M1986" s="3"/>
    </row>
    <row r="1987" customFormat="false" ht="15" hidden="false" customHeight="false" outlineLevel="0" collapsed="false">
      <c r="A1987" s="28" t="n">
        <v>46301.5244685417</v>
      </c>
      <c r="B1987" s="31" t="n">
        <f aca="false">(A1987-$A$5)*86400</f>
        <v>70.444000326</v>
      </c>
      <c r="C1987" s="27" t="n">
        <v>0.7338</v>
      </c>
      <c r="D1987" s="27" t="n">
        <v>1.708</v>
      </c>
      <c r="E1987" s="27" t="s">
        <v>603</v>
      </c>
      <c r="F1987" s="27" t="s">
        <v>144</v>
      </c>
      <c r="G1987" s="32" t="n">
        <f aca="false">(A1987-A1986)*86400000</f>
        <v>16.000214</v>
      </c>
      <c r="H1987" s="3"/>
      <c r="I1987" s="3"/>
      <c r="J1987" s="3"/>
      <c r="K1987" s="3"/>
      <c r="L1987" s="3"/>
      <c r="M1987" s="3"/>
    </row>
    <row r="1988" customFormat="false" ht="15" hidden="false" customHeight="false" outlineLevel="0" collapsed="false">
      <c r="A1988" s="28" t="n">
        <v>46301.5244687269</v>
      </c>
      <c r="B1988" s="31" t="n">
        <f aca="false">(A1988-$A$5)*86400</f>
        <v>70.459999912</v>
      </c>
      <c r="C1988" s="27" t="n">
        <v>0.7117</v>
      </c>
      <c r="D1988" s="27" t="n">
        <v>1.7245</v>
      </c>
      <c r="E1988" s="27" t="s">
        <v>603</v>
      </c>
      <c r="F1988" s="27" t="s">
        <v>144</v>
      </c>
      <c r="G1988" s="32" t="n">
        <f aca="false">(A1988-A1987)*86400000</f>
        <v>15.999586</v>
      </c>
      <c r="H1988" s="3"/>
      <c r="I1988" s="3"/>
      <c r="J1988" s="3"/>
      <c r="K1988" s="3"/>
      <c r="L1988" s="3"/>
      <c r="M1988" s="3"/>
    </row>
    <row r="1989" customFormat="false" ht="15" hidden="false" customHeight="false" outlineLevel="0" collapsed="false">
      <c r="A1989" s="28" t="n">
        <v>46301.5244689005</v>
      </c>
      <c r="B1989" s="31" t="n">
        <f aca="false">(A1989-$A$5)*86400</f>
        <v>70.474999956</v>
      </c>
      <c r="C1989" s="27" t="n">
        <v>0.6934</v>
      </c>
      <c r="D1989" s="27" t="n">
        <v>1.7381</v>
      </c>
      <c r="E1989" s="27" t="s">
        <v>603</v>
      </c>
      <c r="F1989" s="27" t="s">
        <v>144</v>
      </c>
      <c r="G1989" s="32" t="n">
        <f aca="false">(A1989-A1988)*86400000</f>
        <v>15.000044</v>
      </c>
      <c r="H1989" s="3"/>
      <c r="I1989" s="3"/>
      <c r="J1989" s="3"/>
      <c r="K1989" s="3"/>
      <c r="L1989" s="3"/>
      <c r="M1989" s="3"/>
    </row>
    <row r="1990" customFormat="false" ht="15" hidden="false" customHeight="false" outlineLevel="0" collapsed="false">
      <c r="A1990" s="28" t="n">
        <v>46301.5244690857</v>
      </c>
      <c r="B1990" s="31" t="n">
        <f aca="false">(A1990-$A$5)*86400</f>
        <v>70.491000171</v>
      </c>
      <c r="C1990" s="27" t="n">
        <v>0.6784</v>
      </c>
      <c r="D1990" s="27" t="n">
        <v>1.7493</v>
      </c>
      <c r="E1990" s="27" t="s">
        <v>603</v>
      </c>
      <c r="F1990" s="27" t="s">
        <v>144</v>
      </c>
      <c r="G1990" s="32" t="n">
        <f aca="false">(A1990-A1989)*86400000</f>
        <v>16.000214</v>
      </c>
      <c r="H1990" s="3"/>
      <c r="I1990" s="3"/>
      <c r="J1990" s="3"/>
      <c r="K1990" s="3"/>
      <c r="L1990" s="3"/>
      <c r="M1990" s="3"/>
    </row>
    <row r="1991" customFormat="false" ht="15" hidden="false" customHeight="false" outlineLevel="0" collapsed="false">
      <c r="A1991" s="28" t="n">
        <v>46301.5244692708</v>
      </c>
      <c r="B1991" s="31" t="n">
        <f aca="false">(A1991-$A$5)*86400</f>
        <v>70.507000386</v>
      </c>
      <c r="C1991" s="27" t="n">
        <v>0.666</v>
      </c>
      <c r="D1991" s="27" t="n">
        <v>1.7586</v>
      </c>
      <c r="E1991" s="27" t="s">
        <v>603</v>
      </c>
      <c r="F1991" s="27" t="s">
        <v>144</v>
      </c>
      <c r="G1991" s="32" t="n">
        <f aca="false">(A1991-A1990)*86400000</f>
        <v>16.000214</v>
      </c>
      <c r="H1991" s="3"/>
      <c r="I1991" s="3"/>
      <c r="J1991" s="3"/>
      <c r="K1991" s="3"/>
      <c r="L1991" s="3"/>
      <c r="M1991" s="3"/>
    </row>
    <row r="1992" customFormat="false" ht="15" hidden="false" customHeight="false" outlineLevel="0" collapsed="false">
      <c r="A1992" s="28" t="n">
        <v>46301.524469456</v>
      </c>
      <c r="B1992" s="31" t="n">
        <f aca="false">(A1992-$A$5)*86400</f>
        <v>70.522999973</v>
      </c>
      <c r="C1992" s="27" t="n">
        <v>0.6557</v>
      </c>
      <c r="D1992" s="27" t="n">
        <v>1.7662</v>
      </c>
      <c r="E1992" s="27" t="s">
        <v>603</v>
      </c>
      <c r="F1992" s="27" t="s">
        <v>144</v>
      </c>
      <c r="G1992" s="32" t="n">
        <f aca="false">(A1992-A1991)*86400000</f>
        <v>15.999586</v>
      </c>
      <c r="H1992" s="3"/>
      <c r="I1992" s="3"/>
      <c r="J1992" s="3"/>
      <c r="K1992" s="3"/>
      <c r="L1992" s="3"/>
      <c r="M1992" s="3"/>
    </row>
    <row r="1993" customFormat="false" ht="15" hidden="false" customHeight="false" outlineLevel="0" collapsed="false">
      <c r="A1993" s="28" t="n">
        <v>46301.5244696412</v>
      </c>
      <c r="B1993" s="31" t="n">
        <f aca="false">(A1993-$A$5)*86400</f>
        <v>70.538999559</v>
      </c>
      <c r="C1993" s="27" t="n">
        <v>0.6473</v>
      </c>
      <c r="D1993" s="27" t="n">
        <v>1.7726</v>
      </c>
      <c r="E1993" s="27" t="s">
        <v>603</v>
      </c>
      <c r="F1993" s="27" t="s">
        <v>144</v>
      </c>
      <c r="G1993" s="32" t="n">
        <f aca="false">(A1993-A1992)*86400000</f>
        <v>15.999586</v>
      </c>
      <c r="H1993" s="3"/>
      <c r="I1993" s="3"/>
      <c r="J1993" s="3"/>
      <c r="K1993" s="3"/>
      <c r="L1993" s="3"/>
      <c r="M1993" s="3"/>
    </row>
    <row r="1994" customFormat="false" ht="15" hidden="false" customHeight="false" outlineLevel="0" collapsed="false">
      <c r="A1994" s="28" t="n">
        <v>46301.5244698264</v>
      </c>
      <c r="B1994" s="31" t="n">
        <f aca="false">(A1994-$A$5)*86400</f>
        <v>70.555000402</v>
      </c>
      <c r="C1994" s="27" t="n">
        <v>0.6403</v>
      </c>
      <c r="D1994" s="27" t="n">
        <v>1.7778</v>
      </c>
      <c r="E1994" s="27" t="s">
        <v>603</v>
      </c>
      <c r="F1994" s="27" t="s">
        <v>144</v>
      </c>
      <c r="G1994" s="32" t="n">
        <f aca="false">(A1994-A1993)*86400000</f>
        <v>16.000843</v>
      </c>
      <c r="H1994" s="3"/>
      <c r="I1994" s="3"/>
      <c r="J1994" s="3"/>
      <c r="K1994" s="3"/>
      <c r="L1994" s="3"/>
      <c r="M1994" s="3"/>
    </row>
    <row r="1995" customFormat="false" ht="15" hidden="false" customHeight="false" outlineLevel="0" collapsed="false">
      <c r="A1995" s="28" t="n">
        <v>46301.5244700116</v>
      </c>
      <c r="B1995" s="31" t="n">
        <f aca="false">(A1995-$A$5)*86400</f>
        <v>70.570999989</v>
      </c>
      <c r="C1995" s="27" t="n">
        <v>0.6345</v>
      </c>
      <c r="D1995" s="27" t="n">
        <v>1.7821</v>
      </c>
      <c r="E1995" s="27" t="s">
        <v>603</v>
      </c>
      <c r="F1995" s="27" t="s">
        <v>144</v>
      </c>
      <c r="G1995" s="32" t="n">
        <f aca="false">(A1995-A1994)*86400000</f>
        <v>15.999586</v>
      </c>
      <c r="H1995" s="3"/>
      <c r="I1995" s="3"/>
      <c r="J1995" s="3"/>
      <c r="K1995" s="3"/>
      <c r="L1995" s="3"/>
      <c r="M1995" s="3"/>
    </row>
    <row r="1996" customFormat="false" ht="15" hidden="false" customHeight="false" outlineLevel="0" collapsed="false">
      <c r="A1996" s="28" t="n">
        <v>46301.5244702083</v>
      </c>
      <c r="B1996" s="31" t="n">
        <f aca="false">(A1996-$A$5)*86400</f>
        <v>70.588000374</v>
      </c>
      <c r="C1996" s="27" t="n">
        <v>0.629</v>
      </c>
      <c r="D1996" s="27" t="n">
        <v>1.7848</v>
      </c>
      <c r="E1996" s="27" t="s">
        <v>603</v>
      </c>
      <c r="F1996" s="27" t="s">
        <v>144</v>
      </c>
      <c r="G1996" s="32" t="n">
        <f aca="false">(A1996-A1995)*86400000</f>
        <v>17.000385</v>
      </c>
      <c r="H1996" s="3"/>
      <c r="I1996" s="3"/>
      <c r="J1996" s="3"/>
      <c r="K1996" s="3"/>
      <c r="L1996" s="3"/>
      <c r="M1996" s="3"/>
    </row>
    <row r="1997" customFormat="false" ht="15" hidden="false" customHeight="false" outlineLevel="0" collapsed="false">
      <c r="A1997" s="28" t="n">
        <v>46301.524470382</v>
      </c>
      <c r="B1997" s="31" t="n">
        <f aca="false">(A1997-$A$5)*86400</f>
        <v>70.603000419</v>
      </c>
      <c r="C1997" s="27" t="n">
        <v>0.6248</v>
      </c>
      <c r="D1997" s="27" t="n">
        <v>1.7869</v>
      </c>
      <c r="E1997" s="27" t="s">
        <v>603</v>
      </c>
      <c r="F1997" s="27" t="s">
        <v>144</v>
      </c>
      <c r="G1997" s="32" t="n">
        <f aca="false">(A1997-A1996)*86400000</f>
        <v>15.000044</v>
      </c>
      <c r="H1997" s="3"/>
      <c r="I1997" s="3"/>
      <c r="J1997" s="3"/>
      <c r="K1997" s="3"/>
      <c r="L1997" s="3"/>
      <c r="M1997" s="3"/>
    </row>
    <row r="1998" customFormat="false" ht="15" hidden="false" customHeight="false" outlineLevel="0" collapsed="false">
      <c r="A1998" s="28" t="n">
        <v>46301.5244705671</v>
      </c>
      <c r="B1998" s="31" t="n">
        <f aca="false">(A1998-$A$5)*86400</f>
        <v>70.619000005</v>
      </c>
      <c r="C1998" s="27" t="n">
        <v>0.6213</v>
      </c>
      <c r="D1998" s="27" t="n">
        <v>1.7886</v>
      </c>
      <c r="E1998" s="27" t="s">
        <v>603</v>
      </c>
      <c r="F1998" s="27" t="s">
        <v>144</v>
      </c>
      <c r="G1998" s="32" t="n">
        <f aca="false">(A1998-A1997)*86400000</f>
        <v>15.999586</v>
      </c>
      <c r="H1998" s="3"/>
      <c r="I1998" s="3"/>
      <c r="J1998" s="3"/>
      <c r="K1998" s="3"/>
      <c r="L1998" s="3"/>
      <c r="M1998" s="3"/>
    </row>
    <row r="1999" customFormat="false" ht="15" hidden="false" customHeight="false" outlineLevel="0" collapsed="false">
      <c r="A1999" s="28" t="n">
        <v>46301.5244707523</v>
      </c>
      <c r="B1999" s="31" t="n">
        <f aca="false">(A1999-$A$5)*86400</f>
        <v>70.635000849</v>
      </c>
      <c r="C1999" s="27" t="n">
        <v>0.6184</v>
      </c>
      <c r="D1999" s="27" t="n">
        <v>1.7901</v>
      </c>
      <c r="E1999" s="27" t="s">
        <v>603</v>
      </c>
      <c r="F1999" s="27" t="s">
        <v>144</v>
      </c>
      <c r="G1999" s="32" t="n">
        <f aca="false">(A1999-A1998)*86400000</f>
        <v>16.000843</v>
      </c>
      <c r="H1999" s="3"/>
      <c r="I1999" s="3"/>
      <c r="J1999" s="3"/>
      <c r="K1999" s="3"/>
      <c r="L1999" s="3"/>
      <c r="M1999" s="3"/>
    </row>
    <row r="2000" customFormat="false" ht="15" hidden="false" customHeight="false" outlineLevel="0" collapsed="false">
      <c r="A2000" s="28" t="n">
        <v>46301.5244709375</v>
      </c>
      <c r="B2000" s="31" t="n">
        <f aca="false">(A2000-$A$5)*86400</f>
        <v>70.650999806</v>
      </c>
      <c r="C2000" s="27" t="n">
        <v>0.616</v>
      </c>
      <c r="D2000" s="27" t="n">
        <v>1.7912</v>
      </c>
      <c r="E2000" s="27" t="s">
        <v>603</v>
      </c>
      <c r="F2000" s="27" t="s">
        <v>144</v>
      </c>
      <c r="G2000" s="32" t="n">
        <f aca="false">(A2000-A1999)*86400000</f>
        <v>15.998957</v>
      </c>
      <c r="H2000" s="3"/>
      <c r="I2000" s="3"/>
      <c r="J2000" s="3"/>
      <c r="K2000" s="3"/>
      <c r="L2000" s="3"/>
      <c r="M2000" s="3"/>
    </row>
    <row r="2001" customFormat="false" ht="15" hidden="false" customHeight="false" outlineLevel="0" collapsed="false">
      <c r="A2001" s="28" t="n">
        <v>46301.5244711343</v>
      </c>
      <c r="B2001" s="31" t="n">
        <f aca="false">(A2001-$A$5)*86400</f>
        <v>70.668000192</v>
      </c>
      <c r="C2001" s="27" t="n">
        <v>0.6139</v>
      </c>
      <c r="D2001" s="27" t="n">
        <v>1.7923</v>
      </c>
      <c r="E2001" s="27" t="s">
        <v>603</v>
      </c>
      <c r="F2001" s="27" t="s">
        <v>144</v>
      </c>
      <c r="G2001" s="32" t="n">
        <f aca="false">(A2001-A2000)*86400000</f>
        <v>17.000385</v>
      </c>
      <c r="H2001" s="3"/>
      <c r="I2001" s="3"/>
      <c r="J2001" s="3"/>
      <c r="K2001" s="3"/>
      <c r="L2001" s="3"/>
      <c r="M2001" s="3"/>
    </row>
    <row r="2002" customFormat="false" ht="15" hidden="false" customHeight="false" outlineLevel="0" collapsed="false">
      <c r="A2002" s="28" t="n">
        <v>46301.524471331</v>
      </c>
      <c r="B2002" s="31" t="n">
        <f aca="false">(A2002-$A$5)*86400</f>
        <v>70.684999949</v>
      </c>
      <c r="C2002" s="27" t="n">
        <v>0.6122</v>
      </c>
      <c r="D2002" s="27" t="n">
        <v>1.7931</v>
      </c>
      <c r="E2002" s="27" t="s">
        <v>603</v>
      </c>
      <c r="F2002" s="27" t="s">
        <v>144</v>
      </c>
      <c r="G2002" s="32" t="n">
        <f aca="false">(A2002-A2001)*86400000</f>
        <v>16.999756</v>
      </c>
      <c r="H2002" s="3"/>
      <c r="I2002" s="3"/>
      <c r="J2002" s="3"/>
      <c r="K2002" s="3"/>
      <c r="L2002" s="3"/>
      <c r="M2002" s="3"/>
    </row>
    <row r="2003" customFormat="false" ht="15" hidden="false" customHeight="false" outlineLevel="0" collapsed="false">
      <c r="A2003" s="28" t="n">
        <v>46301.5244715162</v>
      </c>
      <c r="B2003" s="31" t="n">
        <f aca="false">(A2003-$A$5)*86400</f>
        <v>70.700999535</v>
      </c>
      <c r="C2003" s="27" t="n">
        <v>0.6109</v>
      </c>
      <c r="D2003" s="27" t="n">
        <v>1.7938</v>
      </c>
      <c r="E2003" s="27" t="s">
        <v>603</v>
      </c>
      <c r="F2003" s="27" t="s">
        <v>144</v>
      </c>
      <c r="G2003" s="32" t="n">
        <f aca="false">(A2003-A2002)*86400000</f>
        <v>15.999586</v>
      </c>
      <c r="H2003" s="3"/>
      <c r="I2003" s="3"/>
      <c r="J2003" s="3"/>
      <c r="K2003" s="3"/>
      <c r="L2003" s="3"/>
      <c r="M2003" s="3"/>
    </row>
    <row r="2004" customFormat="false" ht="15" hidden="false" customHeight="false" outlineLevel="0" collapsed="false">
      <c r="A2004" s="28" t="n">
        <v>46301.5244717014</v>
      </c>
      <c r="B2004" s="31" t="n">
        <f aca="false">(A2004-$A$5)*86400</f>
        <v>70.717000379</v>
      </c>
      <c r="C2004" s="27" t="n">
        <v>0.6098</v>
      </c>
      <c r="D2004" s="27" t="n">
        <v>1.7943</v>
      </c>
      <c r="E2004" s="27" t="s">
        <v>603</v>
      </c>
      <c r="F2004" s="27" t="s">
        <v>144</v>
      </c>
      <c r="G2004" s="32" t="n">
        <f aca="false">(A2004-A2003)*86400000</f>
        <v>16.000843</v>
      </c>
      <c r="H2004" s="3"/>
      <c r="I2004" s="3"/>
      <c r="J2004" s="3"/>
      <c r="K2004" s="3"/>
      <c r="L2004" s="3"/>
      <c r="M2004" s="3"/>
    </row>
    <row r="2005" customFormat="false" ht="15" hidden="false" customHeight="false" outlineLevel="0" collapsed="false">
      <c r="A2005" s="28" t="n">
        <v>46301.5244720833</v>
      </c>
      <c r="B2005" s="31" t="n">
        <f aca="false">(A2005-$A$5)*86400</f>
        <v>70.750000979</v>
      </c>
      <c r="C2005" s="27" t="n">
        <v>0.6082</v>
      </c>
      <c r="D2005" s="27" t="n">
        <v>1.7951</v>
      </c>
      <c r="E2005" s="27" t="s">
        <v>603</v>
      </c>
      <c r="F2005" s="27" t="s">
        <v>144</v>
      </c>
      <c r="G2005" s="32" t="n">
        <f aca="false">(A2005-A2004)*86400000</f>
        <v>33.0006</v>
      </c>
      <c r="H2005" s="3"/>
      <c r="I2005" s="3"/>
      <c r="J2005" s="3"/>
      <c r="K2005" s="3"/>
      <c r="L2005" s="3"/>
      <c r="M2005" s="3"/>
    </row>
    <row r="2006" customFormat="false" ht="15" hidden="false" customHeight="false" outlineLevel="0" collapsed="false">
      <c r="A2006" s="28" t="n">
        <v>46301.524472662</v>
      </c>
      <c r="B2006" s="31" t="n">
        <f aca="false">(A2006-$A$5)*86400</f>
        <v>70.800000079</v>
      </c>
      <c r="C2006" s="27" t="n">
        <v>0.6052</v>
      </c>
      <c r="D2006" s="27" t="n">
        <v>1.7929</v>
      </c>
      <c r="E2006" s="27" t="s">
        <v>603</v>
      </c>
      <c r="F2006" s="27" t="s">
        <v>144</v>
      </c>
      <c r="G2006" s="32" t="n">
        <f aca="false">(A2006-A2005)*86400000</f>
        <v>49.9991</v>
      </c>
      <c r="H2006" s="3"/>
      <c r="I2006" s="3"/>
      <c r="J2006" s="3"/>
      <c r="K2006" s="3"/>
      <c r="L2006" s="3"/>
      <c r="M2006" s="3"/>
    </row>
    <row r="2007" customFormat="false" ht="15" hidden="false" customHeight="false" outlineLevel="0" collapsed="false">
      <c r="A2007" s="28" t="n">
        <v>46301.5244728472</v>
      </c>
      <c r="B2007" s="31" t="n">
        <f aca="false">(A2007-$A$5)*86400</f>
        <v>70.815999666</v>
      </c>
      <c r="C2007" s="27" t="n">
        <v>0.6038</v>
      </c>
      <c r="D2007" s="27" t="n">
        <v>1.7908</v>
      </c>
      <c r="E2007" s="27" t="s">
        <v>603</v>
      </c>
      <c r="F2007" s="27" t="s">
        <v>144</v>
      </c>
      <c r="G2007" s="32" t="n">
        <f aca="false">(A2007-A2006)*86400000</f>
        <v>15.999586</v>
      </c>
      <c r="H2007" s="3"/>
      <c r="I2007" s="3"/>
      <c r="J2007" s="3"/>
      <c r="K2007" s="3"/>
      <c r="L2007" s="3"/>
      <c r="M2007" s="3"/>
    </row>
    <row r="2008" customFormat="false" ht="15" hidden="false" customHeight="false" outlineLevel="0" collapsed="false">
      <c r="A2008" s="28" t="n">
        <v>46301.524473044</v>
      </c>
      <c r="B2008" s="31" t="n">
        <f aca="false">(A2008-$A$5)*86400</f>
        <v>70.833000051</v>
      </c>
      <c r="C2008" s="27" t="n">
        <v>0.6027</v>
      </c>
      <c r="D2008" s="27" t="n">
        <v>1.7891</v>
      </c>
      <c r="E2008" s="27" t="s">
        <v>603</v>
      </c>
      <c r="F2008" s="27" t="s">
        <v>144</v>
      </c>
      <c r="G2008" s="32" t="n">
        <f aca="false">(A2008-A2007)*86400000</f>
        <v>17.000385</v>
      </c>
      <c r="H2008" s="3"/>
      <c r="I2008" s="3"/>
      <c r="J2008" s="3"/>
      <c r="K2008" s="3"/>
      <c r="L2008" s="3"/>
      <c r="M2008" s="3"/>
    </row>
    <row r="2009" customFormat="false" ht="15" hidden="false" customHeight="false" outlineLevel="0" collapsed="false">
      <c r="A2009" s="28" t="n">
        <v>46301.5244734144</v>
      </c>
      <c r="B2009" s="31" t="n">
        <f aca="false">(A2009-$A$5)*86400</f>
        <v>70.864999853</v>
      </c>
      <c r="C2009" s="27" t="n">
        <v>0.601</v>
      </c>
      <c r="D2009" s="27" t="n">
        <v>1.7865</v>
      </c>
      <c r="E2009" s="27" t="s">
        <v>603</v>
      </c>
      <c r="F2009" s="27" t="s">
        <v>144</v>
      </c>
      <c r="G2009" s="32" t="n">
        <f aca="false">(A2009-A2008)*86400000</f>
        <v>31.999801</v>
      </c>
      <c r="H2009" s="3"/>
      <c r="I2009" s="3"/>
      <c r="J2009" s="3"/>
      <c r="K2009" s="3"/>
      <c r="L2009" s="3"/>
      <c r="M2009" s="3"/>
    </row>
    <row r="2010" customFormat="false" ht="15" hidden="false" customHeight="false" outlineLevel="0" collapsed="false">
      <c r="A2010" s="28" t="n">
        <v>46301.5244737847</v>
      </c>
      <c r="B2010" s="31" t="n">
        <f aca="false">(A2010-$A$5)*86400</f>
        <v>70.896999654</v>
      </c>
      <c r="C2010" s="27" t="n">
        <v>0.5998</v>
      </c>
      <c r="D2010" s="27" t="n">
        <v>1.7847</v>
      </c>
      <c r="E2010" s="27" t="s">
        <v>603</v>
      </c>
      <c r="F2010" s="27" t="s">
        <v>144</v>
      </c>
      <c r="G2010" s="32" t="n">
        <f aca="false">(A2010-A2009)*86400000</f>
        <v>31.999801</v>
      </c>
      <c r="H2010" s="3"/>
      <c r="I2010" s="3"/>
      <c r="J2010" s="3"/>
      <c r="K2010" s="3"/>
      <c r="L2010" s="3"/>
      <c r="M2010" s="3"/>
    </row>
    <row r="2011" customFormat="false" ht="15" hidden="false" customHeight="false" outlineLevel="0" collapsed="false">
      <c r="A2011" s="28" t="n">
        <v>46301.5244743403</v>
      </c>
      <c r="B2011" s="31" t="n">
        <f aca="false">(A2011-$A$5)*86400</f>
        <v>70.945000299</v>
      </c>
      <c r="C2011" s="27" t="n">
        <v>0.5987</v>
      </c>
      <c r="D2011" s="27" t="n">
        <v>1.783</v>
      </c>
      <c r="E2011" s="27" t="s">
        <v>603</v>
      </c>
      <c r="F2011" s="27" t="s">
        <v>144</v>
      </c>
      <c r="G2011" s="32" t="n">
        <f aca="false">(A2011-A2010)*86400000</f>
        <v>48.000644</v>
      </c>
      <c r="H2011" s="3"/>
      <c r="I2011" s="3"/>
      <c r="J2011" s="3"/>
      <c r="K2011" s="3"/>
      <c r="L2011" s="3"/>
      <c r="M2011" s="3"/>
    </row>
    <row r="2012" customFormat="false" ht="15" hidden="false" customHeight="false" outlineLevel="0" collapsed="false">
      <c r="A2012" s="28" t="n">
        <v>46301.524474919</v>
      </c>
      <c r="B2012" s="31" t="n">
        <f aca="false">(A2012-$A$5)*86400</f>
        <v>70.995000028</v>
      </c>
      <c r="C2012" s="27" t="n">
        <v>0.5973</v>
      </c>
      <c r="D2012" s="27" t="n">
        <v>1.7809</v>
      </c>
      <c r="E2012" s="27" t="s">
        <v>603</v>
      </c>
      <c r="F2012" s="27" t="s">
        <v>144</v>
      </c>
      <c r="G2012" s="32" t="n">
        <f aca="false">(A2012-A2011)*86400000</f>
        <v>49.999728</v>
      </c>
      <c r="H2012" s="3"/>
      <c r="I2012" s="3"/>
      <c r="J2012" s="3"/>
      <c r="K2012" s="3"/>
      <c r="L2012" s="3"/>
      <c r="M2012" s="3"/>
    </row>
    <row r="2013" customFormat="false" ht="15" hidden="false" customHeight="false" outlineLevel="0" collapsed="false">
      <c r="A2013" s="28" t="n">
        <v>46301.5244758449</v>
      </c>
      <c r="B2013" s="31" t="n">
        <f aca="false">(A2013-$A$5)*86400</f>
        <v>71.074999216</v>
      </c>
      <c r="C2013" s="27" t="n">
        <v>0.596</v>
      </c>
      <c r="D2013" s="27" t="n">
        <v>1.7781</v>
      </c>
      <c r="E2013" s="27" t="s">
        <v>603</v>
      </c>
      <c r="F2013" s="27" t="s">
        <v>144</v>
      </c>
      <c r="G2013" s="32" t="n">
        <f aca="false">(A2013-A2012)*86400000</f>
        <v>79.999188</v>
      </c>
      <c r="H2013" s="3"/>
      <c r="I2013" s="3"/>
      <c r="J2013" s="3"/>
      <c r="K2013" s="3"/>
      <c r="L2013" s="3"/>
      <c r="M2013" s="3"/>
    </row>
    <row r="2014" customFormat="false" ht="15" hidden="false" customHeight="false" outlineLevel="0" collapsed="false">
      <c r="A2014" s="28" t="n">
        <v>46301.5244760301</v>
      </c>
      <c r="B2014" s="31" t="n">
        <f aca="false">(A2014-$A$5)*86400</f>
        <v>71.09100006</v>
      </c>
      <c r="C2014" s="27" t="n">
        <v>0.5949</v>
      </c>
      <c r="D2014" s="27" t="n">
        <v>1.7758</v>
      </c>
      <c r="E2014" s="27" t="s">
        <v>603</v>
      </c>
      <c r="F2014" s="27" t="s">
        <v>144</v>
      </c>
      <c r="G2014" s="32" t="n">
        <f aca="false">(A2014-A2013)*86400000</f>
        <v>16.000843</v>
      </c>
      <c r="H2014" s="3"/>
      <c r="I2014" s="3"/>
      <c r="J2014" s="3"/>
      <c r="K2014" s="3"/>
      <c r="L2014" s="3"/>
      <c r="M2014" s="3"/>
    </row>
    <row r="2015" customFormat="false" ht="15" hidden="false" customHeight="false" outlineLevel="0" collapsed="false">
      <c r="A2015" s="28" t="n">
        <v>46301.5244762153</v>
      </c>
      <c r="B2015" s="31" t="n">
        <f aca="false">(A2015-$A$5)*86400</f>
        <v>71.107000275</v>
      </c>
      <c r="C2015" s="27" t="n">
        <v>0.594</v>
      </c>
      <c r="D2015" s="27" t="n">
        <v>1.7738</v>
      </c>
      <c r="E2015" s="27" t="s">
        <v>603</v>
      </c>
      <c r="F2015" s="27" t="s">
        <v>144</v>
      </c>
      <c r="G2015" s="32" t="n">
        <f aca="false">(A2015-A2014)*86400000</f>
        <v>16.000214</v>
      </c>
      <c r="H2015" s="3"/>
      <c r="I2015" s="3"/>
      <c r="J2015" s="3"/>
      <c r="K2015" s="3"/>
      <c r="L2015" s="3"/>
      <c r="M2015" s="3"/>
    </row>
    <row r="2016" customFormat="false" ht="15" hidden="false" customHeight="false" outlineLevel="0" collapsed="false">
      <c r="A2016" s="28" t="n">
        <v>46301.5244765857</v>
      </c>
      <c r="B2016" s="31" t="n">
        <f aca="false">(A2016-$A$5)*86400</f>
        <v>71.139000076</v>
      </c>
      <c r="C2016" s="27" t="n">
        <v>0.5927</v>
      </c>
      <c r="D2016" s="27" t="n">
        <v>1.771</v>
      </c>
      <c r="E2016" s="27" t="s">
        <v>603</v>
      </c>
      <c r="F2016" s="27" t="s">
        <v>144</v>
      </c>
      <c r="G2016" s="32" t="n">
        <f aca="false">(A2016-A2015)*86400000</f>
        <v>31.999801</v>
      </c>
      <c r="H2016" s="3"/>
      <c r="I2016" s="3"/>
      <c r="J2016" s="3"/>
      <c r="K2016" s="3"/>
      <c r="L2016" s="3"/>
      <c r="M2016" s="3"/>
    </row>
    <row r="2017" customFormat="false" ht="15" hidden="false" customHeight="false" outlineLevel="0" collapsed="false">
      <c r="A2017" s="28" t="n">
        <v>46301.5244769676</v>
      </c>
      <c r="B2017" s="31" t="n">
        <f aca="false">(A2017-$A$5)*86400</f>
        <v>71.172000048</v>
      </c>
      <c r="C2017" s="27" t="n">
        <v>0.5918</v>
      </c>
      <c r="D2017" s="27" t="n">
        <v>1.769</v>
      </c>
      <c r="E2017" s="27" t="s">
        <v>603</v>
      </c>
      <c r="F2017" s="27" t="s">
        <v>144</v>
      </c>
      <c r="G2017" s="32" t="n">
        <f aca="false">(A2017-A2016)*86400000</f>
        <v>32.999971</v>
      </c>
      <c r="H2017" s="3"/>
      <c r="I2017" s="3"/>
      <c r="J2017" s="3"/>
      <c r="K2017" s="3"/>
      <c r="L2017" s="3"/>
      <c r="M2017" s="3"/>
    </row>
    <row r="2018" customFormat="false" ht="15" hidden="false" customHeight="false" outlineLevel="0" collapsed="false">
      <c r="A2018" s="28" t="n">
        <v>46301.5244771644</v>
      </c>
      <c r="B2018" s="31" t="n">
        <f aca="false">(A2018-$A$5)*86400</f>
        <v>71.188999805</v>
      </c>
      <c r="C2018" s="27" t="n">
        <v>0.5914</v>
      </c>
      <c r="D2018" s="27" t="n">
        <v>1.7683</v>
      </c>
      <c r="E2018" s="27" t="s">
        <v>603</v>
      </c>
      <c r="F2018" s="27" t="s">
        <v>144</v>
      </c>
      <c r="G2018" s="32" t="n">
        <f aca="false">(A2018-A2017)*86400000</f>
        <v>16.999756</v>
      </c>
      <c r="H2018" s="3"/>
      <c r="I2018" s="3"/>
      <c r="J2018" s="3"/>
      <c r="K2018" s="3"/>
      <c r="L2018" s="3"/>
      <c r="M2018" s="3"/>
    </row>
    <row r="2019" customFormat="false" ht="15" hidden="false" customHeight="false" outlineLevel="0" collapsed="false">
      <c r="A2019" s="28" t="n">
        <v>46301.5244775463</v>
      </c>
      <c r="B2019" s="31" t="n">
        <f aca="false">(A2019-$A$5)*86400</f>
        <v>71.222000406</v>
      </c>
      <c r="C2019" s="27" t="n">
        <v>0.5909</v>
      </c>
      <c r="D2019" s="27" t="n">
        <v>1.7672</v>
      </c>
      <c r="E2019" s="27" t="s">
        <v>603</v>
      </c>
      <c r="F2019" s="27" t="s">
        <v>144</v>
      </c>
      <c r="G2019" s="32" t="n">
        <f aca="false">(A2019-A2018)*86400000</f>
        <v>33.0006</v>
      </c>
      <c r="H2019" s="3"/>
      <c r="I2019" s="3"/>
      <c r="J2019" s="3"/>
      <c r="K2019" s="3"/>
      <c r="L2019" s="3"/>
      <c r="M2019" s="3"/>
    </row>
    <row r="2020" customFormat="false" ht="15" hidden="false" customHeight="false" outlineLevel="0" collapsed="false">
      <c r="A2020" s="28" t="n">
        <v>46301.5244781134</v>
      </c>
      <c r="B2020" s="31" t="n">
        <f aca="false">(A2020-$A$5)*86400</f>
        <v>71.270999335</v>
      </c>
      <c r="C2020" s="27" t="n">
        <v>0.5899</v>
      </c>
      <c r="D2020" s="27" t="n">
        <v>1.765</v>
      </c>
      <c r="E2020" s="27" t="s">
        <v>603</v>
      </c>
      <c r="F2020" s="27" t="s">
        <v>144</v>
      </c>
      <c r="G2020" s="32" t="n">
        <f aca="false">(A2020-A2019)*86400000</f>
        <v>48.998929</v>
      </c>
      <c r="H2020" s="3"/>
      <c r="I2020" s="3"/>
      <c r="J2020" s="3"/>
      <c r="K2020" s="3"/>
      <c r="L2020" s="3"/>
      <c r="M2020" s="3"/>
    </row>
    <row r="2021" customFormat="false" ht="15" hidden="false" customHeight="false" outlineLevel="0" collapsed="false">
      <c r="A2021" s="28" t="n">
        <v>46301.5244803819</v>
      </c>
      <c r="B2021" s="31" t="n">
        <f aca="false">(A2021-$A$5)*86400</f>
        <v>71.466999454</v>
      </c>
      <c r="C2021" s="27" t="n">
        <v>0.5889</v>
      </c>
      <c r="D2021" s="27" t="n">
        <v>1.7629</v>
      </c>
      <c r="E2021" s="27" t="s">
        <v>603</v>
      </c>
      <c r="F2021" s="27" t="s">
        <v>144</v>
      </c>
      <c r="G2021" s="32" t="n">
        <f aca="false">(A2021-A2020)*86400000</f>
        <v>196.000118</v>
      </c>
      <c r="H2021" s="3"/>
      <c r="I2021" s="3"/>
      <c r="J2021" s="3"/>
      <c r="K2021" s="3"/>
      <c r="L2021" s="3"/>
      <c r="M2021" s="3"/>
    </row>
    <row r="2022" customFormat="false" ht="15" hidden="false" customHeight="false" outlineLevel="0" collapsed="false">
      <c r="A2022" s="28" t="n">
        <v>46301.5244805671</v>
      </c>
      <c r="B2022" s="31" t="n">
        <f aca="false">(A2022-$A$5)*86400</f>
        <v>71.483000298</v>
      </c>
      <c r="C2022" s="27" t="n">
        <v>0.5881</v>
      </c>
      <c r="D2022" s="27" t="n">
        <v>1.7611</v>
      </c>
      <c r="E2022" s="27" t="s">
        <v>603</v>
      </c>
      <c r="F2022" s="27" t="s">
        <v>144</v>
      </c>
      <c r="G2022" s="32" t="n">
        <f aca="false">(A2022-A2021)*86400000</f>
        <v>16.000843</v>
      </c>
      <c r="H2022" s="3"/>
      <c r="I2022" s="3"/>
      <c r="J2022" s="3"/>
      <c r="K2022" s="3"/>
      <c r="L2022" s="3"/>
      <c r="M2022" s="3"/>
    </row>
    <row r="2023" customFormat="false" ht="15" hidden="false" customHeight="false" outlineLevel="0" collapsed="false">
      <c r="A2023" s="28" t="n">
        <v>46301.5244807523</v>
      </c>
      <c r="B2023" s="31" t="n">
        <f aca="false">(A2023-$A$5)*86400</f>
        <v>71.498999884</v>
      </c>
      <c r="C2023" s="27" t="n">
        <v>0.5874</v>
      </c>
      <c r="D2023" s="27" t="n">
        <v>1.7596</v>
      </c>
      <c r="E2023" s="27" t="s">
        <v>603</v>
      </c>
      <c r="F2023" s="27" t="s">
        <v>144</v>
      </c>
      <c r="G2023" s="32" t="n">
        <f aca="false">(A2023-A2022)*86400000</f>
        <v>15.999586</v>
      </c>
      <c r="H2023" s="3"/>
      <c r="I2023" s="3"/>
      <c r="J2023" s="3"/>
      <c r="K2023" s="3"/>
      <c r="L2023" s="3"/>
      <c r="M2023" s="3"/>
    </row>
    <row r="2024" customFormat="false" ht="15" hidden="false" customHeight="false" outlineLevel="0" collapsed="false">
      <c r="A2024" s="28" t="n">
        <v>46301.5244809491</v>
      </c>
      <c r="B2024" s="31" t="n">
        <f aca="false">(A2024-$A$5)*86400</f>
        <v>71.516000898</v>
      </c>
      <c r="C2024" s="27" t="n">
        <v>0.5868</v>
      </c>
      <c r="D2024" s="27" t="n">
        <v>1.7584</v>
      </c>
      <c r="E2024" s="27" t="s">
        <v>603</v>
      </c>
      <c r="F2024" s="27" t="s">
        <v>144</v>
      </c>
      <c r="G2024" s="32" t="n">
        <f aca="false">(A2024-A2023)*86400000</f>
        <v>17.001014</v>
      </c>
      <c r="H2024" s="3"/>
      <c r="I2024" s="3"/>
      <c r="J2024" s="3"/>
      <c r="K2024" s="3"/>
      <c r="L2024" s="3"/>
      <c r="M2024" s="3"/>
    </row>
    <row r="2025" customFormat="false" ht="15" hidden="false" customHeight="false" outlineLevel="0" collapsed="false">
      <c r="A2025" s="28" t="n">
        <v>46301.5244811343</v>
      </c>
      <c r="B2025" s="31" t="n">
        <f aca="false">(A2025-$A$5)*86400</f>
        <v>71.532000484</v>
      </c>
      <c r="C2025" s="27" t="n">
        <v>0.5864</v>
      </c>
      <c r="D2025" s="27" t="n">
        <v>1.7574</v>
      </c>
      <c r="E2025" s="27" t="s">
        <v>603</v>
      </c>
      <c r="F2025" s="27" t="s">
        <v>144</v>
      </c>
      <c r="G2025" s="32" t="n">
        <f aca="false">(A2025-A2024)*86400000</f>
        <v>15.999586</v>
      </c>
      <c r="H2025" s="3"/>
      <c r="I2025" s="3"/>
      <c r="J2025" s="3"/>
      <c r="K2025" s="3"/>
      <c r="L2025" s="3"/>
      <c r="M2025" s="3"/>
    </row>
    <row r="2026" customFormat="false" ht="15" hidden="false" customHeight="false" outlineLevel="0" collapsed="false">
      <c r="A2026" s="28" t="n">
        <v>46301.5244815162</v>
      </c>
      <c r="B2026" s="31" t="n">
        <f aca="false">(A2026-$A$5)*86400</f>
        <v>71.564999828</v>
      </c>
      <c r="C2026" s="27" t="n">
        <v>0.5856</v>
      </c>
      <c r="D2026" s="27" t="n">
        <v>1.7559</v>
      </c>
      <c r="E2026" s="27" t="s">
        <v>603</v>
      </c>
      <c r="F2026" s="27" t="s">
        <v>144</v>
      </c>
      <c r="G2026" s="32" t="n">
        <f aca="false">(A2026-A2025)*86400000</f>
        <v>32.999343</v>
      </c>
      <c r="H2026" s="3"/>
      <c r="I2026" s="3"/>
      <c r="J2026" s="3"/>
      <c r="K2026" s="3"/>
      <c r="L2026" s="3"/>
      <c r="M2026" s="3"/>
    </row>
    <row r="2027" customFormat="false" ht="15" hidden="false" customHeight="false" outlineLevel="0" collapsed="false">
      <c r="A2027" s="28" t="n">
        <v>46301.5244822685</v>
      </c>
      <c r="B2027" s="31" t="n">
        <f aca="false">(A2027-$A$5)*86400</f>
        <v>71.630000229</v>
      </c>
      <c r="C2027" s="27" t="n">
        <v>0.5842</v>
      </c>
      <c r="D2027" s="27" t="n">
        <v>1.7528</v>
      </c>
      <c r="E2027" s="27" t="s">
        <v>603</v>
      </c>
      <c r="F2027" s="27" t="s">
        <v>144</v>
      </c>
      <c r="G2027" s="32" t="n">
        <f aca="false">(A2027-A2026)*86400000</f>
        <v>65.000401</v>
      </c>
      <c r="H2027" s="3"/>
      <c r="I2027" s="3"/>
      <c r="J2027" s="3"/>
      <c r="K2027" s="3"/>
      <c r="L2027" s="3"/>
      <c r="M2027" s="3"/>
    </row>
    <row r="2028" customFormat="false" ht="15" hidden="false" customHeight="false" outlineLevel="0" collapsed="false">
      <c r="A2028" s="28" t="n">
        <v>46301.5244845255</v>
      </c>
      <c r="B2028" s="31" t="n">
        <f aca="false">(A2028-$A$5)*86400</f>
        <v>71.824999549</v>
      </c>
      <c r="C2028" s="27" t="n">
        <v>0.5821</v>
      </c>
      <c r="D2028" s="27" t="n">
        <v>1.7483</v>
      </c>
      <c r="E2028" s="27" t="s">
        <v>603</v>
      </c>
      <c r="F2028" s="27" t="s">
        <v>144</v>
      </c>
      <c r="G2028" s="32" t="n">
        <f aca="false">(A2028-A2027)*86400000</f>
        <v>194.999319</v>
      </c>
      <c r="H2028" s="3"/>
      <c r="I2028" s="3"/>
      <c r="J2028" s="3"/>
      <c r="K2028" s="3"/>
      <c r="L2028" s="3"/>
      <c r="M2028" s="3"/>
    </row>
    <row r="2029" customFormat="false" ht="15" hidden="false" customHeight="false" outlineLevel="0" collapsed="false">
      <c r="A2029" s="28" t="n">
        <v>46301.5244847107</v>
      </c>
      <c r="B2029" s="31" t="n">
        <f aca="false">(A2029-$A$5)*86400</f>
        <v>71.841000393</v>
      </c>
      <c r="C2029" s="27" t="n">
        <v>0.5803</v>
      </c>
      <c r="D2029" s="27" t="n">
        <v>1.7445</v>
      </c>
      <c r="E2029" s="27" t="s">
        <v>603</v>
      </c>
      <c r="F2029" s="27" t="s">
        <v>144</v>
      </c>
      <c r="G2029" s="32" t="n">
        <f aca="false">(A2029-A2028)*86400000</f>
        <v>16.000843</v>
      </c>
      <c r="H2029" s="3"/>
      <c r="I2029" s="3"/>
      <c r="J2029" s="3"/>
      <c r="K2029" s="3"/>
      <c r="L2029" s="3"/>
      <c r="M2029" s="3"/>
    </row>
    <row r="2030" customFormat="false" ht="15" hidden="false" customHeight="false" outlineLevel="0" collapsed="false">
      <c r="A2030" s="28" t="n">
        <v>46301.5244848958</v>
      </c>
      <c r="B2030" s="31" t="n">
        <f aca="false">(A2030-$A$5)*86400</f>
        <v>71.856999979</v>
      </c>
      <c r="C2030" s="27" t="n">
        <v>0.5789</v>
      </c>
      <c r="D2030" s="27" t="n">
        <v>1.7414</v>
      </c>
      <c r="E2030" s="27" t="s">
        <v>603</v>
      </c>
      <c r="F2030" s="27" t="s">
        <v>144</v>
      </c>
      <c r="G2030" s="32" t="n">
        <f aca="false">(A2030-A2029)*86400000</f>
        <v>15.999586</v>
      </c>
      <c r="H2030" s="3"/>
      <c r="I2030" s="3"/>
      <c r="J2030" s="3"/>
      <c r="K2030" s="3"/>
      <c r="L2030" s="3"/>
      <c r="M2030" s="3"/>
    </row>
    <row r="2031" customFormat="false" ht="15" hidden="false" customHeight="false" outlineLevel="0" collapsed="false">
      <c r="A2031" s="28" t="n">
        <v>46301.524485081</v>
      </c>
      <c r="B2031" s="31" t="n">
        <f aca="false">(A2031-$A$5)*86400</f>
        <v>71.873000194</v>
      </c>
      <c r="C2031" s="27" t="n">
        <v>0.5777</v>
      </c>
      <c r="D2031" s="27" t="n">
        <v>1.7388</v>
      </c>
      <c r="E2031" s="27" t="s">
        <v>603</v>
      </c>
      <c r="F2031" s="27" t="s">
        <v>144</v>
      </c>
      <c r="G2031" s="32" t="n">
        <f aca="false">(A2031-A2030)*86400000</f>
        <v>16.000214</v>
      </c>
      <c r="H2031" s="3"/>
      <c r="I2031" s="3"/>
      <c r="J2031" s="3"/>
      <c r="K2031" s="3"/>
      <c r="L2031" s="3"/>
      <c r="M2031" s="3"/>
    </row>
    <row r="2032" customFormat="false" ht="15" hidden="false" customHeight="false" outlineLevel="0" collapsed="false">
      <c r="A2032" s="28" t="n">
        <v>46301.5244852662</v>
      </c>
      <c r="B2032" s="31" t="n">
        <f aca="false">(A2032-$A$5)*86400</f>
        <v>71.889000409</v>
      </c>
      <c r="C2032" s="27" t="n">
        <v>0.5767</v>
      </c>
      <c r="D2032" s="27" t="n">
        <v>1.7366</v>
      </c>
      <c r="E2032" s="27" t="s">
        <v>603</v>
      </c>
      <c r="F2032" s="27" t="s">
        <v>144</v>
      </c>
      <c r="G2032" s="32" t="n">
        <f aca="false">(A2032-A2031)*86400000</f>
        <v>16.000214</v>
      </c>
      <c r="H2032" s="3"/>
      <c r="I2032" s="3"/>
      <c r="J2032" s="3"/>
      <c r="K2032" s="3"/>
      <c r="L2032" s="3"/>
      <c r="M2032" s="3"/>
    </row>
    <row r="2033" customFormat="false" ht="15" hidden="false" customHeight="false" outlineLevel="0" collapsed="false">
      <c r="A2033" s="28" t="n">
        <v>46301.5244854514</v>
      </c>
      <c r="B2033" s="31" t="n">
        <f aca="false">(A2033-$A$5)*86400</f>
        <v>71.904999995</v>
      </c>
      <c r="C2033" s="27" t="n">
        <v>0.5758</v>
      </c>
      <c r="D2033" s="27" t="n">
        <v>1.7349</v>
      </c>
      <c r="E2033" s="27" t="s">
        <v>603</v>
      </c>
      <c r="F2033" s="27" t="s">
        <v>144</v>
      </c>
      <c r="G2033" s="32" t="n">
        <f aca="false">(A2033-A2032)*86400000</f>
        <v>15.999586</v>
      </c>
      <c r="H2033" s="3"/>
      <c r="I2033" s="3"/>
      <c r="J2033" s="3"/>
      <c r="K2033" s="3"/>
      <c r="L2033" s="3"/>
      <c r="M2033" s="3"/>
    </row>
    <row r="2034" customFormat="false" ht="15" hidden="false" customHeight="false" outlineLevel="0" collapsed="false">
      <c r="A2034" s="28" t="n">
        <v>46301.524485625</v>
      </c>
      <c r="B2034" s="31" t="n">
        <f aca="false">(A2034-$A$5)*86400</f>
        <v>71.920000039</v>
      </c>
      <c r="C2034" s="27" t="n">
        <v>0.5752</v>
      </c>
      <c r="D2034" s="27" t="n">
        <v>1.7334</v>
      </c>
      <c r="E2034" s="27" t="s">
        <v>603</v>
      </c>
      <c r="F2034" s="27" t="s">
        <v>144</v>
      </c>
      <c r="G2034" s="32" t="n">
        <f aca="false">(A2034-A2033)*86400000</f>
        <v>15.000044</v>
      </c>
      <c r="H2034" s="3"/>
      <c r="I2034" s="3"/>
      <c r="J2034" s="3"/>
      <c r="K2034" s="3"/>
      <c r="L2034" s="3"/>
      <c r="M2034" s="3"/>
    </row>
    <row r="2035" customFormat="false" ht="15" hidden="false" customHeight="false" outlineLevel="0" collapsed="false">
      <c r="A2035" s="28" t="n">
        <v>46301.5244858102</v>
      </c>
      <c r="B2035" s="31" t="n">
        <f aca="false">(A2035-$A$5)*86400</f>
        <v>71.936000254</v>
      </c>
      <c r="C2035" s="27" t="n">
        <v>0.5746</v>
      </c>
      <c r="D2035" s="27" t="n">
        <v>1.7322</v>
      </c>
      <c r="E2035" s="27" t="s">
        <v>603</v>
      </c>
      <c r="F2035" s="27" t="s">
        <v>144</v>
      </c>
      <c r="G2035" s="32" t="n">
        <f aca="false">(A2035-A2034)*86400000</f>
        <v>16.000214</v>
      </c>
      <c r="H2035" s="3"/>
      <c r="I2035" s="3"/>
      <c r="J2035" s="3"/>
      <c r="K2035" s="3"/>
      <c r="L2035" s="3"/>
      <c r="M2035" s="3"/>
    </row>
    <row r="2036" customFormat="false" ht="15" hidden="false" customHeight="false" outlineLevel="0" collapsed="false">
      <c r="A2036" s="28" t="n">
        <v>46301.5244860069</v>
      </c>
      <c r="B2036" s="31" t="n">
        <f aca="false">(A2036-$A$5)*86400</f>
        <v>71.953000011</v>
      </c>
      <c r="C2036" s="27" t="n">
        <v>0.5741</v>
      </c>
      <c r="D2036" s="27" t="n">
        <v>1.7313</v>
      </c>
      <c r="E2036" s="27" t="s">
        <v>603</v>
      </c>
      <c r="F2036" s="27" t="s">
        <v>144</v>
      </c>
      <c r="G2036" s="32" t="n">
        <f aca="false">(A2036-A2035)*86400000</f>
        <v>16.999756</v>
      </c>
      <c r="H2036" s="3"/>
      <c r="I2036" s="3"/>
      <c r="J2036" s="3"/>
      <c r="K2036" s="3"/>
      <c r="L2036" s="3"/>
      <c r="M2036" s="3"/>
    </row>
    <row r="2037" customFormat="false" ht="15" hidden="false" customHeight="false" outlineLevel="0" collapsed="false">
      <c r="A2037" s="28" t="n">
        <v>46301.5244865625</v>
      </c>
      <c r="B2037" s="31" t="n">
        <f aca="false">(A2037-$A$5)*86400</f>
        <v>72.001000028</v>
      </c>
      <c r="C2037" s="27" t="n">
        <v>0.5732</v>
      </c>
      <c r="D2037" s="27" t="n">
        <v>1.7293</v>
      </c>
      <c r="E2037" s="27" t="s">
        <v>603</v>
      </c>
      <c r="F2037" s="27" t="s">
        <v>144</v>
      </c>
      <c r="G2037" s="32" t="n">
        <f aca="false">(A2037-A2036)*86400000</f>
        <v>48.000016</v>
      </c>
      <c r="H2037" s="3"/>
      <c r="I2037" s="3"/>
      <c r="J2037" s="3"/>
      <c r="K2037" s="3"/>
      <c r="L2037" s="3"/>
      <c r="M2037" s="3"/>
    </row>
    <row r="2038" customFormat="false" ht="15" hidden="false" customHeight="false" outlineLevel="0" collapsed="false">
      <c r="A2038" s="28" t="n">
        <v>46301.5244867477</v>
      </c>
      <c r="B2038" s="31" t="n">
        <f aca="false">(A2038-$A$5)*86400</f>
        <v>72.017000243</v>
      </c>
      <c r="C2038" s="27" t="n">
        <v>0.573</v>
      </c>
      <c r="D2038" s="27" t="n">
        <v>1.7288</v>
      </c>
      <c r="E2038" s="27" t="s">
        <v>603</v>
      </c>
      <c r="F2038" s="27" t="s">
        <v>144</v>
      </c>
      <c r="G2038" s="32" t="n">
        <f aca="false">(A2038-A2037)*86400000</f>
        <v>16.000214</v>
      </c>
      <c r="H2038" s="3"/>
      <c r="I2038" s="3"/>
      <c r="J2038" s="3"/>
      <c r="K2038" s="3"/>
      <c r="L2038" s="3"/>
      <c r="M2038" s="3"/>
    </row>
    <row r="2039" customFormat="false" ht="15" hidden="false" customHeight="false" outlineLevel="0" collapsed="false">
      <c r="A2039" s="28" t="n">
        <v>46301.5244871181</v>
      </c>
      <c r="B2039" s="31" t="n">
        <f aca="false">(A2039-$A$5)*86400</f>
        <v>72.048999415</v>
      </c>
      <c r="C2039" s="27" t="n">
        <v>0.572</v>
      </c>
      <c r="D2039" s="27" t="n">
        <v>1.7266</v>
      </c>
      <c r="E2039" s="27" t="s">
        <v>603</v>
      </c>
      <c r="F2039" s="27" t="s">
        <v>144</v>
      </c>
      <c r="G2039" s="32" t="n">
        <f aca="false">(A2039-A2038)*86400000</f>
        <v>31.999172</v>
      </c>
      <c r="H2039" s="3"/>
      <c r="I2039" s="3"/>
      <c r="J2039" s="3"/>
      <c r="K2039" s="3"/>
      <c r="L2039" s="3"/>
      <c r="M2039" s="3"/>
    </row>
    <row r="2040" customFormat="false" ht="15" hidden="false" customHeight="false" outlineLevel="0" collapsed="false">
      <c r="A2040" s="28" t="n">
        <v>46301.5244887847</v>
      </c>
      <c r="B2040" s="31" t="n">
        <f aca="false">(A2040-$A$5)*86400</f>
        <v>72.193000093</v>
      </c>
      <c r="C2040" s="27" t="n">
        <v>0.5712</v>
      </c>
      <c r="D2040" s="27" t="n">
        <v>1.725</v>
      </c>
      <c r="E2040" s="27" t="s">
        <v>603</v>
      </c>
      <c r="F2040" s="27" t="s">
        <v>144</v>
      </c>
      <c r="G2040" s="32" t="n">
        <f aca="false">(A2040-A2039)*86400000</f>
        <v>144.000677</v>
      </c>
      <c r="H2040" s="3"/>
      <c r="I2040" s="3"/>
      <c r="J2040" s="3"/>
      <c r="K2040" s="3"/>
      <c r="L2040" s="3"/>
      <c r="M2040" s="3"/>
    </row>
    <row r="2041" customFormat="false" ht="15" hidden="false" customHeight="false" outlineLevel="0" collapsed="false">
      <c r="A2041" s="28" t="n">
        <v>46301.5244891667</v>
      </c>
      <c r="B2041" s="31" t="n">
        <f aca="false">(A2041-$A$5)*86400</f>
        <v>72.226000693</v>
      </c>
      <c r="C2041" s="27" t="n">
        <v>0.5702</v>
      </c>
      <c r="D2041" s="27" t="n">
        <v>1.7227</v>
      </c>
      <c r="E2041" s="27" t="s">
        <v>603</v>
      </c>
      <c r="F2041" s="27" t="s">
        <v>144</v>
      </c>
      <c r="G2041" s="32" t="n">
        <f aca="false">(A2041-A2040)*86400000</f>
        <v>33.0006</v>
      </c>
      <c r="H2041" s="3"/>
      <c r="I2041" s="3"/>
      <c r="J2041" s="3"/>
      <c r="K2041" s="3"/>
      <c r="L2041" s="3"/>
      <c r="M2041" s="3"/>
    </row>
    <row r="2042" customFormat="false" ht="15" hidden="false" customHeight="false" outlineLevel="0" collapsed="false">
      <c r="A2042" s="28" t="n">
        <v>46301.5244893519</v>
      </c>
      <c r="B2042" s="31" t="n">
        <f aca="false">(A2042-$A$5)*86400</f>
        <v>72.241999651</v>
      </c>
      <c r="C2042" s="27" t="n">
        <v>0.5698</v>
      </c>
      <c r="D2042" s="27" t="n">
        <v>1.7219</v>
      </c>
      <c r="E2042" s="27" t="s">
        <v>603</v>
      </c>
      <c r="F2042" s="27" t="s">
        <v>144</v>
      </c>
      <c r="G2042" s="32" t="n">
        <f aca="false">(A2042-A2041)*86400000</f>
        <v>15.998957</v>
      </c>
      <c r="H2042" s="3"/>
      <c r="I2042" s="3"/>
      <c r="J2042" s="3"/>
      <c r="K2042" s="3"/>
      <c r="L2042" s="3"/>
      <c r="M2042" s="3"/>
    </row>
    <row r="2043" customFormat="false" ht="15" hidden="false" customHeight="false" outlineLevel="0" collapsed="false">
      <c r="A2043" s="28" t="n">
        <v>46301.5244897222</v>
      </c>
      <c r="B2043" s="31" t="n">
        <f aca="false">(A2043-$A$5)*86400</f>
        <v>72.274000081</v>
      </c>
      <c r="C2043" s="27" t="n">
        <v>0.5692</v>
      </c>
      <c r="D2043" s="27" t="n">
        <v>1.7206</v>
      </c>
      <c r="E2043" s="27" t="s">
        <v>603</v>
      </c>
      <c r="F2043" s="27" t="s">
        <v>144</v>
      </c>
      <c r="G2043" s="32" t="n">
        <f aca="false">(A2043-A2042)*86400000</f>
        <v>32.000429</v>
      </c>
      <c r="H2043" s="3"/>
      <c r="I2043" s="3"/>
      <c r="J2043" s="3"/>
      <c r="K2043" s="3"/>
      <c r="L2043" s="3"/>
      <c r="M2043" s="3"/>
    </row>
    <row r="2044" customFormat="false" ht="15" hidden="false" customHeight="false" outlineLevel="0" collapsed="false">
      <c r="A2044" s="28" t="n">
        <v>46301.5244900926</v>
      </c>
      <c r="B2044" s="31" t="n">
        <f aca="false">(A2044-$A$5)*86400</f>
        <v>72.305999882</v>
      </c>
      <c r="C2044" s="27" t="n">
        <v>0.515</v>
      </c>
      <c r="D2044" s="27" t="n">
        <v>1.7321</v>
      </c>
      <c r="E2044" s="27" t="s">
        <v>603</v>
      </c>
      <c r="F2044" s="27" t="s">
        <v>144</v>
      </c>
      <c r="G2044" s="32" t="n">
        <f aca="false">(A2044-A2043)*86400000</f>
        <v>31.999801</v>
      </c>
      <c r="H2044" s="3"/>
      <c r="I2044" s="3"/>
      <c r="J2044" s="3"/>
      <c r="K2044" s="3"/>
      <c r="L2044" s="3"/>
      <c r="M2044" s="3"/>
    </row>
    <row r="2045" customFormat="false" ht="15" hidden="false" customHeight="false" outlineLevel="0" collapsed="false">
      <c r="A2045" s="28" t="n">
        <v>46301.5244902778</v>
      </c>
      <c r="B2045" s="31" t="n">
        <f aca="false">(A2045-$A$5)*86400</f>
        <v>72.322000097</v>
      </c>
      <c r="C2045" s="27" t="n">
        <v>0.4706</v>
      </c>
      <c r="D2045" s="27" t="n">
        <v>1.7419</v>
      </c>
      <c r="E2045" s="27" t="s">
        <v>603</v>
      </c>
      <c r="F2045" s="27" t="s">
        <v>144</v>
      </c>
      <c r="G2045" s="32" t="n">
        <f aca="false">(A2045-A2044)*86400000</f>
        <v>16.000214</v>
      </c>
      <c r="H2045" s="3"/>
      <c r="I2045" s="3"/>
      <c r="J2045" s="3"/>
      <c r="K2045" s="3"/>
      <c r="L2045" s="3"/>
      <c r="M2045" s="3"/>
    </row>
    <row r="2046" customFormat="false" ht="15" hidden="false" customHeight="false" outlineLevel="0" collapsed="false">
      <c r="A2046" s="28" t="n">
        <v>46301.524490463</v>
      </c>
      <c r="B2046" s="31" t="n">
        <f aca="false">(A2046-$A$5)*86400</f>
        <v>72.338000941</v>
      </c>
      <c r="C2046" s="27" t="n">
        <v>0.4338</v>
      </c>
      <c r="D2046" s="27" t="n">
        <v>1.75</v>
      </c>
      <c r="E2046" s="27" t="s">
        <v>603</v>
      </c>
      <c r="F2046" s="27" t="s">
        <v>144</v>
      </c>
      <c r="G2046" s="32" t="n">
        <f aca="false">(A2046-A2045)*86400000</f>
        <v>16.000843</v>
      </c>
      <c r="H2046" s="3"/>
      <c r="I2046" s="3"/>
      <c r="J2046" s="3"/>
      <c r="K2046" s="3"/>
      <c r="L2046" s="3"/>
      <c r="M2046" s="3"/>
    </row>
    <row r="2047" customFormat="false" ht="15" hidden="false" customHeight="false" outlineLevel="0" collapsed="false">
      <c r="A2047" s="28" t="n">
        <v>46301.5244906482</v>
      </c>
      <c r="B2047" s="31" t="n">
        <f aca="false">(A2047-$A$5)*86400</f>
        <v>72.354000527</v>
      </c>
      <c r="C2047" s="27" t="n">
        <v>0.4035</v>
      </c>
      <c r="D2047" s="27" t="n">
        <v>1.7568</v>
      </c>
      <c r="E2047" s="27" t="s">
        <v>603</v>
      </c>
      <c r="F2047" s="27" t="s">
        <v>144</v>
      </c>
      <c r="G2047" s="32" t="n">
        <f aca="false">(A2047-A2046)*86400000</f>
        <v>15.999586</v>
      </c>
      <c r="H2047" s="3"/>
      <c r="I2047" s="3"/>
      <c r="J2047" s="3"/>
      <c r="K2047" s="3"/>
      <c r="L2047" s="3"/>
      <c r="M2047" s="3"/>
    </row>
    <row r="2048" customFormat="false" ht="15" hidden="false" customHeight="false" outlineLevel="0" collapsed="false">
      <c r="A2048" s="28" t="n">
        <v>46301.5244908333</v>
      </c>
      <c r="B2048" s="31" t="n">
        <f aca="false">(A2048-$A$5)*86400</f>
        <v>72.370000113</v>
      </c>
      <c r="C2048" s="27" t="n">
        <v>0.3785</v>
      </c>
      <c r="D2048" s="27" t="n">
        <v>1.7623</v>
      </c>
      <c r="E2048" s="27" t="s">
        <v>603</v>
      </c>
      <c r="F2048" s="27" t="s">
        <v>144</v>
      </c>
      <c r="G2048" s="32" t="n">
        <f aca="false">(A2048-A2047)*86400000</f>
        <v>15.999586</v>
      </c>
      <c r="H2048" s="3"/>
      <c r="I2048" s="3"/>
      <c r="J2048" s="3"/>
      <c r="K2048" s="3"/>
      <c r="L2048" s="3"/>
      <c r="M2048" s="3"/>
    </row>
    <row r="2049" customFormat="false" ht="15" hidden="false" customHeight="false" outlineLevel="0" collapsed="false">
      <c r="A2049" s="28" t="n">
        <v>46301.5244910185</v>
      </c>
      <c r="B2049" s="31" t="n">
        <f aca="false">(A2049-$A$5)*86400</f>
        <v>72.386000328</v>
      </c>
      <c r="C2049" s="27" t="n">
        <v>0.3579</v>
      </c>
      <c r="D2049" s="27" t="n">
        <v>1.7669</v>
      </c>
      <c r="E2049" s="27" t="s">
        <v>603</v>
      </c>
      <c r="F2049" s="27" t="s">
        <v>144</v>
      </c>
      <c r="G2049" s="32" t="n">
        <f aca="false">(A2049-A2048)*86400000</f>
        <v>16.000214</v>
      </c>
      <c r="H2049" s="3"/>
      <c r="I2049" s="3"/>
      <c r="J2049" s="3"/>
      <c r="K2049" s="3"/>
      <c r="L2049" s="3"/>
      <c r="M2049" s="3"/>
    </row>
    <row r="2050" customFormat="false" ht="15" hidden="false" customHeight="false" outlineLevel="0" collapsed="false">
      <c r="A2050" s="28" t="n">
        <v>46301.5244912037</v>
      </c>
      <c r="B2050" s="31" t="n">
        <f aca="false">(A2050-$A$5)*86400</f>
        <v>72.401999915</v>
      </c>
      <c r="C2050" s="27" t="n">
        <v>0.3408</v>
      </c>
      <c r="D2050" s="27" t="n">
        <v>1.7706</v>
      </c>
      <c r="E2050" s="27" t="s">
        <v>603</v>
      </c>
      <c r="F2050" s="27" t="s">
        <v>144</v>
      </c>
      <c r="G2050" s="32" t="n">
        <f aca="false">(A2050-A2049)*86400000</f>
        <v>15.999586</v>
      </c>
      <c r="H2050" s="3"/>
      <c r="I2050" s="3"/>
      <c r="J2050" s="3"/>
      <c r="K2050" s="3"/>
      <c r="L2050" s="3"/>
      <c r="M2050" s="3"/>
    </row>
    <row r="2051" customFormat="false" ht="15" hidden="false" customHeight="false" outlineLevel="0" collapsed="false">
      <c r="A2051" s="28" t="n">
        <v>46301.5244913889</v>
      </c>
      <c r="B2051" s="31" t="n">
        <f aca="false">(A2051-$A$5)*86400</f>
        <v>72.418000129</v>
      </c>
      <c r="C2051" s="27" t="n">
        <v>0.3268</v>
      </c>
      <c r="D2051" s="27" t="n">
        <v>1.7738</v>
      </c>
      <c r="E2051" s="27" t="s">
        <v>603</v>
      </c>
      <c r="F2051" s="27" t="s">
        <v>144</v>
      </c>
      <c r="G2051" s="32" t="n">
        <f aca="false">(A2051-A2050)*86400000</f>
        <v>16.000214</v>
      </c>
      <c r="H2051" s="3"/>
      <c r="I2051" s="3"/>
      <c r="J2051" s="3"/>
      <c r="K2051" s="3"/>
      <c r="L2051" s="3"/>
      <c r="M2051" s="3"/>
    </row>
    <row r="2052" customFormat="false" ht="15" hidden="false" customHeight="false" outlineLevel="0" collapsed="false">
      <c r="A2052" s="28" t="n">
        <v>46301.5244915741</v>
      </c>
      <c r="B2052" s="31" t="n">
        <f aca="false">(A2052-$A$5)*86400</f>
        <v>72.434000344</v>
      </c>
      <c r="C2052" s="27" t="n">
        <v>0.3152</v>
      </c>
      <c r="D2052" s="27" t="n">
        <v>1.7763</v>
      </c>
      <c r="E2052" s="27" t="s">
        <v>603</v>
      </c>
      <c r="F2052" s="27" t="s">
        <v>144</v>
      </c>
      <c r="G2052" s="32" t="n">
        <f aca="false">(A2052-A2051)*86400000</f>
        <v>16.000214</v>
      </c>
      <c r="H2052" s="3"/>
      <c r="I2052" s="3"/>
      <c r="J2052" s="3"/>
      <c r="K2052" s="3"/>
      <c r="L2052" s="3"/>
      <c r="M2052" s="3"/>
    </row>
    <row r="2053" customFormat="false" ht="15" hidden="false" customHeight="false" outlineLevel="0" collapsed="false">
      <c r="A2053" s="28" t="n">
        <v>46301.5244917593</v>
      </c>
      <c r="B2053" s="31" t="n">
        <f aca="false">(A2053-$A$5)*86400</f>
        <v>72.449999931</v>
      </c>
      <c r="C2053" s="27" t="n">
        <v>0.3056</v>
      </c>
      <c r="D2053" s="27" t="n">
        <v>1.7785</v>
      </c>
      <c r="E2053" s="27" t="s">
        <v>603</v>
      </c>
      <c r="F2053" s="27" t="s">
        <v>144</v>
      </c>
      <c r="G2053" s="32" t="n">
        <f aca="false">(A2053-A2052)*86400000</f>
        <v>15.999586</v>
      </c>
      <c r="H2053" s="3"/>
      <c r="I2053" s="3"/>
      <c r="J2053" s="3"/>
      <c r="K2053" s="3"/>
      <c r="L2053" s="3"/>
      <c r="M2053" s="3"/>
    </row>
    <row r="2054" customFormat="false" ht="15" hidden="false" customHeight="false" outlineLevel="0" collapsed="false">
      <c r="A2054" s="28" t="n">
        <v>46301.5244919444</v>
      </c>
      <c r="B2054" s="31" t="n">
        <f aca="false">(A2054-$A$5)*86400</f>
        <v>72.465999517</v>
      </c>
      <c r="C2054" s="27" t="n">
        <v>0.2977</v>
      </c>
      <c r="D2054" s="27" t="n">
        <v>1.7802</v>
      </c>
      <c r="E2054" s="27" t="s">
        <v>603</v>
      </c>
      <c r="F2054" s="27" t="s">
        <v>144</v>
      </c>
      <c r="G2054" s="32" t="n">
        <f aca="false">(A2054-A2053)*86400000</f>
        <v>15.999586</v>
      </c>
      <c r="H2054" s="3"/>
      <c r="I2054" s="3"/>
      <c r="J2054" s="3"/>
      <c r="K2054" s="3"/>
      <c r="L2054" s="3"/>
      <c r="M2054" s="3"/>
    </row>
    <row r="2055" customFormat="false" ht="15" hidden="false" customHeight="false" outlineLevel="0" collapsed="false">
      <c r="A2055" s="28" t="n">
        <v>46301.5244921296</v>
      </c>
      <c r="B2055" s="31" t="n">
        <f aca="false">(A2055-$A$5)*86400</f>
        <v>72.482000361</v>
      </c>
      <c r="C2055" s="27" t="n">
        <v>0.2912</v>
      </c>
      <c r="D2055" s="27" t="n">
        <v>1.7817</v>
      </c>
      <c r="E2055" s="27" t="s">
        <v>603</v>
      </c>
      <c r="F2055" s="27" t="s">
        <v>144</v>
      </c>
      <c r="G2055" s="32" t="n">
        <f aca="false">(A2055-A2054)*86400000</f>
        <v>16.000843</v>
      </c>
      <c r="H2055" s="3"/>
      <c r="I2055" s="3"/>
      <c r="J2055" s="3"/>
      <c r="K2055" s="3"/>
      <c r="L2055" s="3"/>
      <c r="M2055" s="3"/>
    </row>
    <row r="2056" customFormat="false" ht="15" hidden="false" customHeight="false" outlineLevel="0" collapsed="false">
      <c r="A2056" s="28" t="n">
        <v>46301.5244923148</v>
      </c>
      <c r="B2056" s="31" t="n">
        <f aca="false">(A2056-$A$5)*86400</f>
        <v>72.497999947</v>
      </c>
      <c r="C2056" s="27" t="n">
        <v>0.2855</v>
      </c>
      <c r="D2056" s="27" t="n">
        <v>1.7829</v>
      </c>
      <c r="E2056" s="27" t="s">
        <v>603</v>
      </c>
      <c r="F2056" s="27" t="s">
        <v>144</v>
      </c>
      <c r="G2056" s="32" t="n">
        <f aca="false">(A2056-A2055)*86400000</f>
        <v>15.999586</v>
      </c>
      <c r="H2056" s="3"/>
      <c r="I2056" s="3"/>
      <c r="J2056" s="3"/>
      <c r="K2056" s="3"/>
      <c r="L2056" s="3"/>
      <c r="M2056" s="3"/>
    </row>
    <row r="2057" customFormat="false" ht="15" hidden="false" customHeight="false" outlineLevel="0" collapsed="false">
      <c r="A2057" s="28" t="n">
        <v>46301.5244925116</v>
      </c>
      <c r="B2057" s="31" t="n">
        <f aca="false">(A2057-$A$5)*86400</f>
        <v>72.515000333</v>
      </c>
      <c r="C2057" s="27" t="n">
        <v>0.2811</v>
      </c>
      <c r="D2057" s="27" t="n">
        <v>1.7839</v>
      </c>
      <c r="E2057" s="27" t="s">
        <v>603</v>
      </c>
      <c r="F2057" s="27" t="s">
        <v>144</v>
      </c>
      <c r="G2057" s="32" t="n">
        <f aca="false">(A2057-A2056)*86400000</f>
        <v>17.000385</v>
      </c>
      <c r="H2057" s="3"/>
      <c r="I2057" s="3"/>
      <c r="J2057" s="3"/>
      <c r="K2057" s="3"/>
      <c r="L2057" s="3"/>
      <c r="M2057" s="3"/>
    </row>
    <row r="2058" customFormat="false" ht="15" hidden="false" customHeight="false" outlineLevel="0" collapsed="false">
      <c r="A2058" s="28" t="n">
        <v>46301.5244926968</v>
      </c>
      <c r="B2058" s="31" t="n">
        <f aca="false">(A2058-$A$5)*86400</f>
        <v>72.530999919</v>
      </c>
      <c r="C2058" s="27" t="n">
        <v>0.2775</v>
      </c>
      <c r="D2058" s="27" t="n">
        <v>1.7847</v>
      </c>
      <c r="E2058" s="27" t="s">
        <v>603</v>
      </c>
      <c r="F2058" s="27" t="s">
        <v>144</v>
      </c>
      <c r="G2058" s="32" t="n">
        <f aca="false">(A2058-A2057)*86400000</f>
        <v>15.999586</v>
      </c>
      <c r="H2058" s="3"/>
      <c r="I2058" s="3"/>
      <c r="J2058" s="3"/>
      <c r="K2058" s="3"/>
      <c r="L2058" s="3"/>
      <c r="M2058" s="3"/>
    </row>
    <row r="2059" customFormat="false" ht="15" hidden="false" customHeight="false" outlineLevel="0" collapsed="false">
      <c r="A2059" s="28" t="n">
        <v>46301.5244928819</v>
      </c>
      <c r="B2059" s="31" t="n">
        <f aca="false">(A2059-$A$5)*86400</f>
        <v>72.546999505</v>
      </c>
      <c r="C2059" s="27" t="n">
        <v>0.2745</v>
      </c>
      <c r="D2059" s="27" t="n">
        <v>1.7853</v>
      </c>
      <c r="E2059" s="27" t="s">
        <v>603</v>
      </c>
      <c r="F2059" s="27" t="s">
        <v>144</v>
      </c>
      <c r="G2059" s="32" t="n">
        <f aca="false">(A2059-A2058)*86400000</f>
        <v>15.999586</v>
      </c>
      <c r="H2059" s="3"/>
      <c r="I2059" s="3"/>
      <c r="J2059" s="3"/>
      <c r="K2059" s="3"/>
      <c r="L2059" s="3"/>
      <c r="M2059" s="3"/>
    </row>
    <row r="2060" customFormat="false" ht="15" hidden="false" customHeight="false" outlineLevel="0" collapsed="false">
      <c r="A2060" s="28" t="n">
        <v>46301.5244930671</v>
      </c>
      <c r="B2060" s="31" t="n">
        <f aca="false">(A2060-$A$5)*86400</f>
        <v>72.563000349</v>
      </c>
      <c r="C2060" s="27" t="n">
        <v>0.272</v>
      </c>
      <c r="D2060" s="27" t="n">
        <v>1.7859</v>
      </c>
      <c r="E2060" s="27" t="s">
        <v>603</v>
      </c>
      <c r="F2060" s="27" t="s">
        <v>144</v>
      </c>
      <c r="G2060" s="32" t="n">
        <f aca="false">(A2060-A2059)*86400000</f>
        <v>16.000843</v>
      </c>
      <c r="H2060" s="3"/>
      <c r="I2060" s="3"/>
      <c r="J2060" s="3"/>
      <c r="K2060" s="3"/>
      <c r="L2060" s="3"/>
      <c r="M2060" s="3"/>
    </row>
  </sheetData>
  <mergeCells count="1">
    <mergeCell ref="I14:M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1" width="12"/>
    <col collapsed="false" customWidth="true" hidden="false" outlineLevel="0" max="2" min="2" style="1" width="8"/>
    <col collapsed="false" customWidth="true" hidden="false" outlineLevel="0" max="3" min="3" style="1" width="10"/>
    <col collapsed="false" customWidth="true" hidden="false" outlineLevel="0" max="4" min="4" style="1" width="14"/>
    <col collapsed="false" customWidth="true" hidden="false" outlineLevel="0" max="5" min="5" style="1" width="10"/>
    <col collapsed="false" customWidth="true" hidden="false" outlineLevel="0" max="6" min="6" style="1" width="8"/>
  </cols>
  <sheetData>
    <row r="1" customFormat="false" ht="19.7" hidden="false" customHeight="false" outlineLevel="0" collapsed="false">
      <c r="A1" s="2" t="s">
        <v>622</v>
      </c>
      <c r="B1" s="3"/>
      <c r="C1" s="3"/>
      <c r="D1" s="3"/>
      <c r="E1" s="3"/>
      <c r="F1" s="3"/>
      <c r="G1" s="3"/>
      <c r="H1" s="3"/>
    </row>
    <row r="2" customFormat="false" ht="15" hidden="false" customHeight="false" outlineLevel="0" collapsed="false">
      <c r="A2" s="4" t="s">
        <v>623</v>
      </c>
      <c r="B2" s="3"/>
      <c r="C2" s="3"/>
      <c r="D2" s="3"/>
      <c r="E2" s="3"/>
      <c r="F2" s="3"/>
      <c r="G2" s="3"/>
      <c r="H2" s="3"/>
    </row>
    <row r="3" customFormat="false" ht="15" hidden="false" customHeight="false" outlineLevel="0" collapsed="false">
      <c r="A3" s="3"/>
      <c r="B3" s="3"/>
      <c r="C3" s="3"/>
      <c r="D3" s="3"/>
      <c r="E3" s="3"/>
      <c r="F3" s="3"/>
      <c r="G3" s="3"/>
      <c r="H3" s="3"/>
    </row>
    <row r="4" customFormat="false" ht="15" hidden="false" customHeight="false" outlineLevel="0" collapsed="false">
      <c r="A4" s="12" t="s">
        <v>197</v>
      </c>
      <c r="B4" s="12" t="s">
        <v>624</v>
      </c>
      <c r="C4" s="12" t="s">
        <v>625</v>
      </c>
      <c r="D4" s="12" t="s">
        <v>626</v>
      </c>
      <c r="E4" s="12" t="s">
        <v>627</v>
      </c>
      <c r="F4" s="12" t="s">
        <v>585</v>
      </c>
      <c r="G4" s="3"/>
      <c r="H4" s="15" t="s">
        <v>628</v>
      </c>
    </row>
    <row r="5" customFormat="false" ht="15" hidden="false" customHeight="false" outlineLevel="0" collapsed="false">
      <c r="A5" s="20" t="s">
        <v>629</v>
      </c>
      <c r="B5" s="20" t="s">
        <v>630</v>
      </c>
      <c r="C5" s="24" t="n">
        <f aca="false">SUMIFS(Timeline!$F$5:$F$1151,Timeline!$O$5:$O$1151,$A5,Timeline!$L$5:$L$1151,"Range")/SUMIFS(Timeline!$F$5:$F$1151,Timeline!$O$5:$O$1151,$A5)</f>
        <v>0.676781949399847</v>
      </c>
      <c r="D5" s="24" t="n">
        <f aca="false">SUMIFS(Timeline!$F$5:$F$1151,Timeline!$O$5:$O$1151,$A5,Timeline!$L$5:$L$1151,"No echo / error")/SUMIFS(Timeline!$F$5:$F$1151,Timeline!$O$5:$O$1151,$A5)</f>
        <v>0.0837456306044947</v>
      </c>
      <c r="E5" s="24" t="n">
        <f aca="false">SUMIFS(Timeline!$F$5:$F$1151,Timeline!$O$5:$O$1151,$A5,Timeline!$L$5:$L$1151,"Offline")/SUMIFS(Timeline!$F$5:$F$1151,Timeline!$O$5:$O$1151,$A5)</f>
        <v>0.239472419995658</v>
      </c>
      <c r="F5" s="24" t="n">
        <f aca="false">SUM(C5:E5)</f>
        <v>1</v>
      </c>
      <c r="G5" s="3"/>
      <c r="H5" s="3" t="str">
        <f aca="false">RIGHT(A5,5)&amp;" "&amp;B5</f>
        <v>10-05 Box 0</v>
      </c>
    </row>
    <row r="6" customFormat="false" ht="15" hidden="false" customHeight="false" outlineLevel="0" collapsed="false">
      <c r="A6" s="20" t="s">
        <v>629</v>
      </c>
      <c r="B6" s="20" t="s">
        <v>631</v>
      </c>
      <c r="C6" s="24" t="n">
        <f aca="false">SUMIFS(Timeline!$F$5:$F$1151,Timeline!$O$5:$O$1151,$A6,Timeline!$M$5:$M$1151,"Range")/SUMIFS(Timeline!$F$5:$F$1151,Timeline!$O$5:$O$1151,$A6)</f>
        <v>0.921647585764208</v>
      </c>
      <c r="D6" s="24" t="n">
        <f aca="false">SUMIFS(Timeline!$F$5:$F$1151,Timeline!$O$5:$O$1151,$A6,Timeline!$M$5:$M$1151,"No echo / error")/SUMIFS(Timeline!$F$5:$F$1151,Timeline!$O$5:$O$1151,$A6)</f>
        <v>0.0783524142357924</v>
      </c>
      <c r="E6" s="24" t="n">
        <f aca="false">SUMIFS(Timeline!$F$5:$F$1151,Timeline!$O$5:$O$1151,$A6,Timeline!$M$5:$M$1151,"Offline")/SUMIFS(Timeline!$F$5:$F$1151,Timeline!$O$5:$O$1151,$A6)</f>
        <v>0</v>
      </c>
      <c r="F6" s="24" t="n">
        <f aca="false">SUM(C6:E6)</f>
        <v>1</v>
      </c>
      <c r="G6" s="3"/>
      <c r="H6" s="3" t="str">
        <f aca="false">RIGHT(A6,5)&amp;" "&amp;B6</f>
        <v>10-05 Box 1</v>
      </c>
    </row>
    <row r="7" customFormat="false" ht="15" hidden="false" customHeight="false" outlineLevel="0" collapsed="false">
      <c r="A7" s="20" t="s">
        <v>629</v>
      </c>
      <c r="B7" s="20" t="s">
        <v>632</v>
      </c>
      <c r="C7" s="24" t="n">
        <f aca="false">SUMIFS(Timeline!$F$5:$F$1151,Timeline!$O$5:$O$1151,$A7,Timeline!$N$5:$N$1151,"Range")/SUMIFS(Timeline!$F$5:$F$1151,Timeline!$O$5:$O$1151,$A7)</f>
        <v>0.924261469119212</v>
      </c>
      <c r="D7" s="24" t="n">
        <f aca="false">SUMIFS(Timeline!$F$5:$F$1151,Timeline!$O$5:$O$1151,$A7,Timeline!$N$5:$N$1151,"No echo / error")/SUMIFS(Timeline!$F$5:$F$1151,Timeline!$O$5:$O$1151,$A7)</f>
        <v>0.0757385308807885</v>
      </c>
      <c r="E7" s="24" t="n">
        <f aca="false">SUMIFS(Timeline!$F$5:$F$1151,Timeline!$O$5:$O$1151,$A7,Timeline!$N$5:$N$1151,"Offline")/SUMIFS(Timeline!$F$5:$F$1151,Timeline!$O$5:$O$1151,$A7)</f>
        <v>0</v>
      </c>
      <c r="F7" s="24" t="n">
        <f aca="false">SUM(C7:E7)</f>
        <v>1</v>
      </c>
      <c r="G7" s="3"/>
      <c r="H7" s="3" t="str">
        <f aca="false">RIGHT(A7,5)&amp;" "&amp;B7</f>
        <v>10-05 Box 2</v>
      </c>
    </row>
    <row r="8" customFormat="false" ht="15" hidden="false" customHeight="false" outlineLevel="0" collapsed="false">
      <c r="A8" s="20" t="s">
        <v>633</v>
      </c>
      <c r="B8" s="20" t="s">
        <v>630</v>
      </c>
      <c r="C8" s="24" t="n">
        <f aca="false">SUMIFS(Timeline!$F$5:$F$1151,Timeline!$O$5:$O$1151,$A8,Timeline!$L$5:$L$1151,"Range")/SUMIFS(Timeline!$F$5:$F$1151,Timeline!$O$5:$O$1151,$A8)</f>
        <v>0.716146857159091</v>
      </c>
      <c r="D8" s="24" t="n">
        <f aca="false">SUMIFS(Timeline!$F$5:$F$1151,Timeline!$O$5:$O$1151,$A8,Timeline!$L$5:$L$1151,"No echo / error")/SUMIFS(Timeline!$F$5:$F$1151,Timeline!$O$5:$O$1151,$A8)</f>
        <v>0.283850059503197</v>
      </c>
      <c r="E8" s="24" t="n">
        <f aca="false">SUMIFS(Timeline!$F$5:$F$1151,Timeline!$O$5:$O$1151,$A8,Timeline!$L$5:$L$1151,"Offline")/SUMIFS(Timeline!$F$5:$F$1151,Timeline!$O$5:$O$1151,$A8)</f>
        <v>3.0833377122254E-006</v>
      </c>
      <c r="F8" s="24" t="n">
        <f aca="false">SUM(C8:E8)</f>
        <v>1</v>
      </c>
      <c r="G8" s="3"/>
      <c r="H8" s="3" t="str">
        <f aca="false">RIGHT(A8,5)&amp;" "&amp;B8</f>
        <v>10-06 Box 0</v>
      </c>
    </row>
    <row r="9" customFormat="false" ht="15" hidden="false" customHeight="false" outlineLevel="0" collapsed="false">
      <c r="A9" s="20" t="s">
        <v>633</v>
      </c>
      <c r="B9" s="20" t="s">
        <v>631</v>
      </c>
      <c r="C9" s="24" t="n">
        <f aca="false">SUMIFS(Timeline!$F$5:$F$1151,Timeline!$O$5:$O$1151,$A9,Timeline!$M$5:$M$1151,"Range")/SUMIFS(Timeline!$F$5:$F$1151,Timeline!$O$5:$O$1151,$A9)</f>
        <v>0.858350866629906</v>
      </c>
      <c r="D9" s="24" t="n">
        <f aca="false">SUMIFS(Timeline!$F$5:$F$1151,Timeline!$O$5:$O$1151,$A9,Timeline!$M$5:$M$1151,"No echo / error")/SUMIFS(Timeline!$F$5:$F$1151,Timeline!$O$5:$O$1151,$A9)</f>
        <v>0.141646050032382</v>
      </c>
      <c r="E9" s="24" t="n">
        <f aca="false">SUMIFS(Timeline!$F$5:$F$1151,Timeline!$O$5:$O$1151,$A9,Timeline!$M$5:$M$1151,"Offline")/SUMIFS(Timeline!$F$5:$F$1151,Timeline!$O$5:$O$1151,$A9)</f>
        <v>3.0833377122254E-006</v>
      </c>
      <c r="F9" s="24" t="n">
        <f aca="false">SUM(C9:E9)</f>
        <v>1</v>
      </c>
      <c r="G9" s="3"/>
      <c r="H9" s="3" t="str">
        <f aca="false">RIGHT(A9,5)&amp;" "&amp;B9</f>
        <v>10-06 Box 1</v>
      </c>
    </row>
    <row r="10" customFormat="false" ht="15" hidden="false" customHeight="false" outlineLevel="0" collapsed="false">
      <c r="A10" s="20" t="s">
        <v>633</v>
      </c>
      <c r="B10" s="20" t="s">
        <v>632</v>
      </c>
      <c r="C10" s="24" t="n">
        <f aca="false">SUMIFS(Timeline!$F$5:$F$1151,Timeline!$O$5:$O$1151,$A10,Timeline!$N$5:$N$1151,"Range")/SUMIFS(Timeline!$F$5:$F$1151,Timeline!$O$5:$O$1151,$A10)</f>
        <v>0.67292888824582</v>
      </c>
      <c r="D10" s="24" t="n">
        <f aca="false">SUMIFS(Timeline!$F$5:$F$1151,Timeline!$O$5:$O$1151,$A10,Timeline!$N$5:$N$1151,"No echo / error")/SUMIFS(Timeline!$F$5:$F$1151,Timeline!$O$5:$O$1151,$A10)</f>
        <v>0.218793448747857</v>
      </c>
      <c r="E10" s="24" t="n">
        <f aca="false">SUMIFS(Timeline!$F$5:$F$1151,Timeline!$O$5:$O$1151,$A10,Timeline!$N$5:$N$1151,"Offline")/SUMIFS(Timeline!$F$5:$F$1151,Timeline!$O$5:$O$1151,$A10)</f>
        <v>0.108277663006323</v>
      </c>
      <c r="F10" s="24" t="n">
        <f aca="false">SUM(C10:E10)</f>
        <v>1</v>
      </c>
      <c r="G10" s="3"/>
      <c r="H10" s="3" t="str">
        <f aca="false">RIGHT(A10,5)&amp;" "&amp;B10</f>
        <v>10-06 Box 2</v>
      </c>
    </row>
    <row r="11" customFormat="false" ht="15" hidden="false" customHeight="false" outlineLevel="0" collapsed="false">
      <c r="A11" s="21" t="s">
        <v>634</v>
      </c>
      <c r="B11" s="3"/>
      <c r="C11" s="3"/>
      <c r="D11" s="3"/>
      <c r="E11" s="3"/>
      <c r="F11" s="3"/>
      <c r="G11" s="3"/>
      <c r="H11"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1" width="10"/>
    <col collapsed="false" customWidth="true" hidden="false" outlineLevel="0" max="2" min="2" style="1" width="13"/>
    <col collapsed="false" customWidth="true" hidden="false" outlineLevel="0" max="4" min="4" style="1" width="12"/>
    <col collapsed="false" customWidth="true" hidden="false" outlineLevel="0" max="6" min="5" style="1" width="9"/>
    <col collapsed="false" customWidth="true" hidden="false" outlineLevel="0" max="8" min="7" style="1" width="8"/>
    <col collapsed="false" customWidth="true" hidden="false" outlineLevel="0" max="10" min="9" style="1" width="9"/>
  </cols>
  <sheetData>
    <row r="1" customFormat="false" ht="19.7" hidden="false" customHeight="false" outlineLevel="0" collapsed="false">
      <c r="A1" s="2" t="s">
        <v>635</v>
      </c>
      <c r="B1" s="3"/>
      <c r="C1" s="3"/>
      <c r="D1" s="3"/>
      <c r="E1" s="3"/>
      <c r="F1" s="3"/>
      <c r="G1" s="3"/>
      <c r="H1" s="3"/>
      <c r="I1" s="3"/>
      <c r="J1" s="3"/>
    </row>
    <row r="2" customFormat="false" ht="15" hidden="false" customHeight="false" outlineLevel="0" collapsed="false">
      <c r="A2" s="4" t="s">
        <v>636</v>
      </c>
      <c r="B2" s="3"/>
      <c r="C2" s="3"/>
      <c r="D2" s="3"/>
      <c r="E2" s="3"/>
      <c r="F2" s="3"/>
      <c r="G2" s="3"/>
      <c r="H2" s="3"/>
      <c r="I2" s="3"/>
      <c r="J2" s="3"/>
    </row>
    <row r="3" customFormat="false" ht="15" hidden="false" customHeight="false" outlineLevel="0" collapsed="false">
      <c r="A3" s="3"/>
      <c r="B3" s="3"/>
      <c r="C3" s="3"/>
      <c r="D3" s="3"/>
      <c r="E3" s="3"/>
      <c r="F3" s="3"/>
      <c r="G3" s="3"/>
      <c r="H3" s="3"/>
      <c r="I3" s="3"/>
      <c r="J3" s="3"/>
    </row>
    <row r="4" customFormat="false" ht="15" hidden="false" customHeight="false" outlineLevel="0" collapsed="false">
      <c r="A4" s="12" t="s">
        <v>637</v>
      </c>
      <c r="B4" s="12" t="s">
        <v>638</v>
      </c>
      <c r="C4" s="3"/>
      <c r="D4" s="12" t="s">
        <v>553</v>
      </c>
      <c r="E4" s="12" t="s">
        <v>554</v>
      </c>
      <c r="F4" s="12" t="s">
        <v>555</v>
      </c>
      <c r="G4" s="12" t="s">
        <v>639</v>
      </c>
      <c r="H4" s="12" t="s">
        <v>640</v>
      </c>
      <c r="I4" s="12" t="s">
        <v>641</v>
      </c>
      <c r="J4" s="12" t="s">
        <v>642</v>
      </c>
    </row>
    <row r="5" customFormat="false" ht="15" hidden="false" customHeight="false" outlineLevel="0" collapsed="false">
      <c r="A5" s="27" t="s">
        <v>639</v>
      </c>
      <c r="B5" s="27" t="n">
        <v>6.13</v>
      </c>
      <c r="C5" s="3"/>
      <c r="D5" s="6" t="s">
        <v>558</v>
      </c>
      <c r="E5" s="20" t="n">
        <v>0</v>
      </c>
      <c r="F5" s="20" t="n">
        <v>0.25</v>
      </c>
      <c r="G5" s="6" t="n">
        <f aca="false">COUNTIFS($A$5:$A$111,"V1",$B$5:$B$111,"&gt;="&amp;E5,$B$5:$B$111,"&lt;"&amp;F5)</f>
        <v>25</v>
      </c>
      <c r="H5" s="6" t="n">
        <f aca="false">COUNTIFS($A$5:$A$111,"V2",$B$5:$B$111,"&gt;="&amp;E5,$B$5:$B$111,"&lt;"&amp;F5)</f>
        <v>19</v>
      </c>
      <c r="I5" s="24" t="n">
        <f aca="false">G5/SUM(G$5:G$10)</f>
        <v>0.357142857142857</v>
      </c>
      <c r="J5" s="24" t="n">
        <f aca="false">H5/SUM(H$5:H$10)</f>
        <v>0.513513513513514</v>
      </c>
    </row>
    <row r="6" customFormat="false" ht="15" hidden="false" customHeight="false" outlineLevel="0" collapsed="false">
      <c r="A6" s="27" t="s">
        <v>639</v>
      </c>
      <c r="B6" s="27" t="n">
        <v>1.54</v>
      </c>
      <c r="C6" s="3"/>
      <c r="D6" s="6" t="s">
        <v>559</v>
      </c>
      <c r="E6" s="20" t="n">
        <v>0.25</v>
      </c>
      <c r="F6" s="20" t="n">
        <v>0.5</v>
      </c>
      <c r="G6" s="6" t="n">
        <f aca="false">COUNTIFS($A$5:$A$111,"V1",$B$5:$B$111,"&gt;="&amp;E6,$B$5:$B$111,"&lt;"&amp;F6)</f>
        <v>8</v>
      </c>
      <c r="H6" s="6" t="n">
        <f aca="false">COUNTIFS($A$5:$A$111,"V2",$B$5:$B$111,"&gt;="&amp;E6,$B$5:$B$111,"&lt;"&amp;F6)</f>
        <v>7</v>
      </c>
      <c r="I6" s="24" t="n">
        <f aca="false">G6/SUM(G$5:G$10)</f>
        <v>0.114285714285714</v>
      </c>
      <c r="J6" s="24" t="n">
        <f aca="false">H6/SUM(H$5:H$10)</f>
        <v>0.189189189189189</v>
      </c>
    </row>
    <row r="7" customFormat="false" ht="15" hidden="false" customHeight="false" outlineLevel="0" collapsed="false">
      <c r="A7" s="27" t="s">
        <v>639</v>
      </c>
      <c r="B7" s="27" t="n">
        <v>0.1</v>
      </c>
      <c r="C7" s="3"/>
      <c r="D7" s="6" t="s">
        <v>560</v>
      </c>
      <c r="E7" s="20" t="n">
        <v>0.5</v>
      </c>
      <c r="F7" s="20" t="n">
        <v>1</v>
      </c>
      <c r="G7" s="6" t="n">
        <f aca="false">COUNTIFS($A$5:$A$111,"V1",$B$5:$B$111,"&gt;="&amp;E7,$B$5:$B$111,"&lt;"&amp;F7)</f>
        <v>23</v>
      </c>
      <c r="H7" s="6" t="n">
        <f aca="false">COUNTIFS($A$5:$A$111,"V2",$B$5:$B$111,"&gt;="&amp;E7,$B$5:$B$111,"&lt;"&amp;F7)</f>
        <v>5</v>
      </c>
      <c r="I7" s="24" t="n">
        <f aca="false">G7/SUM(G$5:G$10)</f>
        <v>0.328571428571429</v>
      </c>
      <c r="J7" s="24" t="n">
        <f aca="false">H7/SUM(H$5:H$10)</f>
        <v>0.135135135135135</v>
      </c>
    </row>
    <row r="8" customFormat="false" ht="15" hidden="false" customHeight="false" outlineLevel="0" collapsed="false">
      <c r="A8" s="27" t="s">
        <v>639</v>
      </c>
      <c r="B8" s="27" t="n">
        <v>0.1</v>
      </c>
      <c r="C8" s="3"/>
      <c r="D8" s="6" t="s">
        <v>561</v>
      </c>
      <c r="E8" s="20" t="n">
        <v>1</v>
      </c>
      <c r="F8" s="20" t="n">
        <v>2</v>
      </c>
      <c r="G8" s="6" t="n">
        <f aca="false">COUNTIFS($A$5:$A$111,"V1",$B$5:$B$111,"&gt;="&amp;E8,$B$5:$B$111,"&lt;"&amp;F8)</f>
        <v>7</v>
      </c>
      <c r="H8" s="6" t="n">
        <f aca="false">COUNTIFS($A$5:$A$111,"V2",$B$5:$B$111,"&gt;="&amp;E8,$B$5:$B$111,"&lt;"&amp;F8)</f>
        <v>5</v>
      </c>
      <c r="I8" s="24" t="n">
        <f aca="false">G8/SUM(G$5:G$10)</f>
        <v>0.1</v>
      </c>
      <c r="J8" s="24" t="n">
        <f aca="false">H8/SUM(H$5:H$10)</f>
        <v>0.135135135135135</v>
      </c>
    </row>
    <row r="9" customFormat="false" ht="15" hidden="false" customHeight="false" outlineLevel="0" collapsed="false">
      <c r="A9" s="27" t="s">
        <v>639</v>
      </c>
      <c r="B9" s="27" t="n">
        <v>0.61</v>
      </c>
      <c r="C9" s="3"/>
      <c r="D9" s="6" t="s">
        <v>562</v>
      </c>
      <c r="E9" s="20" t="n">
        <v>2</v>
      </c>
      <c r="F9" s="20" t="n">
        <v>3</v>
      </c>
      <c r="G9" s="6" t="n">
        <f aca="false">COUNTIFS($A$5:$A$111,"V1",$B$5:$B$111,"&gt;="&amp;E9,$B$5:$B$111,"&lt;"&amp;F9)</f>
        <v>4</v>
      </c>
      <c r="H9" s="6" t="n">
        <f aca="false">COUNTIFS($A$5:$A$111,"V2",$B$5:$B$111,"&gt;="&amp;E9,$B$5:$B$111,"&lt;"&amp;F9)</f>
        <v>1</v>
      </c>
      <c r="I9" s="24" t="n">
        <f aca="false">G9/SUM(G$5:G$10)</f>
        <v>0.0571428571428571</v>
      </c>
      <c r="J9" s="24" t="n">
        <f aca="false">H9/SUM(H$5:H$10)</f>
        <v>0.027027027027027</v>
      </c>
    </row>
    <row r="10" customFormat="false" ht="15" hidden="false" customHeight="false" outlineLevel="0" collapsed="false">
      <c r="A10" s="27" t="s">
        <v>639</v>
      </c>
      <c r="B10" s="27" t="n">
        <v>0.61</v>
      </c>
      <c r="C10" s="3"/>
      <c r="D10" s="6" t="s">
        <v>563</v>
      </c>
      <c r="E10" s="20" t="n">
        <v>3</v>
      </c>
      <c r="F10" s="20" t="n">
        <v>9999</v>
      </c>
      <c r="G10" s="6" t="n">
        <f aca="false">COUNTIFS($A$5:$A$111,"V1",$B$5:$B$111,"&gt;="&amp;E10,$B$5:$B$111,"&lt;"&amp;F10)</f>
        <v>3</v>
      </c>
      <c r="H10" s="6" t="n">
        <f aca="false">COUNTIFS($A$5:$A$111,"V2",$B$5:$B$111,"&gt;="&amp;E10,$B$5:$B$111,"&lt;"&amp;F10)</f>
        <v>0</v>
      </c>
      <c r="I10" s="24" t="n">
        <f aca="false">G10/SUM(G$5:G$10)</f>
        <v>0.0428571428571429</v>
      </c>
      <c r="J10" s="24" t="n">
        <f aca="false">H10/SUM(H$5:H$10)</f>
        <v>0</v>
      </c>
    </row>
    <row r="11" customFormat="false" ht="15" hidden="false" customHeight="false" outlineLevel="0" collapsed="false">
      <c r="A11" s="27" t="s">
        <v>639</v>
      </c>
      <c r="B11" s="27" t="n">
        <v>0.61</v>
      </c>
      <c r="C11" s="3"/>
      <c r="D11" s="3"/>
      <c r="E11" s="3"/>
      <c r="F11" s="3"/>
      <c r="G11" s="3"/>
      <c r="H11" s="3"/>
      <c r="I11" s="3"/>
      <c r="J11" s="3"/>
    </row>
    <row r="12" customFormat="false" ht="15" hidden="false" customHeight="false" outlineLevel="0" collapsed="false">
      <c r="A12" s="27" t="s">
        <v>639</v>
      </c>
      <c r="B12" s="27" t="n">
        <v>2.86</v>
      </c>
      <c r="C12" s="3"/>
      <c r="D12" s="6" t="s">
        <v>97</v>
      </c>
      <c r="E12" s="6"/>
      <c r="F12" s="6"/>
      <c r="G12" s="26" t="n">
        <f aca="false">COUNTIF($A$5:$A$111,"V1")</f>
        <v>70</v>
      </c>
      <c r="H12" s="26" t="n">
        <f aca="false">COUNTIF($A$5:$A$111,"V2")</f>
        <v>37</v>
      </c>
      <c r="I12" s="3"/>
      <c r="J12" s="3"/>
    </row>
    <row r="13" customFormat="false" ht="15" hidden="false" customHeight="false" outlineLevel="0" collapsed="false">
      <c r="A13" s="27" t="s">
        <v>639</v>
      </c>
      <c r="B13" s="27" t="n">
        <v>0.3</v>
      </c>
      <c r="C13" s="3"/>
      <c r="D13" s="6" t="s">
        <v>643</v>
      </c>
      <c r="E13" s="6"/>
      <c r="F13" s="6"/>
      <c r="G13" s="26" t="n">
        <f aca="false">AVERAGEIF($A$5:$A$111,"V1",$B$5:$B$111)</f>
        <v>0.788571428571429</v>
      </c>
      <c r="H13" s="26" t="n">
        <f aca="false">AVERAGEIF($A$5:$A$111,"V2",$B$5:$B$111)</f>
        <v>0.46972972972973</v>
      </c>
      <c r="I13" s="3"/>
      <c r="J13" s="3"/>
    </row>
    <row r="14" customFormat="false" ht="15" hidden="false" customHeight="false" outlineLevel="0" collapsed="false">
      <c r="A14" s="27" t="s">
        <v>639</v>
      </c>
      <c r="B14" s="27" t="n">
        <v>0.2</v>
      </c>
      <c r="C14" s="3"/>
      <c r="D14" s="6" t="s">
        <v>644</v>
      </c>
      <c r="E14" s="6"/>
      <c r="F14" s="6"/>
      <c r="G14" s="26" t="n">
        <f aca="false">_xlfn.MAXIFS($B$5:$B$111,$A$5:$A$111,"V1")</f>
        <v>6.13</v>
      </c>
      <c r="H14" s="26" t="n">
        <f aca="false">_xlfn.MAXIFS($B$5:$B$111,$A$5:$A$111,"V2")</f>
        <v>2.45</v>
      </c>
      <c r="I14" s="3"/>
      <c r="J14" s="3"/>
    </row>
    <row r="15" customFormat="false" ht="15" hidden="false" customHeight="false" outlineLevel="0" collapsed="false">
      <c r="A15" s="27" t="s">
        <v>639</v>
      </c>
      <c r="B15" s="27" t="n">
        <v>0.71</v>
      </c>
      <c r="C15" s="3"/>
      <c r="D15" s="3"/>
      <c r="E15" s="3"/>
      <c r="F15" s="3"/>
      <c r="G15" s="3"/>
      <c r="H15" s="3"/>
      <c r="I15" s="3"/>
      <c r="J15" s="3"/>
    </row>
    <row r="16" customFormat="false" ht="15" hidden="false" customHeight="false" outlineLevel="0" collapsed="false">
      <c r="A16" s="27" t="s">
        <v>639</v>
      </c>
      <c r="B16" s="27" t="n">
        <v>1.63</v>
      </c>
      <c r="C16" s="3"/>
      <c r="D16" s="3"/>
      <c r="E16" s="3"/>
      <c r="F16" s="3"/>
      <c r="G16" s="3"/>
      <c r="H16" s="3"/>
      <c r="I16" s="3"/>
      <c r="J16" s="3"/>
    </row>
    <row r="17" customFormat="false" ht="15" hidden="false" customHeight="false" outlineLevel="0" collapsed="false">
      <c r="A17" s="27" t="s">
        <v>639</v>
      </c>
      <c r="B17" s="27" t="n">
        <v>0.32</v>
      </c>
      <c r="C17" s="3"/>
      <c r="D17" s="3"/>
      <c r="E17" s="3"/>
      <c r="F17" s="3"/>
      <c r="G17" s="3"/>
      <c r="H17" s="3"/>
      <c r="I17" s="3"/>
      <c r="J17" s="3"/>
    </row>
    <row r="18" customFormat="false" ht="15" hidden="false" customHeight="false" outlineLevel="0" collapsed="false">
      <c r="A18" s="27" t="s">
        <v>639</v>
      </c>
      <c r="B18" s="27" t="n">
        <v>1.74</v>
      </c>
      <c r="C18" s="3"/>
      <c r="D18" s="3"/>
      <c r="E18" s="3"/>
      <c r="F18" s="3"/>
      <c r="G18" s="3"/>
      <c r="H18" s="3"/>
      <c r="I18" s="3"/>
      <c r="J18" s="3"/>
    </row>
    <row r="19" customFormat="false" ht="15" hidden="false" customHeight="false" outlineLevel="0" collapsed="false">
      <c r="A19" s="27" t="s">
        <v>639</v>
      </c>
      <c r="B19" s="27" t="n">
        <v>0.3</v>
      </c>
      <c r="C19" s="3"/>
      <c r="D19" s="3"/>
      <c r="E19" s="3"/>
      <c r="F19" s="3"/>
      <c r="G19" s="3"/>
      <c r="H19" s="3"/>
      <c r="I19" s="3"/>
      <c r="J19" s="3"/>
    </row>
    <row r="20" customFormat="false" ht="15" hidden="false" customHeight="false" outlineLevel="0" collapsed="false">
      <c r="A20" s="27" t="s">
        <v>639</v>
      </c>
      <c r="B20" s="27" t="n">
        <v>0.1</v>
      </c>
      <c r="C20" s="3"/>
      <c r="D20" s="3"/>
      <c r="E20" s="3"/>
      <c r="F20" s="3"/>
      <c r="G20" s="3"/>
      <c r="H20" s="3"/>
      <c r="I20" s="3"/>
      <c r="J20" s="3"/>
    </row>
    <row r="21" customFormat="false" ht="15" hidden="false" customHeight="false" outlineLevel="0" collapsed="false">
      <c r="A21" s="27" t="s">
        <v>639</v>
      </c>
      <c r="B21" s="27" t="n">
        <v>0.51</v>
      </c>
      <c r="C21" s="3"/>
      <c r="D21" s="3"/>
      <c r="E21" s="3"/>
      <c r="F21" s="3"/>
      <c r="G21" s="3"/>
      <c r="H21" s="3"/>
      <c r="I21" s="3"/>
      <c r="J21" s="3"/>
    </row>
    <row r="22" customFormat="false" ht="15" hidden="false" customHeight="false" outlineLevel="0" collapsed="false">
      <c r="A22" s="27" t="s">
        <v>639</v>
      </c>
      <c r="B22" s="27" t="n">
        <v>0.51</v>
      </c>
      <c r="C22" s="3"/>
      <c r="D22" s="3"/>
      <c r="E22" s="3"/>
      <c r="F22" s="3"/>
      <c r="G22" s="3"/>
      <c r="H22" s="3"/>
      <c r="I22" s="3"/>
      <c r="J22" s="3"/>
    </row>
    <row r="23" customFormat="false" ht="15" hidden="false" customHeight="false" outlineLevel="0" collapsed="false">
      <c r="A23" s="27" t="s">
        <v>639</v>
      </c>
      <c r="B23" s="27" t="n">
        <v>0.82</v>
      </c>
      <c r="C23" s="3"/>
      <c r="D23" s="3"/>
      <c r="E23" s="3"/>
      <c r="F23" s="3"/>
      <c r="G23" s="3"/>
      <c r="H23" s="3"/>
      <c r="I23" s="3"/>
      <c r="J23" s="3"/>
    </row>
    <row r="24" customFormat="false" ht="15" hidden="false" customHeight="false" outlineLevel="0" collapsed="false">
      <c r="A24" s="27" t="s">
        <v>639</v>
      </c>
      <c r="B24" s="27" t="n">
        <v>0.21</v>
      </c>
      <c r="C24" s="3"/>
      <c r="D24" s="3"/>
      <c r="E24" s="3"/>
      <c r="F24" s="3"/>
      <c r="G24" s="3"/>
      <c r="H24" s="3"/>
      <c r="I24" s="3"/>
      <c r="J24" s="3"/>
    </row>
    <row r="25" customFormat="false" ht="15" hidden="false" customHeight="false" outlineLevel="0" collapsed="false">
      <c r="A25" s="27" t="s">
        <v>639</v>
      </c>
      <c r="B25" s="27" t="n">
        <v>0.31</v>
      </c>
      <c r="C25" s="3"/>
      <c r="D25" s="3"/>
      <c r="E25" s="3"/>
      <c r="F25" s="3"/>
      <c r="G25" s="3"/>
      <c r="H25" s="3"/>
      <c r="I25" s="3"/>
      <c r="J25" s="3"/>
    </row>
    <row r="26" customFormat="false" ht="15" hidden="false" customHeight="false" outlineLevel="0" collapsed="false">
      <c r="A26" s="27" t="s">
        <v>639</v>
      </c>
      <c r="B26" s="27" t="n">
        <v>1.02</v>
      </c>
      <c r="C26" s="3"/>
      <c r="D26" s="3"/>
      <c r="E26" s="3"/>
      <c r="F26" s="3"/>
      <c r="G26" s="3"/>
      <c r="H26" s="3"/>
      <c r="I26" s="3"/>
      <c r="J26" s="3"/>
    </row>
    <row r="27" customFormat="false" ht="15" hidden="false" customHeight="false" outlineLevel="0" collapsed="false">
      <c r="A27" s="27" t="s">
        <v>639</v>
      </c>
      <c r="B27" s="27" t="n">
        <v>0.72</v>
      </c>
      <c r="C27" s="3"/>
      <c r="D27" s="3"/>
      <c r="E27" s="3"/>
      <c r="F27" s="3"/>
      <c r="G27" s="3"/>
      <c r="H27" s="3"/>
      <c r="I27" s="3"/>
      <c r="J27" s="3"/>
    </row>
    <row r="28" customFormat="false" ht="15" hidden="false" customHeight="false" outlineLevel="0" collapsed="false">
      <c r="A28" s="27" t="s">
        <v>639</v>
      </c>
      <c r="B28" s="27" t="n">
        <v>0.51</v>
      </c>
      <c r="C28" s="3"/>
      <c r="D28" s="3"/>
      <c r="E28" s="3"/>
      <c r="F28" s="3"/>
      <c r="G28" s="3"/>
      <c r="H28" s="3"/>
      <c r="I28" s="3"/>
      <c r="J28" s="3"/>
    </row>
    <row r="29" customFormat="false" ht="15" hidden="false" customHeight="false" outlineLevel="0" collapsed="false">
      <c r="A29" s="27" t="s">
        <v>639</v>
      </c>
      <c r="B29" s="27" t="n">
        <v>0.2</v>
      </c>
      <c r="C29" s="3"/>
      <c r="D29" s="3"/>
      <c r="E29" s="3"/>
      <c r="F29" s="3"/>
      <c r="G29" s="3"/>
      <c r="H29" s="3"/>
      <c r="I29" s="3"/>
      <c r="J29" s="3"/>
    </row>
    <row r="30" customFormat="false" ht="15" hidden="false" customHeight="false" outlineLevel="0" collapsed="false">
      <c r="A30" s="27" t="s">
        <v>639</v>
      </c>
      <c r="B30" s="27" t="n">
        <v>0.21</v>
      </c>
      <c r="C30" s="3"/>
      <c r="D30" s="3"/>
      <c r="E30" s="3"/>
      <c r="F30" s="3"/>
      <c r="G30" s="3"/>
      <c r="H30" s="3"/>
      <c r="I30" s="3"/>
      <c r="J30" s="3"/>
    </row>
    <row r="31" customFormat="false" ht="15" hidden="false" customHeight="false" outlineLevel="0" collapsed="false">
      <c r="A31" s="27" t="s">
        <v>639</v>
      </c>
      <c r="B31" s="27" t="n">
        <v>0.21</v>
      </c>
      <c r="C31" s="3"/>
      <c r="D31" s="3"/>
      <c r="E31" s="3"/>
      <c r="F31" s="3"/>
      <c r="G31" s="3"/>
      <c r="H31" s="3"/>
      <c r="I31" s="3"/>
      <c r="J31" s="3"/>
    </row>
    <row r="32" customFormat="false" ht="15" hidden="false" customHeight="false" outlineLevel="0" collapsed="false">
      <c r="A32" s="27" t="s">
        <v>639</v>
      </c>
      <c r="B32" s="27" t="n">
        <v>0.1</v>
      </c>
      <c r="C32" s="3"/>
      <c r="D32" s="3"/>
      <c r="E32" s="3"/>
      <c r="F32" s="3"/>
      <c r="G32" s="3"/>
      <c r="H32" s="3"/>
      <c r="I32" s="3"/>
      <c r="J32" s="3"/>
    </row>
    <row r="33" customFormat="false" ht="15" hidden="false" customHeight="false" outlineLevel="0" collapsed="false">
      <c r="A33" s="27" t="s">
        <v>639</v>
      </c>
      <c r="B33" s="27" t="n">
        <v>0.1</v>
      </c>
      <c r="C33" s="3"/>
      <c r="D33" s="3"/>
      <c r="E33" s="3"/>
      <c r="F33" s="3"/>
      <c r="G33" s="3"/>
      <c r="H33" s="3"/>
      <c r="I33" s="3"/>
      <c r="J33" s="3"/>
    </row>
    <row r="34" customFormat="false" ht="15" hidden="false" customHeight="false" outlineLevel="0" collapsed="false">
      <c r="A34" s="27" t="s">
        <v>639</v>
      </c>
      <c r="B34" s="27" t="n">
        <v>0.82</v>
      </c>
      <c r="C34" s="3"/>
      <c r="D34" s="3"/>
      <c r="E34" s="3"/>
      <c r="F34" s="3"/>
      <c r="G34" s="3"/>
      <c r="H34" s="3"/>
      <c r="I34" s="3"/>
      <c r="J34" s="3"/>
    </row>
    <row r="35" customFormat="false" ht="15" hidden="false" customHeight="false" outlineLevel="0" collapsed="false">
      <c r="A35" s="27" t="s">
        <v>639</v>
      </c>
      <c r="B35" s="27" t="n">
        <v>0.2</v>
      </c>
      <c r="C35" s="3"/>
      <c r="D35" s="3"/>
      <c r="E35" s="3"/>
      <c r="F35" s="3"/>
      <c r="G35" s="3"/>
      <c r="H35" s="3"/>
      <c r="I35" s="3"/>
      <c r="J35" s="3"/>
    </row>
    <row r="36" customFormat="false" ht="15" hidden="false" customHeight="false" outlineLevel="0" collapsed="false">
      <c r="A36" s="27" t="s">
        <v>639</v>
      </c>
      <c r="B36" s="27" t="n">
        <v>0.82</v>
      </c>
      <c r="C36" s="3"/>
      <c r="D36" s="3"/>
      <c r="E36" s="3"/>
      <c r="F36" s="3"/>
      <c r="G36" s="3"/>
      <c r="H36" s="3"/>
      <c r="I36" s="3"/>
      <c r="J36" s="3"/>
    </row>
    <row r="37" customFormat="false" ht="15" hidden="false" customHeight="false" outlineLevel="0" collapsed="false">
      <c r="A37" s="27" t="s">
        <v>639</v>
      </c>
      <c r="B37" s="27" t="n">
        <v>0.72</v>
      </c>
      <c r="C37" s="3"/>
      <c r="D37" s="3"/>
      <c r="E37" s="3"/>
      <c r="F37" s="3"/>
      <c r="G37" s="3"/>
      <c r="H37" s="3"/>
      <c r="I37" s="3"/>
      <c r="J37" s="3"/>
    </row>
    <row r="38" customFormat="false" ht="15" hidden="false" customHeight="false" outlineLevel="0" collapsed="false">
      <c r="A38" s="27" t="s">
        <v>639</v>
      </c>
      <c r="B38" s="27" t="n">
        <v>0.51</v>
      </c>
      <c r="C38" s="3"/>
      <c r="D38" s="3"/>
      <c r="E38" s="3"/>
      <c r="F38" s="3"/>
      <c r="G38" s="3"/>
      <c r="H38" s="3"/>
      <c r="I38" s="3"/>
      <c r="J38" s="3"/>
    </row>
    <row r="39" customFormat="false" ht="15" hidden="false" customHeight="false" outlineLevel="0" collapsed="false">
      <c r="A39" s="27" t="s">
        <v>639</v>
      </c>
      <c r="B39" s="27" t="n">
        <v>0.51</v>
      </c>
      <c r="C39" s="3"/>
      <c r="D39" s="3"/>
      <c r="E39" s="3"/>
      <c r="F39" s="3"/>
      <c r="G39" s="3"/>
      <c r="H39" s="3"/>
      <c r="I39" s="3"/>
      <c r="J39" s="3"/>
    </row>
    <row r="40" customFormat="false" ht="15" hidden="false" customHeight="false" outlineLevel="0" collapsed="false">
      <c r="A40" s="27" t="s">
        <v>639</v>
      </c>
      <c r="B40" s="27" t="n">
        <v>2.35</v>
      </c>
      <c r="C40" s="3"/>
      <c r="D40" s="3"/>
      <c r="E40" s="3"/>
      <c r="F40" s="3"/>
      <c r="G40" s="3"/>
      <c r="H40" s="3"/>
      <c r="I40" s="3"/>
      <c r="J40" s="3"/>
    </row>
    <row r="41" customFormat="false" ht="15" hidden="false" customHeight="false" outlineLevel="0" collapsed="false">
      <c r="A41" s="27" t="s">
        <v>639</v>
      </c>
      <c r="B41" s="27" t="n">
        <v>0.92</v>
      </c>
      <c r="C41" s="3"/>
      <c r="D41" s="3"/>
      <c r="E41" s="3"/>
      <c r="F41" s="3"/>
      <c r="G41" s="3"/>
      <c r="H41" s="3"/>
      <c r="I41" s="3"/>
      <c r="J41" s="3"/>
    </row>
    <row r="42" customFormat="false" ht="15" hidden="false" customHeight="false" outlineLevel="0" collapsed="false">
      <c r="A42" s="27" t="s">
        <v>639</v>
      </c>
      <c r="B42" s="27" t="n">
        <v>1.84</v>
      </c>
      <c r="C42" s="3"/>
      <c r="D42" s="3"/>
      <c r="E42" s="3"/>
      <c r="F42" s="3"/>
      <c r="G42" s="3"/>
      <c r="H42" s="3"/>
      <c r="I42" s="3"/>
      <c r="J42" s="3"/>
    </row>
    <row r="43" customFormat="false" ht="15" hidden="false" customHeight="false" outlineLevel="0" collapsed="false">
      <c r="A43" s="27" t="s">
        <v>639</v>
      </c>
      <c r="B43" s="27" t="n">
        <v>0.1</v>
      </c>
      <c r="C43" s="3"/>
      <c r="D43" s="3"/>
      <c r="E43" s="3"/>
      <c r="F43" s="3"/>
      <c r="G43" s="3"/>
      <c r="H43" s="3"/>
      <c r="I43" s="3"/>
      <c r="J43" s="3"/>
    </row>
    <row r="44" customFormat="false" ht="15" hidden="false" customHeight="false" outlineLevel="0" collapsed="false">
      <c r="A44" s="27" t="s">
        <v>639</v>
      </c>
      <c r="B44" s="27" t="n">
        <v>0.82</v>
      </c>
      <c r="C44" s="3"/>
      <c r="D44" s="3"/>
      <c r="E44" s="3"/>
      <c r="F44" s="3"/>
      <c r="G44" s="3"/>
      <c r="H44" s="3"/>
      <c r="I44" s="3"/>
      <c r="J44" s="3"/>
    </row>
    <row r="45" customFormat="false" ht="15" hidden="false" customHeight="false" outlineLevel="0" collapsed="false">
      <c r="A45" s="27" t="s">
        <v>639</v>
      </c>
      <c r="B45" s="27" t="n">
        <v>0.91</v>
      </c>
      <c r="C45" s="3"/>
      <c r="D45" s="3"/>
      <c r="E45" s="3"/>
      <c r="F45" s="3"/>
      <c r="G45" s="3"/>
      <c r="H45" s="3"/>
      <c r="I45" s="3"/>
      <c r="J45" s="3"/>
    </row>
    <row r="46" customFormat="false" ht="15" hidden="false" customHeight="false" outlineLevel="0" collapsed="false">
      <c r="A46" s="27" t="s">
        <v>639</v>
      </c>
      <c r="B46" s="27" t="n">
        <v>0.1</v>
      </c>
      <c r="C46" s="3"/>
      <c r="D46" s="3"/>
      <c r="E46" s="3"/>
      <c r="F46" s="3"/>
      <c r="G46" s="3"/>
      <c r="H46" s="3"/>
      <c r="I46" s="3"/>
      <c r="J46" s="3"/>
    </row>
    <row r="47" customFormat="false" ht="15" hidden="false" customHeight="false" outlineLevel="0" collapsed="false">
      <c r="A47" s="27" t="s">
        <v>639</v>
      </c>
      <c r="B47" s="27" t="n">
        <v>0.21</v>
      </c>
      <c r="C47" s="3"/>
      <c r="D47" s="3"/>
      <c r="E47" s="3"/>
      <c r="F47" s="3"/>
      <c r="G47" s="3"/>
      <c r="H47" s="3"/>
      <c r="I47" s="3"/>
      <c r="J47" s="3"/>
    </row>
    <row r="48" customFormat="false" ht="15" hidden="false" customHeight="false" outlineLevel="0" collapsed="false">
      <c r="A48" s="27" t="s">
        <v>639</v>
      </c>
      <c r="B48" s="27" t="n">
        <v>2.25</v>
      </c>
      <c r="C48" s="3"/>
      <c r="D48" s="3"/>
      <c r="E48" s="3"/>
      <c r="F48" s="3"/>
      <c r="G48" s="3"/>
      <c r="H48" s="3"/>
      <c r="I48" s="3"/>
      <c r="J48" s="3"/>
    </row>
    <row r="49" customFormat="false" ht="15" hidden="false" customHeight="false" outlineLevel="0" collapsed="false">
      <c r="A49" s="27" t="s">
        <v>639</v>
      </c>
      <c r="B49" s="27" t="n">
        <v>2.36</v>
      </c>
      <c r="C49" s="3"/>
      <c r="D49" s="3"/>
      <c r="E49" s="3"/>
      <c r="F49" s="3"/>
      <c r="G49" s="3"/>
      <c r="H49" s="3"/>
      <c r="I49" s="3"/>
      <c r="J49" s="3"/>
    </row>
    <row r="50" customFormat="false" ht="15" hidden="false" customHeight="false" outlineLevel="0" collapsed="false">
      <c r="A50" s="27" t="s">
        <v>639</v>
      </c>
      <c r="B50" s="27" t="n">
        <v>4.21</v>
      </c>
      <c r="C50" s="3"/>
      <c r="D50" s="3"/>
      <c r="E50" s="3"/>
      <c r="F50" s="3"/>
      <c r="G50" s="3"/>
      <c r="H50" s="3"/>
      <c r="I50" s="3"/>
      <c r="J50" s="3"/>
    </row>
    <row r="51" customFormat="false" ht="15" hidden="false" customHeight="false" outlineLevel="0" collapsed="false">
      <c r="A51" s="27" t="s">
        <v>639</v>
      </c>
      <c r="B51" s="27" t="n">
        <v>0.31</v>
      </c>
      <c r="C51" s="3"/>
      <c r="D51" s="3"/>
      <c r="E51" s="3"/>
      <c r="F51" s="3"/>
      <c r="G51" s="3"/>
      <c r="H51" s="3"/>
      <c r="I51" s="3"/>
      <c r="J51" s="3"/>
    </row>
    <row r="52" customFormat="false" ht="15" hidden="false" customHeight="false" outlineLevel="0" collapsed="false">
      <c r="A52" s="27" t="s">
        <v>639</v>
      </c>
      <c r="B52" s="27" t="n">
        <v>0.62</v>
      </c>
      <c r="C52" s="3"/>
      <c r="D52" s="3"/>
      <c r="E52" s="3"/>
      <c r="F52" s="3"/>
      <c r="G52" s="3"/>
      <c r="H52" s="3"/>
      <c r="I52" s="3"/>
      <c r="J52" s="3"/>
    </row>
    <row r="53" customFormat="false" ht="15" hidden="false" customHeight="false" outlineLevel="0" collapsed="false">
      <c r="A53" s="27" t="s">
        <v>639</v>
      </c>
      <c r="B53" s="27" t="n">
        <v>0.31</v>
      </c>
      <c r="C53" s="3"/>
      <c r="D53" s="3"/>
      <c r="E53" s="3"/>
      <c r="F53" s="3"/>
      <c r="G53" s="3"/>
      <c r="H53" s="3"/>
      <c r="I53" s="3"/>
      <c r="J53" s="3"/>
    </row>
    <row r="54" customFormat="false" ht="15" hidden="false" customHeight="false" outlineLevel="0" collapsed="false">
      <c r="A54" s="27" t="s">
        <v>639</v>
      </c>
      <c r="B54" s="27" t="n">
        <v>0.31</v>
      </c>
      <c r="C54" s="3"/>
      <c r="D54" s="3"/>
      <c r="E54" s="3"/>
      <c r="F54" s="3"/>
      <c r="G54" s="3"/>
      <c r="H54" s="3"/>
      <c r="I54" s="3"/>
      <c r="J54" s="3"/>
    </row>
    <row r="55" customFormat="false" ht="15" hidden="false" customHeight="false" outlineLevel="0" collapsed="false">
      <c r="A55" s="27" t="s">
        <v>639</v>
      </c>
      <c r="B55" s="27" t="n">
        <v>0.1</v>
      </c>
      <c r="C55" s="3"/>
      <c r="D55" s="3"/>
      <c r="E55" s="3"/>
      <c r="F55" s="3"/>
      <c r="G55" s="3"/>
      <c r="H55" s="3"/>
      <c r="I55" s="3"/>
      <c r="J55" s="3"/>
    </row>
    <row r="56" customFormat="false" ht="15" hidden="false" customHeight="false" outlineLevel="0" collapsed="false">
      <c r="A56" s="27" t="s">
        <v>639</v>
      </c>
      <c r="B56" s="27" t="n">
        <v>0.1</v>
      </c>
      <c r="C56" s="3"/>
      <c r="D56" s="3"/>
      <c r="E56" s="3"/>
      <c r="F56" s="3"/>
      <c r="G56" s="3"/>
      <c r="H56" s="3"/>
      <c r="I56" s="3"/>
      <c r="J56" s="3"/>
    </row>
    <row r="57" customFormat="false" ht="15" hidden="false" customHeight="false" outlineLevel="0" collapsed="false">
      <c r="A57" s="27" t="s">
        <v>639</v>
      </c>
      <c r="B57" s="27" t="n">
        <v>0.1</v>
      </c>
      <c r="C57" s="3"/>
      <c r="D57" s="3"/>
      <c r="E57" s="3"/>
      <c r="F57" s="3"/>
      <c r="G57" s="3"/>
      <c r="H57" s="3"/>
      <c r="I57" s="3"/>
      <c r="J57" s="3"/>
    </row>
    <row r="58" customFormat="false" ht="15" hidden="false" customHeight="false" outlineLevel="0" collapsed="false">
      <c r="A58" s="27" t="s">
        <v>639</v>
      </c>
      <c r="B58" s="27" t="n">
        <v>0.51</v>
      </c>
      <c r="C58" s="3"/>
      <c r="D58" s="3"/>
      <c r="E58" s="3"/>
      <c r="F58" s="3"/>
      <c r="G58" s="3"/>
      <c r="H58" s="3"/>
      <c r="I58" s="3"/>
      <c r="J58" s="3"/>
    </row>
    <row r="59" customFormat="false" ht="15" hidden="false" customHeight="false" outlineLevel="0" collapsed="false">
      <c r="A59" s="27" t="s">
        <v>639</v>
      </c>
      <c r="B59" s="27" t="n">
        <v>0.2</v>
      </c>
      <c r="C59" s="3"/>
      <c r="D59" s="3"/>
      <c r="E59" s="3"/>
      <c r="F59" s="3"/>
      <c r="G59" s="3"/>
      <c r="H59" s="3"/>
      <c r="I59" s="3"/>
      <c r="J59" s="3"/>
    </row>
    <row r="60" customFormat="false" ht="15" hidden="false" customHeight="false" outlineLevel="0" collapsed="false">
      <c r="A60" s="27" t="s">
        <v>639</v>
      </c>
      <c r="B60" s="27" t="n">
        <v>0.62</v>
      </c>
      <c r="C60" s="3"/>
      <c r="D60" s="3"/>
      <c r="E60" s="3"/>
      <c r="F60" s="3"/>
      <c r="G60" s="3"/>
      <c r="H60" s="3"/>
      <c r="I60" s="3"/>
      <c r="J60" s="3"/>
    </row>
    <row r="61" customFormat="false" ht="15" hidden="false" customHeight="false" outlineLevel="0" collapsed="false">
      <c r="A61" s="27" t="s">
        <v>639</v>
      </c>
      <c r="B61" s="27" t="n">
        <v>1.02</v>
      </c>
      <c r="C61" s="3"/>
      <c r="D61" s="3"/>
      <c r="E61" s="3"/>
      <c r="F61" s="3"/>
      <c r="G61" s="3"/>
      <c r="H61" s="3"/>
      <c r="I61" s="3"/>
      <c r="J61" s="3"/>
    </row>
    <row r="62" customFormat="false" ht="15" hidden="false" customHeight="false" outlineLevel="0" collapsed="false">
      <c r="A62" s="27" t="s">
        <v>639</v>
      </c>
      <c r="B62" s="27" t="n">
        <v>0.41</v>
      </c>
      <c r="C62" s="3"/>
      <c r="D62" s="3"/>
      <c r="E62" s="3"/>
      <c r="F62" s="3"/>
      <c r="G62" s="3"/>
      <c r="H62" s="3"/>
      <c r="I62" s="3"/>
      <c r="J62" s="3"/>
    </row>
    <row r="63" customFormat="false" ht="15" hidden="false" customHeight="false" outlineLevel="0" collapsed="false">
      <c r="A63" s="27" t="s">
        <v>639</v>
      </c>
      <c r="B63" s="27" t="n">
        <v>0.61</v>
      </c>
      <c r="C63" s="3"/>
      <c r="D63" s="3"/>
      <c r="E63" s="3"/>
      <c r="F63" s="3"/>
      <c r="G63" s="3"/>
      <c r="H63" s="3"/>
      <c r="I63" s="3"/>
      <c r="J63" s="3"/>
    </row>
    <row r="64" customFormat="false" ht="15" hidden="false" customHeight="false" outlineLevel="0" collapsed="false">
      <c r="A64" s="27" t="s">
        <v>639</v>
      </c>
      <c r="B64" s="27" t="n">
        <v>0.51</v>
      </c>
      <c r="C64" s="3"/>
      <c r="D64" s="3"/>
      <c r="E64" s="3"/>
      <c r="F64" s="3"/>
      <c r="G64" s="3"/>
      <c r="H64" s="3"/>
      <c r="I64" s="3"/>
      <c r="J64" s="3"/>
    </row>
    <row r="65" customFormat="false" ht="15" hidden="false" customHeight="false" outlineLevel="0" collapsed="false">
      <c r="A65" s="27" t="s">
        <v>639</v>
      </c>
      <c r="B65" s="27" t="n">
        <v>0.1</v>
      </c>
      <c r="C65" s="3"/>
      <c r="D65" s="3"/>
      <c r="E65" s="3"/>
      <c r="F65" s="3"/>
      <c r="G65" s="3"/>
      <c r="H65" s="3"/>
      <c r="I65" s="3"/>
      <c r="J65" s="3"/>
    </row>
    <row r="66" customFormat="false" ht="15" hidden="false" customHeight="false" outlineLevel="0" collapsed="false">
      <c r="A66" s="27" t="s">
        <v>639</v>
      </c>
      <c r="B66" s="27" t="n">
        <v>0.2</v>
      </c>
      <c r="C66" s="3"/>
      <c r="D66" s="3"/>
      <c r="E66" s="3"/>
      <c r="F66" s="3"/>
      <c r="G66" s="3"/>
      <c r="H66" s="3"/>
      <c r="I66" s="3"/>
      <c r="J66" s="3"/>
    </row>
    <row r="67" customFormat="false" ht="15" hidden="false" customHeight="false" outlineLevel="0" collapsed="false">
      <c r="A67" s="27" t="s">
        <v>639</v>
      </c>
      <c r="B67" s="27" t="n">
        <v>0.1</v>
      </c>
      <c r="C67" s="3"/>
      <c r="D67" s="3"/>
      <c r="E67" s="3"/>
      <c r="F67" s="3"/>
      <c r="G67" s="3"/>
      <c r="H67" s="3"/>
      <c r="I67" s="3"/>
      <c r="J67" s="3"/>
    </row>
    <row r="68" customFormat="false" ht="15" hidden="false" customHeight="false" outlineLevel="0" collapsed="false">
      <c r="A68" s="27" t="s">
        <v>639</v>
      </c>
      <c r="B68" s="27" t="n">
        <v>0.1</v>
      </c>
      <c r="C68" s="3"/>
      <c r="D68" s="3"/>
      <c r="E68" s="3"/>
      <c r="F68" s="3"/>
      <c r="G68" s="3"/>
      <c r="H68" s="3"/>
      <c r="I68" s="3"/>
      <c r="J68" s="3"/>
    </row>
    <row r="69" customFormat="false" ht="15" hidden="false" customHeight="false" outlineLevel="0" collapsed="false">
      <c r="A69" s="27" t="s">
        <v>639</v>
      </c>
      <c r="B69" s="27" t="n">
        <v>0.1</v>
      </c>
      <c r="C69" s="3"/>
      <c r="D69" s="3"/>
      <c r="E69" s="3"/>
      <c r="F69" s="3"/>
      <c r="G69" s="3"/>
      <c r="H69" s="3"/>
      <c r="I69" s="3"/>
      <c r="J69" s="3"/>
    </row>
    <row r="70" customFormat="false" ht="15" hidden="false" customHeight="false" outlineLevel="0" collapsed="false">
      <c r="A70" s="27" t="s">
        <v>639</v>
      </c>
      <c r="B70" s="27" t="n">
        <v>0.72</v>
      </c>
      <c r="C70" s="3"/>
      <c r="D70" s="3"/>
      <c r="E70" s="3"/>
      <c r="F70" s="3"/>
      <c r="G70" s="3"/>
      <c r="H70" s="3"/>
      <c r="I70" s="3"/>
      <c r="J70" s="3"/>
    </row>
    <row r="71" customFormat="false" ht="15" hidden="false" customHeight="false" outlineLevel="0" collapsed="false">
      <c r="A71" s="27" t="s">
        <v>639</v>
      </c>
      <c r="B71" s="27" t="n">
        <v>0.1</v>
      </c>
      <c r="C71" s="3"/>
      <c r="D71" s="3"/>
      <c r="E71" s="3"/>
      <c r="F71" s="3"/>
      <c r="G71" s="3"/>
      <c r="H71" s="3"/>
      <c r="I71" s="3"/>
      <c r="J71" s="3"/>
    </row>
    <row r="72" customFormat="false" ht="15" hidden="false" customHeight="false" outlineLevel="0" collapsed="false">
      <c r="A72" s="27" t="s">
        <v>639</v>
      </c>
      <c r="B72" s="27" t="n">
        <v>3.89</v>
      </c>
      <c r="C72" s="3"/>
      <c r="D72" s="3"/>
      <c r="E72" s="3"/>
      <c r="F72" s="3"/>
      <c r="G72" s="3"/>
      <c r="H72" s="3"/>
      <c r="I72" s="3"/>
      <c r="J72" s="3"/>
    </row>
    <row r="73" customFormat="false" ht="15" hidden="false" customHeight="false" outlineLevel="0" collapsed="false">
      <c r="A73" s="27" t="s">
        <v>639</v>
      </c>
      <c r="B73" s="27" t="n">
        <v>0.2</v>
      </c>
      <c r="C73" s="3"/>
      <c r="D73" s="3"/>
      <c r="E73" s="3"/>
      <c r="F73" s="3"/>
      <c r="G73" s="3"/>
      <c r="H73" s="3"/>
      <c r="I73" s="3"/>
      <c r="J73" s="3"/>
    </row>
    <row r="74" customFormat="false" ht="15" hidden="false" customHeight="false" outlineLevel="0" collapsed="false">
      <c r="A74" s="27" t="s">
        <v>639</v>
      </c>
      <c r="B74" s="27" t="n">
        <v>1.02</v>
      </c>
      <c r="C74" s="3"/>
      <c r="D74" s="3"/>
      <c r="E74" s="3"/>
      <c r="F74" s="3"/>
      <c r="G74" s="3"/>
      <c r="H74" s="3"/>
      <c r="I74" s="3"/>
      <c r="J74" s="3"/>
    </row>
    <row r="75" customFormat="false" ht="15" hidden="false" customHeight="false" outlineLevel="0" collapsed="false">
      <c r="A75" s="27" t="s">
        <v>640</v>
      </c>
      <c r="B75" s="27" t="n">
        <v>0.82</v>
      </c>
      <c r="C75" s="3"/>
      <c r="D75" s="3"/>
      <c r="E75" s="3"/>
      <c r="F75" s="3"/>
      <c r="G75" s="3"/>
      <c r="H75" s="3"/>
      <c r="I75" s="3"/>
      <c r="J75" s="3"/>
    </row>
    <row r="76" customFormat="false" ht="15" hidden="false" customHeight="false" outlineLevel="0" collapsed="false">
      <c r="A76" s="27" t="s">
        <v>640</v>
      </c>
      <c r="B76" s="27" t="n">
        <v>0.2</v>
      </c>
      <c r="C76" s="3"/>
      <c r="D76" s="3"/>
      <c r="E76" s="3"/>
      <c r="F76" s="3"/>
      <c r="G76" s="3"/>
      <c r="H76" s="3"/>
      <c r="I76" s="3"/>
      <c r="J76" s="3"/>
    </row>
    <row r="77" customFormat="false" ht="15" hidden="false" customHeight="false" outlineLevel="0" collapsed="false">
      <c r="A77" s="27" t="s">
        <v>640</v>
      </c>
      <c r="B77" s="27" t="n">
        <v>1.13</v>
      </c>
      <c r="C77" s="3"/>
      <c r="D77" s="3"/>
      <c r="E77" s="3"/>
      <c r="F77" s="3"/>
      <c r="G77" s="3"/>
      <c r="H77" s="3"/>
      <c r="I77" s="3"/>
      <c r="J77" s="3"/>
    </row>
    <row r="78" customFormat="false" ht="15" hidden="false" customHeight="false" outlineLevel="0" collapsed="false">
      <c r="A78" s="27" t="s">
        <v>640</v>
      </c>
      <c r="B78" s="27" t="n">
        <v>0.21</v>
      </c>
      <c r="C78" s="3"/>
      <c r="D78" s="3"/>
      <c r="E78" s="3"/>
      <c r="F78" s="3"/>
      <c r="G78" s="3"/>
      <c r="H78" s="3"/>
      <c r="I78" s="3"/>
      <c r="J78" s="3"/>
    </row>
    <row r="79" customFormat="false" ht="15" hidden="false" customHeight="false" outlineLevel="0" collapsed="false">
      <c r="A79" s="27" t="s">
        <v>640</v>
      </c>
      <c r="B79" s="27" t="n">
        <v>0.1</v>
      </c>
      <c r="C79" s="3"/>
      <c r="D79" s="3"/>
      <c r="E79" s="3"/>
      <c r="F79" s="3"/>
      <c r="G79" s="3"/>
      <c r="H79" s="3"/>
      <c r="I79" s="3"/>
      <c r="J79" s="3"/>
    </row>
    <row r="80" customFormat="false" ht="15" hidden="false" customHeight="false" outlineLevel="0" collapsed="false">
      <c r="A80" s="27" t="s">
        <v>640</v>
      </c>
      <c r="B80" s="27" t="n">
        <v>0.1</v>
      </c>
      <c r="C80" s="3"/>
      <c r="D80" s="3"/>
      <c r="E80" s="3"/>
      <c r="F80" s="3"/>
      <c r="G80" s="3"/>
      <c r="H80" s="3"/>
      <c r="I80" s="3"/>
      <c r="J80" s="3"/>
    </row>
    <row r="81" customFormat="false" ht="15" hidden="false" customHeight="false" outlineLevel="0" collapsed="false">
      <c r="A81" s="27" t="s">
        <v>640</v>
      </c>
      <c r="B81" s="27" t="n">
        <v>0.21</v>
      </c>
      <c r="C81" s="3"/>
      <c r="D81" s="3"/>
      <c r="E81" s="3"/>
      <c r="F81" s="3"/>
      <c r="G81" s="3"/>
      <c r="H81" s="3"/>
      <c r="I81" s="3"/>
      <c r="J81" s="3"/>
    </row>
    <row r="82" customFormat="false" ht="15" hidden="false" customHeight="false" outlineLevel="0" collapsed="false">
      <c r="A82" s="27" t="s">
        <v>640</v>
      </c>
      <c r="B82" s="27" t="n">
        <v>0.71</v>
      </c>
      <c r="C82" s="3"/>
      <c r="D82" s="3"/>
      <c r="E82" s="3"/>
      <c r="F82" s="3"/>
      <c r="G82" s="3"/>
      <c r="H82" s="3"/>
      <c r="I82" s="3"/>
      <c r="J82" s="3"/>
    </row>
    <row r="83" customFormat="false" ht="15" hidden="false" customHeight="false" outlineLevel="0" collapsed="false">
      <c r="A83" s="27" t="s">
        <v>640</v>
      </c>
      <c r="B83" s="27" t="n">
        <v>0.31</v>
      </c>
      <c r="C83" s="3"/>
      <c r="D83" s="3"/>
      <c r="E83" s="3"/>
      <c r="F83" s="3"/>
      <c r="G83" s="3"/>
      <c r="H83" s="3"/>
      <c r="I83" s="3"/>
      <c r="J83" s="3"/>
    </row>
    <row r="84" customFormat="false" ht="15" hidden="false" customHeight="false" outlineLevel="0" collapsed="false">
      <c r="A84" s="27" t="s">
        <v>640</v>
      </c>
      <c r="B84" s="27" t="n">
        <v>0.1</v>
      </c>
      <c r="C84" s="3"/>
      <c r="D84" s="3"/>
      <c r="E84" s="3"/>
      <c r="F84" s="3"/>
      <c r="G84" s="3"/>
      <c r="H84" s="3"/>
      <c r="I84" s="3"/>
      <c r="J84" s="3"/>
    </row>
    <row r="85" customFormat="false" ht="15" hidden="false" customHeight="false" outlineLevel="0" collapsed="false">
      <c r="A85" s="27" t="s">
        <v>640</v>
      </c>
      <c r="B85" s="27" t="n">
        <v>0.92</v>
      </c>
      <c r="C85" s="3"/>
      <c r="D85" s="3"/>
      <c r="E85" s="3"/>
      <c r="F85" s="3"/>
      <c r="G85" s="3"/>
      <c r="H85" s="3"/>
      <c r="I85" s="3"/>
      <c r="J85" s="3"/>
    </row>
    <row r="86" customFormat="false" ht="15" hidden="false" customHeight="false" outlineLevel="0" collapsed="false">
      <c r="A86" s="27" t="s">
        <v>640</v>
      </c>
      <c r="B86" s="27" t="n">
        <v>0.41</v>
      </c>
      <c r="C86" s="3"/>
      <c r="D86" s="3"/>
      <c r="E86" s="3"/>
      <c r="F86" s="3"/>
      <c r="G86" s="3"/>
      <c r="H86" s="3"/>
      <c r="I86" s="3"/>
      <c r="J86" s="3"/>
    </row>
    <row r="87" customFormat="false" ht="15" hidden="false" customHeight="false" outlineLevel="0" collapsed="false">
      <c r="A87" s="27" t="s">
        <v>640</v>
      </c>
      <c r="B87" s="27" t="n">
        <v>0.41</v>
      </c>
      <c r="C87" s="3"/>
      <c r="D87" s="3"/>
      <c r="E87" s="3"/>
      <c r="F87" s="3"/>
      <c r="G87" s="3"/>
      <c r="H87" s="3"/>
      <c r="I87" s="3"/>
      <c r="J87" s="3"/>
    </row>
    <row r="88" customFormat="false" ht="15" hidden="false" customHeight="false" outlineLevel="0" collapsed="false">
      <c r="A88" s="27" t="s">
        <v>640</v>
      </c>
      <c r="B88" s="27" t="n">
        <v>0.1</v>
      </c>
      <c r="C88" s="3"/>
      <c r="D88" s="3"/>
      <c r="E88" s="3"/>
      <c r="F88" s="3"/>
      <c r="G88" s="3"/>
      <c r="H88" s="3"/>
      <c r="I88" s="3"/>
      <c r="J88" s="3"/>
    </row>
    <row r="89" customFormat="false" ht="15" hidden="false" customHeight="false" outlineLevel="0" collapsed="false">
      <c r="A89" s="27" t="s">
        <v>640</v>
      </c>
      <c r="B89" s="27" t="n">
        <v>0.1</v>
      </c>
      <c r="C89" s="3"/>
      <c r="D89" s="3"/>
      <c r="E89" s="3"/>
      <c r="F89" s="3"/>
      <c r="G89" s="3"/>
      <c r="H89" s="3"/>
      <c r="I89" s="3"/>
      <c r="J89" s="3"/>
    </row>
    <row r="90" customFormat="false" ht="15" hidden="false" customHeight="false" outlineLevel="0" collapsed="false">
      <c r="A90" s="27" t="s">
        <v>640</v>
      </c>
      <c r="B90" s="27" t="n">
        <v>0.31</v>
      </c>
      <c r="C90" s="3"/>
      <c r="D90" s="3"/>
      <c r="E90" s="3"/>
      <c r="F90" s="3"/>
      <c r="G90" s="3"/>
      <c r="H90" s="3"/>
      <c r="I90" s="3"/>
      <c r="J90" s="3"/>
    </row>
    <row r="91" customFormat="false" ht="15" hidden="false" customHeight="false" outlineLevel="0" collapsed="false">
      <c r="A91" s="27" t="s">
        <v>640</v>
      </c>
      <c r="B91" s="27" t="n">
        <v>1.12</v>
      </c>
      <c r="C91" s="3"/>
      <c r="D91" s="3"/>
      <c r="E91" s="3"/>
      <c r="F91" s="3"/>
      <c r="G91" s="3"/>
      <c r="H91" s="3"/>
      <c r="I91" s="3"/>
      <c r="J91" s="3"/>
    </row>
    <row r="92" customFormat="false" ht="15" hidden="false" customHeight="false" outlineLevel="0" collapsed="false">
      <c r="A92" s="27" t="s">
        <v>640</v>
      </c>
      <c r="B92" s="27" t="n">
        <v>1.03</v>
      </c>
      <c r="C92" s="3"/>
      <c r="D92" s="3"/>
      <c r="E92" s="3"/>
      <c r="F92" s="3"/>
      <c r="G92" s="3"/>
      <c r="H92" s="3"/>
      <c r="I92" s="3"/>
      <c r="J92" s="3"/>
    </row>
    <row r="93" customFormat="false" ht="15" hidden="false" customHeight="false" outlineLevel="0" collapsed="false">
      <c r="A93" s="27" t="s">
        <v>640</v>
      </c>
      <c r="B93" s="27" t="n">
        <v>0.41</v>
      </c>
      <c r="C93" s="3"/>
      <c r="D93" s="3"/>
      <c r="E93" s="3"/>
      <c r="F93" s="3"/>
      <c r="G93" s="3"/>
      <c r="H93" s="3"/>
      <c r="I93" s="3"/>
      <c r="J93" s="3"/>
    </row>
    <row r="94" customFormat="false" ht="15" hidden="false" customHeight="false" outlineLevel="0" collapsed="false">
      <c r="A94" s="27" t="s">
        <v>640</v>
      </c>
      <c r="B94" s="27" t="n">
        <v>0.31</v>
      </c>
      <c r="C94" s="3"/>
      <c r="D94" s="3"/>
      <c r="E94" s="3"/>
      <c r="F94" s="3"/>
      <c r="G94" s="3"/>
      <c r="H94" s="3"/>
      <c r="I94" s="3"/>
      <c r="J94" s="3"/>
    </row>
    <row r="95" customFormat="false" ht="15" hidden="false" customHeight="false" outlineLevel="0" collapsed="false">
      <c r="A95" s="27" t="s">
        <v>640</v>
      </c>
      <c r="B95" s="27" t="n">
        <v>0.1</v>
      </c>
      <c r="C95" s="3"/>
      <c r="D95" s="3"/>
      <c r="E95" s="3"/>
      <c r="F95" s="3"/>
      <c r="G95" s="3"/>
      <c r="H95" s="3"/>
      <c r="I95" s="3"/>
      <c r="J95" s="3"/>
    </row>
    <row r="96" customFormat="false" ht="15" hidden="false" customHeight="false" outlineLevel="0" collapsed="false">
      <c r="A96" s="27" t="s">
        <v>640</v>
      </c>
      <c r="B96" s="27" t="n">
        <v>0.1</v>
      </c>
      <c r="C96" s="3"/>
      <c r="D96" s="3"/>
      <c r="E96" s="3"/>
      <c r="F96" s="3"/>
      <c r="G96" s="3"/>
      <c r="H96" s="3"/>
      <c r="I96" s="3"/>
      <c r="J96" s="3"/>
    </row>
    <row r="97" customFormat="false" ht="15" hidden="false" customHeight="false" outlineLevel="0" collapsed="false">
      <c r="A97" s="27" t="s">
        <v>640</v>
      </c>
      <c r="B97" s="27" t="n">
        <v>0.21</v>
      </c>
      <c r="C97" s="3"/>
      <c r="D97" s="3"/>
      <c r="E97" s="3"/>
      <c r="F97" s="3"/>
      <c r="G97" s="3"/>
      <c r="H97" s="3"/>
      <c r="I97" s="3"/>
      <c r="J97" s="3"/>
    </row>
    <row r="98" customFormat="false" ht="15" hidden="false" customHeight="false" outlineLevel="0" collapsed="false">
      <c r="A98" s="27" t="s">
        <v>640</v>
      </c>
      <c r="B98" s="27" t="n">
        <v>0.1</v>
      </c>
      <c r="C98" s="3"/>
      <c r="D98" s="3"/>
      <c r="E98" s="3"/>
      <c r="F98" s="3"/>
      <c r="G98" s="3"/>
      <c r="H98" s="3"/>
      <c r="I98" s="3"/>
      <c r="J98" s="3"/>
    </row>
    <row r="99" customFormat="false" ht="15" hidden="false" customHeight="false" outlineLevel="0" collapsed="false">
      <c r="A99" s="27" t="s">
        <v>640</v>
      </c>
      <c r="B99" s="27" t="n">
        <v>0.1</v>
      </c>
      <c r="C99" s="3"/>
      <c r="D99" s="3"/>
      <c r="E99" s="3"/>
      <c r="F99" s="3"/>
      <c r="G99" s="3"/>
      <c r="H99" s="3"/>
      <c r="I99" s="3"/>
      <c r="J99" s="3"/>
    </row>
    <row r="100" customFormat="false" ht="15" hidden="false" customHeight="false" outlineLevel="0" collapsed="false">
      <c r="A100" s="27" t="s">
        <v>640</v>
      </c>
      <c r="B100" s="27" t="n">
        <v>0.21</v>
      </c>
      <c r="C100" s="3"/>
      <c r="D100" s="3"/>
      <c r="E100" s="3"/>
      <c r="F100" s="3"/>
      <c r="G100" s="3"/>
      <c r="H100" s="3"/>
      <c r="I100" s="3"/>
      <c r="J100" s="3"/>
    </row>
    <row r="101" customFormat="false" ht="15" hidden="false" customHeight="false" outlineLevel="0" collapsed="false">
      <c r="A101" s="27" t="s">
        <v>640</v>
      </c>
      <c r="B101" s="27" t="n">
        <v>0.21</v>
      </c>
      <c r="C101" s="3"/>
      <c r="D101" s="3"/>
      <c r="E101" s="3"/>
      <c r="F101" s="3"/>
      <c r="G101" s="3"/>
      <c r="H101" s="3"/>
      <c r="I101" s="3"/>
      <c r="J101" s="3"/>
    </row>
    <row r="102" customFormat="false" ht="15" hidden="false" customHeight="false" outlineLevel="0" collapsed="false">
      <c r="A102" s="27" t="s">
        <v>640</v>
      </c>
      <c r="B102" s="27" t="n">
        <v>1.02</v>
      </c>
      <c r="C102" s="3"/>
      <c r="D102" s="3"/>
      <c r="E102" s="3"/>
      <c r="F102" s="3"/>
      <c r="G102" s="3"/>
      <c r="H102" s="3"/>
      <c r="I102" s="3"/>
      <c r="J102" s="3"/>
    </row>
    <row r="103" customFormat="false" ht="15" hidden="false" customHeight="false" outlineLevel="0" collapsed="false">
      <c r="A103" s="27" t="s">
        <v>640</v>
      </c>
      <c r="B103" s="27" t="n">
        <v>0.1</v>
      </c>
      <c r="C103" s="3"/>
      <c r="D103" s="3"/>
      <c r="E103" s="3"/>
      <c r="F103" s="3"/>
      <c r="G103" s="3"/>
      <c r="H103" s="3"/>
      <c r="I103" s="3"/>
      <c r="J103" s="3"/>
    </row>
    <row r="104" customFormat="false" ht="15" hidden="false" customHeight="false" outlineLevel="0" collapsed="false">
      <c r="A104" s="27" t="s">
        <v>640</v>
      </c>
      <c r="B104" s="27" t="n">
        <v>0.92</v>
      </c>
      <c r="C104" s="3"/>
      <c r="D104" s="3"/>
      <c r="E104" s="3"/>
      <c r="F104" s="3"/>
      <c r="G104" s="3"/>
      <c r="H104" s="3"/>
      <c r="I104" s="3"/>
      <c r="J104" s="3"/>
    </row>
    <row r="105" customFormat="false" ht="15" hidden="false" customHeight="false" outlineLevel="0" collapsed="false">
      <c r="A105" s="27" t="s">
        <v>640</v>
      </c>
      <c r="B105" s="27" t="n">
        <v>2.45</v>
      </c>
      <c r="C105" s="3"/>
      <c r="D105" s="3"/>
      <c r="E105" s="3"/>
      <c r="F105" s="3"/>
      <c r="G105" s="3"/>
      <c r="H105" s="3"/>
      <c r="I105" s="3"/>
      <c r="J105" s="3"/>
    </row>
    <row r="106" customFormat="false" ht="15" hidden="false" customHeight="false" outlineLevel="0" collapsed="false">
      <c r="A106" s="27" t="s">
        <v>640</v>
      </c>
      <c r="B106" s="27" t="n">
        <v>0.4</v>
      </c>
      <c r="C106" s="3"/>
      <c r="D106" s="3"/>
      <c r="E106" s="3"/>
      <c r="F106" s="3"/>
      <c r="G106" s="3"/>
      <c r="H106" s="3"/>
      <c r="I106" s="3"/>
      <c r="J106" s="3"/>
    </row>
    <row r="107" customFormat="false" ht="15" hidden="false" customHeight="false" outlineLevel="0" collapsed="false">
      <c r="A107" s="27" t="s">
        <v>640</v>
      </c>
      <c r="B107" s="27" t="n">
        <v>0.1</v>
      </c>
      <c r="C107" s="3"/>
      <c r="D107" s="3"/>
      <c r="E107" s="3"/>
      <c r="F107" s="3"/>
      <c r="G107" s="3"/>
      <c r="H107" s="3"/>
      <c r="I107" s="3"/>
      <c r="J107" s="3"/>
    </row>
    <row r="108" customFormat="false" ht="15" hidden="false" customHeight="false" outlineLevel="0" collapsed="false">
      <c r="A108" s="27" t="s">
        <v>640</v>
      </c>
      <c r="B108" s="27" t="n">
        <v>0.1</v>
      </c>
      <c r="C108" s="3"/>
      <c r="D108" s="3"/>
      <c r="E108" s="3"/>
      <c r="F108" s="3"/>
      <c r="G108" s="3"/>
      <c r="H108" s="3"/>
      <c r="I108" s="3"/>
      <c r="J108" s="3"/>
    </row>
    <row r="109" customFormat="false" ht="15" hidden="false" customHeight="false" outlineLevel="0" collapsed="false">
      <c r="A109" s="27" t="s">
        <v>640</v>
      </c>
      <c r="B109" s="27" t="n">
        <v>0.82</v>
      </c>
      <c r="C109" s="3"/>
      <c r="D109" s="3"/>
      <c r="E109" s="3"/>
      <c r="F109" s="3"/>
      <c r="G109" s="3"/>
      <c r="H109" s="3"/>
      <c r="I109" s="3"/>
      <c r="J109" s="3"/>
    </row>
    <row r="110" customFormat="false" ht="15" hidden="false" customHeight="false" outlineLevel="0" collapsed="false">
      <c r="A110" s="27" t="s">
        <v>640</v>
      </c>
      <c r="B110" s="27" t="n">
        <v>1.33</v>
      </c>
      <c r="C110" s="3"/>
      <c r="D110" s="3"/>
      <c r="E110" s="3"/>
      <c r="F110" s="3"/>
      <c r="G110" s="3"/>
      <c r="H110" s="3"/>
      <c r="I110" s="3"/>
      <c r="J110" s="3"/>
    </row>
    <row r="111" customFormat="false" ht="15" hidden="false" customHeight="false" outlineLevel="0" collapsed="false">
      <c r="A111" s="27" t="s">
        <v>640</v>
      </c>
      <c r="B111" s="27" t="n">
        <v>0.1</v>
      </c>
      <c r="C111" s="3"/>
      <c r="D111" s="3"/>
      <c r="E111" s="3"/>
      <c r="F111" s="3"/>
      <c r="G111" s="3"/>
      <c r="H111" s="3"/>
      <c r="I111" s="3"/>
      <c r="J111"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1" width="30"/>
    <col collapsed="false" customWidth="true" hidden="false" outlineLevel="0" max="2" min="2" style="1" width="120"/>
  </cols>
  <sheetData>
    <row r="1" customFormat="false" ht="19.7" hidden="false" customHeight="false" outlineLevel="0" collapsed="false">
      <c r="A1" s="2" t="s">
        <v>645</v>
      </c>
      <c r="B1" s="3"/>
    </row>
    <row r="2" customFormat="false" ht="15" hidden="false" customHeight="false" outlineLevel="0" collapsed="false">
      <c r="A2" s="3"/>
      <c r="B2" s="3"/>
    </row>
    <row r="3" customFormat="false" ht="31.5" hidden="false" customHeight="true" outlineLevel="0" collapsed="false">
      <c r="A3" s="25" t="s">
        <v>646</v>
      </c>
      <c r="B3" s="13" t="s">
        <v>647</v>
      </c>
    </row>
    <row r="4" customFormat="false" ht="31.5" hidden="false" customHeight="true" outlineLevel="0" collapsed="false">
      <c r="A4" s="25" t="s">
        <v>648</v>
      </c>
      <c r="B4" s="13" t="s">
        <v>649</v>
      </c>
    </row>
    <row r="5" customFormat="false" ht="31.5" hidden="false" customHeight="true" outlineLevel="0" collapsed="false">
      <c r="A5" s="25" t="s">
        <v>650</v>
      </c>
      <c r="B5" s="13" t="s">
        <v>651</v>
      </c>
    </row>
    <row r="6" customFormat="false" ht="31.5" hidden="false" customHeight="true" outlineLevel="0" collapsed="false">
      <c r="A6" s="25" t="s">
        <v>652</v>
      </c>
      <c r="B6" s="13" t="s">
        <v>653</v>
      </c>
    </row>
    <row r="7" customFormat="false" ht="31.5" hidden="false" customHeight="true" outlineLevel="0" collapsed="false">
      <c r="A7" s="25" t="s">
        <v>654</v>
      </c>
      <c r="B7" s="13" t="s">
        <v>655</v>
      </c>
    </row>
    <row r="8" customFormat="false" ht="31.5" hidden="false" customHeight="true" outlineLevel="0" collapsed="false">
      <c r="A8" s="25" t="s">
        <v>656</v>
      </c>
      <c r="B8" s="13" t="s">
        <v>657</v>
      </c>
    </row>
    <row r="9" customFormat="false" ht="31.5" hidden="false" customHeight="true" outlineLevel="0" collapsed="false">
      <c r="A9" s="25" t="s">
        <v>658</v>
      </c>
      <c r="B9" s="13" t="s">
        <v>659</v>
      </c>
    </row>
    <row r="10" customFormat="false" ht="31.5" hidden="false" customHeight="true" outlineLevel="0" collapsed="false">
      <c r="A10" s="25" t="s">
        <v>660</v>
      </c>
      <c r="B10" s="13" t="s">
        <v>661</v>
      </c>
    </row>
    <row r="11" customFormat="false" ht="31.5" hidden="false" customHeight="true" outlineLevel="0" collapsed="false">
      <c r="A11" s="25" t="s">
        <v>103</v>
      </c>
      <c r="B11" s="13" t="s">
        <v>662</v>
      </c>
    </row>
    <row r="12" customFormat="false" ht="31.5" hidden="false" customHeight="true" outlineLevel="0" collapsed="false">
      <c r="A12" s="25" t="s">
        <v>105</v>
      </c>
      <c r="B12" s="13" t="s">
        <v>663</v>
      </c>
    </row>
    <row r="13" customFormat="false" ht="31.5" hidden="false" customHeight="true" outlineLevel="0" collapsed="false">
      <c r="A13" s="25" t="s">
        <v>664</v>
      </c>
      <c r="B13" s="13" t="s">
        <v>665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498</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2026-10-06T03:10:22Z</dcterms:created>
  <dc:creator>openpyxl</dc:creator>
  <dc:description/>
  <dc:language>en-US</dc:language>
  <cp:lastModifiedBy/>
  <dcterms:modified xsi:type="dcterms:W3CDTF">2026-10-06T23:09:13Z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