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 me" sheetId="1" state="visible" r:id="rId3"/>
    <sheet name="Raw readings" sheetId="2" state="visible" r:id="rId4"/>
    <sheet name="Summary" sheetId="3" state="visible" r:id="rId5"/>
    <sheet name="Troubleshooting" sheetId="4" state="visible" r:id="rId6"/>
    <sheet name="Calibration notes" sheetId="5" state="visible" r:id="rId7"/>
  </sheets>
  <definedNames>
    <definedName function="false" hidden="true" localSheetId="1" name="_xlnm._FilterDatabase" vbProcedure="false">'Raw readings'!$A$1:$I$301</definedName>
    <definedName function="false" hidden="true" localSheetId="2" name="_xlnm._FilterDatabase" vbProcedure="false">Summary!$A$1:$P$11</definedName>
    <definedName function="false" hidden="true" localSheetId="3" name="_xlnm._FilterDatabase" vbProcedure="false">Troubleshooting!$A$1:$D$6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<sst xmlns="http://schemas.openxmlformats.org/spreadsheetml/2006/main" count="839" uniqueCount="167">
  <si>
    <t xml:space="preserve">HC-SR04 sensor test results</t>
  </si>
  <si>
    <t xml:space="preserve">Started</t>
  </si>
  <si>
    <t xml:space="preserve">2026-09-14</t>
  </si>
  <si>
    <t xml:space="preserve">Current result</t>
  </si>
  <si>
    <t xml:space="preserve">Sensor A: 25 cm recorded; first 50 cm run recorded but unstable (68 down to about 49 cm). Repeat fixed-target 50 cm run before calibration.</t>
  </si>
  <si>
    <t xml:space="preserve">Purpose</t>
  </si>
  <si>
    <t xml:space="preserve">Record accuracy, repeatability and missing readings for two sensors.</t>
  </si>
  <si>
    <t xml:space="preserve">Hardware</t>
  </si>
  <si>
    <t xml:space="preserve">Freenove ESP32-WROOM-32E; HC-SR04; TRIG GPIO32; ECHO GPIO35 through resistor divider.</t>
  </si>
  <si>
    <t xml:space="preserve">Setup</t>
  </si>
  <si>
    <t xml:space="preserve">One sensor active at a time, servo unpowered, sensor fixed and flat target facing it squarely.</t>
  </si>
  <si>
    <t xml:space="preserve">True distance</t>
  </si>
  <si>
    <t xml:space="preserve">Measure from front faces of metal transducers to target. All distances in centimetres.</t>
  </si>
  <si>
    <t xml:space="preserve">Plan</t>
  </si>
  <si>
    <t xml:space="preserve">Sensors A and B; 25, 50, 100, 150, 200 cm; 30 consecutive attempts at each distance.</t>
  </si>
  <si>
    <t xml:space="preserve">Raw readings</t>
  </si>
  <si>
    <t xml:space="preserve">Pre-filled IDs and sample numbers are planned slots, not completed measurements. Empty measurement cells mean no data.</t>
  </si>
  <si>
    <t xml:space="preserve">Enter readings</t>
  </si>
  <si>
    <t xml:space="preserve">Enter numerical distance in column E and READING in column F. Record errors in F with E blank.</t>
  </si>
  <si>
    <t xml:space="preserve">Error statuses</t>
  </si>
  <si>
    <t xml:space="preserve">NO ECHO; ECHO HIGH; OUT OF RANGE; OTHER ERROR. Preserve full serial messages in Notes.</t>
  </si>
  <si>
    <t xml:space="preserve">Summary</t>
  </si>
  <si>
    <t xml:space="preserve">Formulas calculate when opened in Excel. Numerical returns are not automatically accurate readings.</t>
  </si>
  <si>
    <t xml:space="preserve">Statistics</t>
  </si>
  <si>
    <t xml:space="preserve">Bias = measured minus true; MAE = average absolute error; SD = sample standard deviation.</t>
  </si>
  <si>
    <t xml:space="preserve">Limits</t>
  </si>
  <si>
    <t xml:space="preserve">No pass/fail threshold agreed. Flat-target tests do not establish body-tracking or servo-system reliability.</t>
  </si>
  <si>
    <t xml:space="preserve">Conditions to record</t>
  </si>
  <si>
    <t xml:space="preserve">Test date/time, sensor identity, supply voltage if measured, target dimensions, room temperature if known, resets.</t>
  </si>
  <si>
    <t xml:space="preserve">Firmware</t>
  </si>
  <si>
    <t xml:space="preserve">Updated sensor_test.ino: accepts 2-200 cm; rejected echoes report OUT OF RANGE. 115200 baud. Upload required.</t>
  </si>
  <si>
    <t xml:space="preserve">Evidence</t>
  </si>
  <si>
    <t xml:space="preserve">Raw runs retained under evidence/: 25 cm at 21:55:43; 50 cm at 21:58:33; earlier empty capture at 21:52:39.</t>
  </si>
  <si>
    <t xml:space="preserve">Test ID</t>
  </si>
  <si>
    <t xml:space="preserve">Sensor</t>
  </si>
  <si>
    <t xml:space="preserve">True distance (cm)</t>
  </si>
  <si>
    <t xml:space="preserve">Sample</t>
  </si>
  <si>
    <t xml:space="preserve">Reading (cm)</t>
  </si>
  <si>
    <t xml:space="preserve">Status</t>
  </si>
  <si>
    <t xml:space="preserve">Bias (cm)</t>
  </si>
  <si>
    <t xml:space="preserve">Absolute error (cm)</t>
  </si>
  <si>
    <t xml:space="preserve">Notes / original serial line</t>
  </si>
  <si>
    <t xml:space="preserve">A-25-run1</t>
  </si>
  <si>
    <t xml:space="preserve">A</t>
  </si>
  <si>
    <t xml:space="preserve">READING</t>
  </si>
  <si>
    <t xml:space="preserve">2026-09-14T21:55:43.325044+10:00 | Distance: 25.1 cm | echo: 1466 us | Source: 20260914_215543_sensor-A_25cm_cd1e33df</t>
  </si>
  <si>
    <t xml:space="preserve">2026-09-14T21:55:43.825805+10:00 | Distance: 25.1 cm | echo: 1466 us | Source: 20260914_215543_sensor-A_25cm_cd1e33df</t>
  </si>
  <si>
    <t xml:space="preserve">2026-09-14T21:55:44.326459+10:00 | Distance: 24.6 cm | echo: 1432 us | Source: 20260914_215543_sensor-A_25cm_cd1e33df</t>
  </si>
  <si>
    <t xml:space="preserve">2026-09-14T21:55:44.827020+10:00 | Distance: 24.5 cm | echo: 1431 us | Source: 20260914_215543_sensor-A_25cm_cd1e33df</t>
  </si>
  <si>
    <t xml:space="preserve">2026-09-14T21:55:45.327687+10:00 | Distance: 25.5 cm | echo: 1484 us | Source: 20260914_215543_sensor-A_25cm_cd1e33df</t>
  </si>
  <si>
    <t xml:space="preserve">2026-09-14T21:55:45.828469+10:00 | Distance: 24.9 cm | echo: 1449 us | Source: 20260914_215543_sensor-A_25cm_cd1e33df</t>
  </si>
  <si>
    <t xml:space="preserve">2026-09-14T21:55:46.329096+10:00 | Distance: 26.3 cm | echo: 1536 us | Source: 20260914_215543_sensor-A_25cm_cd1e33df</t>
  </si>
  <si>
    <t xml:space="preserve">2026-09-14T21:55:46.829464+10:00 | Distance: 25.4 cm | echo: 1483 us | Source: 20260914_215543_sensor-A_25cm_cd1e33df</t>
  </si>
  <si>
    <t xml:space="preserve">2026-09-14T21:55:47.329940+10:00 | Distance: 25.5 cm | echo: 1484 us | Source: 20260914_215543_sensor-A_25cm_cd1e33df</t>
  </si>
  <si>
    <t xml:space="preserve">2026-09-14T21:55:47.830552+10:00 | Distance: 25.4 cm | echo: 1483 us | Source: 20260914_215543_sensor-A_25cm_cd1e33df</t>
  </si>
  <si>
    <t xml:space="preserve">2026-09-14T21:55:48.331180+10:00 | Distance: 25.5 cm | echo: 1484 us | Source: 20260914_215543_sensor-A_25cm_cd1e33df</t>
  </si>
  <si>
    <t xml:space="preserve">2026-09-14T21:55:48.831776+10:00 | Distance: 25.4 cm | echo: 1483 us | Source: 20260914_215543_sensor-A_25cm_cd1e33df</t>
  </si>
  <si>
    <t xml:space="preserve">2026-09-14T21:55:49.332440+10:00 | Distance: 25.5 cm | echo: 1484 us | Source: 20260914_215543_sensor-A_25cm_cd1e33df</t>
  </si>
  <si>
    <t xml:space="preserve">2026-09-14T21:55:49.833106+10:00 | Distance: 25.4 cm | echo: 1483 us | Source: 20260914_215543_sensor-A_25cm_cd1e33df</t>
  </si>
  <si>
    <t xml:space="preserve">2026-09-14T21:55:50.333799+10:00 | Distance: 26.0 cm | echo: 1518 us | Source: 20260914_215543_sensor-A_25cm_cd1e33df</t>
  </si>
  <si>
    <t xml:space="preserve">2026-09-14T21:55:50.834433+10:00 | Distance: 25.4 cm | echo: 1483 us | Source: 20260914_215543_sensor-A_25cm_cd1e33df</t>
  </si>
  <si>
    <t xml:space="preserve">2026-09-14T21:55:51.335076+10:00 | Distance: 25.5 cm | echo: 1484 us | Source: 20260914_215543_sensor-A_25cm_cd1e33df</t>
  </si>
  <si>
    <t xml:space="preserve">2026-09-14T21:55:51.835631+10:00 | Distance: 25.5 cm | echo: 1484 us | Source: 20260914_215543_sensor-A_25cm_cd1e33df</t>
  </si>
  <si>
    <t xml:space="preserve">2026-09-14T21:55:52.336195+10:00 | Distance: 26.0 cm | echo: 1518 us | Source: 20260914_215543_sensor-A_25cm_cd1e33df</t>
  </si>
  <si>
    <t xml:space="preserve">2026-09-14T21:55:52.836753+10:00 | Distance: 25.1 cm | echo: 1466 us | Source: 20260914_215543_sensor-A_25cm_cd1e33df</t>
  </si>
  <si>
    <t xml:space="preserve">2026-09-14T21:55:53.337262+10:00 | Distance: 25.2 cm | echo: 1467 us | Source: 20260914_215543_sensor-A_25cm_cd1e33df</t>
  </si>
  <si>
    <t xml:space="preserve">2026-09-14T21:55:53.837999+10:00 | Distance: 25.1 cm | echo: 1466 us | Source: 20260914_215543_sensor-A_25cm_cd1e33df</t>
  </si>
  <si>
    <t xml:space="preserve">2026-09-14T21:55:54.338517+10:00 | Distance: 25.1 cm | echo: 1466 us | Source: 20260914_215543_sensor-A_25cm_cd1e33df</t>
  </si>
  <si>
    <t xml:space="preserve">2026-09-14T21:55:55.089676+10:00 | Distance: 25.1 cm | echo: 1466 us | Source: 20260914_215543_sensor-A_25cm_cd1e33df</t>
  </si>
  <si>
    <t xml:space="preserve">2026-09-14T21:55:55.590456+10:00 | Distance: 25.2 cm | echo: 1467 us | Source: 20260914_215543_sensor-A_25cm_cd1e33df</t>
  </si>
  <si>
    <t xml:space="preserve">2026-09-14T21:55:56.091230+10:00 | Distance: 25.1 cm | echo: 1466 us | Source: 20260914_215543_sensor-A_25cm_cd1e33df</t>
  </si>
  <si>
    <t xml:space="preserve">2026-09-14T21:55:56.591987+10:00 | Distance: 25.1 cm | echo: 1466 us | Source: 20260914_215543_sensor-A_25cm_cd1e33df</t>
  </si>
  <si>
    <t xml:space="preserve">2026-09-14T21:55:57.092809+10:00 | Distance: 26.0 cm | echo: 1518 us | Source: 20260914_215543_sensor-A_25cm_cd1e33df</t>
  </si>
  <si>
    <t xml:space="preserve">2026-09-14T21:55:57.593654+10:00 | Distance: 25.4 cm | echo: 1483 us | Source: 20260914_215543_sensor-A_25cm_cd1e33df</t>
  </si>
  <si>
    <t xml:space="preserve">2026-09-14T21:55:58.094528+10:00 | Distance: 26.0 cm | echo: 1518 us | Source: 20260914_215543_sensor-A_25cm_cd1e33df</t>
  </si>
  <si>
    <t xml:space="preserve">A-50-run1</t>
  </si>
  <si>
    <t xml:space="preserve">2026-09-14T21:58:33.978423+10:00 | Distance: 67.6 cm | echo: 3941 us | Source: 20260914_215833_sensor-A_50cm_f1ec5aa8</t>
  </si>
  <si>
    <t xml:space="preserve">2026-09-14T21:58:34.479001+10:00 | Distance: 67.2 cm | echo: 3916 us | Source: 20260914_215833_sensor-A_50cm_f1ec5aa8</t>
  </si>
  <si>
    <t xml:space="preserve">2026-09-14T21:58:34.979514+10:00 | Distance: 67.2 cm | echo: 3917 us | Source: 20260914_215833_sensor-A_50cm_f1ec5aa8</t>
  </si>
  <si>
    <t xml:space="preserve">2026-09-14T21:58:35.480045+10:00 | Distance: 67.2 cm | echo: 3916 us | Source: 20260914_215833_sensor-A_50cm_f1ec5aa8</t>
  </si>
  <si>
    <t xml:space="preserve">2026-09-14T21:58:35.980625+10:00 | Distance: 68.0 cm | echo: 3964 us | Source: 20260914_215833_sensor-A_50cm_f1ec5aa8</t>
  </si>
  <si>
    <t xml:space="preserve">2026-09-14T21:58:36.481329+10:00 | Distance: 63.4 cm | echo: 3698 us | Source: 20260914_215833_sensor-A_50cm_f1ec5aa8</t>
  </si>
  <si>
    <t xml:space="preserve">2026-09-14T21:58:36.981866+10:00 | Distance: 60.7 cm | echo: 3538 us | Source: 20260914_215833_sensor-A_50cm_f1ec5aa8</t>
  </si>
  <si>
    <t xml:space="preserve">2026-09-14T21:58:37.482458+10:00 | Distance: 59.0 cm | echo: 3438 us | Source: 20260914_215833_sensor-A_50cm_f1ec5aa8</t>
  </si>
  <si>
    <t xml:space="preserve">2026-09-14T21:58:37.983091+10:00 | Distance: 57.5 cm | echo: 3355 us | Source: 20260914_215833_sensor-A_50cm_f1ec5aa8</t>
  </si>
  <si>
    <t xml:space="preserve">2026-09-14T21:58:38.483721+10:00 | Distance: 56.6 cm | echo: 3298 us | Source: 20260914_215833_sensor-A_50cm_f1ec5aa8</t>
  </si>
  <si>
    <t xml:space="preserve">2026-09-14T21:58:38.984347+10:00 | Distance: 55.0 cm | echo: 3206 us | Source: 20260914_215833_sensor-A_50cm_f1ec5aa8</t>
  </si>
  <si>
    <t xml:space="preserve">2026-09-14T21:58:39.484917+10:00 | Distance: 54.8 cm | echo: 3196 us | Source: 20260914_215833_sensor-A_50cm_f1ec5aa8</t>
  </si>
  <si>
    <t xml:space="preserve">2026-09-14T21:58:39.985611+10:00 | Distance: 53.4 cm | echo: 3115 us | Source: 20260914_215833_sensor-A_50cm_f1ec5aa8</t>
  </si>
  <si>
    <t xml:space="preserve">2026-09-14T21:58:40.486308+10:00 | Distance: 51.5 cm | echo: 3003 us | Source: 20260914_215833_sensor-A_50cm_f1ec5aa8</t>
  </si>
  <si>
    <t xml:space="preserve">2026-09-14T21:58:40.986938+10:00 | Distance: 50.3 cm | echo: 2931 us | Source: 20260914_215833_sensor-A_50cm_f1ec5aa8</t>
  </si>
  <si>
    <t xml:space="preserve">2026-09-14T21:58:41.487450+10:00 | Distance: 50.3 cm | echo: 2932 us | Source: 20260914_215833_sensor-A_50cm_f1ec5aa8</t>
  </si>
  <si>
    <t xml:space="preserve">2026-09-14T21:58:42.238632+10:00 | Distance: 49.4 cm | echo: 2883 us | Source: 20260914_215833_sensor-A_50cm_f1ec5aa8</t>
  </si>
  <si>
    <t xml:space="preserve">2026-09-14T21:58:42.739360+10:00 | Distance: 49.0 cm | echo: 2860 us | Source: 20260914_215833_sensor-A_50cm_f1ec5aa8</t>
  </si>
  <si>
    <t xml:space="preserve">2026-09-14T21:58:43.240029+10:00 | Distance: 49.8 cm | echo: 2906 us | Source: 20260914_215833_sensor-A_50cm_f1ec5aa8</t>
  </si>
  <si>
    <t xml:space="preserve">2026-09-14T21:58:43.740723+10:00 | Distance: 50.3 cm | echo: 2931 us | Source: 20260914_215833_sensor-A_50cm_f1ec5aa8</t>
  </si>
  <si>
    <t xml:space="preserve">2026-09-14T21:58:44.241440+10:00 | Distance: 49.0 cm | echo: 2860 us | Source: 20260914_215833_sensor-A_50cm_f1ec5aa8</t>
  </si>
  <si>
    <t xml:space="preserve">2026-09-14T21:58:44.742216+10:00 | Distance: 49.5 cm | echo: 2884 us | Source: 20260914_215833_sensor-A_50cm_f1ec5aa8</t>
  </si>
  <si>
    <t xml:space="preserve">2026-09-14T21:58:45.242766+10:00 | Distance: 48.6 cm | echo: 2835 us | Source: 20260914_215833_sensor-A_50cm_f1ec5aa8</t>
  </si>
  <si>
    <t xml:space="preserve">2026-09-14T21:58:45.743451+10:00 | Distance: 49.4 cm | echo: 2883 us | Source: 20260914_215833_sensor-A_50cm_f1ec5aa8</t>
  </si>
  <si>
    <t xml:space="preserve">2026-09-14T21:58:46.244219+10:00 | Distance: 48.0 cm | echo: 2800 us | Source: 20260914_215833_sensor-A_50cm_f1ec5aa8</t>
  </si>
  <si>
    <t xml:space="preserve">2026-09-14T21:58:46.744681+10:00 | Distance: 48.6 cm | echo: 2835 us | Source: 20260914_215833_sensor-A_50cm_f1ec5aa8</t>
  </si>
  <si>
    <t xml:space="preserve">2026-09-14T21:58:47.245471+10:00 | Distance: 49.4 cm | echo: 2883 us | Source: 20260914_215833_sensor-A_50cm_f1ec5aa8</t>
  </si>
  <si>
    <t xml:space="preserve">2026-09-14T21:58:47.746185+10:00 | Distance: 49.2 cm | echo: 2871 us | Source: 20260914_215833_sensor-A_50cm_f1ec5aa8</t>
  </si>
  <si>
    <t xml:space="preserve">2026-09-14T21:58:48.247013+10:00 | Distance: 49.9 cm | echo: 2907 us | Source: 20260914_215833_sensor-A_50cm_f1ec5aa8</t>
  </si>
  <si>
    <t xml:space="preserve">2026-09-14T21:58:48.747837+10:00 | Distance: 49.0 cm | echo: 2859 us | Source: 20260914_215833_sensor-A_50cm_f1ec5aa8</t>
  </si>
  <si>
    <t xml:space="preserve">A-100-run1</t>
  </si>
  <si>
    <t xml:space="preserve">A-150-run1</t>
  </si>
  <si>
    <t xml:space="preserve">A-200-run1</t>
  </si>
  <si>
    <t xml:space="preserve">B-25-run1</t>
  </si>
  <si>
    <t xml:space="preserve">B</t>
  </si>
  <si>
    <t xml:space="preserve">B-50-run1</t>
  </si>
  <si>
    <t xml:space="preserve">B-100-run1</t>
  </si>
  <si>
    <t xml:space="preserve">B-150-run1</t>
  </si>
  <si>
    <t xml:space="preserve">B-200-run1</t>
  </si>
  <si>
    <t xml:space="preserve">Recorded attempts</t>
  </si>
  <si>
    <t xml:space="preserve">Numerical returns</t>
  </si>
  <si>
    <t xml:space="preserve">NO ECHO</t>
  </si>
  <si>
    <t xml:space="preserve">ECHO HIGH</t>
  </si>
  <si>
    <t xml:space="preserve">Other errors</t>
  </si>
  <si>
    <t xml:space="preserve">Return rate</t>
  </si>
  <si>
    <t xml:space="preserve">Mean (cm)</t>
  </si>
  <si>
    <t xml:space="preserve">SD (cm)</t>
  </si>
  <si>
    <t xml:space="preserve">Min (cm)</t>
  </si>
  <si>
    <t xml:space="preserve">Max (cm)</t>
  </si>
  <si>
    <t xml:space="preserve">MAE (cm)</t>
  </si>
  <si>
    <t xml:space="preserve">OUT OF RANGE</t>
  </si>
  <si>
    <t xml:space="preserve">Step</t>
  </si>
  <si>
    <t xml:space="preserve">Observation</t>
  </si>
  <si>
    <t xml:space="preserve">Conclusion</t>
  </si>
  <si>
    <t xml:space="preserve">Python shared-library error in Arduino Snap; exit 255</t>
  </si>
  <si>
    <t xml:space="preserve">User screenshot</t>
  </si>
  <si>
    <t xml:space="preserve">Build tool failed; no sensor measurement.</t>
  </si>
  <si>
    <t xml:space="preserve">Repeated ECHO already HIGH</t>
  </si>
  <si>
    <t xml:space="preserve">User screenshots</t>
  </si>
  <si>
    <t xml:space="preserve">Sketch running; input HIGH before measurement.</t>
  </si>
  <si>
    <t xml:space="preserve">HIGH persisted after sensor ECHO disconnected from A10</t>
  </si>
  <si>
    <t xml:space="preserve">User statement and screenshot</t>
  </si>
  <si>
    <t xml:space="preserve">Sensor output disconnected; inspect board/divider/ground path.</t>
  </si>
  <si>
    <t xml:space="preserve">Direct GPIO35-to-GND diagnostic suggested</t>
  </si>
  <si>
    <t xml:space="preserve">User said it works now; exact diagnostic output not supplied</t>
  </si>
  <si>
    <t xml:space="preserve">Do not infer a specific diagnostic reading.</t>
  </si>
  <si>
    <t xml:space="preserve">Distance readings with sensor reconnected</t>
  </si>
  <si>
    <t xml:space="preserve">User explicitly confirmed via reply</t>
  </si>
  <si>
    <t xml:space="preserve">Basic ranging reported working; accuracy and reliability await numerical data.</t>
  </si>
  <si>
    <t xml:space="preserve">Item</t>
  </si>
  <si>
    <t xml:space="preserve">Recorded status</t>
  </si>
  <si>
    <t xml:space="preserve">User request</t>
  </si>
  <si>
    <t xml:space="preserve">Reject readings farther than 200 cm in the Arduino bench test.</t>
  </si>
  <si>
    <t xml:space="preserve">Implementation</t>
  </si>
  <si>
    <t xml:space="preserve">Accept computed 2-200 cm inclusive; OUT OF RANGE otherwise. No fabricated 200 cm replacement for rejected distances.</t>
  </si>
  <si>
    <t xml:space="preserve">Calibration status</t>
  </si>
  <si>
    <t xml:space="preserve">Not calibrated: no actual known-distance readings supplied.</t>
  </si>
  <si>
    <t xml:space="preserve">Project geometry</t>
  </si>
  <si>
    <t xml:space="preserve">Far boundary is 200 cm from wall; default opposite sensor-to-corner distance is approximately 234 cm.</t>
  </si>
  <si>
    <t xml:space="preserve">Scope</t>
  </si>
  <si>
    <t xml:space="preserve">200 cm cap applies to standalone Arduino sensor test. Full tracker node firmware retains its existing range limits.</t>
  </si>
  <si>
    <t xml:space="preserve">Boundary bias</t>
  </si>
  <si>
    <t xml:space="preserve">At true 200 cm, positive measurement errors can be rejected. Keep these counts; use an uncapped diagnostic run if needed to estimate bias.</t>
  </si>
  <si>
    <t xml:space="preserve">Next measurements</t>
  </si>
  <si>
    <t xml:space="preserve">30 consecutive lines at each measured distance, sensor identity, target size, and power/temperature conditions if available.</t>
  </si>
  <si>
    <t xml:space="preserve">Bench upload status</t>
  </si>
  <si>
    <t xml:space="preserve">Updated sketch has not been confirmed uploaded to the physical board.</t>
  </si>
  <si>
    <t xml:space="preserve">Measured at 25 cm</t>
  </si>
  <si>
    <t xml:space="preserve">Sensor A: 30/30 returns; mean 25.3633 cm; bias +0.3633 cm; SD 0.4056 cm; MAE 0.43 cm. No calibration correction applied; collect more distances first.</t>
  </si>
  <si>
    <t xml:space="preserve">50 cm run 1: repeat needed</t>
  </si>
  <si>
    <t xml:space="preserve">30/30 numerical returns; mean 54.6267 cm, bias +4.6267 cm, SD 7.0197 cm, range 48–68 cm, MAE 5.3733 cm. Readings trend downward during capture; target movement or changing reflection is possible, not confirmed. No correction applied.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</si>
</sst>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2F6FA"/>
        <bgColor rgb="FFFFFFFF"/>
      </patternFill>
    </fill>
    <fill>
      <patternFill patternType="solid">
        <fgColor rgb="FFFFF2CC"/>
        <bgColor rgb="FFF2F6F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05"/>
  </cols>
  <sheetData>
    <row r="1" customFormat="false" ht="36" hidden="false" customHeight="true" outlineLevel="0" collapsed="false">
      <c r="A1" s="1" t="s">
        <v>0</v>
      </c>
      <c r="B1" s="1"/>
    </row>
    <row r="2" customFormat="false" ht="31.5" hidden="false" customHeight="true" outlineLevel="0" collapsed="false">
      <c r="A2" s="2" t="s">
        <v>1</v>
      </c>
      <c r="B2" s="2" t="s">
        <v>2</v>
      </c>
    </row>
    <row r="3" customFormat="false" ht="31.5" hidden="false" customHeight="true" outlineLevel="0" collapsed="false">
      <c r="A3" s="3" t="s">
        <v>3</v>
      </c>
      <c r="B3" s="3" t="s">
        <v>4</v>
      </c>
    </row>
    <row r="4" customFormat="false" ht="31.5" hidden="false" customHeight="true" outlineLevel="0" collapsed="false">
      <c r="A4" s="2" t="s">
        <v>5</v>
      </c>
      <c r="B4" s="2" t="s">
        <v>6</v>
      </c>
    </row>
    <row r="5" customFormat="false" ht="31.5" hidden="false" customHeight="true" outlineLevel="0" collapsed="false">
      <c r="A5" s="3" t="s">
        <v>7</v>
      </c>
      <c r="B5" s="3" t="s">
        <v>8</v>
      </c>
    </row>
    <row r="6" customFormat="false" ht="31.5" hidden="false" customHeight="true" outlineLevel="0" collapsed="false">
      <c r="A6" s="2" t="s">
        <v>9</v>
      </c>
      <c r="B6" s="2" t="s">
        <v>10</v>
      </c>
    </row>
    <row r="7" customFormat="false" ht="31.5" hidden="false" customHeight="true" outlineLevel="0" collapsed="false">
      <c r="A7" s="3" t="s">
        <v>11</v>
      </c>
      <c r="B7" s="3" t="s">
        <v>12</v>
      </c>
    </row>
    <row r="8" customFormat="false" ht="31.5" hidden="false" customHeight="true" outlineLevel="0" collapsed="false">
      <c r="A8" s="2" t="s">
        <v>13</v>
      </c>
      <c r="B8" s="2" t="s">
        <v>14</v>
      </c>
    </row>
    <row r="9" customFormat="false" ht="31.5" hidden="false" customHeight="true" outlineLevel="0" collapsed="false">
      <c r="A9" s="3" t="s">
        <v>15</v>
      </c>
      <c r="B9" s="3" t="s">
        <v>16</v>
      </c>
    </row>
    <row r="10" customFormat="false" ht="31.5" hidden="false" customHeight="true" outlineLevel="0" collapsed="false">
      <c r="A10" s="2" t="s">
        <v>17</v>
      </c>
      <c r="B10" s="2" t="s">
        <v>18</v>
      </c>
    </row>
    <row r="11" customFormat="false" ht="31.5" hidden="false" customHeight="true" outlineLevel="0" collapsed="false">
      <c r="A11" s="3" t="s">
        <v>19</v>
      </c>
      <c r="B11" s="3" t="s">
        <v>20</v>
      </c>
    </row>
    <row r="12" customFormat="false" ht="31.5" hidden="false" customHeight="true" outlineLevel="0" collapsed="false">
      <c r="A12" s="2" t="s">
        <v>21</v>
      </c>
      <c r="B12" s="2" t="s">
        <v>22</v>
      </c>
    </row>
    <row r="13" customFormat="false" ht="31.5" hidden="false" customHeight="true" outlineLevel="0" collapsed="false">
      <c r="A13" s="3" t="s">
        <v>23</v>
      </c>
      <c r="B13" s="3" t="s">
        <v>24</v>
      </c>
    </row>
    <row r="14" customFormat="false" ht="31.5" hidden="false" customHeight="true" outlineLevel="0" collapsed="false">
      <c r="A14" s="2" t="s">
        <v>25</v>
      </c>
      <c r="B14" s="2" t="s">
        <v>26</v>
      </c>
    </row>
    <row r="15" customFormat="false" ht="31.5" hidden="false" customHeight="true" outlineLevel="0" collapsed="false">
      <c r="A15" s="3" t="s">
        <v>27</v>
      </c>
      <c r="B15" s="3" t="s">
        <v>28</v>
      </c>
    </row>
    <row r="16" customFormat="false" ht="31.5" hidden="false" customHeight="true" outlineLevel="0" collapsed="false">
      <c r="A16" s="2" t="s">
        <v>29</v>
      </c>
      <c r="B16" s="2" t="s">
        <v>30</v>
      </c>
    </row>
    <row r="17" customFormat="false" ht="31.5" hidden="false" customHeight="true" outlineLevel="0" collapsed="false">
      <c r="A17" s="3" t="s">
        <v>31</v>
      </c>
      <c r="B17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65"/>
  </cols>
  <sheetData>
    <row r="1" customFormat="false" ht="36" hidden="false" customHeight="true" outlineLevel="0" collapsed="false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customFormat="false" ht="31.3" hidden="false" customHeight="false" outlineLevel="0" collapsed="false">
      <c r="A2" s="2" t="s">
        <v>42</v>
      </c>
      <c r="B2" s="2" t="s">
        <v>43</v>
      </c>
      <c r="C2" s="2" t="n">
        <v>25</v>
      </c>
      <c r="D2" s="2" t="n">
        <v>1</v>
      </c>
      <c r="E2" s="4" t="n">
        <v>25.1</v>
      </c>
      <c r="F2" s="5" t="s">
        <v>44</v>
      </c>
      <c r="G2" s="6" t="n">
        <f aca="false">IF(ISNUMBER(E2),E2-C2,"")</f>
        <v>0.100000000000001</v>
      </c>
      <c r="H2" s="6" t="n">
        <f aca="false">IF(ISNUMBER(E2),ABS(G2),"")</f>
        <v>0.100000000000001</v>
      </c>
      <c r="I2" s="5" t="s">
        <v>45</v>
      </c>
    </row>
    <row r="3" customFormat="false" ht="31.3" hidden="false" customHeight="false" outlineLevel="0" collapsed="false">
      <c r="A3" s="3" t="s">
        <v>42</v>
      </c>
      <c r="B3" s="3" t="s">
        <v>43</v>
      </c>
      <c r="C3" s="3" t="n">
        <v>25</v>
      </c>
      <c r="D3" s="3" t="n">
        <v>2</v>
      </c>
      <c r="E3" s="4" t="n">
        <v>25.1</v>
      </c>
      <c r="F3" s="5" t="s">
        <v>44</v>
      </c>
      <c r="G3" s="7" t="n">
        <f aca="false">IF(ISNUMBER(E3),E3-C3,"")</f>
        <v>0.100000000000001</v>
      </c>
      <c r="H3" s="7" t="n">
        <f aca="false">IF(ISNUMBER(E3),ABS(G3),"")</f>
        <v>0.100000000000001</v>
      </c>
      <c r="I3" s="5" t="s">
        <v>46</v>
      </c>
    </row>
    <row r="4" customFormat="false" ht="31.3" hidden="false" customHeight="false" outlineLevel="0" collapsed="false">
      <c r="A4" s="2" t="s">
        <v>42</v>
      </c>
      <c r="B4" s="2" t="s">
        <v>43</v>
      </c>
      <c r="C4" s="2" t="n">
        <v>25</v>
      </c>
      <c r="D4" s="2" t="n">
        <v>3</v>
      </c>
      <c r="E4" s="4" t="n">
        <v>24.6</v>
      </c>
      <c r="F4" s="5" t="s">
        <v>44</v>
      </c>
      <c r="G4" s="6" t="n">
        <f aca="false">IF(ISNUMBER(E4),E4-C4,"")</f>
        <v>-0.399999999999999</v>
      </c>
      <c r="H4" s="6" t="n">
        <f aca="false">IF(ISNUMBER(E4),ABS(G4),"")</f>
        <v>0.399999999999999</v>
      </c>
      <c r="I4" s="5" t="s">
        <v>47</v>
      </c>
    </row>
    <row r="5" customFormat="false" ht="31.3" hidden="false" customHeight="false" outlineLevel="0" collapsed="false">
      <c r="A5" s="3" t="s">
        <v>42</v>
      </c>
      <c r="B5" s="3" t="s">
        <v>43</v>
      </c>
      <c r="C5" s="3" t="n">
        <v>25</v>
      </c>
      <c r="D5" s="3" t="n">
        <v>4</v>
      </c>
      <c r="E5" s="4" t="n">
        <v>24.5</v>
      </c>
      <c r="F5" s="5" t="s">
        <v>44</v>
      </c>
      <c r="G5" s="7" t="n">
        <f aca="false">IF(ISNUMBER(E5),E5-C5,"")</f>
        <v>-0.5</v>
      </c>
      <c r="H5" s="7" t="n">
        <f aca="false">IF(ISNUMBER(E5),ABS(G5),"")</f>
        <v>0.5</v>
      </c>
      <c r="I5" s="5" t="s">
        <v>48</v>
      </c>
    </row>
    <row r="6" customFormat="false" ht="31.3" hidden="false" customHeight="false" outlineLevel="0" collapsed="false">
      <c r="A6" s="2" t="s">
        <v>42</v>
      </c>
      <c r="B6" s="2" t="s">
        <v>43</v>
      </c>
      <c r="C6" s="2" t="n">
        <v>25</v>
      </c>
      <c r="D6" s="2" t="n">
        <v>5</v>
      </c>
      <c r="E6" s="4" t="n">
        <v>25.5</v>
      </c>
      <c r="F6" s="5" t="s">
        <v>44</v>
      </c>
      <c r="G6" s="6" t="n">
        <f aca="false">IF(ISNUMBER(E6),E6-C6,"")</f>
        <v>0.5</v>
      </c>
      <c r="H6" s="6" t="n">
        <f aca="false">IF(ISNUMBER(E6),ABS(G6),"")</f>
        <v>0.5</v>
      </c>
      <c r="I6" s="5" t="s">
        <v>49</v>
      </c>
    </row>
    <row r="7" customFormat="false" ht="31.3" hidden="false" customHeight="false" outlineLevel="0" collapsed="false">
      <c r="A7" s="3" t="s">
        <v>42</v>
      </c>
      <c r="B7" s="3" t="s">
        <v>43</v>
      </c>
      <c r="C7" s="3" t="n">
        <v>25</v>
      </c>
      <c r="D7" s="3" t="n">
        <v>6</v>
      </c>
      <c r="E7" s="4" t="n">
        <v>24.9</v>
      </c>
      <c r="F7" s="5" t="s">
        <v>44</v>
      </c>
      <c r="G7" s="7" t="n">
        <f aca="false">IF(ISNUMBER(E7),E7-C7,"")</f>
        <v>-0.100000000000001</v>
      </c>
      <c r="H7" s="7" t="n">
        <f aca="false">IF(ISNUMBER(E7),ABS(G7),"")</f>
        <v>0.100000000000001</v>
      </c>
      <c r="I7" s="5" t="s">
        <v>50</v>
      </c>
    </row>
    <row r="8" customFormat="false" ht="31.3" hidden="false" customHeight="false" outlineLevel="0" collapsed="false">
      <c r="A8" s="2" t="s">
        <v>42</v>
      </c>
      <c r="B8" s="2" t="s">
        <v>43</v>
      </c>
      <c r="C8" s="2" t="n">
        <v>25</v>
      </c>
      <c r="D8" s="2" t="n">
        <v>7</v>
      </c>
      <c r="E8" s="4" t="n">
        <v>26.3</v>
      </c>
      <c r="F8" s="5" t="s">
        <v>44</v>
      </c>
      <c r="G8" s="6" t="n">
        <f aca="false">IF(ISNUMBER(E8),E8-C8,"")</f>
        <v>1.3</v>
      </c>
      <c r="H8" s="6" t="n">
        <f aca="false">IF(ISNUMBER(E8),ABS(G8),"")</f>
        <v>1.3</v>
      </c>
      <c r="I8" s="5" t="s">
        <v>51</v>
      </c>
    </row>
    <row r="9" customFormat="false" ht="31.3" hidden="false" customHeight="false" outlineLevel="0" collapsed="false">
      <c r="A9" s="3" t="s">
        <v>42</v>
      </c>
      <c r="B9" s="3" t="s">
        <v>43</v>
      </c>
      <c r="C9" s="3" t="n">
        <v>25</v>
      </c>
      <c r="D9" s="3" t="n">
        <v>8</v>
      </c>
      <c r="E9" s="4" t="n">
        <v>25.4</v>
      </c>
      <c r="F9" s="5" t="s">
        <v>44</v>
      </c>
      <c r="G9" s="7" t="n">
        <f aca="false">IF(ISNUMBER(E9),E9-C9,"")</f>
        <v>0.399999999999999</v>
      </c>
      <c r="H9" s="7" t="n">
        <f aca="false">IF(ISNUMBER(E9),ABS(G9),"")</f>
        <v>0.399999999999999</v>
      </c>
      <c r="I9" s="5" t="s">
        <v>52</v>
      </c>
    </row>
    <row r="10" customFormat="false" ht="31.3" hidden="false" customHeight="false" outlineLevel="0" collapsed="false">
      <c r="A10" s="2" t="s">
        <v>42</v>
      </c>
      <c r="B10" s="2" t="s">
        <v>43</v>
      </c>
      <c r="C10" s="2" t="n">
        <v>25</v>
      </c>
      <c r="D10" s="2" t="n">
        <v>9</v>
      </c>
      <c r="E10" s="4" t="n">
        <v>25.5</v>
      </c>
      <c r="F10" s="5" t="s">
        <v>44</v>
      </c>
      <c r="G10" s="6" t="n">
        <f aca="false">IF(ISNUMBER(E10),E10-C10,"")</f>
        <v>0.5</v>
      </c>
      <c r="H10" s="6" t="n">
        <f aca="false">IF(ISNUMBER(E10),ABS(G10),"")</f>
        <v>0.5</v>
      </c>
      <c r="I10" s="5" t="s">
        <v>53</v>
      </c>
    </row>
    <row r="11" customFormat="false" ht="31.3" hidden="false" customHeight="false" outlineLevel="0" collapsed="false">
      <c r="A11" s="3" t="s">
        <v>42</v>
      </c>
      <c r="B11" s="3" t="s">
        <v>43</v>
      </c>
      <c r="C11" s="3" t="n">
        <v>25</v>
      </c>
      <c r="D11" s="3" t="n">
        <v>10</v>
      </c>
      <c r="E11" s="4" t="n">
        <v>25.4</v>
      </c>
      <c r="F11" s="5" t="s">
        <v>44</v>
      </c>
      <c r="G11" s="7" t="n">
        <f aca="false">IF(ISNUMBER(E11),E11-C11,"")</f>
        <v>0.399999999999999</v>
      </c>
      <c r="H11" s="7" t="n">
        <f aca="false">IF(ISNUMBER(E11),ABS(G11),"")</f>
        <v>0.399999999999999</v>
      </c>
      <c r="I11" s="5" t="s">
        <v>54</v>
      </c>
    </row>
    <row r="12" customFormat="false" ht="31.3" hidden="false" customHeight="false" outlineLevel="0" collapsed="false">
      <c r="A12" s="2" t="s">
        <v>42</v>
      </c>
      <c r="B12" s="2" t="s">
        <v>43</v>
      </c>
      <c r="C12" s="2" t="n">
        <v>25</v>
      </c>
      <c r="D12" s="2" t="n">
        <v>11</v>
      </c>
      <c r="E12" s="4" t="n">
        <v>25.5</v>
      </c>
      <c r="F12" s="5" t="s">
        <v>44</v>
      </c>
      <c r="G12" s="6" t="n">
        <f aca="false">IF(ISNUMBER(E12),E12-C12,"")</f>
        <v>0.5</v>
      </c>
      <c r="H12" s="6" t="n">
        <f aca="false">IF(ISNUMBER(E12),ABS(G12),"")</f>
        <v>0.5</v>
      </c>
      <c r="I12" s="5" t="s">
        <v>55</v>
      </c>
    </row>
    <row r="13" customFormat="false" ht="31.3" hidden="false" customHeight="false" outlineLevel="0" collapsed="false">
      <c r="A13" s="3" t="s">
        <v>42</v>
      </c>
      <c r="B13" s="3" t="s">
        <v>43</v>
      </c>
      <c r="C13" s="3" t="n">
        <v>25</v>
      </c>
      <c r="D13" s="3" t="n">
        <v>12</v>
      </c>
      <c r="E13" s="4" t="n">
        <v>25.4</v>
      </c>
      <c r="F13" s="5" t="s">
        <v>44</v>
      </c>
      <c r="G13" s="7" t="n">
        <f aca="false">IF(ISNUMBER(E13),E13-C13,"")</f>
        <v>0.399999999999999</v>
      </c>
      <c r="H13" s="7" t="n">
        <f aca="false">IF(ISNUMBER(E13),ABS(G13),"")</f>
        <v>0.399999999999999</v>
      </c>
      <c r="I13" s="5" t="s">
        <v>56</v>
      </c>
    </row>
    <row r="14" customFormat="false" ht="31.3" hidden="false" customHeight="false" outlineLevel="0" collapsed="false">
      <c r="A14" s="2" t="s">
        <v>42</v>
      </c>
      <c r="B14" s="2" t="s">
        <v>43</v>
      </c>
      <c r="C14" s="2" t="n">
        <v>25</v>
      </c>
      <c r="D14" s="2" t="n">
        <v>13</v>
      </c>
      <c r="E14" s="4" t="n">
        <v>25.5</v>
      </c>
      <c r="F14" s="5" t="s">
        <v>44</v>
      </c>
      <c r="G14" s="6" t="n">
        <f aca="false">IF(ISNUMBER(E14),E14-C14,"")</f>
        <v>0.5</v>
      </c>
      <c r="H14" s="6" t="n">
        <f aca="false">IF(ISNUMBER(E14),ABS(G14),"")</f>
        <v>0.5</v>
      </c>
      <c r="I14" s="5" t="s">
        <v>57</v>
      </c>
    </row>
    <row r="15" customFormat="false" ht="31.3" hidden="false" customHeight="false" outlineLevel="0" collapsed="false">
      <c r="A15" s="3" t="s">
        <v>42</v>
      </c>
      <c r="B15" s="3" t="s">
        <v>43</v>
      </c>
      <c r="C15" s="3" t="n">
        <v>25</v>
      </c>
      <c r="D15" s="3" t="n">
        <v>14</v>
      </c>
      <c r="E15" s="4" t="n">
        <v>25.4</v>
      </c>
      <c r="F15" s="5" t="s">
        <v>44</v>
      </c>
      <c r="G15" s="7" t="n">
        <f aca="false">IF(ISNUMBER(E15),E15-C15,"")</f>
        <v>0.399999999999999</v>
      </c>
      <c r="H15" s="7" t="n">
        <f aca="false">IF(ISNUMBER(E15),ABS(G15),"")</f>
        <v>0.399999999999999</v>
      </c>
      <c r="I15" s="5" t="s">
        <v>58</v>
      </c>
    </row>
    <row r="16" customFormat="false" ht="31.3" hidden="false" customHeight="false" outlineLevel="0" collapsed="false">
      <c r="A16" s="2" t="s">
        <v>42</v>
      </c>
      <c r="B16" s="2" t="s">
        <v>43</v>
      </c>
      <c r="C16" s="2" t="n">
        <v>25</v>
      </c>
      <c r="D16" s="2" t="n">
        <v>15</v>
      </c>
      <c r="E16" s="4" t="n">
        <v>26</v>
      </c>
      <c r="F16" s="5" t="s">
        <v>44</v>
      </c>
      <c r="G16" s="6" t="n">
        <f aca="false">IF(ISNUMBER(E16),E16-C16,"")</f>
        <v>1</v>
      </c>
      <c r="H16" s="6" t="n">
        <f aca="false">IF(ISNUMBER(E16),ABS(G16),"")</f>
        <v>1</v>
      </c>
      <c r="I16" s="5" t="s">
        <v>59</v>
      </c>
    </row>
    <row r="17" customFormat="false" ht="31.3" hidden="false" customHeight="false" outlineLevel="0" collapsed="false">
      <c r="A17" s="3" t="s">
        <v>42</v>
      </c>
      <c r="B17" s="3" t="s">
        <v>43</v>
      </c>
      <c r="C17" s="3" t="n">
        <v>25</v>
      </c>
      <c r="D17" s="3" t="n">
        <v>16</v>
      </c>
      <c r="E17" s="4" t="n">
        <v>25.4</v>
      </c>
      <c r="F17" s="5" t="s">
        <v>44</v>
      </c>
      <c r="G17" s="7" t="n">
        <f aca="false">IF(ISNUMBER(E17),E17-C17,"")</f>
        <v>0.399999999999999</v>
      </c>
      <c r="H17" s="7" t="n">
        <f aca="false">IF(ISNUMBER(E17),ABS(G17),"")</f>
        <v>0.399999999999999</v>
      </c>
      <c r="I17" s="5" t="s">
        <v>60</v>
      </c>
    </row>
    <row r="18" customFormat="false" ht="31.3" hidden="false" customHeight="false" outlineLevel="0" collapsed="false">
      <c r="A18" s="2" t="s">
        <v>42</v>
      </c>
      <c r="B18" s="2" t="s">
        <v>43</v>
      </c>
      <c r="C18" s="2" t="n">
        <v>25</v>
      </c>
      <c r="D18" s="2" t="n">
        <v>17</v>
      </c>
      <c r="E18" s="4" t="n">
        <v>25.5</v>
      </c>
      <c r="F18" s="5" t="s">
        <v>44</v>
      </c>
      <c r="G18" s="6" t="n">
        <f aca="false">IF(ISNUMBER(E18),E18-C18,"")</f>
        <v>0.5</v>
      </c>
      <c r="H18" s="6" t="n">
        <f aca="false">IF(ISNUMBER(E18),ABS(G18),"")</f>
        <v>0.5</v>
      </c>
      <c r="I18" s="5" t="s">
        <v>61</v>
      </c>
    </row>
    <row r="19" customFormat="false" ht="31.3" hidden="false" customHeight="false" outlineLevel="0" collapsed="false">
      <c r="A19" s="3" t="s">
        <v>42</v>
      </c>
      <c r="B19" s="3" t="s">
        <v>43</v>
      </c>
      <c r="C19" s="3" t="n">
        <v>25</v>
      </c>
      <c r="D19" s="3" t="n">
        <v>18</v>
      </c>
      <c r="E19" s="4" t="n">
        <v>25.5</v>
      </c>
      <c r="F19" s="5" t="s">
        <v>44</v>
      </c>
      <c r="G19" s="7" t="n">
        <f aca="false">IF(ISNUMBER(E19),E19-C19,"")</f>
        <v>0.5</v>
      </c>
      <c r="H19" s="7" t="n">
        <f aca="false">IF(ISNUMBER(E19),ABS(G19),"")</f>
        <v>0.5</v>
      </c>
      <c r="I19" s="5" t="s">
        <v>62</v>
      </c>
    </row>
    <row r="20" customFormat="false" ht="31.3" hidden="false" customHeight="false" outlineLevel="0" collapsed="false">
      <c r="A20" s="2" t="s">
        <v>42</v>
      </c>
      <c r="B20" s="2" t="s">
        <v>43</v>
      </c>
      <c r="C20" s="2" t="n">
        <v>25</v>
      </c>
      <c r="D20" s="2" t="n">
        <v>19</v>
      </c>
      <c r="E20" s="4" t="n">
        <v>26</v>
      </c>
      <c r="F20" s="5" t="s">
        <v>44</v>
      </c>
      <c r="G20" s="6" t="n">
        <f aca="false">IF(ISNUMBER(E20),E20-C20,"")</f>
        <v>1</v>
      </c>
      <c r="H20" s="6" t="n">
        <f aca="false">IF(ISNUMBER(E20),ABS(G20),"")</f>
        <v>1</v>
      </c>
      <c r="I20" s="5" t="s">
        <v>63</v>
      </c>
    </row>
    <row r="21" customFormat="false" ht="31.3" hidden="false" customHeight="false" outlineLevel="0" collapsed="false">
      <c r="A21" s="3" t="s">
        <v>42</v>
      </c>
      <c r="B21" s="3" t="s">
        <v>43</v>
      </c>
      <c r="C21" s="3" t="n">
        <v>25</v>
      </c>
      <c r="D21" s="3" t="n">
        <v>20</v>
      </c>
      <c r="E21" s="4" t="n">
        <v>25.1</v>
      </c>
      <c r="F21" s="5" t="s">
        <v>44</v>
      </c>
      <c r="G21" s="7" t="n">
        <f aca="false">IF(ISNUMBER(E21),E21-C21,"")</f>
        <v>0.100000000000001</v>
      </c>
      <c r="H21" s="7" t="n">
        <f aca="false">IF(ISNUMBER(E21),ABS(G21),"")</f>
        <v>0.100000000000001</v>
      </c>
      <c r="I21" s="5" t="s">
        <v>64</v>
      </c>
    </row>
    <row r="22" customFormat="false" ht="31.3" hidden="false" customHeight="false" outlineLevel="0" collapsed="false">
      <c r="A22" s="2" t="s">
        <v>42</v>
      </c>
      <c r="B22" s="2" t="s">
        <v>43</v>
      </c>
      <c r="C22" s="2" t="n">
        <v>25</v>
      </c>
      <c r="D22" s="2" t="n">
        <v>21</v>
      </c>
      <c r="E22" s="4" t="n">
        <v>25.2</v>
      </c>
      <c r="F22" s="5" t="s">
        <v>44</v>
      </c>
      <c r="G22" s="6" t="n">
        <f aca="false">IF(ISNUMBER(E22),E22-C22,"")</f>
        <v>0.199999999999999</v>
      </c>
      <c r="H22" s="6" t="n">
        <f aca="false">IF(ISNUMBER(E22),ABS(G22),"")</f>
        <v>0.199999999999999</v>
      </c>
      <c r="I22" s="5" t="s">
        <v>65</v>
      </c>
    </row>
    <row r="23" customFormat="false" ht="31.3" hidden="false" customHeight="false" outlineLevel="0" collapsed="false">
      <c r="A23" s="3" t="s">
        <v>42</v>
      </c>
      <c r="B23" s="3" t="s">
        <v>43</v>
      </c>
      <c r="C23" s="3" t="n">
        <v>25</v>
      </c>
      <c r="D23" s="3" t="n">
        <v>22</v>
      </c>
      <c r="E23" s="4" t="n">
        <v>25.1</v>
      </c>
      <c r="F23" s="5" t="s">
        <v>44</v>
      </c>
      <c r="G23" s="7" t="n">
        <f aca="false">IF(ISNUMBER(E23),E23-C23,"")</f>
        <v>0.100000000000001</v>
      </c>
      <c r="H23" s="7" t="n">
        <f aca="false">IF(ISNUMBER(E23),ABS(G23),"")</f>
        <v>0.100000000000001</v>
      </c>
      <c r="I23" s="5" t="s">
        <v>66</v>
      </c>
    </row>
    <row r="24" customFormat="false" ht="31.3" hidden="false" customHeight="false" outlineLevel="0" collapsed="false">
      <c r="A24" s="2" t="s">
        <v>42</v>
      </c>
      <c r="B24" s="2" t="s">
        <v>43</v>
      </c>
      <c r="C24" s="2" t="n">
        <v>25</v>
      </c>
      <c r="D24" s="2" t="n">
        <v>23</v>
      </c>
      <c r="E24" s="4" t="n">
        <v>25.1</v>
      </c>
      <c r="F24" s="5" t="s">
        <v>44</v>
      </c>
      <c r="G24" s="6" t="n">
        <f aca="false">IF(ISNUMBER(E24),E24-C24,"")</f>
        <v>0.100000000000001</v>
      </c>
      <c r="H24" s="6" t="n">
        <f aca="false">IF(ISNUMBER(E24),ABS(G24),"")</f>
        <v>0.100000000000001</v>
      </c>
      <c r="I24" s="5" t="s">
        <v>67</v>
      </c>
    </row>
    <row r="25" customFormat="false" ht="31.3" hidden="false" customHeight="false" outlineLevel="0" collapsed="false">
      <c r="A25" s="3" t="s">
        <v>42</v>
      </c>
      <c r="B25" s="3" t="s">
        <v>43</v>
      </c>
      <c r="C25" s="3" t="n">
        <v>25</v>
      </c>
      <c r="D25" s="3" t="n">
        <v>24</v>
      </c>
      <c r="E25" s="4" t="n">
        <v>25.1</v>
      </c>
      <c r="F25" s="5" t="s">
        <v>44</v>
      </c>
      <c r="G25" s="7" t="n">
        <f aca="false">IF(ISNUMBER(E25),E25-C25,"")</f>
        <v>0.100000000000001</v>
      </c>
      <c r="H25" s="7" t="n">
        <f aca="false">IF(ISNUMBER(E25),ABS(G25),"")</f>
        <v>0.100000000000001</v>
      </c>
      <c r="I25" s="5" t="s">
        <v>68</v>
      </c>
    </row>
    <row r="26" customFormat="false" ht="31.3" hidden="false" customHeight="false" outlineLevel="0" collapsed="false">
      <c r="A26" s="2" t="s">
        <v>42</v>
      </c>
      <c r="B26" s="2" t="s">
        <v>43</v>
      </c>
      <c r="C26" s="2" t="n">
        <v>25</v>
      </c>
      <c r="D26" s="2" t="n">
        <v>25</v>
      </c>
      <c r="E26" s="4" t="n">
        <v>25.2</v>
      </c>
      <c r="F26" s="5" t="s">
        <v>44</v>
      </c>
      <c r="G26" s="6" t="n">
        <f aca="false">IF(ISNUMBER(E26),E26-C26,"")</f>
        <v>0.199999999999999</v>
      </c>
      <c r="H26" s="6" t="n">
        <f aca="false">IF(ISNUMBER(E26),ABS(G26),"")</f>
        <v>0.199999999999999</v>
      </c>
      <c r="I26" s="5" t="s">
        <v>69</v>
      </c>
    </row>
    <row r="27" customFormat="false" ht="31.3" hidden="false" customHeight="false" outlineLevel="0" collapsed="false">
      <c r="A27" s="3" t="s">
        <v>42</v>
      </c>
      <c r="B27" s="3" t="s">
        <v>43</v>
      </c>
      <c r="C27" s="3" t="n">
        <v>25</v>
      </c>
      <c r="D27" s="3" t="n">
        <v>26</v>
      </c>
      <c r="E27" s="4" t="n">
        <v>25.1</v>
      </c>
      <c r="F27" s="5" t="s">
        <v>44</v>
      </c>
      <c r="G27" s="7" t="n">
        <f aca="false">IF(ISNUMBER(E27),E27-C27,"")</f>
        <v>0.100000000000001</v>
      </c>
      <c r="H27" s="7" t="n">
        <f aca="false">IF(ISNUMBER(E27),ABS(G27),"")</f>
        <v>0.100000000000001</v>
      </c>
      <c r="I27" s="5" t="s">
        <v>70</v>
      </c>
    </row>
    <row r="28" customFormat="false" ht="31.3" hidden="false" customHeight="false" outlineLevel="0" collapsed="false">
      <c r="A28" s="2" t="s">
        <v>42</v>
      </c>
      <c r="B28" s="2" t="s">
        <v>43</v>
      </c>
      <c r="C28" s="2" t="n">
        <v>25</v>
      </c>
      <c r="D28" s="2" t="n">
        <v>27</v>
      </c>
      <c r="E28" s="4" t="n">
        <v>25.1</v>
      </c>
      <c r="F28" s="5" t="s">
        <v>44</v>
      </c>
      <c r="G28" s="6" t="n">
        <f aca="false">IF(ISNUMBER(E28),E28-C28,"")</f>
        <v>0.100000000000001</v>
      </c>
      <c r="H28" s="6" t="n">
        <f aca="false">IF(ISNUMBER(E28),ABS(G28),"")</f>
        <v>0.100000000000001</v>
      </c>
      <c r="I28" s="5" t="s">
        <v>71</v>
      </c>
    </row>
    <row r="29" customFormat="false" ht="31.3" hidden="false" customHeight="false" outlineLevel="0" collapsed="false">
      <c r="A29" s="3" t="s">
        <v>42</v>
      </c>
      <c r="B29" s="3" t="s">
        <v>43</v>
      </c>
      <c r="C29" s="3" t="n">
        <v>25</v>
      </c>
      <c r="D29" s="3" t="n">
        <v>28</v>
      </c>
      <c r="E29" s="4" t="n">
        <v>26</v>
      </c>
      <c r="F29" s="5" t="s">
        <v>44</v>
      </c>
      <c r="G29" s="7" t="n">
        <f aca="false">IF(ISNUMBER(E29),E29-C29,"")</f>
        <v>1</v>
      </c>
      <c r="H29" s="7" t="n">
        <f aca="false">IF(ISNUMBER(E29),ABS(G29),"")</f>
        <v>1</v>
      </c>
      <c r="I29" s="5" t="s">
        <v>72</v>
      </c>
    </row>
    <row r="30" customFormat="false" ht="31.3" hidden="false" customHeight="false" outlineLevel="0" collapsed="false">
      <c r="A30" s="2" t="s">
        <v>42</v>
      </c>
      <c r="B30" s="2" t="s">
        <v>43</v>
      </c>
      <c r="C30" s="2" t="n">
        <v>25</v>
      </c>
      <c r="D30" s="2" t="n">
        <v>29</v>
      </c>
      <c r="E30" s="4" t="n">
        <v>25.4</v>
      </c>
      <c r="F30" s="5" t="s">
        <v>44</v>
      </c>
      <c r="G30" s="6" t="n">
        <f aca="false">IF(ISNUMBER(E30),E30-C30,"")</f>
        <v>0.399999999999999</v>
      </c>
      <c r="H30" s="6" t="n">
        <f aca="false">IF(ISNUMBER(E30),ABS(G30),"")</f>
        <v>0.399999999999999</v>
      </c>
      <c r="I30" s="5" t="s">
        <v>73</v>
      </c>
    </row>
    <row r="31" customFormat="false" ht="31.3" hidden="false" customHeight="false" outlineLevel="0" collapsed="false">
      <c r="A31" s="3" t="s">
        <v>42</v>
      </c>
      <c r="B31" s="3" t="s">
        <v>43</v>
      </c>
      <c r="C31" s="3" t="n">
        <v>25</v>
      </c>
      <c r="D31" s="3" t="n">
        <v>30</v>
      </c>
      <c r="E31" s="4" t="n">
        <v>26</v>
      </c>
      <c r="F31" s="5" t="s">
        <v>44</v>
      </c>
      <c r="G31" s="7" t="n">
        <f aca="false">IF(ISNUMBER(E31),E31-C31,"")</f>
        <v>1</v>
      </c>
      <c r="H31" s="7" t="n">
        <f aca="false">IF(ISNUMBER(E31),ABS(G31),"")</f>
        <v>1</v>
      </c>
      <c r="I31" s="5" t="s">
        <v>74</v>
      </c>
    </row>
    <row r="32" customFormat="false" ht="31.3" hidden="false" customHeight="false" outlineLevel="0" collapsed="false">
      <c r="A32" s="2" t="s">
        <v>75</v>
      </c>
      <c r="B32" s="2" t="s">
        <v>43</v>
      </c>
      <c r="C32" s="2" t="n">
        <v>50</v>
      </c>
      <c r="D32" s="2" t="n">
        <v>1</v>
      </c>
      <c r="E32" s="4" t="n">
        <v>67.6</v>
      </c>
      <c r="F32" s="5" t="s">
        <v>44</v>
      </c>
      <c r="G32" s="6" t="n">
        <f aca="false">IF(ISNUMBER(E32),E32-C32,"")</f>
        <v>17.6</v>
      </c>
      <c r="H32" s="6" t="n">
        <f aca="false">IF(ISNUMBER(E32),ABS(G32),"")</f>
        <v>17.6</v>
      </c>
      <c r="I32" s="5" t="s">
        <v>76</v>
      </c>
    </row>
    <row r="33" customFormat="false" ht="31.3" hidden="false" customHeight="false" outlineLevel="0" collapsed="false">
      <c r="A33" s="3" t="s">
        <v>75</v>
      </c>
      <c r="B33" s="3" t="s">
        <v>43</v>
      </c>
      <c r="C33" s="3" t="n">
        <v>50</v>
      </c>
      <c r="D33" s="3" t="n">
        <v>2</v>
      </c>
      <c r="E33" s="4" t="n">
        <v>67.2</v>
      </c>
      <c r="F33" s="5" t="s">
        <v>44</v>
      </c>
      <c r="G33" s="7" t="n">
        <f aca="false">IF(ISNUMBER(E33),E33-C33,"")</f>
        <v>17.2</v>
      </c>
      <c r="H33" s="7" t="n">
        <f aca="false">IF(ISNUMBER(E33),ABS(G33),"")</f>
        <v>17.2</v>
      </c>
      <c r="I33" s="5" t="s">
        <v>77</v>
      </c>
    </row>
    <row r="34" customFormat="false" ht="31.3" hidden="false" customHeight="false" outlineLevel="0" collapsed="false">
      <c r="A34" s="2" t="s">
        <v>75</v>
      </c>
      <c r="B34" s="2" t="s">
        <v>43</v>
      </c>
      <c r="C34" s="2" t="n">
        <v>50</v>
      </c>
      <c r="D34" s="2" t="n">
        <v>3</v>
      </c>
      <c r="E34" s="4" t="n">
        <v>67.2</v>
      </c>
      <c r="F34" s="5" t="s">
        <v>44</v>
      </c>
      <c r="G34" s="6" t="n">
        <f aca="false">IF(ISNUMBER(E34),E34-C34,"")</f>
        <v>17.2</v>
      </c>
      <c r="H34" s="6" t="n">
        <f aca="false">IF(ISNUMBER(E34),ABS(G34),"")</f>
        <v>17.2</v>
      </c>
      <c r="I34" s="5" t="s">
        <v>78</v>
      </c>
    </row>
    <row r="35" customFormat="false" ht="31.3" hidden="false" customHeight="false" outlineLevel="0" collapsed="false">
      <c r="A35" s="3" t="s">
        <v>75</v>
      </c>
      <c r="B35" s="3" t="s">
        <v>43</v>
      </c>
      <c r="C35" s="3" t="n">
        <v>50</v>
      </c>
      <c r="D35" s="3" t="n">
        <v>4</v>
      </c>
      <c r="E35" s="4" t="n">
        <v>67.2</v>
      </c>
      <c r="F35" s="5" t="s">
        <v>44</v>
      </c>
      <c r="G35" s="7" t="n">
        <f aca="false">IF(ISNUMBER(E35),E35-C35,"")</f>
        <v>17.2</v>
      </c>
      <c r="H35" s="7" t="n">
        <f aca="false">IF(ISNUMBER(E35),ABS(G35),"")</f>
        <v>17.2</v>
      </c>
      <c r="I35" s="5" t="s">
        <v>79</v>
      </c>
    </row>
    <row r="36" customFormat="false" ht="31.3" hidden="false" customHeight="false" outlineLevel="0" collapsed="false">
      <c r="A36" s="2" t="s">
        <v>75</v>
      </c>
      <c r="B36" s="2" t="s">
        <v>43</v>
      </c>
      <c r="C36" s="2" t="n">
        <v>50</v>
      </c>
      <c r="D36" s="2" t="n">
        <v>5</v>
      </c>
      <c r="E36" s="4" t="n">
        <v>68</v>
      </c>
      <c r="F36" s="5" t="s">
        <v>44</v>
      </c>
      <c r="G36" s="6" t="n">
        <f aca="false">IF(ISNUMBER(E36),E36-C36,"")</f>
        <v>18</v>
      </c>
      <c r="H36" s="6" t="n">
        <f aca="false">IF(ISNUMBER(E36),ABS(G36),"")</f>
        <v>18</v>
      </c>
      <c r="I36" s="5" t="s">
        <v>80</v>
      </c>
    </row>
    <row r="37" customFormat="false" ht="31.3" hidden="false" customHeight="false" outlineLevel="0" collapsed="false">
      <c r="A37" s="3" t="s">
        <v>75</v>
      </c>
      <c r="B37" s="3" t="s">
        <v>43</v>
      </c>
      <c r="C37" s="3" t="n">
        <v>50</v>
      </c>
      <c r="D37" s="3" t="n">
        <v>6</v>
      </c>
      <c r="E37" s="4" t="n">
        <v>63.4</v>
      </c>
      <c r="F37" s="5" t="s">
        <v>44</v>
      </c>
      <c r="G37" s="7" t="n">
        <f aca="false">IF(ISNUMBER(E37),E37-C37,"")</f>
        <v>13.4</v>
      </c>
      <c r="H37" s="7" t="n">
        <f aca="false">IF(ISNUMBER(E37),ABS(G37),"")</f>
        <v>13.4</v>
      </c>
      <c r="I37" s="5" t="s">
        <v>81</v>
      </c>
    </row>
    <row r="38" customFormat="false" ht="31.3" hidden="false" customHeight="false" outlineLevel="0" collapsed="false">
      <c r="A38" s="2" t="s">
        <v>75</v>
      </c>
      <c r="B38" s="2" t="s">
        <v>43</v>
      </c>
      <c r="C38" s="2" t="n">
        <v>50</v>
      </c>
      <c r="D38" s="2" t="n">
        <v>7</v>
      </c>
      <c r="E38" s="4" t="n">
        <v>60.7</v>
      </c>
      <c r="F38" s="5" t="s">
        <v>44</v>
      </c>
      <c r="G38" s="6" t="n">
        <f aca="false">IF(ISNUMBER(E38),E38-C38,"")</f>
        <v>10.7</v>
      </c>
      <c r="H38" s="6" t="n">
        <f aca="false">IF(ISNUMBER(E38),ABS(G38),"")</f>
        <v>10.7</v>
      </c>
      <c r="I38" s="5" t="s">
        <v>82</v>
      </c>
    </row>
    <row r="39" customFormat="false" ht="31.3" hidden="false" customHeight="false" outlineLevel="0" collapsed="false">
      <c r="A39" s="3" t="s">
        <v>75</v>
      </c>
      <c r="B39" s="3" t="s">
        <v>43</v>
      </c>
      <c r="C39" s="3" t="n">
        <v>50</v>
      </c>
      <c r="D39" s="3" t="n">
        <v>8</v>
      </c>
      <c r="E39" s="4" t="n">
        <v>59</v>
      </c>
      <c r="F39" s="5" t="s">
        <v>44</v>
      </c>
      <c r="G39" s="7" t="n">
        <f aca="false">IF(ISNUMBER(E39),E39-C39,"")</f>
        <v>9</v>
      </c>
      <c r="H39" s="7" t="n">
        <f aca="false">IF(ISNUMBER(E39),ABS(G39),"")</f>
        <v>9</v>
      </c>
      <c r="I39" s="5" t="s">
        <v>83</v>
      </c>
    </row>
    <row r="40" customFormat="false" ht="31.3" hidden="false" customHeight="false" outlineLevel="0" collapsed="false">
      <c r="A40" s="2" t="s">
        <v>75</v>
      </c>
      <c r="B40" s="2" t="s">
        <v>43</v>
      </c>
      <c r="C40" s="2" t="n">
        <v>50</v>
      </c>
      <c r="D40" s="2" t="n">
        <v>9</v>
      </c>
      <c r="E40" s="4" t="n">
        <v>57.5</v>
      </c>
      <c r="F40" s="5" t="s">
        <v>44</v>
      </c>
      <c r="G40" s="6" t="n">
        <f aca="false">IF(ISNUMBER(E40),E40-C40,"")</f>
        <v>7.5</v>
      </c>
      <c r="H40" s="6" t="n">
        <f aca="false">IF(ISNUMBER(E40),ABS(G40),"")</f>
        <v>7.5</v>
      </c>
      <c r="I40" s="5" t="s">
        <v>84</v>
      </c>
    </row>
    <row r="41" customFormat="false" ht="31.3" hidden="false" customHeight="false" outlineLevel="0" collapsed="false">
      <c r="A41" s="3" t="s">
        <v>75</v>
      </c>
      <c r="B41" s="3" t="s">
        <v>43</v>
      </c>
      <c r="C41" s="3" t="n">
        <v>50</v>
      </c>
      <c r="D41" s="3" t="n">
        <v>10</v>
      </c>
      <c r="E41" s="4" t="n">
        <v>56.6</v>
      </c>
      <c r="F41" s="5" t="s">
        <v>44</v>
      </c>
      <c r="G41" s="7" t="n">
        <f aca="false">IF(ISNUMBER(E41),E41-C41,"")</f>
        <v>6.6</v>
      </c>
      <c r="H41" s="7" t="n">
        <f aca="false">IF(ISNUMBER(E41),ABS(G41),"")</f>
        <v>6.6</v>
      </c>
      <c r="I41" s="5" t="s">
        <v>85</v>
      </c>
    </row>
    <row r="42" customFormat="false" ht="31.3" hidden="false" customHeight="false" outlineLevel="0" collapsed="false">
      <c r="A42" s="2" t="s">
        <v>75</v>
      </c>
      <c r="B42" s="2" t="s">
        <v>43</v>
      </c>
      <c r="C42" s="2" t="n">
        <v>50</v>
      </c>
      <c r="D42" s="2" t="n">
        <v>11</v>
      </c>
      <c r="E42" s="4" t="n">
        <v>55</v>
      </c>
      <c r="F42" s="5" t="s">
        <v>44</v>
      </c>
      <c r="G42" s="6" t="n">
        <f aca="false">IF(ISNUMBER(E42),E42-C42,"")</f>
        <v>5</v>
      </c>
      <c r="H42" s="6" t="n">
        <f aca="false">IF(ISNUMBER(E42),ABS(G42),"")</f>
        <v>5</v>
      </c>
      <c r="I42" s="5" t="s">
        <v>86</v>
      </c>
    </row>
    <row r="43" customFormat="false" ht="31.3" hidden="false" customHeight="false" outlineLevel="0" collapsed="false">
      <c r="A43" s="3" t="s">
        <v>75</v>
      </c>
      <c r="B43" s="3" t="s">
        <v>43</v>
      </c>
      <c r="C43" s="3" t="n">
        <v>50</v>
      </c>
      <c r="D43" s="3" t="n">
        <v>12</v>
      </c>
      <c r="E43" s="4" t="n">
        <v>54.8</v>
      </c>
      <c r="F43" s="5" t="s">
        <v>44</v>
      </c>
      <c r="G43" s="7" t="n">
        <f aca="false">IF(ISNUMBER(E43),E43-C43,"")</f>
        <v>4.8</v>
      </c>
      <c r="H43" s="7" t="n">
        <f aca="false">IF(ISNUMBER(E43),ABS(G43),"")</f>
        <v>4.8</v>
      </c>
      <c r="I43" s="5" t="s">
        <v>87</v>
      </c>
    </row>
    <row r="44" customFormat="false" ht="31.3" hidden="false" customHeight="false" outlineLevel="0" collapsed="false">
      <c r="A44" s="2" t="s">
        <v>75</v>
      </c>
      <c r="B44" s="2" t="s">
        <v>43</v>
      </c>
      <c r="C44" s="2" t="n">
        <v>50</v>
      </c>
      <c r="D44" s="2" t="n">
        <v>13</v>
      </c>
      <c r="E44" s="4" t="n">
        <v>53.4</v>
      </c>
      <c r="F44" s="5" t="s">
        <v>44</v>
      </c>
      <c r="G44" s="6" t="n">
        <f aca="false">IF(ISNUMBER(E44),E44-C44,"")</f>
        <v>3.4</v>
      </c>
      <c r="H44" s="6" t="n">
        <f aca="false">IF(ISNUMBER(E44),ABS(G44),"")</f>
        <v>3.4</v>
      </c>
      <c r="I44" s="5" t="s">
        <v>88</v>
      </c>
    </row>
    <row r="45" customFormat="false" ht="31.3" hidden="false" customHeight="false" outlineLevel="0" collapsed="false">
      <c r="A45" s="3" t="s">
        <v>75</v>
      </c>
      <c r="B45" s="3" t="s">
        <v>43</v>
      </c>
      <c r="C45" s="3" t="n">
        <v>50</v>
      </c>
      <c r="D45" s="3" t="n">
        <v>14</v>
      </c>
      <c r="E45" s="4" t="n">
        <v>51.5</v>
      </c>
      <c r="F45" s="5" t="s">
        <v>44</v>
      </c>
      <c r="G45" s="7" t="n">
        <f aca="false">IF(ISNUMBER(E45),E45-C45,"")</f>
        <v>1.5</v>
      </c>
      <c r="H45" s="7" t="n">
        <f aca="false">IF(ISNUMBER(E45),ABS(G45),"")</f>
        <v>1.5</v>
      </c>
      <c r="I45" s="5" t="s">
        <v>89</v>
      </c>
    </row>
    <row r="46" customFormat="false" ht="31.3" hidden="false" customHeight="false" outlineLevel="0" collapsed="false">
      <c r="A46" s="2" t="s">
        <v>75</v>
      </c>
      <c r="B46" s="2" t="s">
        <v>43</v>
      </c>
      <c r="C46" s="2" t="n">
        <v>50</v>
      </c>
      <c r="D46" s="2" t="n">
        <v>15</v>
      </c>
      <c r="E46" s="4" t="n">
        <v>50.3</v>
      </c>
      <c r="F46" s="5" t="s">
        <v>44</v>
      </c>
      <c r="G46" s="6" t="n">
        <f aca="false">IF(ISNUMBER(E46),E46-C46,"")</f>
        <v>0.299999999999997</v>
      </c>
      <c r="H46" s="6" t="n">
        <f aca="false">IF(ISNUMBER(E46),ABS(G46),"")</f>
        <v>0.299999999999997</v>
      </c>
      <c r="I46" s="5" t="s">
        <v>90</v>
      </c>
    </row>
    <row r="47" customFormat="false" ht="31.3" hidden="false" customHeight="false" outlineLevel="0" collapsed="false">
      <c r="A47" s="3" t="s">
        <v>75</v>
      </c>
      <c r="B47" s="3" t="s">
        <v>43</v>
      </c>
      <c r="C47" s="3" t="n">
        <v>50</v>
      </c>
      <c r="D47" s="3" t="n">
        <v>16</v>
      </c>
      <c r="E47" s="4" t="n">
        <v>50.3</v>
      </c>
      <c r="F47" s="5" t="s">
        <v>44</v>
      </c>
      <c r="G47" s="7" t="n">
        <f aca="false">IF(ISNUMBER(E47),E47-C47,"")</f>
        <v>0.299999999999997</v>
      </c>
      <c r="H47" s="7" t="n">
        <f aca="false">IF(ISNUMBER(E47),ABS(G47),"")</f>
        <v>0.299999999999997</v>
      </c>
      <c r="I47" s="5" t="s">
        <v>91</v>
      </c>
    </row>
    <row r="48" customFormat="false" ht="31.3" hidden="false" customHeight="false" outlineLevel="0" collapsed="false">
      <c r="A48" s="2" t="s">
        <v>75</v>
      </c>
      <c r="B48" s="2" t="s">
        <v>43</v>
      </c>
      <c r="C48" s="2" t="n">
        <v>50</v>
      </c>
      <c r="D48" s="2" t="n">
        <v>17</v>
      </c>
      <c r="E48" s="4" t="n">
        <v>49.4</v>
      </c>
      <c r="F48" s="5" t="s">
        <v>44</v>
      </c>
      <c r="G48" s="6" t="n">
        <f aca="false">IF(ISNUMBER(E48),E48-C48,"")</f>
        <v>-0.600000000000001</v>
      </c>
      <c r="H48" s="6" t="n">
        <f aca="false">IF(ISNUMBER(E48),ABS(G48),"")</f>
        <v>0.600000000000001</v>
      </c>
      <c r="I48" s="5" t="s">
        <v>92</v>
      </c>
    </row>
    <row r="49" customFormat="false" ht="31.3" hidden="false" customHeight="false" outlineLevel="0" collapsed="false">
      <c r="A49" s="3" t="s">
        <v>75</v>
      </c>
      <c r="B49" s="3" t="s">
        <v>43</v>
      </c>
      <c r="C49" s="3" t="n">
        <v>50</v>
      </c>
      <c r="D49" s="3" t="n">
        <v>18</v>
      </c>
      <c r="E49" s="4" t="n">
        <v>49</v>
      </c>
      <c r="F49" s="5" t="s">
        <v>44</v>
      </c>
      <c r="G49" s="7" t="n">
        <f aca="false">IF(ISNUMBER(E49),E49-C49,"")</f>
        <v>-1</v>
      </c>
      <c r="H49" s="7" t="n">
        <f aca="false">IF(ISNUMBER(E49),ABS(G49),"")</f>
        <v>1</v>
      </c>
      <c r="I49" s="5" t="s">
        <v>93</v>
      </c>
    </row>
    <row r="50" customFormat="false" ht="31.3" hidden="false" customHeight="false" outlineLevel="0" collapsed="false">
      <c r="A50" s="2" t="s">
        <v>75</v>
      </c>
      <c r="B50" s="2" t="s">
        <v>43</v>
      </c>
      <c r="C50" s="2" t="n">
        <v>50</v>
      </c>
      <c r="D50" s="2" t="n">
        <v>19</v>
      </c>
      <c r="E50" s="4" t="n">
        <v>49.8</v>
      </c>
      <c r="F50" s="5" t="s">
        <v>44</v>
      </c>
      <c r="G50" s="6" t="n">
        <f aca="false">IF(ISNUMBER(E50),E50-C50,"")</f>
        <v>-0.200000000000003</v>
      </c>
      <c r="H50" s="6" t="n">
        <f aca="false">IF(ISNUMBER(E50),ABS(G50),"")</f>
        <v>0.200000000000003</v>
      </c>
      <c r="I50" s="5" t="s">
        <v>94</v>
      </c>
    </row>
    <row r="51" customFormat="false" ht="31.3" hidden="false" customHeight="false" outlineLevel="0" collapsed="false">
      <c r="A51" s="3" t="s">
        <v>75</v>
      </c>
      <c r="B51" s="3" t="s">
        <v>43</v>
      </c>
      <c r="C51" s="3" t="n">
        <v>50</v>
      </c>
      <c r="D51" s="3" t="n">
        <v>20</v>
      </c>
      <c r="E51" s="4" t="n">
        <v>50.3</v>
      </c>
      <c r="F51" s="5" t="s">
        <v>44</v>
      </c>
      <c r="G51" s="7" t="n">
        <f aca="false">IF(ISNUMBER(E51),E51-C51,"")</f>
        <v>0.299999999999997</v>
      </c>
      <c r="H51" s="7" t="n">
        <f aca="false">IF(ISNUMBER(E51),ABS(G51),"")</f>
        <v>0.299999999999997</v>
      </c>
      <c r="I51" s="5" t="s">
        <v>95</v>
      </c>
    </row>
    <row r="52" customFormat="false" ht="31.3" hidden="false" customHeight="false" outlineLevel="0" collapsed="false">
      <c r="A52" s="2" t="s">
        <v>75</v>
      </c>
      <c r="B52" s="2" t="s">
        <v>43</v>
      </c>
      <c r="C52" s="2" t="n">
        <v>50</v>
      </c>
      <c r="D52" s="2" t="n">
        <v>21</v>
      </c>
      <c r="E52" s="4" t="n">
        <v>49</v>
      </c>
      <c r="F52" s="5" t="s">
        <v>44</v>
      </c>
      <c r="G52" s="6" t="n">
        <f aca="false">IF(ISNUMBER(E52),E52-C52,"")</f>
        <v>-1</v>
      </c>
      <c r="H52" s="6" t="n">
        <f aca="false">IF(ISNUMBER(E52),ABS(G52),"")</f>
        <v>1</v>
      </c>
      <c r="I52" s="5" t="s">
        <v>96</v>
      </c>
    </row>
    <row r="53" customFormat="false" ht="31.3" hidden="false" customHeight="false" outlineLevel="0" collapsed="false">
      <c r="A53" s="3" t="s">
        <v>75</v>
      </c>
      <c r="B53" s="3" t="s">
        <v>43</v>
      </c>
      <c r="C53" s="3" t="n">
        <v>50</v>
      </c>
      <c r="D53" s="3" t="n">
        <v>22</v>
      </c>
      <c r="E53" s="4" t="n">
        <v>49.5</v>
      </c>
      <c r="F53" s="5" t="s">
        <v>44</v>
      </c>
      <c r="G53" s="7" t="n">
        <f aca="false">IF(ISNUMBER(E53),E53-C53,"")</f>
        <v>-0.5</v>
      </c>
      <c r="H53" s="7" t="n">
        <f aca="false">IF(ISNUMBER(E53),ABS(G53),"")</f>
        <v>0.5</v>
      </c>
      <c r="I53" s="5" t="s">
        <v>97</v>
      </c>
    </row>
    <row r="54" customFormat="false" ht="31.3" hidden="false" customHeight="false" outlineLevel="0" collapsed="false">
      <c r="A54" s="2" t="s">
        <v>75</v>
      </c>
      <c r="B54" s="2" t="s">
        <v>43</v>
      </c>
      <c r="C54" s="2" t="n">
        <v>50</v>
      </c>
      <c r="D54" s="2" t="n">
        <v>23</v>
      </c>
      <c r="E54" s="4" t="n">
        <v>48.6</v>
      </c>
      <c r="F54" s="5" t="s">
        <v>44</v>
      </c>
      <c r="G54" s="6" t="n">
        <f aca="false">IF(ISNUMBER(E54),E54-C54,"")</f>
        <v>-1.4</v>
      </c>
      <c r="H54" s="6" t="n">
        <f aca="false">IF(ISNUMBER(E54),ABS(G54),"")</f>
        <v>1.4</v>
      </c>
      <c r="I54" s="5" t="s">
        <v>98</v>
      </c>
    </row>
    <row r="55" customFormat="false" ht="31.3" hidden="false" customHeight="false" outlineLevel="0" collapsed="false">
      <c r="A55" s="3" t="s">
        <v>75</v>
      </c>
      <c r="B55" s="3" t="s">
        <v>43</v>
      </c>
      <c r="C55" s="3" t="n">
        <v>50</v>
      </c>
      <c r="D55" s="3" t="n">
        <v>24</v>
      </c>
      <c r="E55" s="4" t="n">
        <v>49.4</v>
      </c>
      <c r="F55" s="5" t="s">
        <v>44</v>
      </c>
      <c r="G55" s="7" t="n">
        <f aca="false">IF(ISNUMBER(E55),E55-C55,"")</f>
        <v>-0.600000000000001</v>
      </c>
      <c r="H55" s="7" t="n">
        <f aca="false">IF(ISNUMBER(E55),ABS(G55),"")</f>
        <v>0.600000000000001</v>
      </c>
      <c r="I55" s="5" t="s">
        <v>99</v>
      </c>
    </row>
    <row r="56" customFormat="false" ht="31.3" hidden="false" customHeight="false" outlineLevel="0" collapsed="false">
      <c r="A56" s="2" t="s">
        <v>75</v>
      </c>
      <c r="B56" s="2" t="s">
        <v>43</v>
      </c>
      <c r="C56" s="2" t="n">
        <v>50</v>
      </c>
      <c r="D56" s="2" t="n">
        <v>25</v>
      </c>
      <c r="E56" s="4" t="n">
        <v>48</v>
      </c>
      <c r="F56" s="5" t="s">
        <v>44</v>
      </c>
      <c r="G56" s="6" t="n">
        <f aca="false">IF(ISNUMBER(E56),E56-C56,"")</f>
        <v>-2</v>
      </c>
      <c r="H56" s="6" t="n">
        <f aca="false">IF(ISNUMBER(E56),ABS(G56),"")</f>
        <v>2</v>
      </c>
      <c r="I56" s="5" t="s">
        <v>100</v>
      </c>
    </row>
    <row r="57" customFormat="false" ht="31.3" hidden="false" customHeight="false" outlineLevel="0" collapsed="false">
      <c r="A57" s="3" t="s">
        <v>75</v>
      </c>
      <c r="B57" s="3" t="s">
        <v>43</v>
      </c>
      <c r="C57" s="3" t="n">
        <v>50</v>
      </c>
      <c r="D57" s="3" t="n">
        <v>26</v>
      </c>
      <c r="E57" s="4" t="n">
        <v>48.6</v>
      </c>
      <c r="F57" s="5" t="s">
        <v>44</v>
      </c>
      <c r="G57" s="7" t="n">
        <f aca="false">IF(ISNUMBER(E57),E57-C57,"")</f>
        <v>-1.4</v>
      </c>
      <c r="H57" s="7" t="n">
        <f aca="false">IF(ISNUMBER(E57),ABS(G57),"")</f>
        <v>1.4</v>
      </c>
      <c r="I57" s="5" t="s">
        <v>101</v>
      </c>
    </row>
    <row r="58" customFormat="false" ht="31.3" hidden="false" customHeight="false" outlineLevel="0" collapsed="false">
      <c r="A58" s="2" t="s">
        <v>75</v>
      </c>
      <c r="B58" s="2" t="s">
        <v>43</v>
      </c>
      <c r="C58" s="2" t="n">
        <v>50</v>
      </c>
      <c r="D58" s="2" t="n">
        <v>27</v>
      </c>
      <c r="E58" s="4" t="n">
        <v>49.4</v>
      </c>
      <c r="F58" s="5" t="s">
        <v>44</v>
      </c>
      <c r="G58" s="6" t="n">
        <f aca="false">IF(ISNUMBER(E58),E58-C58,"")</f>
        <v>-0.600000000000001</v>
      </c>
      <c r="H58" s="6" t="n">
        <f aca="false">IF(ISNUMBER(E58),ABS(G58),"")</f>
        <v>0.600000000000001</v>
      </c>
      <c r="I58" s="5" t="s">
        <v>102</v>
      </c>
    </row>
    <row r="59" customFormat="false" ht="31.3" hidden="false" customHeight="false" outlineLevel="0" collapsed="false">
      <c r="A59" s="3" t="s">
        <v>75</v>
      </c>
      <c r="B59" s="3" t="s">
        <v>43</v>
      </c>
      <c r="C59" s="3" t="n">
        <v>50</v>
      </c>
      <c r="D59" s="3" t="n">
        <v>28</v>
      </c>
      <c r="E59" s="4" t="n">
        <v>49.2</v>
      </c>
      <c r="F59" s="5" t="s">
        <v>44</v>
      </c>
      <c r="G59" s="7" t="n">
        <f aca="false">IF(ISNUMBER(E59),E59-C59,"")</f>
        <v>-0.799999999999997</v>
      </c>
      <c r="H59" s="7" t="n">
        <f aca="false">IF(ISNUMBER(E59),ABS(G59),"")</f>
        <v>0.799999999999997</v>
      </c>
      <c r="I59" s="5" t="s">
        <v>103</v>
      </c>
    </row>
    <row r="60" customFormat="false" ht="31.3" hidden="false" customHeight="false" outlineLevel="0" collapsed="false">
      <c r="A60" s="2" t="s">
        <v>75</v>
      </c>
      <c r="B60" s="2" t="s">
        <v>43</v>
      </c>
      <c r="C60" s="2" t="n">
        <v>50</v>
      </c>
      <c r="D60" s="2" t="n">
        <v>29</v>
      </c>
      <c r="E60" s="4" t="n">
        <v>49.9</v>
      </c>
      <c r="F60" s="5" t="s">
        <v>44</v>
      </c>
      <c r="G60" s="6" t="n">
        <f aca="false">IF(ISNUMBER(E60),E60-C60,"")</f>
        <v>-0.100000000000001</v>
      </c>
      <c r="H60" s="6" t="n">
        <f aca="false">IF(ISNUMBER(E60),ABS(G60),"")</f>
        <v>0.100000000000001</v>
      </c>
      <c r="I60" s="5" t="s">
        <v>104</v>
      </c>
    </row>
    <row r="61" customFormat="false" ht="31.3" hidden="false" customHeight="false" outlineLevel="0" collapsed="false">
      <c r="A61" s="3" t="s">
        <v>75</v>
      </c>
      <c r="B61" s="3" t="s">
        <v>43</v>
      </c>
      <c r="C61" s="3" t="n">
        <v>50</v>
      </c>
      <c r="D61" s="3" t="n">
        <v>30</v>
      </c>
      <c r="E61" s="4" t="n">
        <v>49</v>
      </c>
      <c r="F61" s="5" t="s">
        <v>44</v>
      </c>
      <c r="G61" s="7" t="n">
        <f aca="false">IF(ISNUMBER(E61),E61-C61,"")</f>
        <v>-1</v>
      </c>
      <c r="H61" s="7" t="n">
        <f aca="false">IF(ISNUMBER(E61),ABS(G61),"")</f>
        <v>1</v>
      </c>
      <c r="I61" s="5" t="s">
        <v>105</v>
      </c>
    </row>
    <row r="62" customFormat="false" ht="16.4" hidden="false" customHeight="false" outlineLevel="0" collapsed="false">
      <c r="A62" s="2" t="s">
        <v>106</v>
      </c>
      <c r="B62" s="2" t="s">
        <v>43</v>
      </c>
      <c r="C62" s="2" t="n">
        <v>100</v>
      </c>
      <c r="D62" s="2" t="n">
        <v>1</v>
      </c>
      <c r="E62" s="4"/>
      <c r="F62" s="5"/>
      <c r="G62" s="6" t="str">
        <f aca="false">IF(ISNUMBER(E62),E62-C62,"")</f>
        <v/>
      </c>
      <c r="H62" s="6" t="str">
        <f aca="false">IF(ISNUMBER(E62),ABS(G62),"")</f>
        <v/>
      </c>
      <c r="I62" s="5"/>
    </row>
    <row r="63" customFormat="false" ht="16.4" hidden="false" customHeight="false" outlineLevel="0" collapsed="false">
      <c r="A63" s="3" t="s">
        <v>106</v>
      </c>
      <c r="B63" s="3" t="s">
        <v>43</v>
      </c>
      <c r="C63" s="3" t="n">
        <v>100</v>
      </c>
      <c r="D63" s="3" t="n">
        <v>2</v>
      </c>
      <c r="E63" s="4"/>
      <c r="F63" s="5"/>
      <c r="G63" s="7" t="str">
        <f aca="false">IF(ISNUMBER(E63),E63-C63,"")</f>
        <v/>
      </c>
      <c r="H63" s="7" t="str">
        <f aca="false">IF(ISNUMBER(E63),ABS(G63),"")</f>
        <v/>
      </c>
      <c r="I63" s="5"/>
    </row>
    <row r="64" customFormat="false" ht="16.4" hidden="false" customHeight="false" outlineLevel="0" collapsed="false">
      <c r="A64" s="2" t="s">
        <v>106</v>
      </c>
      <c r="B64" s="2" t="s">
        <v>43</v>
      </c>
      <c r="C64" s="2" t="n">
        <v>100</v>
      </c>
      <c r="D64" s="2" t="n">
        <v>3</v>
      </c>
      <c r="E64" s="4"/>
      <c r="F64" s="5"/>
      <c r="G64" s="6" t="str">
        <f aca="false">IF(ISNUMBER(E64),E64-C64,"")</f>
        <v/>
      </c>
      <c r="H64" s="6" t="str">
        <f aca="false">IF(ISNUMBER(E64),ABS(G64),"")</f>
        <v/>
      </c>
      <c r="I64" s="5"/>
    </row>
    <row r="65" customFormat="false" ht="16.4" hidden="false" customHeight="false" outlineLevel="0" collapsed="false">
      <c r="A65" s="3" t="s">
        <v>106</v>
      </c>
      <c r="B65" s="3" t="s">
        <v>43</v>
      </c>
      <c r="C65" s="3" t="n">
        <v>100</v>
      </c>
      <c r="D65" s="3" t="n">
        <v>4</v>
      </c>
      <c r="E65" s="4"/>
      <c r="F65" s="5"/>
      <c r="G65" s="7" t="str">
        <f aca="false">IF(ISNUMBER(E65),E65-C65,"")</f>
        <v/>
      </c>
      <c r="H65" s="7" t="str">
        <f aca="false">IF(ISNUMBER(E65),ABS(G65),"")</f>
        <v/>
      </c>
      <c r="I65" s="5"/>
    </row>
    <row r="66" customFormat="false" ht="16.4" hidden="false" customHeight="false" outlineLevel="0" collapsed="false">
      <c r="A66" s="2" t="s">
        <v>106</v>
      </c>
      <c r="B66" s="2" t="s">
        <v>43</v>
      </c>
      <c r="C66" s="2" t="n">
        <v>100</v>
      </c>
      <c r="D66" s="2" t="n">
        <v>5</v>
      </c>
      <c r="E66" s="4"/>
      <c r="F66" s="5"/>
      <c r="G66" s="6" t="str">
        <f aca="false">IF(ISNUMBER(E66),E66-C66,"")</f>
        <v/>
      </c>
      <c r="H66" s="6" t="str">
        <f aca="false">IF(ISNUMBER(E66),ABS(G66),"")</f>
        <v/>
      </c>
      <c r="I66" s="5"/>
    </row>
    <row r="67" customFormat="false" ht="16.4" hidden="false" customHeight="false" outlineLevel="0" collapsed="false">
      <c r="A67" s="3" t="s">
        <v>106</v>
      </c>
      <c r="B67" s="3" t="s">
        <v>43</v>
      </c>
      <c r="C67" s="3" t="n">
        <v>100</v>
      </c>
      <c r="D67" s="3" t="n">
        <v>6</v>
      </c>
      <c r="E67" s="4"/>
      <c r="F67" s="5"/>
      <c r="G67" s="7" t="str">
        <f aca="false">IF(ISNUMBER(E67),E67-C67,"")</f>
        <v/>
      </c>
      <c r="H67" s="7" t="str">
        <f aca="false">IF(ISNUMBER(E67),ABS(G67),"")</f>
        <v/>
      </c>
      <c r="I67" s="5"/>
    </row>
    <row r="68" customFormat="false" ht="16.4" hidden="false" customHeight="false" outlineLevel="0" collapsed="false">
      <c r="A68" s="2" t="s">
        <v>106</v>
      </c>
      <c r="B68" s="2" t="s">
        <v>43</v>
      </c>
      <c r="C68" s="2" t="n">
        <v>100</v>
      </c>
      <c r="D68" s="2" t="n">
        <v>7</v>
      </c>
      <c r="E68" s="4"/>
      <c r="F68" s="5"/>
      <c r="G68" s="6" t="str">
        <f aca="false">IF(ISNUMBER(E68),E68-C68,"")</f>
        <v/>
      </c>
      <c r="H68" s="6" t="str">
        <f aca="false">IF(ISNUMBER(E68),ABS(G68),"")</f>
        <v/>
      </c>
      <c r="I68" s="5"/>
    </row>
    <row r="69" customFormat="false" ht="16.4" hidden="false" customHeight="false" outlineLevel="0" collapsed="false">
      <c r="A69" s="3" t="s">
        <v>106</v>
      </c>
      <c r="B69" s="3" t="s">
        <v>43</v>
      </c>
      <c r="C69" s="3" t="n">
        <v>100</v>
      </c>
      <c r="D69" s="3" t="n">
        <v>8</v>
      </c>
      <c r="E69" s="4"/>
      <c r="F69" s="5"/>
      <c r="G69" s="7" t="str">
        <f aca="false">IF(ISNUMBER(E69),E69-C69,"")</f>
        <v/>
      </c>
      <c r="H69" s="7" t="str">
        <f aca="false">IF(ISNUMBER(E69),ABS(G69),"")</f>
        <v/>
      </c>
      <c r="I69" s="5"/>
    </row>
    <row r="70" customFormat="false" ht="16.4" hidden="false" customHeight="false" outlineLevel="0" collapsed="false">
      <c r="A70" s="2" t="s">
        <v>106</v>
      </c>
      <c r="B70" s="2" t="s">
        <v>43</v>
      </c>
      <c r="C70" s="2" t="n">
        <v>100</v>
      </c>
      <c r="D70" s="2" t="n">
        <v>9</v>
      </c>
      <c r="E70" s="4"/>
      <c r="F70" s="5"/>
      <c r="G70" s="6" t="str">
        <f aca="false">IF(ISNUMBER(E70),E70-C70,"")</f>
        <v/>
      </c>
      <c r="H70" s="6" t="str">
        <f aca="false">IF(ISNUMBER(E70),ABS(G70),"")</f>
        <v/>
      </c>
      <c r="I70" s="5"/>
    </row>
    <row r="71" customFormat="false" ht="16.4" hidden="false" customHeight="false" outlineLevel="0" collapsed="false">
      <c r="A71" s="3" t="s">
        <v>106</v>
      </c>
      <c r="B71" s="3" t="s">
        <v>43</v>
      </c>
      <c r="C71" s="3" t="n">
        <v>100</v>
      </c>
      <c r="D71" s="3" t="n">
        <v>10</v>
      </c>
      <c r="E71" s="4"/>
      <c r="F71" s="5"/>
      <c r="G71" s="7" t="str">
        <f aca="false">IF(ISNUMBER(E71),E71-C71,"")</f>
        <v/>
      </c>
      <c r="H71" s="7" t="str">
        <f aca="false">IF(ISNUMBER(E71),ABS(G71),"")</f>
        <v/>
      </c>
      <c r="I71" s="5"/>
    </row>
    <row r="72" customFormat="false" ht="16.4" hidden="false" customHeight="false" outlineLevel="0" collapsed="false">
      <c r="A72" s="2" t="s">
        <v>106</v>
      </c>
      <c r="B72" s="2" t="s">
        <v>43</v>
      </c>
      <c r="C72" s="2" t="n">
        <v>100</v>
      </c>
      <c r="D72" s="2" t="n">
        <v>11</v>
      </c>
      <c r="E72" s="4"/>
      <c r="F72" s="5"/>
      <c r="G72" s="6" t="str">
        <f aca="false">IF(ISNUMBER(E72),E72-C72,"")</f>
        <v/>
      </c>
      <c r="H72" s="6" t="str">
        <f aca="false">IF(ISNUMBER(E72),ABS(G72),"")</f>
        <v/>
      </c>
      <c r="I72" s="5"/>
    </row>
    <row r="73" customFormat="false" ht="16.4" hidden="false" customHeight="false" outlineLevel="0" collapsed="false">
      <c r="A73" s="3" t="s">
        <v>106</v>
      </c>
      <c r="B73" s="3" t="s">
        <v>43</v>
      </c>
      <c r="C73" s="3" t="n">
        <v>100</v>
      </c>
      <c r="D73" s="3" t="n">
        <v>12</v>
      </c>
      <c r="E73" s="4"/>
      <c r="F73" s="5"/>
      <c r="G73" s="7" t="str">
        <f aca="false">IF(ISNUMBER(E73),E73-C73,"")</f>
        <v/>
      </c>
      <c r="H73" s="7" t="str">
        <f aca="false">IF(ISNUMBER(E73),ABS(G73),"")</f>
        <v/>
      </c>
      <c r="I73" s="5"/>
    </row>
    <row r="74" customFormat="false" ht="16.4" hidden="false" customHeight="false" outlineLevel="0" collapsed="false">
      <c r="A74" s="2" t="s">
        <v>106</v>
      </c>
      <c r="B74" s="2" t="s">
        <v>43</v>
      </c>
      <c r="C74" s="2" t="n">
        <v>100</v>
      </c>
      <c r="D74" s="2" t="n">
        <v>13</v>
      </c>
      <c r="E74" s="4"/>
      <c r="F74" s="5"/>
      <c r="G74" s="6" t="str">
        <f aca="false">IF(ISNUMBER(E74),E74-C74,"")</f>
        <v/>
      </c>
      <c r="H74" s="6" t="str">
        <f aca="false">IF(ISNUMBER(E74),ABS(G74),"")</f>
        <v/>
      </c>
      <c r="I74" s="5"/>
    </row>
    <row r="75" customFormat="false" ht="16.4" hidden="false" customHeight="false" outlineLevel="0" collapsed="false">
      <c r="A75" s="3" t="s">
        <v>106</v>
      </c>
      <c r="B75" s="3" t="s">
        <v>43</v>
      </c>
      <c r="C75" s="3" t="n">
        <v>100</v>
      </c>
      <c r="D75" s="3" t="n">
        <v>14</v>
      </c>
      <c r="E75" s="4"/>
      <c r="F75" s="5"/>
      <c r="G75" s="7" t="str">
        <f aca="false">IF(ISNUMBER(E75),E75-C75,"")</f>
        <v/>
      </c>
      <c r="H75" s="7" t="str">
        <f aca="false">IF(ISNUMBER(E75),ABS(G75),"")</f>
        <v/>
      </c>
      <c r="I75" s="5"/>
    </row>
    <row r="76" customFormat="false" ht="16.4" hidden="false" customHeight="false" outlineLevel="0" collapsed="false">
      <c r="A76" s="2" t="s">
        <v>106</v>
      </c>
      <c r="B76" s="2" t="s">
        <v>43</v>
      </c>
      <c r="C76" s="2" t="n">
        <v>100</v>
      </c>
      <c r="D76" s="2" t="n">
        <v>15</v>
      </c>
      <c r="E76" s="4"/>
      <c r="F76" s="5"/>
      <c r="G76" s="6" t="str">
        <f aca="false">IF(ISNUMBER(E76),E76-C76,"")</f>
        <v/>
      </c>
      <c r="H76" s="6" t="str">
        <f aca="false">IF(ISNUMBER(E76),ABS(G76),"")</f>
        <v/>
      </c>
      <c r="I76" s="5"/>
    </row>
    <row r="77" customFormat="false" ht="16.4" hidden="false" customHeight="false" outlineLevel="0" collapsed="false">
      <c r="A77" s="3" t="s">
        <v>106</v>
      </c>
      <c r="B77" s="3" t="s">
        <v>43</v>
      </c>
      <c r="C77" s="3" t="n">
        <v>100</v>
      </c>
      <c r="D77" s="3" t="n">
        <v>16</v>
      </c>
      <c r="E77" s="4"/>
      <c r="F77" s="5"/>
      <c r="G77" s="7" t="str">
        <f aca="false">IF(ISNUMBER(E77),E77-C77,"")</f>
        <v/>
      </c>
      <c r="H77" s="7" t="str">
        <f aca="false">IF(ISNUMBER(E77),ABS(G77),"")</f>
        <v/>
      </c>
      <c r="I77" s="5"/>
    </row>
    <row r="78" customFormat="false" ht="16.4" hidden="false" customHeight="false" outlineLevel="0" collapsed="false">
      <c r="A78" s="2" t="s">
        <v>106</v>
      </c>
      <c r="B78" s="2" t="s">
        <v>43</v>
      </c>
      <c r="C78" s="2" t="n">
        <v>100</v>
      </c>
      <c r="D78" s="2" t="n">
        <v>17</v>
      </c>
      <c r="E78" s="4"/>
      <c r="F78" s="5"/>
      <c r="G78" s="6" t="str">
        <f aca="false">IF(ISNUMBER(E78),E78-C78,"")</f>
        <v/>
      </c>
      <c r="H78" s="6" t="str">
        <f aca="false">IF(ISNUMBER(E78),ABS(G78),"")</f>
        <v/>
      </c>
      <c r="I78" s="5"/>
    </row>
    <row r="79" customFormat="false" ht="16.4" hidden="false" customHeight="false" outlineLevel="0" collapsed="false">
      <c r="A79" s="3" t="s">
        <v>106</v>
      </c>
      <c r="B79" s="3" t="s">
        <v>43</v>
      </c>
      <c r="C79" s="3" t="n">
        <v>100</v>
      </c>
      <c r="D79" s="3" t="n">
        <v>18</v>
      </c>
      <c r="E79" s="4"/>
      <c r="F79" s="5"/>
      <c r="G79" s="7" t="str">
        <f aca="false">IF(ISNUMBER(E79),E79-C79,"")</f>
        <v/>
      </c>
      <c r="H79" s="7" t="str">
        <f aca="false">IF(ISNUMBER(E79),ABS(G79),"")</f>
        <v/>
      </c>
      <c r="I79" s="5"/>
    </row>
    <row r="80" customFormat="false" ht="16.4" hidden="false" customHeight="false" outlineLevel="0" collapsed="false">
      <c r="A80" s="2" t="s">
        <v>106</v>
      </c>
      <c r="B80" s="2" t="s">
        <v>43</v>
      </c>
      <c r="C80" s="2" t="n">
        <v>100</v>
      </c>
      <c r="D80" s="2" t="n">
        <v>19</v>
      </c>
      <c r="E80" s="4"/>
      <c r="F80" s="5"/>
      <c r="G80" s="6" t="str">
        <f aca="false">IF(ISNUMBER(E80),E80-C80,"")</f>
        <v/>
      </c>
      <c r="H80" s="6" t="str">
        <f aca="false">IF(ISNUMBER(E80),ABS(G80),"")</f>
        <v/>
      </c>
      <c r="I80" s="5"/>
    </row>
    <row r="81" customFormat="false" ht="16.4" hidden="false" customHeight="false" outlineLevel="0" collapsed="false">
      <c r="A81" s="3" t="s">
        <v>106</v>
      </c>
      <c r="B81" s="3" t="s">
        <v>43</v>
      </c>
      <c r="C81" s="3" t="n">
        <v>100</v>
      </c>
      <c r="D81" s="3" t="n">
        <v>20</v>
      </c>
      <c r="E81" s="4"/>
      <c r="F81" s="5"/>
      <c r="G81" s="7" t="str">
        <f aca="false">IF(ISNUMBER(E81),E81-C81,"")</f>
        <v/>
      </c>
      <c r="H81" s="7" t="str">
        <f aca="false">IF(ISNUMBER(E81),ABS(G81),"")</f>
        <v/>
      </c>
      <c r="I81" s="5"/>
    </row>
    <row r="82" customFormat="false" ht="16.4" hidden="false" customHeight="false" outlineLevel="0" collapsed="false">
      <c r="A82" s="2" t="s">
        <v>106</v>
      </c>
      <c r="B82" s="2" t="s">
        <v>43</v>
      </c>
      <c r="C82" s="2" t="n">
        <v>100</v>
      </c>
      <c r="D82" s="2" t="n">
        <v>21</v>
      </c>
      <c r="E82" s="4"/>
      <c r="F82" s="5"/>
      <c r="G82" s="6" t="str">
        <f aca="false">IF(ISNUMBER(E82),E82-C82,"")</f>
        <v/>
      </c>
      <c r="H82" s="6" t="str">
        <f aca="false">IF(ISNUMBER(E82),ABS(G82),"")</f>
        <v/>
      </c>
      <c r="I82" s="5"/>
    </row>
    <row r="83" customFormat="false" ht="16.4" hidden="false" customHeight="false" outlineLevel="0" collapsed="false">
      <c r="A83" s="3" t="s">
        <v>106</v>
      </c>
      <c r="B83" s="3" t="s">
        <v>43</v>
      </c>
      <c r="C83" s="3" t="n">
        <v>100</v>
      </c>
      <c r="D83" s="3" t="n">
        <v>22</v>
      </c>
      <c r="E83" s="4"/>
      <c r="F83" s="5"/>
      <c r="G83" s="7" t="str">
        <f aca="false">IF(ISNUMBER(E83),E83-C83,"")</f>
        <v/>
      </c>
      <c r="H83" s="7" t="str">
        <f aca="false">IF(ISNUMBER(E83),ABS(G83),"")</f>
        <v/>
      </c>
      <c r="I83" s="5"/>
    </row>
    <row r="84" customFormat="false" ht="16.4" hidden="false" customHeight="false" outlineLevel="0" collapsed="false">
      <c r="A84" s="2" t="s">
        <v>106</v>
      </c>
      <c r="B84" s="2" t="s">
        <v>43</v>
      </c>
      <c r="C84" s="2" t="n">
        <v>100</v>
      </c>
      <c r="D84" s="2" t="n">
        <v>23</v>
      </c>
      <c r="E84" s="4"/>
      <c r="F84" s="5"/>
      <c r="G84" s="6" t="str">
        <f aca="false">IF(ISNUMBER(E84),E84-C84,"")</f>
        <v/>
      </c>
      <c r="H84" s="6" t="str">
        <f aca="false">IF(ISNUMBER(E84),ABS(G84),"")</f>
        <v/>
      </c>
      <c r="I84" s="5"/>
    </row>
    <row r="85" customFormat="false" ht="16.4" hidden="false" customHeight="false" outlineLevel="0" collapsed="false">
      <c r="A85" s="3" t="s">
        <v>106</v>
      </c>
      <c r="B85" s="3" t="s">
        <v>43</v>
      </c>
      <c r="C85" s="3" t="n">
        <v>100</v>
      </c>
      <c r="D85" s="3" t="n">
        <v>24</v>
      </c>
      <c r="E85" s="4"/>
      <c r="F85" s="5"/>
      <c r="G85" s="7" t="str">
        <f aca="false">IF(ISNUMBER(E85),E85-C85,"")</f>
        <v/>
      </c>
      <c r="H85" s="7" t="str">
        <f aca="false">IF(ISNUMBER(E85),ABS(G85),"")</f>
        <v/>
      </c>
      <c r="I85" s="5"/>
    </row>
    <row r="86" customFormat="false" ht="16.4" hidden="false" customHeight="false" outlineLevel="0" collapsed="false">
      <c r="A86" s="2" t="s">
        <v>106</v>
      </c>
      <c r="B86" s="2" t="s">
        <v>43</v>
      </c>
      <c r="C86" s="2" t="n">
        <v>100</v>
      </c>
      <c r="D86" s="2" t="n">
        <v>25</v>
      </c>
      <c r="E86" s="4"/>
      <c r="F86" s="5"/>
      <c r="G86" s="6" t="str">
        <f aca="false">IF(ISNUMBER(E86),E86-C86,"")</f>
        <v/>
      </c>
      <c r="H86" s="6" t="str">
        <f aca="false">IF(ISNUMBER(E86),ABS(G86),"")</f>
        <v/>
      </c>
      <c r="I86" s="5"/>
    </row>
    <row r="87" customFormat="false" ht="16.4" hidden="false" customHeight="false" outlineLevel="0" collapsed="false">
      <c r="A87" s="3" t="s">
        <v>106</v>
      </c>
      <c r="B87" s="3" t="s">
        <v>43</v>
      </c>
      <c r="C87" s="3" t="n">
        <v>100</v>
      </c>
      <c r="D87" s="3" t="n">
        <v>26</v>
      </c>
      <c r="E87" s="4"/>
      <c r="F87" s="5"/>
      <c r="G87" s="7" t="str">
        <f aca="false">IF(ISNUMBER(E87),E87-C87,"")</f>
        <v/>
      </c>
      <c r="H87" s="7" t="str">
        <f aca="false">IF(ISNUMBER(E87),ABS(G87),"")</f>
        <v/>
      </c>
      <c r="I87" s="5"/>
    </row>
    <row r="88" customFormat="false" ht="16.4" hidden="false" customHeight="false" outlineLevel="0" collapsed="false">
      <c r="A88" s="2" t="s">
        <v>106</v>
      </c>
      <c r="B88" s="2" t="s">
        <v>43</v>
      </c>
      <c r="C88" s="2" t="n">
        <v>100</v>
      </c>
      <c r="D88" s="2" t="n">
        <v>27</v>
      </c>
      <c r="E88" s="4"/>
      <c r="F88" s="5"/>
      <c r="G88" s="6" t="str">
        <f aca="false">IF(ISNUMBER(E88),E88-C88,"")</f>
        <v/>
      </c>
      <c r="H88" s="6" t="str">
        <f aca="false">IF(ISNUMBER(E88),ABS(G88),"")</f>
        <v/>
      </c>
      <c r="I88" s="5"/>
    </row>
    <row r="89" customFormat="false" ht="16.4" hidden="false" customHeight="false" outlineLevel="0" collapsed="false">
      <c r="A89" s="3" t="s">
        <v>106</v>
      </c>
      <c r="B89" s="3" t="s">
        <v>43</v>
      </c>
      <c r="C89" s="3" t="n">
        <v>100</v>
      </c>
      <c r="D89" s="3" t="n">
        <v>28</v>
      </c>
      <c r="E89" s="4"/>
      <c r="F89" s="5"/>
      <c r="G89" s="7" t="str">
        <f aca="false">IF(ISNUMBER(E89),E89-C89,"")</f>
        <v/>
      </c>
      <c r="H89" s="7" t="str">
        <f aca="false">IF(ISNUMBER(E89),ABS(G89),"")</f>
        <v/>
      </c>
      <c r="I89" s="5"/>
    </row>
    <row r="90" customFormat="false" ht="16.4" hidden="false" customHeight="false" outlineLevel="0" collapsed="false">
      <c r="A90" s="2" t="s">
        <v>106</v>
      </c>
      <c r="B90" s="2" t="s">
        <v>43</v>
      </c>
      <c r="C90" s="2" t="n">
        <v>100</v>
      </c>
      <c r="D90" s="2" t="n">
        <v>29</v>
      </c>
      <c r="E90" s="4"/>
      <c r="F90" s="5"/>
      <c r="G90" s="6" t="str">
        <f aca="false">IF(ISNUMBER(E90),E90-C90,"")</f>
        <v/>
      </c>
      <c r="H90" s="6" t="str">
        <f aca="false">IF(ISNUMBER(E90),ABS(G90),"")</f>
        <v/>
      </c>
      <c r="I90" s="5"/>
    </row>
    <row r="91" customFormat="false" ht="16.4" hidden="false" customHeight="false" outlineLevel="0" collapsed="false">
      <c r="A91" s="3" t="s">
        <v>106</v>
      </c>
      <c r="B91" s="3" t="s">
        <v>43</v>
      </c>
      <c r="C91" s="3" t="n">
        <v>100</v>
      </c>
      <c r="D91" s="3" t="n">
        <v>30</v>
      </c>
      <c r="E91" s="4"/>
      <c r="F91" s="5"/>
      <c r="G91" s="7" t="str">
        <f aca="false">IF(ISNUMBER(E91),E91-C91,"")</f>
        <v/>
      </c>
      <c r="H91" s="7" t="str">
        <f aca="false">IF(ISNUMBER(E91),ABS(G91),"")</f>
        <v/>
      </c>
      <c r="I91" s="5"/>
    </row>
    <row r="92" customFormat="false" ht="16.4" hidden="false" customHeight="false" outlineLevel="0" collapsed="false">
      <c r="A92" s="2" t="s">
        <v>107</v>
      </c>
      <c r="B92" s="2" t="s">
        <v>43</v>
      </c>
      <c r="C92" s="2" t="n">
        <v>150</v>
      </c>
      <c r="D92" s="2" t="n">
        <v>1</v>
      </c>
      <c r="E92" s="4"/>
      <c r="F92" s="5"/>
      <c r="G92" s="6" t="str">
        <f aca="false">IF(ISNUMBER(E92),E92-C92,"")</f>
        <v/>
      </c>
      <c r="H92" s="6" t="str">
        <f aca="false">IF(ISNUMBER(E92),ABS(G92),"")</f>
        <v/>
      </c>
      <c r="I92" s="5"/>
    </row>
    <row r="93" customFormat="false" ht="16.4" hidden="false" customHeight="false" outlineLevel="0" collapsed="false">
      <c r="A93" s="3" t="s">
        <v>107</v>
      </c>
      <c r="B93" s="3" t="s">
        <v>43</v>
      </c>
      <c r="C93" s="3" t="n">
        <v>150</v>
      </c>
      <c r="D93" s="3" t="n">
        <v>2</v>
      </c>
      <c r="E93" s="4"/>
      <c r="F93" s="5"/>
      <c r="G93" s="7" t="str">
        <f aca="false">IF(ISNUMBER(E93),E93-C93,"")</f>
        <v/>
      </c>
      <c r="H93" s="7" t="str">
        <f aca="false">IF(ISNUMBER(E93),ABS(G93),"")</f>
        <v/>
      </c>
      <c r="I93" s="5"/>
    </row>
    <row r="94" customFormat="false" ht="16.4" hidden="false" customHeight="false" outlineLevel="0" collapsed="false">
      <c r="A94" s="2" t="s">
        <v>107</v>
      </c>
      <c r="B94" s="2" t="s">
        <v>43</v>
      </c>
      <c r="C94" s="2" t="n">
        <v>150</v>
      </c>
      <c r="D94" s="2" t="n">
        <v>3</v>
      </c>
      <c r="E94" s="4"/>
      <c r="F94" s="5"/>
      <c r="G94" s="6" t="str">
        <f aca="false">IF(ISNUMBER(E94),E94-C94,"")</f>
        <v/>
      </c>
      <c r="H94" s="6" t="str">
        <f aca="false">IF(ISNUMBER(E94),ABS(G94),"")</f>
        <v/>
      </c>
      <c r="I94" s="5"/>
    </row>
    <row r="95" customFormat="false" ht="16.4" hidden="false" customHeight="false" outlineLevel="0" collapsed="false">
      <c r="A95" s="3" t="s">
        <v>107</v>
      </c>
      <c r="B95" s="3" t="s">
        <v>43</v>
      </c>
      <c r="C95" s="3" t="n">
        <v>150</v>
      </c>
      <c r="D95" s="3" t="n">
        <v>4</v>
      </c>
      <c r="E95" s="4"/>
      <c r="F95" s="5"/>
      <c r="G95" s="7" t="str">
        <f aca="false">IF(ISNUMBER(E95),E95-C95,"")</f>
        <v/>
      </c>
      <c r="H95" s="7" t="str">
        <f aca="false">IF(ISNUMBER(E95),ABS(G95),"")</f>
        <v/>
      </c>
      <c r="I95" s="5"/>
    </row>
    <row r="96" customFormat="false" ht="16.4" hidden="false" customHeight="false" outlineLevel="0" collapsed="false">
      <c r="A96" s="2" t="s">
        <v>107</v>
      </c>
      <c r="B96" s="2" t="s">
        <v>43</v>
      </c>
      <c r="C96" s="2" t="n">
        <v>150</v>
      </c>
      <c r="D96" s="2" t="n">
        <v>5</v>
      </c>
      <c r="E96" s="4"/>
      <c r="F96" s="5"/>
      <c r="G96" s="6" t="str">
        <f aca="false">IF(ISNUMBER(E96),E96-C96,"")</f>
        <v/>
      </c>
      <c r="H96" s="6" t="str">
        <f aca="false">IF(ISNUMBER(E96),ABS(G96),"")</f>
        <v/>
      </c>
      <c r="I96" s="5"/>
    </row>
    <row r="97" customFormat="false" ht="16.4" hidden="false" customHeight="false" outlineLevel="0" collapsed="false">
      <c r="A97" s="3" t="s">
        <v>107</v>
      </c>
      <c r="B97" s="3" t="s">
        <v>43</v>
      </c>
      <c r="C97" s="3" t="n">
        <v>150</v>
      </c>
      <c r="D97" s="3" t="n">
        <v>6</v>
      </c>
      <c r="E97" s="4"/>
      <c r="F97" s="5"/>
      <c r="G97" s="7" t="str">
        <f aca="false">IF(ISNUMBER(E97),E97-C97,"")</f>
        <v/>
      </c>
      <c r="H97" s="7" t="str">
        <f aca="false">IF(ISNUMBER(E97),ABS(G97),"")</f>
        <v/>
      </c>
      <c r="I97" s="5"/>
    </row>
    <row r="98" customFormat="false" ht="16.4" hidden="false" customHeight="false" outlineLevel="0" collapsed="false">
      <c r="A98" s="2" t="s">
        <v>107</v>
      </c>
      <c r="B98" s="2" t="s">
        <v>43</v>
      </c>
      <c r="C98" s="2" t="n">
        <v>150</v>
      </c>
      <c r="D98" s="2" t="n">
        <v>7</v>
      </c>
      <c r="E98" s="4"/>
      <c r="F98" s="5"/>
      <c r="G98" s="6" t="str">
        <f aca="false">IF(ISNUMBER(E98),E98-C98,"")</f>
        <v/>
      </c>
      <c r="H98" s="6" t="str">
        <f aca="false">IF(ISNUMBER(E98),ABS(G98),"")</f>
        <v/>
      </c>
      <c r="I98" s="5"/>
    </row>
    <row r="99" customFormat="false" ht="16.4" hidden="false" customHeight="false" outlineLevel="0" collapsed="false">
      <c r="A99" s="3" t="s">
        <v>107</v>
      </c>
      <c r="B99" s="3" t="s">
        <v>43</v>
      </c>
      <c r="C99" s="3" t="n">
        <v>150</v>
      </c>
      <c r="D99" s="3" t="n">
        <v>8</v>
      </c>
      <c r="E99" s="4"/>
      <c r="F99" s="5"/>
      <c r="G99" s="7" t="str">
        <f aca="false">IF(ISNUMBER(E99),E99-C99,"")</f>
        <v/>
      </c>
      <c r="H99" s="7" t="str">
        <f aca="false">IF(ISNUMBER(E99),ABS(G99),"")</f>
        <v/>
      </c>
      <c r="I99" s="5"/>
    </row>
    <row r="100" customFormat="false" ht="16.4" hidden="false" customHeight="false" outlineLevel="0" collapsed="false">
      <c r="A100" s="2" t="s">
        <v>107</v>
      </c>
      <c r="B100" s="2" t="s">
        <v>43</v>
      </c>
      <c r="C100" s="2" t="n">
        <v>150</v>
      </c>
      <c r="D100" s="2" t="n">
        <v>9</v>
      </c>
      <c r="E100" s="4"/>
      <c r="F100" s="5"/>
      <c r="G100" s="6" t="str">
        <f aca="false">IF(ISNUMBER(E100),E100-C100,"")</f>
        <v/>
      </c>
      <c r="H100" s="6" t="str">
        <f aca="false">IF(ISNUMBER(E100),ABS(G100),"")</f>
        <v/>
      </c>
      <c r="I100" s="5"/>
    </row>
    <row r="101" customFormat="false" ht="16.4" hidden="false" customHeight="false" outlineLevel="0" collapsed="false">
      <c r="A101" s="3" t="s">
        <v>107</v>
      </c>
      <c r="B101" s="3" t="s">
        <v>43</v>
      </c>
      <c r="C101" s="3" t="n">
        <v>150</v>
      </c>
      <c r="D101" s="3" t="n">
        <v>10</v>
      </c>
      <c r="E101" s="4"/>
      <c r="F101" s="5"/>
      <c r="G101" s="7" t="str">
        <f aca="false">IF(ISNUMBER(E101),E101-C101,"")</f>
        <v/>
      </c>
      <c r="H101" s="7" t="str">
        <f aca="false">IF(ISNUMBER(E101),ABS(G101),"")</f>
        <v/>
      </c>
      <c r="I101" s="5"/>
    </row>
    <row r="102" customFormat="false" ht="16.4" hidden="false" customHeight="false" outlineLevel="0" collapsed="false">
      <c r="A102" s="2" t="s">
        <v>107</v>
      </c>
      <c r="B102" s="2" t="s">
        <v>43</v>
      </c>
      <c r="C102" s="2" t="n">
        <v>150</v>
      </c>
      <c r="D102" s="2" t="n">
        <v>11</v>
      </c>
      <c r="E102" s="4"/>
      <c r="F102" s="5"/>
      <c r="G102" s="6" t="str">
        <f aca="false">IF(ISNUMBER(E102),E102-C102,"")</f>
        <v/>
      </c>
      <c r="H102" s="6" t="str">
        <f aca="false">IF(ISNUMBER(E102),ABS(G102),"")</f>
        <v/>
      </c>
      <c r="I102" s="5"/>
    </row>
    <row r="103" customFormat="false" ht="16.4" hidden="false" customHeight="false" outlineLevel="0" collapsed="false">
      <c r="A103" s="3" t="s">
        <v>107</v>
      </c>
      <c r="B103" s="3" t="s">
        <v>43</v>
      </c>
      <c r="C103" s="3" t="n">
        <v>150</v>
      </c>
      <c r="D103" s="3" t="n">
        <v>12</v>
      </c>
      <c r="E103" s="4"/>
      <c r="F103" s="5"/>
      <c r="G103" s="7" t="str">
        <f aca="false">IF(ISNUMBER(E103),E103-C103,"")</f>
        <v/>
      </c>
      <c r="H103" s="7" t="str">
        <f aca="false">IF(ISNUMBER(E103),ABS(G103),"")</f>
        <v/>
      </c>
      <c r="I103" s="5"/>
    </row>
    <row r="104" customFormat="false" ht="16.4" hidden="false" customHeight="false" outlineLevel="0" collapsed="false">
      <c r="A104" s="2" t="s">
        <v>107</v>
      </c>
      <c r="B104" s="2" t="s">
        <v>43</v>
      </c>
      <c r="C104" s="2" t="n">
        <v>150</v>
      </c>
      <c r="D104" s="2" t="n">
        <v>13</v>
      </c>
      <c r="E104" s="4"/>
      <c r="F104" s="5"/>
      <c r="G104" s="6" t="str">
        <f aca="false">IF(ISNUMBER(E104),E104-C104,"")</f>
        <v/>
      </c>
      <c r="H104" s="6" t="str">
        <f aca="false">IF(ISNUMBER(E104),ABS(G104),"")</f>
        <v/>
      </c>
      <c r="I104" s="5"/>
    </row>
    <row r="105" customFormat="false" ht="16.4" hidden="false" customHeight="false" outlineLevel="0" collapsed="false">
      <c r="A105" s="3" t="s">
        <v>107</v>
      </c>
      <c r="B105" s="3" t="s">
        <v>43</v>
      </c>
      <c r="C105" s="3" t="n">
        <v>150</v>
      </c>
      <c r="D105" s="3" t="n">
        <v>14</v>
      </c>
      <c r="E105" s="4"/>
      <c r="F105" s="5"/>
      <c r="G105" s="7" t="str">
        <f aca="false">IF(ISNUMBER(E105),E105-C105,"")</f>
        <v/>
      </c>
      <c r="H105" s="7" t="str">
        <f aca="false">IF(ISNUMBER(E105),ABS(G105),"")</f>
        <v/>
      </c>
      <c r="I105" s="5"/>
    </row>
    <row r="106" customFormat="false" ht="16.4" hidden="false" customHeight="false" outlineLevel="0" collapsed="false">
      <c r="A106" s="2" t="s">
        <v>107</v>
      </c>
      <c r="B106" s="2" t="s">
        <v>43</v>
      </c>
      <c r="C106" s="2" t="n">
        <v>150</v>
      </c>
      <c r="D106" s="2" t="n">
        <v>15</v>
      </c>
      <c r="E106" s="4"/>
      <c r="F106" s="5"/>
      <c r="G106" s="6" t="str">
        <f aca="false">IF(ISNUMBER(E106),E106-C106,"")</f>
        <v/>
      </c>
      <c r="H106" s="6" t="str">
        <f aca="false">IF(ISNUMBER(E106),ABS(G106),"")</f>
        <v/>
      </c>
      <c r="I106" s="5"/>
    </row>
    <row r="107" customFormat="false" ht="16.4" hidden="false" customHeight="false" outlineLevel="0" collapsed="false">
      <c r="A107" s="3" t="s">
        <v>107</v>
      </c>
      <c r="B107" s="3" t="s">
        <v>43</v>
      </c>
      <c r="C107" s="3" t="n">
        <v>150</v>
      </c>
      <c r="D107" s="3" t="n">
        <v>16</v>
      </c>
      <c r="E107" s="4"/>
      <c r="F107" s="5"/>
      <c r="G107" s="7" t="str">
        <f aca="false">IF(ISNUMBER(E107),E107-C107,"")</f>
        <v/>
      </c>
      <c r="H107" s="7" t="str">
        <f aca="false">IF(ISNUMBER(E107),ABS(G107),"")</f>
        <v/>
      </c>
      <c r="I107" s="5"/>
    </row>
    <row r="108" customFormat="false" ht="16.4" hidden="false" customHeight="false" outlineLevel="0" collapsed="false">
      <c r="A108" s="2" t="s">
        <v>107</v>
      </c>
      <c r="B108" s="2" t="s">
        <v>43</v>
      </c>
      <c r="C108" s="2" t="n">
        <v>150</v>
      </c>
      <c r="D108" s="2" t="n">
        <v>17</v>
      </c>
      <c r="E108" s="4"/>
      <c r="F108" s="5"/>
      <c r="G108" s="6" t="str">
        <f aca="false">IF(ISNUMBER(E108),E108-C108,"")</f>
        <v/>
      </c>
      <c r="H108" s="6" t="str">
        <f aca="false">IF(ISNUMBER(E108),ABS(G108),"")</f>
        <v/>
      </c>
      <c r="I108" s="5"/>
    </row>
    <row r="109" customFormat="false" ht="16.4" hidden="false" customHeight="false" outlineLevel="0" collapsed="false">
      <c r="A109" s="3" t="s">
        <v>107</v>
      </c>
      <c r="B109" s="3" t="s">
        <v>43</v>
      </c>
      <c r="C109" s="3" t="n">
        <v>150</v>
      </c>
      <c r="D109" s="3" t="n">
        <v>18</v>
      </c>
      <c r="E109" s="4"/>
      <c r="F109" s="5"/>
      <c r="G109" s="7" t="str">
        <f aca="false">IF(ISNUMBER(E109),E109-C109,"")</f>
        <v/>
      </c>
      <c r="H109" s="7" t="str">
        <f aca="false">IF(ISNUMBER(E109),ABS(G109),"")</f>
        <v/>
      </c>
      <c r="I109" s="5"/>
    </row>
    <row r="110" customFormat="false" ht="16.4" hidden="false" customHeight="false" outlineLevel="0" collapsed="false">
      <c r="A110" s="2" t="s">
        <v>107</v>
      </c>
      <c r="B110" s="2" t="s">
        <v>43</v>
      </c>
      <c r="C110" s="2" t="n">
        <v>150</v>
      </c>
      <c r="D110" s="2" t="n">
        <v>19</v>
      </c>
      <c r="E110" s="4"/>
      <c r="F110" s="5"/>
      <c r="G110" s="6" t="str">
        <f aca="false">IF(ISNUMBER(E110),E110-C110,"")</f>
        <v/>
      </c>
      <c r="H110" s="6" t="str">
        <f aca="false">IF(ISNUMBER(E110),ABS(G110),"")</f>
        <v/>
      </c>
      <c r="I110" s="5"/>
    </row>
    <row r="111" customFormat="false" ht="16.4" hidden="false" customHeight="false" outlineLevel="0" collapsed="false">
      <c r="A111" s="3" t="s">
        <v>107</v>
      </c>
      <c r="B111" s="3" t="s">
        <v>43</v>
      </c>
      <c r="C111" s="3" t="n">
        <v>150</v>
      </c>
      <c r="D111" s="3" t="n">
        <v>20</v>
      </c>
      <c r="E111" s="4"/>
      <c r="F111" s="5"/>
      <c r="G111" s="7" t="str">
        <f aca="false">IF(ISNUMBER(E111),E111-C111,"")</f>
        <v/>
      </c>
      <c r="H111" s="7" t="str">
        <f aca="false">IF(ISNUMBER(E111),ABS(G111),"")</f>
        <v/>
      </c>
      <c r="I111" s="5"/>
    </row>
    <row r="112" customFormat="false" ht="16.4" hidden="false" customHeight="false" outlineLevel="0" collapsed="false">
      <c r="A112" s="2" t="s">
        <v>107</v>
      </c>
      <c r="B112" s="2" t="s">
        <v>43</v>
      </c>
      <c r="C112" s="2" t="n">
        <v>150</v>
      </c>
      <c r="D112" s="2" t="n">
        <v>21</v>
      </c>
      <c r="E112" s="4"/>
      <c r="F112" s="5"/>
      <c r="G112" s="6" t="str">
        <f aca="false">IF(ISNUMBER(E112),E112-C112,"")</f>
        <v/>
      </c>
      <c r="H112" s="6" t="str">
        <f aca="false">IF(ISNUMBER(E112),ABS(G112),"")</f>
        <v/>
      </c>
      <c r="I112" s="5"/>
    </row>
    <row r="113" customFormat="false" ht="16.4" hidden="false" customHeight="false" outlineLevel="0" collapsed="false">
      <c r="A113" s="3" t="s">
        <v>107</v>
      </c>
      <c r="B113" s="3" t="s">
        <v>43</v>
      </c>
      <c r="C113" s="3" t="n">
        <v>150</v>
      </c>
      <c r="D113" s="3" t="n">
        <v>22</v>
      </c>
      <c r="E113" s="4"/>
      <c r="F113" s="5"/>
      <c r="G113" s="7" t="str">
        <f aca="false">IF(ISNUMBER(E113),E113-C113,"")</f>
        <v/>
      </c>
      <c r="H113" s="7" t="str">
        <f aca="false">IF(ISNUMBER(E113),ABS(G113),"")</f>
        <v/>
      </c>
      <c r="I113" s="5"/>
    </row>
    <row r="114" customFormat="false" ht="16.4" hidden="false" customHeight="false" outlineLevel="0" collapsed="false">
      <c r="A114" s="2" t="s">
        <v>107</v>
      </c>
      <c r="B114" s="2" t="s">
        <v>43</v>
      </c>
      <c r="C114" s="2" t="n">
        <v>150</v>
      </c>
      <c r="D114" s="2" t="n">
        <v>23</v>
      </c>
      <c r="E114" s="4"/>
      <c r="F114" s="5"/>
      <c r="G114" s="6" t="str">
        <f aca="false">IF(ISNUMBER(E114),E114-C114,"")</f>
        <v/>
      </c>
      <c r="H114" s="6" t="str">
        <f aca="false">IF(ISNUMBER(E114),ABS(G114),"")</f>
        <v/>
      </c>
      <c r="I114" s="5"/>
    </row>
    <row r="115" customFormat="false" ht="16.4" hidden="false" customHeight="false" outlineLevel="0" collapsed="false">
      <c r="A115" s="3" t="s">
        <v>107</v>
      </c>
      <c r="B115" s="3" t="s">
        <v>43</v>
      </c>
      <c r="C115" s="3" t="n">
        <v>150</v>
      </c>
      <c r="D115" s="3" t="n">
        <v>24</v>
      </c>
      <c r="E115" s="4"/>
      <c r="F115" s="5"/>
      <c r="G115" s="7" t="str">
        <f aca="false">IF(ISNUMBER(E115),E115-C115,"")</f>
        <v/>
      </c>
      <c r="H115" s="7" t="str">
        <f aca="false">IF(ISNUMBER(E115),ABS(G115),"")</f>
        <v/>
      </c>
      <c r="I115" s="5"/>
    </row>
    <row r="116" customFormat="false" ht="16.4" hidden="false" customHeight="false" outlineLevel="0" collapsed="false">
      <c r="A116" s="2" t="s">
        <v>107</v>
      </c>
      <c r="B116" s="2" t="s">
        <v>43</v>
      </c>
      <c r="C116" s="2" t="n">
        <v>150</v>
      </c>
      <c r="D116" s="2" t="n">
        <v>25</v>
      </c>
      <c r="E116" s="4"/>
      <c r="F116" s="5"/>
      <c r="G116" s="6" t="str">
        <f aca="false">IF(ISNUMBER(E116),E116-C116,"")</f>
        <v/>
      </c>
      <c r="H116" s="6" t="str">
        <f aca="false">IF(ISNUMBER(E116),ABS(G116),"")</f>
        <v/>
      </c>
      <c r="I116" s="5"/>
    </row>
    <row r="117" customFormat="false" ht="16.4" hidden="false" customHeight="false" outlineLevel="0" collapsed="false">
      <c r="A117" s="3" t="s">
        <v>107</v>
      </c>
      <c r="B117" s="3" t="s">
        <v>43</v>
      </c>
      <c r="C117" s="3" t="n">
        <v>150</v>
      </c>
      <c r="D117" s="3" t="n">
        <v>26</v>
      </c>
      <c r="E117" s="4"/>
      <c r="F117" s="5"/>
      <c r="G117" s="7" t="str">
        <f aca="false">IF(ISNUMBER(E117),E117-C117,"")</f>
        <v/>
      </c>
      <c r="H117" s="7" t="str">
        <f aca="false">IF(ISNUMBER(E117),ABS(G117),"")</f>
        <v/>
      </c>
      <c r="I117" s="5"/>
    </row>
    <row r="118" customFormat="false" ht="16.4" hidden="false" customHeight="false" outlineLevel="0" collapsed="false">
      <c r="A118" s="2" t="s">
        <v>107</v>
      </c>
      <c r="B118" s="2" t="s">
        <v>43</v>
      </c>
      <c r="C118" s="2" t="n">
        <v>150</v>
      </c>
      <c r="D118" s="2" t="n">
        <v>27</v>
      </c>
      <c r="E118" s="4"/>
      <c r="F118" s="5"/>
      <c r="G118" s="6" t="str">
        <f aca="false">IF(ISNUMBER(E118),E118-C118,"")</f>
        <v/>
      </c>
      <c r="H118" s="6" t="str">
        <f aca="false">IF(ISNUMBER(E118),ABS(G118),"")</f>
        <v/>
      </c>
      <c r="I118" s="5"/>
    </row>
    <row r="119" customFormat="false" ht="16.4" hidden="false" customHeight="false" outlineLevel="0" collapsed="false">
      <c r="A119" s="3" t="s">
        <v>107</v>
      </c>
      <c r="B119" s="3" t="s">
        <v>43</v>
      </c>
      <c r="C119" s="3" t="n">
        <v>150</v>
      </c>
      <c r="D119" s="3" t="n">
        <v>28</v>
      </c>
      <c r="E119" s="4"/>
      <c r="F119" s="5"/>
      <c r="G119" s="7" t="str">
        <f aca="false">IF(ISNUMBER(E119),E119-C119,"")</f>
        <v/>
      </c>
      <c r="H119" s="7" t="str">
        <f aca="false">IF(ISNUMBER(E119),ABS(G119),"")</f>
        <v/>
      </c>
      <c r="I119" s="5"/>
    </row>
    <row r="120" customFormat="false" ht="16.4" hidden="false" customHeight="false" outlineLevel="0" collapsed="false">
      <c r="A120" s="2" t="s">
        <v>107</v>
      </c>
      <c r="B120" s="2" t="s">
        <v>43</v>
      </c>
      <c r="C120" s="2" t="n">
        <v>150</v>
      </c>
      <c r="D120" s="2" t="n">
        <v>29</v>
      </c>
      <c r="E120" s="4"/>
      <c r="F120" s="5"/>
      <c r="G120" s="6" t="str">
        <f aca="false">IF(ISNUMBER(E120),E120-C120,"")</f>
        <v/>
      </c>
      <c r="H120" s="6" t="str">
        <f aca="false">IF(ISNUMBER(E120),ABS(G120),"")</f>
        <v/>
      </c>
      <c r="I120" s="5"/>
    </row>
    <row r="121" customFormat="false" ht="16.4" hidden="false" customHeight="false" outlineLevel="0" collapsed="false">
      <c r="A121" s="3" t="s">
        <v>107</v>
      </c>
      <c r="B121" s="3" t="s">
        <v>43</v>
      </c>
      <c r="C121" s="3" t="n">
        <v>150</v>
      </c>
      <c r="D121" s="3" t="n">
        <v>30</v>
      </c>
      <c r="E121" s="4"/>
      <c r="F121" s="5"/>
      <c r="G121" s="7" t="str">
        <f aca="false">IF(ISNUMBER(E121),E121-C121,"")</f>
        <v/>
      </c>
      <c r="H121" s="7" t="str">
        <f aca="false">IF(ISNUMBER(E121),ABS(G121),"")</f>
        <v/>
      </c>
      <c r="I121" s="5"/>
    </row>
    <row r="122" customFormat="false" ht="16.4" hidden="false" customHeight="false" outlineLevel="0" collapsed="false">
      <c r="A122" s="2" t="s">
        <v>108</v>
      </c>
      <c r="B122" s="2" t="s">
        <v>43</v>
      </c>
      <c r="C122" s="2" t="n">
        <v>200</v>
      </c>
      <c r="D122" s="2" t="n">
        <v>1</v>
      </c>
      <c r="E122" s="4"/>
      <c r="F122" s="5"/>
      <c r="G122" s="6" t="str">
        <f aca="false">IF(ISNUMBER(E122),E122-C122,"")</f>
        <v/>
      </c>
      <c r="H122" s="6" t="str">
        <f aca="false">IF(ISNUMBER(E122),ABS(G122),"")</f>
        <v/>
      </c>
      <c r="I122" s="5"/>
    </row>
    <row r="123" customFormat="false" ht="16.4" hidden="false" customHeight="false" outlineLevel="0" collapsed="false">
      <c r="A123" s="3" t="s">
        <v>108</v>
      </c>
      <c r="B123" s="3" t="s">
        <v>43</v>
      </c>
      <c r="C123" s="3" t="n">
        <v>200</v>
      </c>
      <c r="D123" s="3" t="n">
        <v>2</v>
      </c>
      <c r="E123" s="4"/>
      <c r="F123" s="5"/>
      <c r="G123" s="7" t="str">
        <f aca="false">IF(ISNUMBER(E123),E123-C123,"")</f>
        <v/>
      </c>
      <c r="H123" s="7" t="str">
        <f aca="false">IF(ISNUMBER(E123),ABS(G123),"")</f>
        <v/>
      </c>
      <c r="I123" s="5"/>
    </row>
    <row r="124" customFormat="false" ht="16.4" hidden="false" customHeight="false" outlineLevel="0" collapsed="false">
      <c r="A124" s="2" t="s">
        <v>108</v>
      </c>
      <c r="B124" s="2" t="s">
        <v>43</v>
      </c>
      <c r="C124" s="2" t="n">
        <v>200</v>
      </c>
      <c r="D124" s="2" t="n">
        <v>3</v>
      </c>
      <c r="E124" s="4"/>
      <c r="F124" s="5"/>
      <c r="G124" s="6" t="str">
        <f aca="false">IF(ISNUMBER(E124),E124-C124,"")</f>
        <v/>
      </c>
      <c r="H124" s="6" t="str">
        <f aca="false">IF(ISNUMBER(E124),ABS(G124),"")</f>
        <v/>
      </c>
      <c r="I124" s="5"/>
    </row>
    <row r="125" customFormat="false" ht="16.4" hidden="false" customHeight="false" outlineLevel="0" collapsed="false">
      <c r="A125" s="3" t="s">
        <v>108</v>
      </c>
      <c r="B125" s="3" t="s">
        <v>43</v>
      </c>
      <c r="C125" s="3" t="n">
        <v>200</v>
      </c>
      <c r="D125" s="3" t="n">
        <v>4</v>
      </c>
      <c r="E125" s="4"/>
      <c r="F125" s="5"/>
      <c r="G125" s="7" t="str">
        <f aca="false">IF(ISNUMBER(E125),E125-C125,"")</f>
        <v/>
      </c>
      <c r="H125" s="7" t="str">
        <f aca="false">IF(ISNUMBER(E125),ABS(G125),"")</f>
        <v/>
      </c>
      <c r="I125" s="5"/>
    </row>
    <row r="126" customFormat="false" ht="16.4" hidden="false" customHeight="false" outlineLevel="0" collapsed="false">
      <c r="A126" s="2" t="s">
        <v>108</v>
      </c>
      <c r="B126" s="2" t="s">
        <v>43</v>
      </c>
      <c r="C126" s="2" t="n">
        <v>200</v>
      </c>
      <c r="D126" s="2" t="n">
        <v>5</v>
      </c>
      <c r="E126" s="4"/>
      <c r="F126" s="5"/>
      <c r="G126" s="6" t="str">
        <f aca="false">IF(ISNUMBER(E126),E126-C126,"")</f>
        <v/>
      </c>
      <c r="H126" s="6" t="str">
        <f aca="false">IF(ISNUMBER(E126),ABS(G126),"")</f>
        <v/>
      </c>
      <c r="I126" s="5"/>
    </row>
    <row r="127" customFormat="false" ht="16.4" hidden="false" customHeight="false" outlineLevel="0" collapsed="false">
      <c r="A127" s="3" t="s">
        <v>108</v>
      </c>
      <c r="B127" s="3" t="s">
        <v>43</v>
      </c>
      <c r="C127" s="3" t="n">
        <v>200</v>
      </c>
      <c r="D127" s="3" t="n">
        <v>6</v>
      </c>
      <c r="E127" s="4"/>
      <c r="F127" s="5"/>
      <c r="G127" s="7" t="str">
        <f aca="false">IF(ISNUMBER(E127),E127-C127,"")</f>
        <v/>
      </c>
      <c r="H127" s="7" t="str">
        <f aca="false">IF(ISNUMBER(E127),ABS(G127),"")</f>
        <v/>
      </c>
      <c r="I127" s="5"/>
    </row>
    <row r="128" customFormat="false" ht="16.4" hidden="false" customHeight="false" outlineLevel="0" collapsed="false">
      <c r="A128" s="2" t="s">
        <v>108</v>
      </c>
      <c r="B128" s="2" t="s">
        <v>43</v>
      </c>
      <c r="C128" s="2" t="n">
        <v>200</v>
      </c>
      <c r="D128" s="2" t="n">
        <v>7</v>
      </c>
      <c r="E128" s="4"/>
      <c r="F128" s="5"/>
      <c r="G128" s="6" t="str">
        <f aca="false">IF(ISNUMBER(E128),E128-C128,"")</f>
        <v/>
      </c>
      <c r="H128" s="6" t="str">
        <f aca="false">IF(ISNUMBER(E128),ABS(G128),"")</f>
        <v/>
      </c>
      <c r="I128" s="5"/>
    </row>
    <row r="129" customFormat="false" ht="16.4" hidden="false" customHeight="false" outlineLevel="0" collapsed="false">
      <c r="A129" s="3" t="s">
        <v>108</v>
      </c>
      <c r="B129" s="3" t="s">
        <v>43</v>
      </c>
      <c r="C129" s="3" t="n">
        <v>200</v>
      </c>
      <c r="D129" s="3" t="n">
        <v>8</v>
      </c>
      <c r="E129" s="4"/>
      <c r="F129" s="5"/>
      <c r="G129" s="7" t="str">
        <f aca="false">IF(ISNUMBER(E129),E129-C129,"")</f>
        <v/>
      </c>
      <c r="H129" s="7" t="str">
        <f aca="false">IF(ISNUMBER(E129),ABS(G129),"")</f>
        <v/>
      </c>
      <c r="I129" s="5"/>
    </row>
    <row r="130" customFormat="false" ht="16.4" hidden="false" customHeight="false" outlineLevel="0" collapsed="false">
      <c r="A130" s="2" t="s">
        <v>108</v>
      </c>
      <c r="B130" s="2" t="s">
        <v>43</v>
      </c>
      <c r="C130" s="2" t="n">
        <v>200</v>
      </c>
      <c r="D130" s="2" t="n">
        <v>9</v>
      </c>
      <c r="E130" s="4"/>
      <c r="F130" s="5"/>
      <c r="G130" s="6" t="str">
        <f aca="false">IF(ISNUMBER(E130),E130-C130,"")</f>
        <v/>
      </c>
      <c r="H130" s="6" t="str">
        <f aca="false">IF(ISNUMBER(E130),ABS(G130),"")</f>
        <v/>
      </c>
      <c r="I130" s="5"/>
    </row>
    <row r="131" customFormat="false" ht="16.4" hidden="false" customHeight="false" outlineLevel="0" collapsed="false">
      <c r="A131" s="3" t="s">
        <v>108</v>
      </c>
      <c r="B131" s="3" t="s">
        <v>43</v>
      </c>
      <c r="C131" s="3" t="n">
        <v>200</v>
      </c>
      <c r="D131" s="3" t="n">
        <v>10</v>
      </c>
      <c r="E131" s="4"/>
      <c r="F131" s="5"/>
      <c r="G131" s="7" t="str">
        <f aca="false">IF(ISNUMBER(E131),E131-C131,"")</f>
        <v/>
      </c>
      <c r="H131" s="7" t="str">
        <f aca="false">IF(ISNUMBER(E131),ABS(G131),"")</f>
        <v/>
      </c>
      <c r="I131" s="5"/>
    </row>
    <row r="132" customFormat="false" ht="16.4" hidden="false" customHeight="false" outlineLevel="0" collapsed="false">
      <c r="A132" s="2" t="s">
        <v>108</v>
      </c>
      <c r="B132" s="2" t="s">
        <v>43</v>
      </c>
      <c r="C132" s="2" t="n">
        <v>200</v>
      </c>
      <c r="D132" s="2" t="n">
        <v>11</v>
      </c>
      <c r="E132" s="4"/>
      <c r="F132" s="5"/>
      <c r="G132" s="6" t="str">
        <f aca="false">IF(ISNUMBER(E132),E132-C132,"")</f>
        <v/>
      </c>
      <c r="H132" s="6" t="str">
        <f aca="false">IF(ISNUMBER(E132),ABS(G132),"")</f>
        <v/>
      </c>
      <c r="I132" s="5"/>
    </row>
    <row r="133" customFormat="false" ht="16.4" hidden="false" customHeight="false" outlineLevel="0" collapsed="false">
      <c r="A133" s="3" t="s">
        <v>108</v>
      </c>
      <c r="B133" s="3" t="s">
        <v>43</v>
      </c>
      <c r="C133" s="3" t="n">
        <v>200</v>
      </c>
      <c r="D133" s="3" t="n">
        <v>12</v>
      </c>
      <c r="E133" s="4"/>
      <c r="F133" s="5"/>
      <c r="G133" s="7" t="str">
        <f aca="false">IF(ISNUMBER(E133),E133-C133,"")</f>
        <v/>
      </c>
      <c r="H133" s="7" t="str">
        <f aca="false">IF(ISNUMBER(E133),ABS(G133),"")</f>
        <v/>
      </c>
      <c r="I133" s="5"/>
    </row>
    <row r="134" customFormat="false" ht="16.4" hidden="false" customHeight="false" outlineLevel="0" collapsed="false">
      <c r="A134" s="2" t="s">
        <v>108</v>
      </c>
      <c r="B134" s="2" t="s">
        <v>43</v>
      </c>
      <c r="C134" s="2" t="n">
        <v>200</v>
      </c>
      <c r="D134" s="2" t="n">
        <v>13</v>
      </c>
      <c r="E134" s="4"/>
      <c r="F134" s="5"/>
      <c r="G134" s="6" t="str">
        <f aca="false">IF(ISNUMBER(E134),E134-C134,"")</f>
        <v/>
      </c>
      <c r="H134" s="6" t="str">
        <f aca="false">IF(ISNUMBER(E134),ABS(G134),"")</f>
        <v/>
      </c>
      <c r="I134" s="5"/>
    </row>
    <row r="135" customFormat="false" ht="16.4" hidden="false" customHeight="false" outlineLevel="0" collapsed="false">
      <c r="A135" s="3" t="s">
        <v>108</v>
      </c>
      <c r="B135" s="3" t="s">
        <v>43</v>
      </c>
      <c r="C135" s="3" t="n">
        <v>200</v>
      </c>
      <c r="D135" s="3" t="n">
        <v>14</v>
      </c>
      <c r="E135" s="4"/>
      <c r="F135" s="5"/>
      <c r="G135" s="7" t="str">
        <f aca="false">IF(ISNUMBER(E135),E135-C135,"")</f>
        <v/>
      </c>
      <c r="H135" s="7" t="str">
        <f aca="false">IF(ISNUMBER(E135),ABS(G135),"")</f>
        <v/>
      </c>
      <c r="I135" s="5"/>
    </row>
    <row r="136" customFormat="false" ht="16.4" hidden="false" customHeight="false" outlineLevel="0" collapsed="false">
      <c r="A136" s="2" t="s">
        <v>108</v>
      </c>
      <c r="B136" s="2" t="s">
        <v>43</v>
      </c>
      <c r="C136" s="2" t="n">
        <v>200</v>
      </c>
      <c r="D136" s="2" t="n">
        <v>15</v>
      </c>
      <c r="E136" s="4"/>
      <c r="F136" s="5"/>
      <c r="G136" s="6" t="str">
        <f aca="false">IF(ISNUMBER(E136),E136-C136,"")</f>
        <v/>
      </c>
      <c r="H136" s="6" t="str">
        <f aca="false">IF(ISNUMBER(E136),ABS(G136),"")</f>
        <v/>
      </c>
      <c r="I136" s="5"/>
    </row>
    <row r="137" customFormat="false" ht="16.4" hidden="false" customHeight="false" outlineLevel="0" collapsed="false">
      <c r="A137" s="3" t="s">
        <v>108</v>
      </c>
      <c r="B137" s="3" t="s">
        <v>43</v>
      </c>
      <c r="C137" s="3" t="n">
        <v>200</v>
      </c>
      <c r="D137" s="3" t="n">
        <v>16</v>
      </c>
      <c r="E137" s="4"/>
      <c r="F137" s="5"/>
      <c r="G137" s="7" t="str">
        <f aca="false">IF(ISNUMBER(E137),E137-C137,"")</f>
        <v/>
      </c>
      <c r="H137" s="7" t="str">
        <f aca="false">IF(ISNUMBER(E137),ABS(G137),"")</f>
        <v/>
      </c>
      <c r="I137" s="5"/>
    </row>
    <row r="138" customFormat="false" ht="16.4" hidden="false" customHeight="false" outlineLevel="0" collapsed="false">
      <c r="A138" s="2" t="s">
        <v>108</v>
      </c>
      <c r="B138" s="2" t="s">
        <v>43</v>
      </c>
      <c r="C138" s="2" t="n">
        <v>200</v>
      </c>
      <c r="D138" s="2" t="n">
        <v>17</v>
      </c>
      <c r="E138" s="4"/>
      <c r="F138" s="5"/>
      <c r="G138" s="6" t="str">
        <f aca="false">IF(ISNUMBER(E138),E138-C138,"")</f>
        <v/>
      </c>
      <c r="H138" s="6" t="str">
        <f aca="false">IF(ISNUMBER(E138),ABS(G138),"")</f>
        <v/>
      </c>
      <c r="I138" s="5"/>
    </row>
    <row r="139" customFormat="false" ht="16.4" hidden="false" customHeight="false" outlineLevel="0" collapsed="false">
      <c r="A139" s="3" t="s">
        <v>108</v>
      </c>
      <c r="B139" s="3" t="s">
        <v>43</v>
      </c>
      <c r="C139" s="3" t="n">
        <v>200</v>
      </c>
      <c r="D139" s="3" t="n">
        <v>18</v>
      </c>
      <c r="E139" s="4"/>
      <c r="F139" s="5"/>
      <c r="G139" s="7" t="str">
        <f aca="false">IF(ISNUMBER(E139),E139-C139,"")</f>
        <v/>
      </c>
      <c r="H139" s="7" t="str">
        <f aca="false">IF(ISNUMBER(E139),ABS(G139),"")</f>
        <v/>
      </c>
      <c r="I139" s="5"/>
    </row>
    <row r="140" customFormat="false" ht="16.4" hidden="false" customHeight="false" outlineLevel="0" collapsed="false">
      <c r="A140" s="2" t="s">
        <v>108</v>
      </c>
      <c r="B140" s="2" t="s">
        <v>43</v>
      </c>
      <c r="C140" s="2" t="n">
        <v>200</v>
      </c>
      <c r="D140" s="2" t="n">
        <v>19</v>
      </c>
      <c r="E140" s="4"/>
      <c r="F140" s="5"/>
      <c r="G140" s="6" t="str">
        <f aca="false">IF(ISNUMBER(E140),E140-C140,"")</f>
        <v/>
      </c>
      <c r="H140" s="6" t="str">
        <f aca="false">IF(ISNUMBER(E140),ABS(G140),"")</f>
        <v/>
      </c>
      <c r="I140" s="5"/>
    </row>
    <row r="141" customFormat="false" ht="16.4" hidden="false" customHeight="false" outlineLevel="0" collapsed="false">
      <c r="A141" s="3" t="s">
        <v>108</v>
      </c>
      <c r="B141" s="3" t="s">
        <v>43</v>
      </c>
      <c r="C141" s="3" t="n">
        <v>200</v>
      </c>
      <c r="D141" s="3" t="n">
        <v>20</v>
      </c>
      <c r="E141" s="4"/>
      <c r="F141" s="5"/>
      <c r="G141" s="7" t="str">
        <f aca="false">IF(ISNUMBER(E141),E141-C141,"")</f>
        <v/>
      </c>
      <c r="H141" s="7" t="str">
        <f aca="false">IF(ISNUMBER(E141),ABS(G141),"")</f>
        <v/>
      </c>
      <c r="I141" s="5"/>
    </row>
    <row r="142" customFormat="false" ht="16.4" hidden="false" customHeight="false" outlineLevel="0" collapsed="false">
      <c r="A142" s="2" t="s">
        <v>108</v>
      </c>
      <c r="B142" s="2" t="s">
        <v>43</v>
      </c>
      <c r="C142" s="2" t="n">
        <v>200</v>
      </c>
      <c r="D142" s="2" t="n">
        <v>21</v>
      </c>
      <c r="E142" s="4"/>
      <c r="F142" s="5"/>
      <c r="G142" s="6" t="str">
        <f aca="false">IF(ISNUMBER(E142),E142-C142,"")</f>
        <v/>
      </c>
      <c r="H142" s="6" t="str">
        <f aca="false">IF(ISNUMBER(E142),ABS(G142),"")</f>
        <v/>
      </c>
      <c r="I142" s="5"/>
    </row>
    <row r="143" customFormat="false" ht="16.4" hidden="false" customHeight="false" outlineLevel="0" collapsed="false">
      <c r="A143" s="3" t="s">
        <v>108</v>
      </c>
      <c r="B143" s="3" t="s">
        <v>43</v>
      </c>
      <c r="C143" s="3" t="n">
        <v>200</v>
      </c>
      <c r="D143" s="3" t="n">
        <v>22</v>
      </c>
      <c r="E143" s="4"/>
      <c r="F143" s="5"/>
      <c r="G143" s="7" t="str">
        <f aca="false">IF(ISNUMBER(E143),E143-C143,"")</f>
        <v/>
      </c>
      <c r="H143" s="7" t="str">
        <f aca="false">IF(ISNUMBER(E143),ABS(G143),"")</f>
        <v/>
      </c>
      <c r="I143" s="5"/>
    </row>
    <row r="144" customFormat="false" ht="16.4" hidden="false" customHeight="false" outlineLevel="0" collapsed="false">
      <c r="A144" s="2" t="s">
        <v>108</v>
      </c>
      <c r="B144" s="2" t="s">
        <v>43</v>
      </c>
      <c r="C144" s="2" t="n">
        <v>200</v>
      </c>
      <c r="D144" s="2" t="n">
        <v>23</v>
      </c>
      <c r="E144" s="4"/>
      <c r="F144" s="5"/>
      <c r="G144" s="6" t="str">
        <f aca="false">IF(ISNUMBER(E144),E144-C144,"")</f>
        <v/>
      </c>
      <c r="H144" s="6" t="str">
        <f aca="false">IF(ISNUMBER(E144),ABS(G144),"")</f>
        <v/>
      </c>
      <c r="I144" s="5"/>
    </row>
    <row r="145" customFormat="false" ht="16.4" hidden="false" customHeight="false" outlineLevel="0" collapsed="false">
      <c r="A145" s="3" t="s">
        <v>108</v>
      </c>
      <c r="B145" s="3" t="s">
        <v>43</v>
      </c>
      <c r="C145" s="3" t="n">
        <v>200</v>
      </c>
      <c r="D145" s="3" t="n">
        <v>24</v>
      </c>
      <c r="E145" s="4"/>
      <c r="F145" s="5"/>
      <c r="G145" s="7" t="str">
        <f aca="false">IF(ISNUMBER(E145),E145-C145,"")</f>
        <v/>
      </c>
      <c r="H145" s="7" t="str">
        <f aca="false">IF(ISNUMBER(E145),ABS(G145),"")</f>
        <v/>
      </c>
      <c r="I145" s="5"/>
    </row>
    <row r="146" customFormat="false" ht="16.4" hidden="false" customHeight="false" outlineLevel="0" collapsed="false">
      <c r="A146" s="2" t="s">
        <v>108</v>
      </c>
      <c r="B146" s="2" t="s">
        <v>43</v>
      </c>
      <c r="C146" s="2" t="n">
        <v>200</v>
      </c>
      <c r="D146" s="2" t="n">
        <v>25</v>
      </c>
      <c r="E146" s="4"/>
      <c r="F146" s="5"/>
      <c r="G146" s="6" t="str">
        <f aca="false">IF(ISNUMBER(E146),E146-C146,"")</f>
        <v/>
      </c>
      <c r="H146" s="6" t="str">
        <f aca="false">IF(ISNUMBER(E146),ABS(G146),"")</f>
        <v/>
      </c>
      <c r="I146" s="5"/>
    </row>
    <row r="147" customFormat="false" ht="16.4" hidden="false" customHeight="false" outlineLevel="0" collapsed="false">
      <c r="A147" s="3" t="s">
        <v>108</v>
      </c>
      <c r="B147" s="3" t="s">
        <v>43</v>
      </c>
      <c r="C147" s="3" t="n">
        <v>200</v>
      </c>
      <c r="D147" s="3" t="n">
        <v>26</v>
      </c>
      <c r="E147" s="4"/>
      <c r="F147" s="5"/>
      <c r="G147" s="7" t="str">
        <f aca="false">IF(ISNUMBER(E147),E147-C147,"")</f>
        <v/>
      </c>
      <c r="H147" s="7" t="str">
        <f aca="false">IF(ISNUMBER(E147),ABS(G147),"")</f>
        <v/>
      </c>
      <c r="I147" s="5"/>
    </row>
    <row r="148" customFormat="false" ht="16.4" hidden="false" customHeight="false" outlineLevel="0" collapsed="false">
      <c r="A148" s="2" t="s">
        <v>108</v>
      </c>
      <c r="B148" s="2" t="s">
        <v>43</v>
      </c>
      <c r="C148" s="2" t="n">
        <v>200</v>
      </c>
      <c r="D148" s="2" t="n">
        <v>27</v>
      </c>
      <c r="E148" s="4"/>
      <c r="F148" s="5"/>
      <c r="G148" s="6" t="str">
        <f aca="false">IF(ISNUMBER(E148),E148-C148,"")</f>
        <v/>
      </c>
      <c r="H148" s="6" t="str">
        <f aca="false">IF(ISNUMBER(E148),ABS(G148),"")</f>
        <v/>
      </c>
      <c r="I148" s="5"/>
    </row>
    <row r="149" customFormat="false" ht="16.4" hidden="false" customHeight="false" outlineLevel="0" collapsed="false">
      <c r="A149" s="3" t="s">
        <v>108</v>
      </c>
      <c r="B149" s="3" t="s">
        <v>43</v>
      </c>
      <c r="C149" s="3" t="n">
        <v>200</v>
      </c>
      <c r="D149" s="3" t="n">
        <v>28</v>
      </c>
      <c r="E149" s="4"/>
      <c r="F149" s="5"/>
      <c r="G149" s="7" t="str">
        <f aca="false">IF(ISNUMBER(E149),E149-C149,"")</f>
        <v/>
      </c>
      <c r="H149" s="7" t="str">
        <f aca="false">IF(ISNUMBER(E149),ABS(G149),"")</f>
        <v/>
      </c>
      <c r="I149" s="5"/>
    </row>
    <row r="150" customFormat="false" ht="16.4" hidden="false" customHeight="false" outlineLevel="0" collapsed="false">
      <c r="A150" s="2" t="s">
        <v>108</v>
      </c>
      <c r="B150" s="2" t="s">
        <v>43</v>
      </c>
      <c r="C150" s="2" t="n">
        <v>200</v>
      </c>
      <c r="D150" s="2" t="n">
        <v>29</v>
      </c>
      <c r="E150" s="4"/>
      <c r="F150" s="5"/>
      <c r="G150" s="6" t="str">
        <f aca="false">IF(ISNUMBER(E150),E150-C150,"")</f>
        <v/>
      </c>
      <c r="H150" s="6" t="str">
        <f aca="false">IF(ISNUMBER(E150),ABS(G150),"")</f>
        <v/>
      </c>
      <c r="I150" s="5"/>
    </row>
    <row r="151" customFormat="false" ht="16.4" hidden="false" customHeight="false" outlineLevel="0" collapsed="false">
      <c r="A151" s="3" t="s">
        <v>108</v>
      </c>
      <c r="B151" s="3" t="s">
        <v>43</v>
      </c>
      <c r="C151" s="3" t="n">
        <v>200</v>
      </c>
      <c r="D151" s="3" t="n">
        <v>30</v>
      </c>
      <c r="E151" s="4"/>
      <c r="F151" s="5"/>
      <c r="G151" s="7" t="str">
        <f aca="false">IF(ISNUMBER(E151),E151-C151,"")</f>
        <v/>
      </c>
      <c r="H151" s="7" t="str">
        <f aca="false">IF(ISNUMBER(E151),ABS(G151),"")</f>
        <v/>
      </c>
      <c r="I151" s="5"/>
    </row>
    <row r="152" customFormat="false" ht="16.4" hidden="false" customHeight="false" outlineLevel="0" collapsed="false">
      <c r="A152" s="2" t="s">
        <v>109</v>
      </c>
      <c r="B152" s="2" t="s">
        <v>110</v>
      </c>
      <c r="C152" s="2" t="n">
        <v>25</v>
      </c>
      <c r="D152" s="2" t="n">
        <v>1</v>
      </c>
      <c r="E152" s="4"/>
      <c r="F152" s="5"/>
      <c r="G152" s="6" t="str">
        <f aca="false">IF(ISNUMBER(E152),E152-C152,"")</f>
        <v/>
      </c>
      <c r="H152" s="6" t="str">
        <f aca="false">IF(ISNUMBER(E152),ABS(G152),"")</f>
        <v/>
      </c>
      <c r="I152" s="5"/>
    </row>
    <row r="153" customFormat="false" ht="16.4" hidden="false" customHeight="false" outlineLevel="0" collapsed="false">
      <c r="A153" s="3" t="s">
        <v>109</v>
      </c>
      <c r="B153" s="3" t="s">
        <v>110</v>
      </c>
      <c r="C153" s="3" t="n">
        <v>25</v>
      </c>
      <c r="D153" s="3" t="n">
        <v>2</v>
      </c>
      <c r="E153" s="4"/>
      <c r="F153" s="5"/>
      <c r="G153" s="7" t="str">
        <f aca="false">IF(ISNUMBER(E153),E153-C153,"")</f>
        <v/>
      </c>
      <c r="H153" s="7" t="str">
        <f aca="false">IF(ISNUMBER(E153),ABS(G153),"")</f>
        <v/>
      </c>
      <c r="I153" s="5"/>
    </row>
    <row r="154" customFormat="false" ht="16.4" hidden="false" customHeight="false" outlineLevel="0" collapsed="false">
      <c r="A154" s="2" t="s">
        <v>109</v>
      </c>
      <c r="B154" s="2" t="s">
        <v>110</v>
      </c>
      <c r="C154" s="2" t="n">
        <v>25</v>
      </c>
      <c r="D154" s="2" t="n">
        <v>3</v>
      </c>
      <c r="E154" s="4"/>
      <c r="F154" s="5"/>
      <c r="G154" s="6" t="str">
        <f aca="false">IF(ISNUMBER(E154),E154-C154,"")</f>
        <v/>
      </c>
      <c r="H154" s="6" t="str">
        <f aca="false">IF(ISNUMBER(E154),ABS(G154),"")</f>
        <v/>
      </c>
      <c r="I154" s="5"/>
    </row>
    <row r="155" customFormat="false" ht="16.4" hidden="false" customHeight="false" outlineLevel="0" collapsed="false">
      <c r="A155" s="3" t="s">
        <v>109</v>
      </c>
      <c r="B155" s="3" t="s">
        <v>110</v>
      </c>
      <c r="C155" s="3" t="n">
        <v>25</v>
      </c>
      <c r="D155" s="3" t="n">
        <v>4</v>
      </c>
      <c r="E155" s="4"/>
      <c r="F155" s="5"/>
      <c r="G155" s="7" t="str">
        <f aca="false">IF(ISNUMBER(E155),E155-C155,"")</f>
        <v/>
      </c>
      <c r="H155" s="7" t="str">
        <f aca="false">IF(ISNUMBER(E155),ABS(G155),"")</f>
        <v/>
      </c>
      <c r="I155" s="5"/>
    </row>
    <row r="156" customFormat="false" ht="16.4" hidden="false" customHeight="false" outlineLevel="0" collapsed="false">
      <c r="A156" s="2" t="s">
        <v>109</v>
      </c>
      <c r="B156" s="2" t="s">
        <v>110</v>
      </c>
      <c r="C156" s="2" t="n">
        <v>25</v>
      </c>
      <c r="D156" s="2" t="n">
        <v>5</v>
      </c>
      <c r="E156" s="4"/>
      <c r="F156" s="5"/>
      <c r="G156" s="6" t="str">
        <f aca="false">IF(ISNUMBER(E156),E156-C156,"")</f>
        <v/>
      </c>
      <c r="H156" s="6" t="str">
        <f aca="false">IF(ISNUMBER(E156),ABS(G156),"")</f>
        <v/>
      </c>
      <c r="I156" s="5"/>
    </row>
    <row r="157" customFormat="false" ht="16.4" hidden="false" customHeight="false" outlineLevel="0" collapsed="false">
      <c r="A157" s="3" t="s">
        <v>109</v>
      </c>
      <c r="B157" s="3" t="s">
        <v>110</v>
      </c>
      <c r="C157" s="3" t="n">
        <v>25</v>
      </c>
      <c r="D157" s="3" t="n">
        <v>6</v>
      </c>
      <c r="E157" s="4"/>
      <c r="F157" s="5"/>
      <c r="G157" s="7" t="str">
        <f aca="false">IF(ISNUMBER(E157),E157-C157,"")</f>
        <v/>
      </c>
      <c r="H157" s="7" t="str">
        <f aca="false">IF(ISNUMBER(E157),ABS(G157),"")</f>
        <v/>
      </c>
      <c r="I157" s="5"/>
    </row>
    <row r="158" customFormat="false" ht="16.4" hidden="false" customHeight="false" outlineLevel="0" collapsed="false">
      <c r="A158" s="2" t="s">
        <v>109</v>
      </c>
      <c r="B158" s="2" t="s">
        <v>110</v>
      </c>
      <c r="C158" s="2" t="n">
        <v>25</v>
      </c>
      <c r="D158" s="2" t="n">
        <v>7</v>
      </c>
      <c r="E158" s="4"/>
      <c r="F158" s="5"/>
      <c r="G158" s="6" t="str">
        <f aca="false">IF(ISNUMBER(E158),E158-C158,"")</f>
        <v/>
      </c>
      <c r="H158" s="6" t="str">
        <f aca="false">IF(ISNUMBER(E158),ABS(G158),"")</f>
        <v/>
      </c>
      <c r="I158" s="5"/>
    </row>
    <row r="159" customFormat="false" ht="16.4" hidden="false" customHeight="false" outlineLevel="0" collapsed="false">
      <c r="A159" s="3" t="s">
        <v>109</v>
      </c>
      <c r="B159" s="3" t="s">
        <v>110</v>
      </c>
      <c r="C159" s="3" t="n">
        <v>25</v>
      </c>
      <c r="D159" s="3" t="n">
        <v>8</v>
      </c>
      <c r="E159" s="4"/>
      <c r="F159" s="5"/>
      <c r="G159" s="7" t="str">
        <f aca="false">IF(ISNUMBER(E159),E159-C159,"")</f>
        <v/>
      </c>
      <c r="H159" s="7" t="str">
        <f aca="false">IF(ISNUMBER(E159),ABS(G159),"")</f>
        <v/>
      </c>
      <c r="I159" s="5"/>
    </row>
    <row r="160" customFormat="false" ht="16.4" hidden="false" customHeight="false" outlineLevel="0" collapsed="false">
      <c r="A160" s="2" t="s">
        <v>109</v>
      </c>
      <c r="B160" s="2" t="s">
        <v>110</v>
      </c>
      <c r="C160" s="2" t="n">
        <v>25</v>
      </c>
      <c r="D160" s="2" t="n">
        <v>9</v>
      </c>
      <c r="E160" s="4"/>
      <c r="F160" s="5"/>
      <c r="G160" s="6" t="str">
        <f aca="false">IF(ISNUMBER(E160),E160-C160,"")</f>
        <v/>
      </c>
      <c r="H160" s="6" t="str">
        <f aca="false">IF(ISNUMBER(E160),ABS(G160),"")</f>
        <v/>
      </c>
      <c r="I160" s="5"/>
    </row>
    <row r="161" customFormat="false" ht="16.4" hidden="false" customHeight="false" outlineLevel="0" collapsed="false">
      <c r="A161" s="3" t="s">
        <v>109</v>
      </c>
      <c r="B161" s="3" t="s">
        <v>110</v>
      </c>
      <c r="C161" s="3" t="n">
        <v>25</v>
      </c>
      <c r="D161" s="3" t="n">
        <v>10</v>
      </c>
      <c r="E161" s="4"/>
      <c r="F161" s="5"/>
      <c r="G161" s="7" t="str">
        <f aca="false">IF(ISNUMBER(E161),E161-C161,"")</f>
        <v/>
      </c>
      <c r="H161" s="7" t="str">
        <f aca="false">IF(ISNUMBER(E161),ABS(G161),"")</f>
        <v/>
      </c>
      <c r="I161" s="5"/>
    </row>
    <row r="162" customFormat="false" ht="16.4" hidden="false" customHeight="false" outlineLevel="0" collapsed="false">
      <c r="A162" s="2" t="s">
        <v>109</v>
      </c>
      <c r="B162" s="2" t="s">
        <v>110</v>
      </c>
      <c r="C162" s="2" t="n">
        <v>25</v>
      </c>
      <c r="D162" s="2" t="n">
        <v>11</v>
      </c>
      <c r="E162" s="4"/>
      <c r="F162" s="5"/>
      <c r="G162" s="6" t="str">
        <f aca="false">IF(ISNUMBER(E162),E162-C162,"")</f>
        <v/>
      </c>
      <c r="H162" s="6" t="str">
        <f aca="false">IF(ISNUMBER(E162),ABS(G162),"")</f>
        <v/>
      </c>
      <c r="I162" s="5"/>
    </row>
    <row r="163" customFormat="false" ht="16.4" hidden="false" customHeight="false" outlineLevel="0" collapsed="false">
      <c r="A163" s="3" t="s">
        <v>109</v>
      </c>
      <c r="B163" s="3" t="s">
        <v>110</v>
      </c>
      <c r="C163" s="3" t="n">
        <v>25</v>
      </c>
      <c r="D163" s="3" t="n">
        <v>12</v>
      </c>
      <c r="E163" s="4"/>
      <c r="F163" s="5"/>
      <c r="G163" s="7" t="str">
        <f aca="false">IF(ISNUMBER(E163),E163-C163,"")</f>
        <v/>
      </c>
      <c r="H163" s="7" t="str">
        <f aca="false">IF(ISNUMBER(E163),ABS(G163),"")</f>
        <v/>
      </c>
      <c r="I163" s="5"/>
    </row>
    <row r="164" customFormat="false" ht="16.4" hidden="false" customHeight="false" outlineLevel="0" collapsed="false">
      <c r="A164" s="2" t="s">
        <v>109</v>
      </c>
      <c r="B164" s="2" t="s">
        <v>110</v>
      </c>
      <c r="C164" s="2" t="n">
        <v>25</v>
      </c>
      <c r="D164" s="2" t="n">
        <v>13</v>
      </c>
      <c r="E164" s="4"/>
      <c r="F164" s="5"/>
      <c r="G164" s="6" t="str">
        <f aca="false">IF(ISNUMBER(E164),E164-C164,"")</f>
        <v/>
      </c>
      <c r="H164" s="6" t="str">
        <f aca="false">IF(ISNUMBER(E164),ABS(G164),"")</f>
        <v/>
      </c>
      <c r="I164" s="5"/>
    </row>
    <row r="165" customFormat="false" ht="16.4" hidden="false" customHeight="false" outlineLevel="0" collapsed="false">
      <c r="A165" s="3" t="s">
        <v>109</v>
      </c>
      <c r="B165" s="3" t="s">
        <v>110</v>
      </c>
      <c r="C165" s="3" t="n">
        <v>25</v>
      </c>
      <c r="D165" s="3" t="n">
        <v>14</v>
      </c>
      <c r="E165" s="4"/>
      <c r="F165" s="5"/>
      <c r="G165" s="7" t="str">
        <f aca="false">IF(ISNUMBER(E165),E165-C165,"")</f>
        <v/>
      </c>
      <c r="H165" s="7" t="str">
        <f aca="false">IF(ISNUMBER(E165),ABS(G165),"")</f>
        <v/>
      </c>
      <c r="I165" s="5"/>
    </row>
    <row r="166" customFormat="false" ht="16.4" hidden="false" customHeight="false" outlineLevel="0" collapsed="false">
      <c r="A166" s="2" t="s">
        <v>109</v>
      </c>
      <c r="B166" s="2" t="s">
        <v>110</v>
      </c>
      <c r="C166" s="2" t="n">
        <v>25</v>
      </c>
      <c r="D166" s="2" t="n">
        <v>15</v>
      </c>
      <c r="E166" s="4"/>
      <c r="F166" s="5"/>
      <c r="G166" s="6" t="str">
        <f aca="false">IF(ISNUMBER(E166),E166-C166,"")</f>
        <v/>
      </c>
      <c r="H166" s="6" t="str">
        <f aca="false">IF(ISNUMBER(E166),ABS(G166),"")</f>
        <v/>
      </c>
      <c r="I166" s="5"/>
    </row>
    <row r="167" customFormat="false" ht="16.4" hidden="false" customHeight="false" outlineLevel="0" collapsed="false">
      <c r="A167" s="3" t="s">
        <v>109</v>
      </c>
      <c r="B167" s="3" t="s">
        <v>110</v>
      </c>
      <c r="C167" s="3" t="n">
        <v>25</v>
      </c>
      <c r="D167" s="3" t="n">
        <v>16</v>
      </c>
      <c r="E167" s="4"/>
      <c r="F167" s="5"/>
      <c r="G167" s="7" t="str">
        <f aca="false">IF(ISNUMBER(E167),E167-C167,"")</f>
        <v/>
      </c>
      <c r="H167" s="7" t="str">
        <f aca="false">IF(ISNUMBER(E167),ABS(G167),"")</f>
        <v/>
      </c>
      <c r="I167" s="5"/>
    </row>
    <row r="168" customFormat="false" ht="16.4" hidden="false" customHeight="false" outlineLevel="0" collapsed="false">
      <c r="A168" s="2" t="s">
        <v>109</v>
      </c>
      <c r="B168" s="2" t="s">
        <v>110</v>
      </c>
      <c r="C168" s="2" t="n">
        <v>25</v>
      </c>
      <c r="D168" s="2" t="n">
        <v>17</v>
      </c>
      <c r="E168" s="4"/>
      <c r="F168" s="5"/>
      <c r="G168" s="6" t="str">
        <f aca="false">IF(ISNUMBER(E168),E168-C168,"")</f>
        <v/>
      </c>
      <c r="H168" s="6" t="str">
        <f aca="false">IF(ISNUMBER(E168),ABS(G168),"")</f>
        <v/>
      </c>
      <c r="I168" s="5"/>
    </row>
    <row r="169" customFormat="false" ht="16.4" hidden="false" customHeight="false" outlineLevel="0" collapsed="false">
      <c r="A169" s="3" t="s">
        <v>109</v>
      </c>
      <c r="B169" s="3" t="s">
        <v>110</v>
      </c>
      <c r="C169" s="3" t="n">
        <v>25</v>
      </c>
      <c r="D169" s="3" t="n">
        <v>18</v>
      </c>
      <c r="E169" s="4"/>
      <c r="F169" s="5"/>
      <c r="G169" s="7" t="str">
        <f aca="false">IF(ISNUMBER(E169),E169-C169,"")</f>
        <v/>
      </c>
      <c r="H169" s="7" t="str">
        <f aca="false">IF(ISNUMBER(E169),ABS(G169),"")</f>
        <v/>
      </c>
      <c r="I169" s="5"/>
    </row>
    <row r="170" customFormat="false" ht="16.4" hidden="false" customHeight="false" outlineLevel="0" collapsed="false">
      <c r="A170" s="2" t="s">
        <v>109</v>
      </c>
      <c r="B170" s="2" t="s">
        <v>110</v>
      </c>
      <c r="C170" s="2" t="n">
        <v>25</v>
      </c>
      <c r="D170" s="2" t="n">
        <v>19</v>
      </c>
      <c r="E170" s="4"/>
      <c r="F170" s="5"/>
      <c r="G170" s="6" t="str">
        <f aca="false">IF(ISNUMBER(E170),E170-C170,"")</f>
        <v/>
      </c>
      <c r="H170" s="6" t="str">
        <f aca="false">IF(ISNUMBER(E170),ABS(G170),"")</f>
        <v/>
      </c>
      <c r="I170" s="5"/>
    </row>
    <row r="171" customFormat="false" ht="16.4" hidden="false" customHeight="false" outlineLevel="0" collapsed="false">
      <c r="A171" s="3" t="s">
        <v>109</v>
      </c>
      <c r="B171" s="3" t="s">
        <v>110</v>
      </c>
      <c r="C171" s="3" t="n">
        <v>25</v>
      </c>
      <c r="D171" s="3" t="n">
        <v>20</v>
      </c>
      <c r="E171" s="4"/>
      <c r="F171" s="5"/>
      <c r="G171" s="7" t="str">
        <f aca="false">IF(ISNUMBER(E171),E171-C171,"")</f>
        <v/>
      </c>
      <c r="H171" s="7" t="str">
        <f aca="false">IF(ISNUMBER(E171),ABS(G171),"")</f>
        <v/>
      </c>
      <c r="I171" s="5"/>
    </row>
    <row r="172" customFormat="false" ht="16.4" hidden="false" customHeight="false" outlineLevel="0" collapsed="false">
      <c r="A172" s="2" t="s">
        <v>109</v>
      </c>
      <c r="B172" s="2" t="s">
        <v>110</v>
      </c>
      <c r="C172" s="2" t="n">
        <v>25</v>
      </c>
      <c r="D172" s="2" t="n">
        <v>21</v>
      </c>
      <c r="E172" s="4"/>
      <c r="F172" s="5"/>
      <c r="G172" s="6" t="str">
        <f aca="false">IF(ISNUMBER(E172),E172-C172,"")</f>
        <v/>
      </c>
      <c r="H172" s="6" t="str">
        <f aca="false">IF(ISNUMBER(E172),ABS(G172),"")</f>
        <v/>
      </c>
      <c r="I172" s="5"/>
    </row>
    <row r="173" customFormat="false" ht="16.4" hidden="false" customHeight="false" outlineLevel="0" collapsed="false">
      <c r="A173" s="3" t="s">
        <v>109</v>
      </c>
      <c r="B173" s="3" t="s">
        <v>110</v>
      </c>
      <c r="C173" s="3" t="n">
        <v>25</v>
      </c>
      <c r="D173" s="3" t="n">
        <v>22</v>
      </c>
      <c r="E173" s="4"/>
      <c r="F173" s="5"/>
      <c r="G173" s="7" t="str">
        <f aca="false">IF(ISNUMBER(E173),E173-C173,"")</f>
        <v/>
      </c>
      <c r="H173" s="7" t="str">
        <f aca="false">IF(ISNUMBER(E173),ABS(G173),"")</f>
        <v/>
      </c>
      <c r="I173" s="5"/>
    </row>
    <row r="174" customFormat="false" ht="16.4" hidden="false" customHeight="false" outlineLevel="0" collapsed="false">
      <c r="A174" s="2" t="s">
        <v>109</v>
      </c>
      <c r="B174" s="2" t="s">
        <v>110</v>
      </c>
      <c r="C174" s="2" t="n">
        <v>25</v>
      </c>
      <c r="D174" s="2" t="n">
        <v>23</v>
      </c>
      <c r="E174" s="4"/>
      <c r="F174" s="5"/>
      <c r="G174" s="6" t="str">
        <f aca="false">IF(ISNUMBER(E174),E174-C174,"")</f>
        <v/>
      </c>
      <c r="H174" s="6" t="str">
        <f aca="false">IF(ISNUMBER(E174),ABS(G174),"")</f>
        <v/>
      </c>
      <c r="I174" s="5"/>
    </row>
    <row r="175" customFormat="false" ht="16.4" hidden="false" customHeight="false" outlineLevel="0" collapsed="false">
      <c r="A175" s="3" t="s">
        <v>109</v>
      </c>
      <c r="B175" s="3" t="s">
        <v>110</v>
      </c>
      <c r="C175" s="3" t="n">
        <v>25</v>
      </c>
      <c r="D175" s="3" t="n">
        <v>24</v>
      </c>
      <c r="E175" s="4"/>
      <c r="F175" s="5"/>
      <c r="G175" s="7" t="str">
        <f aca="false">IF(ISNUMBER(E175),E175-C175,"")</f>
        <v/>
      </c>
      <c r="H175" s="7" t="str">
        <f aca="false">IF(ISNUMBER(E175),ABS(G175),"")</f>
        <v/>
      </c>
      <c r="I175" s="5"/>
    </row>
    <row r="176" customFormat="false" ht="16.4" hidden="false" customHeight="false" outlineLevel="0" collapsed="false">
      <c r="A176" s="2" t="s">
        <v>109</v>
      </c>
      <c r="B176" s="2" t="s">
        <v>110</v>
      </c>
      <c r="C176" s="2" t="n">
        <v>25</v>
      </c>
      <c r="D176" s="2" t="n">
        <v>25</v>
      </c>
      <c r="E176" s="4"/>
      <c r="F176" s="5"/>
      <c r="G176" s="6" t="str">
        <f aca="false">IF(ISNUMBER(E176),E176-C176,"")</f>
        <v/>
      </c>
      <c r="H176" s="6" t="str">
        <f aca="false">IF(ISNUMBER(E176),ABS(G176),"")</f>
        <v/>
      </c>
      <c r="I176" s="5"/>
    </row>
    <row r="177" customFormat="false" ht="16.4" hidden="false" customHeight="false" outlineLevel="0" collapsed="false">
      <c r="A177" s="3" t="s">
        <v>109</v>
      </c>
      <c r="B177" s="3" t="s">
        <v>110</v>
      </c>
      <c r="C177" s="3" t="n">
        <v>25</v>
      </c>
      <c r="D177" s="3" t="n">
        <v>26</v>
      </c>
      <c r="E177" s="4"/>
      <c r="F177" s="5"/>
      <c r="G177" s="7" t="str">
        <f aca="false">IF(ISNUMBER(E177),E177-C177,"")</f>
        <v/>
      </c>
      <c r="H177" s="7" t="str">
        <f aca="false">IF(ISNUMBER(E177),ABS(G177),"")</f>
        <v/>
      </c>
      <c r="I177" s="5"/>
    </row>
    <row r="178" customFormat="false" ht="16.4" hidden="false" customHeight="false" outlineLevel="0" collapsed="false">
      <c r="A178" s="2" t="s">
        <v>109</v>
      </c>
      <c r="B178" s="2" t="s">
        <v>110</v>
      </c>
      <c r="C178" s="2" t="n">
        <v>25</v>
      </c>
      <c r="D178" s="2" t="n">
        <v>27</v>
      </c>
      <c r="E178" s="4"/>
      <c r="F178" s="5"/>
      <c r="G178" s="6" t="str">
        <f aca="false">IF(ISNUMBER(E178),E178-C178,"")</f>
        <v/>
      </c>
      <c r="H178" s="6" t="str">
        <f aca="false">IF(ISNUMBER(E178),ABS(G178),"")</f>
        <v/>
      </c>
      <c r="I178" s="5"/>
    </row>
    <row r="179" customFormat="false" ht="16.4" hidden="false" customHeight="false" outlineLevel="0" collapsed="false">
      <c r="A179" s="3" t="s">
        <v>109</v>
      </c>
      <c r="B179" s="3" t="s">
        <v>110</v>
      </c>
      <c r="C179" s="3" t="n">
        <v>25</v>
      </c>
      <c r="D179" s="3" t="n">
        <v>28</v>
      </c>
      <c r="E179" s="4"/>
      <c r="F179" s="5"/>
      <c r="G179" s="7" t="str">
        <f aca="false">IF(ISNUMBER(E179),E179-C179,"")</f>
        <v/>
      </c>
      <c r="H179" s="7" t="str">
        <f aca="false">IF(ISNUMBER(E179),ABS(G179),"")</f>
        <v/>
      </c>
      <c r="I179" s="5"/>
    </row>
    <row r="180" customFormat="false" ht="16.4" hidden="false" customHeight="false" outlineLevel="0" collapsed="false">
      <c r="A180" s="2" t="s">
        <v>109</v>
      </c>
      <c r="B180" s="2" t="s">
        <v>110</v>
      </c>
      <c r="C180" s="2" t="n">
        <v>25</v>
      </c>
      <c r="D180" s="2" t="n">
        <v>29</v>
      </c>
      <c r="E180" s="4"/>
      <c r="F180" s="5"/>
      <c r="G180" s="6" t="str">
        <f aca="false">IF(ISNUMBER(E180),E180-C180,"")</f>
        <v/>
      </c>
      <c r="H180" s="6" t="str">
        <f aca="false">IF(ISNUMBER(E180),ABS(G180),"")</f>
        <v/>
      </c>
      <c r="I180" s="5"/>
    </row>
    <row r="181" customFormat="false" ht="16.4" hidden="false" customHeight="false" outlineLevel="0" collapsed="false">
      <c r="A181" s="3" t="s">
        <v>109</v>
      </c>
      <c r="B181" s="3" t="s">
        <v>110</v>
      </c>
      <c r="C181" s="3" t="n">
        <v>25</v>
      </c>
      <c r="D181" s="3" t="n">
        <v>30</v>
      </c>
      <c r="E181" s="4"/>
      <c r="F181" s="5"/>
      <c r="G181" s="7" t="str">
        <f aca="false">IF(ISNUMBER(E181),E181-C181,"")</f>
        <v/>
      </c>
      <c r="H181" s="7" t="str">
        <f aca="false">IF(ISNUMBER(E181),ABS(G181),"")</f>
        <v/>
      </c>
      <c r="I181" s="5"/>
    </row>
    <row r="182" customFormat="false" ht="16.4" hidden="false" customHeight="false" outlineLevel="0" collapsed="false">
      <c r="A182" s="2" t="s">
        <v>111</v>
      </c>
      <c r="B182" s="2" t="s">
        <v>110</v>
      </c>
      <c r="C182" s="2" t="n">
        <v>50</v>
      </c>
      <c r="D182" s="2" t="n">
        <v>1</v>
      </c>
      <c r="E182" s="4"/>
      <c r="F182" s="5"/>
      <c r="G182" s="6" t="str">
        <f aca="false">IF(ISNUMBER(E182),E182-C182,"")</f>
        <v/>
      </c>
      <c r="H182" s="6" t="str">
        <f aca="false">IF(ISNUMBER(E182),ABS(G182),"")</f>
        <v/>
      </c>
      <c r="I182" s="5"/>
    </row>
    <row r="183" customFormat="false" ht="16.4" hidden="false" customHeight="false" outlineLevel="0" collapsed="false">
      <c r="A183" s="3" t="s">
        <v>111</v>
      </c>
      <c r="B183" s="3" t="s">
        <v>110</v>
      </c>
      <c r="C183" s="3" t="n">
        <v>50</v>
      </c>
      <c r="D183" s="3" t="n">
        <v>2</v>
      </c>
      <c r="E183" s="4"/>
      <c r="F183" s="5"/>
      <c r="G183" s="7" t="str">
        <f aca="false">IF(ISNUMBER(E183),E183-C183,"")</f>
        <v/>
      </c>
      <c r="H183" s="7" t="str">
        <f aca="false">IF(ISNUMBER(E183),ABS(G183),"")</f>
        <v/>
      </c>
      <c r="I183" s="5"/>
    </row>
    <row r="184" customFormat="false" ht="16.4" hidden="false" customHeight="false" outlineLevel="0" collapsed="false">
      <c r="A184" s="2" t="s">
        <v>111</v>
      </c>
      <c r="B184" s="2" t="s">
        <v>110</v>
      </c>
      <c r="C184" s="2" t="n">
        <v>50</v>
      </c>
      <c r="D184" s="2" t="n">
        <v>3</v>
      </c>
      <c r="E184" s="4"/>
      <c r="F184" s="5"/>
      <c r="G184" s="6" t="str">
        <f aca="false">IF(ISNUMBER(E184),E184-C184,"")</f>
        <v/>
      </c>
      <c r="H184" s="6" t="str">
        <f aca="false">IF(ISNUMBER(E184),ABS(G184),"")</f>
        <v/>
      </c>
      <c r="I184" s="5"/>
    </row>
    <row r="185" customFormat="false" ht="16.4" hidden="false" customHeight="false" outlineLevel="0" collapsed="false">
      <c r="A185" s="3" t="s">
        <v>111</v>
      </c>
      <c r="B185" s="3" t="s">
        <v>110</v>
      </c>
      <c r="C185" s="3" t="n">
        <v>50</v>
      </c>
      <c r="D185" s="3" t="n">
        <v>4</v>
      </c>
      <c r="E185" s="4"/>
      <c r="F185" s="5"/>
      <c r="G185" s="7" t="str">
        <f aca="false">IF(ISNUMBER(E185),E185-C185,"")</f>
        <v/>
      </c>
      <c r="H185" s="7" t="str">
        <f aca="false">IF(ISNUMBER(E185),ABS(G185),"")</f>
        <v/>
      </c>
      <c r="I185" s="5"/>
    </row>
    <row r="186" customFormat="false" ht="16.4" hidden="false" customHeight="false" outlineLevel="0" collapsed="false">
      <c r="A186" s="2" t="s">
        <v>111</v>
      </c>
      <c r="B186" s="2" t="s">
        <v>110</v>
      </c>
      <c r="C186" s="2" t="n">
        <v>50</v>
      </c>
      <c r="D186" s="2" t="n">
        <v>5</v>
      </c>
      <c r="E186" s="4"/>
      <c r="F186" s="5"/>
      <c r="G186" s="6" t="str">
        <f aca="false">IF(ISNUMBER(E186),E186-C186,"")</f>
        <v/>
      </c>
      <c r="H186" s="6" t="str">
        <f aca="false">IF(ISNUMBER(E186),ABS(G186),"")</f>
        <v/>
      </c>
      <c r="I186" s="5"/>
    </row>
    <row r="187" customFormat="false" ht="16.4" hidden="false" customHeight="false" outlineLevel="0" collapsed="false">
      <c r="A187" s="3" t="s">
        <v>111</v>
      </c>
      <c r="B187" s="3" t="s">
        <v>110</v>
      </c>
      <c r="C187" s="3" t="n">
        <v>50</v>
      </c>
      <c r="D187" s="3" t="n">
        <v>6</v>
      </c>
      <c r="E187" s="4"/>
      <c r="F187" s="5"/>
      <c r="G187" s="7" t="str">
        <f aca="false">IF(ISNUMBER(E187),E187-C187,"")</f>
        <v/>
      </c>
      <c r="H187" s="7" t="str">
        <f aca="false">IF(ISNUMBER(E187),ABS(G187),"")</f>
        <v/>
      </c>
      <c r="I187" s="5"/>
    </row>
    <row r="188" customFormat="false" ht="16.4" hidden="false" customHeight="false" outlineLevel="0" collapsed="false">
      <c r="A188" s="2" t="s">
        <v>111</v>
      </c>
      <c r="B188" s="2" t="s">
        <v>110</v>
      </c>
      <c r="C188" s="2" t="n">
        <v>50</v>
      </c>
      <c r="D188" s="2" t="n">
        <v>7</v>
      </c>
      <c r="E188" s="4"/>
      <c r="F188" s="5"/>
      <c r="G188" s="6" t="str">
        <f aca="false">IF(ISNUMBER(E188),E188-C188,"")</f>
        <v/>
      </c>
      <c r="H188" s="6" t="str">
        <f aca="false">IF(ISNUMBER(E188),ABS(G188),"")</f>
        <v/>
      </c>
      <c r="I188" s="5"/>
    </row>
    <row r="189" customFormat="false" ht="16.4" hidden="false" customHeight="false" outlineLevel="0" collapsed="false">
      <c r="A189" s="3" t="s">
        <v>111</v>
      </c>
      <c r="B189" s="3" t="s">
        <v>110</v>
      </c>
      <c r="C189" s="3" t="n">
        <v>50</v>
      </c>
      <c r="D189" s="3" t="n">
        <v>8</v>
      </c>
      <c r="E189" s="4"/>
      <c r="F189" s="5"/>
      <c r="G189" s="7" t="str">
        <f aca="false">IF(ISNUMBER(E189),E189-C189,"")</f>
        <v/>
      </c>
      <c r="H189" s="7" t="str">
        <f aca="false">IF(ISNUMBER(E189),ABS(G189),"")</f>
        <v/>
      </c>
      <c r="I189" s="5"/>
    </row>
    <row r="190" customFormat="false" ht="16.4" hidden="false" customHeight="false" outlineLevel="0" collapsed="false">
      <c r="A190" s="2" t="s">
        <v>111</v>
      </c>
      <c r="B190" s="2" t="s">
        <v>110</v>
      </c>
      <c r="C190" s="2" t="n">
        <v>50</v>
      </c>
      <c r="D190" s="2" t="n">
        <v>9</v>
      </c>
      <c r="E190" s="4"/>
      <c r="F190" s="5"/>
      <c r="G190" s="6" t="str">
        <f aca="false">IF(ISNUMBER(E190),E190-C190,"")</f>
        <v/>
      </c>
      <c r="H190" s="6" t="str">
        <f aca="false">IF(ISNUMBER(E190),ABS(G190),"")</f>
        <v/>
      </c>
      <c r="I190" s="5"/>
    </row>
    <row r="191" customFormat="false" ht="16.4" hidden="false" customHeight="false" outlineLevel="0" collapsed="false">
      <c r="A191" s="3" t="s">
        <v>111</v>
      </c>
      <c r="B191" s="3" t="s">
        <v>110</v>
      </c>
      <c r="C191" s="3" t="n">
        <v>50</v>
      </c>
      <c r="D191" s="3" t="n">
        <v>10</v>
      </c>
      <c r="E191" s="4"/>
      <c r="F191" s="5"/>
      <c r="G191" s="7" t="str">
        <f aca="false">IF(ISNUMBER(E191),E191-C191,"")</f>
        <v/>
      </c>
      <c r="H191" s="7" t="str">
        <f aca="false">IF(ISNUMBER(E191),ABS(G191),"")</f>
        <v/>
      </c>
      <c r="I191" s="5"/>
    </row>
    <row r="192" customFormat="false" ht="16.4" hidden="false" customHeight="false" outlineLevel="0" collapsed="false">
      <c r="A192" s="2" t="s">
        <v>111</v>
      </c>
      <c r="B192" s="2" t="s">
        <v>110</v>
      </c>
      <c r="C192" s="2" t="n">
        <v>50</v>
      </c>
      <c r="D192" s="2" t="n">
        <v>11</v>
      </c>
      <c r="E192" s="4"/>
      <c r="F192" s="5"/>
      <c r="G192" s="6" t="str">
        <f aca="false">IF(ISNUMBER(E192),E192-C192,"")</f>
        <v/>
      </c>
      <c r="H192" s="6" t="str">
        <f aca="false">IF(ISNUMBER(E192),ABS(G192),"")</f>
        <v/>
      </c>
      <c r="I192" s="5"/>
    </row>
    <row r="193" customFormat="false" ht="16.4" hidden="false" customHeight="false" outlineLevel="0" collapsed="false">
      <c r="A193" s="3" t="s">
        <v>111</v>
      </c>
      <c r="B193" s="3" t="s">
        <v>110</v>
      </c>
      <c r="C193" s="3" t="n">
        <v>50</v>
      </c>
      <c r="D193" s="3" t="n">
        <v>12</v>
      </c>
      <c r="E193" s="4"/>
      <c r="F193" s="5"/>
      <c r="G193" s="7" t="str">
        <f aca="false">IF(ISNUMBER(E193),E193-C193,"")</f>
        <v/>
      </c>
      <c r="H193" s="7" t="str">
        <f aca="false">IF(ISNUMBER(E193),ABS(G193),"")</f>
        <v/>
      </c>
      <c r="I193" s="5"/>
    </row>
    <row r="194" customFormat="false" ht="16.4" hidden="false" customHeight="false" outlineLevel="0" collapsed="false">
      <c r="A194" s="2" t="s">
        <v>111</v>
      </c>
      <c r="B194" s="2" t="s">
        <v>110</v>
      </c>
      <c r="C194" s="2" t="n">
        <v>50</v>
      </c>
      <c r="D194" s="2" t="n">
        <v>13</v>
      </c>
      <c r="E194" s="4"/>
      <c r="F194" s="5"/>
      <c r="G194" s="6" t="str">
        <f aca="false">IF(ISNUMBER(E194),E194-C194,"")</f>
        <v/>
      </c>
      <c r="H194" s="6" t="str">
        <f aca="false">IF(ISNUMBER(E194),ABS(G194),"")</f>
        <v/>
      </c>
      <c r="I194" s="5"/>
    </row>
    <row r="195" customFormat="false" ht="16.4" hidden="false" customHeight="false" outlineLevel="0" collapsed="false">
      <c r="A195" s="3" t="s">
        <v>111</v>
      </c>
      <c r="B195" s="3" t="s">
        <v>110</v>
      </c>
      <c r="C195" s="3" t="n">
        <v>50</v>
      </c>
      <c r="D195" s="3" t="n">
        <v>14</v>
      </c>
      <c r="E195" s="4"/>
      <c r="F195" s="5"/>
      <c r="G195" s="7" t="str">
        <f aca="false">IF(ISNUMBER(E195),E195-C195,"")</f>
        <v/>
      </c>
      <c r="H195" s="7" t="str">
        <f aca="false">IF(ISNUMBER(E195),ABS(G195),"")</f>
        <v/>
      </c>
      <c r="I195" s="5"/>
    </row>
    <row r="196" customFormat="false" ht="16.4" hidden="false" customHeight="false" outlineLevel="0" collapsed="false">
      <c r="A196" s="2" t="s">
        <v>111</v>
      </c>
      <c r="B196" s="2" t="s">
        <v>110</v>
      </c>
      <c r="C196" s="2" t="n">
        <v>50</v>
      </c>
      <c r="D196" s="2" t="n">
        <v>15</v>
      </c>
      <c r="E196" s="4"/>
      <c r="F196" s="5"/>
      <c r="G196" s="6" t="str">
        <f aca="false">IF(ISNUMBER(E196),E196-C196,"")</f>
        <v/>
      </c>
      <c r="H196" s="6" t="str">
        <f aca="false">IF(ISNUMBER(E196),ABS(G196),"")</f>
        <v/>
      </c>
      <c r="I196" s="5"/>
    </row>
    <row r="197" customFormat="false" ht="16.4" hidden="false" customHeight="false" outlineLevel="0" collapsed="false">
      <c r="A197" s="3" t="s">
        <v>111</v>
      </c>
      <c r="B197" s="3" t="s">
        <v>110</v>
      </c>
      <c r="C197" s="3" t="n">
        <v>50</v>
      </c>
      <c r="D197" s="3" t="n">
        <v>16</v>
      </c>
      <c r="E197" s="4"/>
      <c r="F197" s="5"/>
      <c r="G197" s="7" t="str">
        <f aca="false">IF(ISNUMBER(E197),E197-C197,"")</f>
        <v/>
      </c>
      <c r="H197" s="7" t="str">
        <f aca="false">IF(ISNUMBER(E197),ABS(G197),"")</f>
        <v/>
      </c>
      <c r="I197" s="5"/>
    </row>
    <row r="198" customFormat="false" ht="16.4" hidden="false" customHeight="false" outlineLevel="0" collapsed="false">
      <c r="A198" s="2" t="s">
        <v>111</v>
      </c>
      <c r="B198" s="2" t="s">
        <v>110</v>
      </c>
      <c r="C198" s="2" t="n">
        <v>50</v>
      </c>
      <c r="D198" s="2" t="n">
        <v>17</v>
      </c>
      <c r="E198" s="4"/>
      <c r="F198" s="5"/>
      <c r="G198" s="6" t="str">
        <f aca="false">IF(ISNUMBER(E198),E198-C198,"")</f>
        <v/>
      </c>
      <c r="H198" s="6" t="str">
        <f aca="false">IF(ISNUMBER(E198),ABS(G198),"")</f>
        <v/>
      </c>
      <c r="I198" s="5"/>
    </row>
    <row r="199" customFormat="false" ht="16.4" hidden="false" customHeight="false" outlineLevel="0" collapsed="false">
      <c r="A199" s="3" t="s">
        <v>111</v>
      </c>
      <c r="B199" s="3" t="s">
        <v>110</v>
      </c>
      <c r="C199" s="3" t="n">
        <v>50</v>
      </c>
      <c r="D199" s="3" t="n">
        <v>18</v>
      </c>
      <c r="E199" s="4"/>
      <c r="F199" s="5"/>
      <c r="G199" s="7" t="str">
        <f aca="false">IF(ISNUMBER(E199),E199-C199,"")</f>
        <v/>
      </c>
      <c r="H199" s="7" t="str">
        <f aca="false">IF(ISNUMBER(E199),ABS(G199),"")</f>
        <v/>
      </c>
      <c r="I199" s="5"/>
    </row>
    <row r="200" customFormat="false" ht="16.4" hidden="false" customHeight="false" outlineLevel="0" collapsed="false">
      <c r="A200" s="2" t="s">
        <v>111</v>
      </c>
      <c r="B200" s="2" t="s">
        <v>110</v>
      </c>
      <c r="C200" s="2" t="n">
        <v>50</v>
      </c>
      <c r="D200" s="2" t="n">
        <v>19</v>
      </c>
      <c r="E200" s="4"/>
      <c r="F200" s="5"/>
      <c r="G200" s="6" t="str">
        <f aca="false">IF(ISNUMBER(E200),E200-C200,"")</f>
        <v/>
      </c>
      <c r="H200" s="6" t="str">
        <f aca="false">IF(ISNUMBER(E200),ABS(G200),"")</f>
        <v/>
      </c>
      <c r="I200" s="5"/>
    </row>
    <row r="201" customFormat="false" ht="16.4" hidden="false" customHeight="false" outlineLevel="0" collapsed="false">
      <c r="A201" s="3" t="s">
        <v>111</v>
      </c>
      <c r="B201" s="3" t="s">
        <v>110</v>
      </c>
      <c r="C201" s="3" t="n">
        <v>50</v>
      </c>
      <c r="D201" s="3" t="n">
        <v>20</v>
      </c>
      <c r="E201" s="4"/>
      <c r="F201" s="5"/>
      <c r="G201" s="7" t="str">
        <f aca="false">IF(ISNUMBER(E201),E201-C201,"")</f>
        <v/>
      </c>
      <c r="H201" s="7" t="str">
        <f aca="false">IF(ISNUMBER(E201),ABS(G201),"")</f>
        <v/>
      </c>
      <c r="I201" s="5"/>
    </row>
    <row r="202" customFormat="false" ht="16.4" hidden="false" customHeight="false" outlineLevel="0" collapsed="false">
      <c r="A202" s="2" t="s">
        <v>111</v>
      </c>
      <c r="B202" s="2" t="s">
        <v>110</v>
      </c>
      <c r="C202" s="2" t="n">
        <v>50</v>
      </c>
      <c r="D202" s="2" t="n">
        <v>21</v>
      </c>
      <c r="E202" s="4"/>
      <c r="F202" s="5"/>
      <c r="G202" s="6" t="str">
        <f aca="false">IF(ISNUMBER(E202),E202-C202,"")</f>
        <v/>
      </c>
      <c r="H202" s="6" t="str">
        <f aca="false">IF(ISNUMBER(E202),ABS(G202),"")</f>
        <v/>
      </c>
      <c r="I202" s="5"/>
    </row>
    <row r="203" customFormat="false" ht="16.4" hidden="false" customHeight="false" outlineLevel="0" collapsed="false">
      <c r="A203" s="3" t="s">
        <v>111</v>
      </c>
      <c r="B203" s="3" t="s">
        <v>110</v>
      </c>
      <c r="C203" s="3" t="n">
        <v>50</v>
      </c>
      <c r="D203" s="3" t="n">
        <v>22</v>
      </c>
      <c r="E203" s="4"/>
      <c r="F203" s="5"/>
      <c r="G203" s="7" t="str">
        <f aca="false">IF(ISNUMBER(E203),E203-C203,"")</f>
        <v/>
      </c>
      <c r="H203" s="7" t="str">
        <f aca="false">IF(ISNUMBER(E203),ABS(G203),"")</f>
        <v/>
      </c>
      <c r="I203" s="5"/>
    </row>
    <row r="204" customFormat="false" ht="16.4" hidden="false" customHeight="false" outlineLevel="0" collapsed="false">
      <c r="A204" s="2" t="s">
        <v>111</v>
      </c>
      <c r="B204" s="2" t="s">
        <v>110</v>
      </c>
      <c r="C204" s="2" t="n">
        <v>50</v>
      </c>
      <c r="D204" s="2" t="n">
        <v>23</v>
      </c>
      <c r="E204" s="4"/>
      <c r="F204" s="5"/>
      <c r="G204" s="6" t="str">
        <f aca="false">IF(ISNUMBER(E204),E204-C204,"")</f>
        <v/>
      </c>
      <c r="H204" s="6" t="str">
        <f aca="false">IF(ISNUMBER(E204),ABS(G204),"")</f>
        <v/>
      </c>
      <c r="I204" s="5"/>
    </row>
    <row r="205" customFormat="false" ht="16.4" hidden="false" customHeight="false" outlineLevel="0" collapsed="false">
      <c r="A205" s="3" t="s">
        <v>111</v>
      </c>
      <c r="B205" s="3" t="s">
        <v>110</v>
      </c>
      <c r="C205" s="3" t="n">
        <v>50</v>
      </c>
      <c r="D205" s="3" t="n">
        <v>24</v>
      </c>
      <c r="E205" s="4"/>
      <c r="F205" s="5"/>
      <c r="G205" s="7" t="str">
        <f aca="false">IF(ISNUMBER(E205),E205-C205,"")</f>
        <v/>
      </c>
      <c r="H205" s="7" t="str">
        <f aca="false">IF(ISNUMBER(E205),ABS(G205),"")</f>
        <v/>
      </c>
      <c r="I205" s="5"/>
    </row>
    <row r="206" customFormat="false" ht="16.4" hidden="false" customHeight="false" outlineLevel="0" collapsed="false">
      <c r="A206" s="2" t="s">
        <v>111</v>
      </c>
      <c r="B206" s="2" t="s">
        <v>110</v>
      </c>
      <c r="C206" s="2" t="n">
        <v>50</v>
      </c>
      <c r="D206" s="2" t="n">
        <v>25</v>
      </c>
      <c r="E206" s="4"/>
      <c r="F206" s="5"/>
      <c r="G206" s="6" t="str">
        <f aca="false">IF(ISNUMBER(E206),E206-C206,"")</f>
        <v/>
      </c>
      <c r="H206" s="6" t="str">
        <f aca="false">IF(ISNUMBER(E206),ABS(G206),"")</f>
        <v/>
      </c>
      <c r="I206" s="5"/>
    </row>
    <row r="207" customFormat="false" ht="16.4" hidden="false" customHeight="false" outlineLevel="0" collapsed="false">
      <c r="A207" s="3" t="s">
        <v>111</v>
      </c>
      <c r="B207" s="3" t="s">
        <v>110</v>
      </c>
      <c r="C207" s="3" t="n">
        <v>50</v>
      </c>
      <c r="D207" s="3" t="n">
        <v>26</v>
      </c>
      <c r="E207" s="4"/>
      <c r="F207" s="5"/>
      <c r="G207" s="7" t="str">
        <f aca="false">IF(ISNUMBER(E207),E207-C207,"")</f>
        <v/>
      </c>
      <c r="H207" s="7" t="str">
        <f aca="false">IF(ISNUMBER(E207),ABS(G207),"")</f>
        <v/>
      </c>
      <c r="I207" s="5"/>
    </row>
    <row r="208" customFormat="false" ht="16.4" hidden="false" customHeight="false" outlineLevel="0" collapsed="false">
      <c r="A208" s="2" t="s">
        <v>111</v>
      </c>
      <c r="B208" s="2" t="s">
        <v>110</v>
      </c>
      <c r="C208" s="2" t="n">
        <v>50</v>
      </c>
      <c r="D208" s="2" t="n">
        <v>27</v>
      </c>
      <c r="E208" s="4"/>
      <c r="F208" s="5"/>
      <c r="G208" s="6" t="str">
        <f aca="false">IF(ISNUMBER(E208),E208-C208,"")</f>
        <v/>
      </c>
      <c r="H208" s="6" t="str">
        <f aca="false">IF(ISNUMBER(E208),ABS(G208),"")</f>
        <v/>
      </c>
      <c r="I208" s="5"/>
    </row>
    <row r="209" customFormat="false" ht="16.4" hidden="false" customHeight="false" outlineLevel="0" collapsed="false">
      <c r="A209" s="3" t="s">
        <v>111</v>
      </c>
      <c r="B209" s="3" t="s">
        <v>110</v>
      </c>
      <c r="C209" s="3" t="n">
        <v>50</v>
      </c>
      <c r="D209" s="3" t="n">
        <v>28</v>
      </c>
      <c r="E209" s="4"/>
      <c r="F209" s="5"/>
      <c r="G209" s="7" t="str">
        <f aca="false">IF(ISNUMBER(E209),E209-C209,"")</f>
        <v/>
      </c>
      <c r="H209" s="7" t="str">
        <f aca="false">IF(ISNUMBER(E209),ABS(G209),"")</f>
        <v/>
      </c>
      <c r="I209" s="5"/>
    </row>
    <row r="210" customFormat="false" ht="16.4" hidden="false" customHeight="false" outlineLevel="0" collapsed="false">
      <c r="A210" s="2" t="s">
        <v>111</v>
      </c>
      <c r="B210" s="2" t="s">
        <v>110</v>
      </c>
      <c r="C210" s="2" t="n">
        <v>50</v>
      </c>
      <c r="D210" s="2" t="n">
        <v>29</v>
      </c>
      <c r="E210" s="4"/>
      <c r="F210" s="5"/>
      <c r="G210" s="6" t="str">
        <f aca="false">IF(ISNUMBER(E210),E210-C210,"")</f>
        <v/>
      </c>
      <c r="H210" s="6" t="str">
        <f aca="false">IF(ISNUMBER(E210),ABS(G210),"")</f>
        <v/>
      </c>
      <c r="I210" s="5"/>
    </row>
    <row r="211" customFormat="false" ht="16.4" hidden="false" customHeight="false" outlineLevel="0" collapsed="false">
      <c r="A211" s="3" t="s">
        <v>111</v>
      </c>
      <c r="B211" s="3" t="s">
        <v>110</v>
      </c>
      <c r="C211" s="3" t="n">
        <v>50</v>
      </c>
      <c r="D211" s="3" t="n">
        <v>30</v>
      </c>
      <c r="E211" s="4"/>
      <c r="F211" s="5"/>
      <c r="G211" s="7" t="str">
        <f aca="false">IF(ISNUMBER(E211),E211-C211,"")</f>
        <v/>
      </c>
      <c r="H211" s="7" t="str">
        <f aca="false">IF(ISNUMBER(E211),ABS(G211),"")</f>
        <v/>
      </c>
      <c r="I211" s="5"/>
    </row>
    <row r="212" customFormat="false" ht="16.4" hidden="false" customHeight="false" outlineLevel="0" collapsed="false">
      <c r="A212" s="2" t="s">
        <v>112</v>
      </c>
      <c r="B212" s="2" t="s">
        <v>110</v>
      </c>
      <c r="C212" s="2" t="n">
        <v>100</v>
      </c>
      <c r="D212" s="2" t="n">
        <v>1</v>
      </c>
      <c r="E212" s="4"/>
      <c r="F212" s="5"/>
      <c r="G212" s="6" t="str">
        <f aca="false">IF(ISNUMBER(E212),E212-C212,"")</f>
        <v/>
      </c>
      <c r="H212" s="6" t="str">
        <f aca="false">IF(ISNUMBER(E212),ABS(G212),"")</f>
        <v/>
      </c>
      <c r="I212" s="5"/>
    </row>
    <row r="213" customFormat="false" ht="16.4" hidden="false" customHeight="false" outlineLevel="0" collapsed="false">
      <c r="A213" s="3" t="s">
        <v>112</v>
      </c>
      <c r="B213" s="3" t="s">
        <v>110</v>
      </c>
      <c r="C213" s="3" t="n">
        <v>100</v>
      </c>
      <c r="D213" s="3" t="n">
        <v>2</v>
      </c>
      <c r="E213" s="4"/>
      <c r="F213" s="5"/>
      <c r="G213" s="7" t="str">
        <f aca="false">IF(ISNUMBER(E213),E213-C213,"")</f>
        <v/>
      </c>
      <c r="H213" s="7" t="str">
        <f aca="false">IF(ISNUMBER(E213),ABS(G213),"")</f>
        <v/>
      </c>
      <c r="I213" s="5"/>
    </row>
    <row r="214" customFormat="false" ht="16.4" hidden="false" customHeight="false" outlineLevel="0" collapsed="false">
      <c r="A214" s="2" t="s">
        <v>112</v>
      </c>
      <c r="B214" s="2" t="s">
        <v>110</v>
      </c>
      <c r="C214" s="2" t="n">
        <v>100</v>
      </c>
      <c r="D214" s="2" t="n">
        <v>3</v>
      </c>
      <c r="E214" s="4"/>
      <c r="F214" s="5"/>
      <c r="G214" s="6" t="str">
        <f aca="false">IF(ISNUMBER(E214),E214-C214,"")</f>
        <v/>
      </c>
      <c r="H214" s="6" t="str">
        <f aca="false">IF(ISNUMBER(E214),ABS(G214),"")</f>
        <v/>
      </c>
      <c r="I214" s="5"/>
    </row>
    <row r="215" customFormat="false" ht="16.4" hidden="false" customHeight="false" outlineLevel="0" collapsed="false">
      <c r="A215" s="3" t="s">
        <v>112</v>
      </c>
      <c r="B215" s="3" t="s">
        <v>110</v>
      </c>
      <c r="C215" s="3" t="n">
        <v>100</v>
      </c>
      <c r="D215" s="3" t="n">
        <v>4</v>
      </c>
      <c r="E215" s="4"/>
      <c r="F215" s="5"/>
      <c r="G215" s="7" t="str">
        <f aca="false">IF(ISNUMBER(E215),E215-C215,"")</f>
        <v/>
      </c>
      <c r="H215" s="7" t="str">
        <f aca="false">IF(ISNUMBER(E215),ABS(G215),"")</f>
        <v/>
      </c>
      <c r="I215" s="5"/>
    </row>
    <row r="216" customFormat="false" ht="16.4" hidden="false" customHeight="false" outlineLevel="0" collapsed="false">
      <c r="A216" s="2" t="s">
        <v>112</v>
      </c>
      <c r="B216" s="2" t="s">
        <v>110</v>
      </c>
      <c r="C216" s="2" t="n">
        <v>100</v>
      </c>
      <c r="D216" s="2" t="n">
        <v>5</v>
      </c>
      <c r="E216" s="4"/>
      <c r="F216" s="5"/>
      <c r="G216" s="6" t="str">
        <f aca="false">IF(ISNUMBER(E216),E216-C216,"")</f>
        <v/>
      </c>
      <c r="H216" s="6" t="str">
        <f aca="false">IF(ISNUMBER(E216),ABS(G216),"")</f>
        <v/>
      </c>
      <c r="I216" s="5"/>
    </row>
    <row r="217" customFormat="false" ht="16.4" hidden="false" customHeight="false" outlineLevel="0" collapsed="false">
      <c r="A217" s="3" t="s">
        <v>112</v>
      </c>
      <c r="B217" s="3" t="s">
        <v>110</v>
      </c>
      <c r="C217" s="3" t="n">
        <v>100</v>
      </c>
      <c r="D217" s="3" t="n">
        <v>6</v>
      </c>
      <c r="E217" s="4"/>
      <c r="F217" s="5"/>
      <c r="G217" s="7" t="str">
        <f aca="false">IF(ISNUMBER(E217),E217-C217,"")</f>
        <v/>
      </c>
      <c r="H217" s="7" t="str">
        <f aca="false">IF(ISNUMBER(E217),ABS(G217),"")</f>
        <v/>
      </c>
      <c r="I217" s="5"/>
    </row>
    <row r="218" customFormat="false" ht="16.4" hidden="false" customHeight="false" outlineLevel="0" collapsed="false">
      <c r="A218" s="2" t="s">
        <v>112</v>
      </c>
      <c r="B218" s="2" t="s">
        <v>110</v>
      </c>
      <c r="C218" s="2" t="n">
        <v>100</v>
      </c>
      <c r="D218" s="2" t="n">
        <v>7</v>
      </c>
      <c r="E218" s="4"/>
      <c r="F218" s="5"/>
      <c r="G218" s="6" t="str">
        <f aca="false">IF(ISNUMBER(E218),E218-C218,"")</f>
        <v/>
      </c>
      <c r="H218" s="6" t="str">
        <f aca="false">IF(ISNUMBER(E218),ABS(G218),"")</f>
        <v/>
      </c>
      <c r="I218" s="5"/>
    </row>
    <row r="219" customFormat="false" ht="16.4" hidden="false" customHeight="false" outlineLevel="0" collapsed="false">
      <c r="A219" s="3" t="s">
        <v>112</v>
      </c>
      <c r="B219" s="3" t="s">
        <v>110</v>
      </c>
      <c r="C219" s="3" t="n">
        <v>100</v>
      </c>
      <c r="D219" s="3" t="n">
        <v>8</v>
      </c>
      <c r="E219" s="4"/>
      <c r="F219" s="5"/>
      <c r="G219" s="7" t="str">
        <f aca="false">IF(ISNUMBER(E219),E219-C219,"")</f>
        <v/>
      </c>
      <c r="H219" s="7" t="str">
        <f aca="false">IF(ISNUMBER(E219),ABS(G219),"")</f>
        <v/>
      </c>
      <c r="I219" s="5"/>
    </row>
    <row r="220" customFormat="false" ht="16.4" hidden="false" customHeight="false" outlineLevel="0" collapsed="false">
      <c r="A220" s="2" t="s">
        <v>112</v>
      </c>
      <c r="B220" s="2" t="s">
        <v>110</v>
      </c>
      <c r="C220" s="2" t="n">
        <v>100</v>
      </c>
      <c r="D220" s="2" t="n">
        <v>9</v>
      </c>
      <c r="E220" s="4"/>
      <c r="F220" s="5"/>
      <c r="G220" s="6" t="str">
        <f aca="false">IF(ISNUMBER(E220),E220-C220,"")</f>
        <v/>
      </c>
      <c r="H220" s="6" t="str">
        <f aca="false">IF(ISNUMBER(E220),ABS(G220),"")</f>
        <v/>
      </c>
      <c r="I220" s="5"/>
    </row>
    <row r="221" customFormat="false" ht="16.4" hidden="false" customHeight="false" outlineLevel="0" collapsed="false">
      <c r="A221" s="3" t="s">
        <v>112</v>
      </c>
      <c r="B221" s="3" t="s">
        <v>110</v>
      </c>
      <c r="C221" s="3" t="n">
        <v>100</v>
      </c>
      <c r="D221" s="3" t="n">
        <v>10</v>
      </c>
      <c r="E221" s="4"/>
      <c r="F221" s="5"/>
      <c r="G221" s="7" t="str">
        <f aca="false">IF(ISNUMBER(E221),E221-C221,"")</f>
        <v/>
      </c>
      <c r="H221" s="7" t="str">
        <f aca="false">IF(ISNUMBER(E221),ABS(G221),"")</f>
        <v/>
      </c>
      <c r="I221" s="5"/>
    </row>
    <row r="222" customFormat="false" ht="16.4" hidden="false" customHeight="false" outlineLevel="0" collapsed="false">
      <c r="A222" s="2" t="s">
        <v>112</v>
      </c>
      <c r="B222" s="2" t="s">
        <v>110</v>
      </c>
      <c r="C222" s="2" t="n">
        <v>100</v>
      </c>
      <c r="D222" s="2" t="n">
        <v>11</v>
      </c>
      <c r="E222" s="4"/>
      <c r="F222" s="5"/>
      <c r="G222" s="6" t="str">
        <f aca="false">IF(ISNUMBER(E222),E222-C222,"")</f>
        <v/>
      </c>
      <c r="H222" s="6" t="str">
        <f aca="false">IF(ISNUMBER(E222),ABS(G222),"")</f>
        <v/>
      </c>
      <c r="I222" s="5"/>
    </row>
    <row r="223" customFormat="false" ht="16.4" hidden="false" customHeight="false" outlineLevel="0" collapsed="false">
      <c r="A223" s="3" t="s">
        <v>112</v>
      </c>
      <c r="B223" s="3" t="s">
        <v>110</v>
      </c>
      <c r="C223" s="3" t="n">
        <v>100</v>
      </c>
      <c r="D223" s="3" t="n">
        <v>12</v>
      </c>
      <c r="E223" s="4"/>
      <c r="F223" s="5"/>
      <c r="G223" s="7" t="str">
        <f aca="false">IF(ISNUMBER(E223),E223-C223,"")</f>
        <v/>
      </c>
      <c r="H223" s="7" t="str">
        <f aca="false">IF(ISNUMBER(E223),ABS(G223),"")</f>
        <v/>
      </c>
      <c r="I223" s="5"/>
    </row>
    <row r="224" customFormat="false" ht="16.4" hidden="false" customHeight="false" outlineLevel="0" collapsed="false">
      <c r="A224" s="2" t="s">
        <v>112</v>
      </c>
      <c r="B224" s="2" t="s">
        <v>110</v>
      </c>
      <c r="C224" s="2" t="n">
        <v>100</v>
      </c>
      <c r="D224" s="2" t="n">
        <v>13</v>
      </c>
      <c r="E224" s="4"/>
      <c r="F224" s="5"/>
      <c r="G224" s="6" t="str">
        <f aca="false">IF(ISNUMBER(E224),E224-C224,"")</f>
        <v/>
      </c>
      <c r="H224" s="6" t="str">
        <f aca="false">IF(ISNUMBER(E224),ABS(G224),"")</f>
        <v/>
      </c>
      <c r="I224" s="5"/>
    </row>
    <row r="225" customFormat="false" ht="16.4" hidden="false" customHeight="false" outlineLevel="0" collapsed="false">
      <c r="A225" s="3" t="s">
        <v>112</v>
      </c>
      <c r="B225" s="3" t="s">
        <v>110</v>
      </c>
      <c r="C225" s="3" t="n">
        <v>100</v>
      </c>
      <c r="D225" s="3" t="n">
        <v>14</v>
      </c>
      <c r="E225" s="4"/>
      <c r="F225" s="5"/>
      <c r="G225" s="7" t="str">
        <f aca="false">IF(ISNUMBER(E225),E225-C225,"")</f>
        <v/>
      </c>
      <c r="H225" s="7" t="str">
        <f aca="false">IF(ISNUMBER(E225),ABS(G225),"")</f>
        <v/>
      </c>
      <c r="I225" s="5"/>
    </row>
    <row r="226" customFormat="false" ht="16.4" hidden="false" customHeight="false" outlineLevel="0" collapsed="false">
      <c r="A226" s="2" t="s">
        <v>112</v>
      </c>
      <c r="B226" s="2" t="s">
        <v>110</v>
      </c>
      <c r="C226" s="2" t="n">
        <v>100</v>
      </c>
      <c r="D226" s="2" t="n">
        <v>15</v>
      </c>
      <c r="E226" s="4"/>
      <c r="F226" s="5"/>
      <c r="G226" s="6" t="str">
        <f aca="false">IF(ISNUMBER(E226),E226-C226,"")</f>
        <v/>
      </c>
      <c r="H226" s="6" t="str">
        <f aca="false">IF(ISNUMBER(E226),ABS(G226),"")</f>
        <v/>
      </c>
      <c r="I226" s="5"/>
    </row>
    <row r="227" customFormat="false" ht="16.4" hidden="false" customHeight="false" outlineLevel="0" collapsed="false">
      <c r="A227" s="3" t="s">
        <v>112</v>
      </c>
      <c r="B227" s="3" t="s">
        <v>110</v>
      </c>
      <c r="C227" s="3" t="n">
        <v>100</v>
      </c>
      <c r="D227" s="3" t="n">
        <v>16</v>
      </c>
      <c r="E227" s="4"/>
      <c r="F227" s="5"/>
      <c r="G227" s="7" t="str">
        <f aca="false">IF(ISNUMBER(E227),E227-C227,"")</f>
        <v/>
      </c>
      <c r="H227" s="7" t="str">
        <f aca="false">IF(ISNUMBER(E227),ABS(G227),"")</f>
        <v/>
      </c>
      <c r="I227" s="5"/>
    </row>
    <row r="228" customFormat="false" ht="16.4" hidden="false" customHeight="false" outlineLevel="0" collapsed="false">
      <c r="A228" s="2" t="s">
        <v>112</v>
      </c>
      <c r="B228" s="2" t="s">
        <v>110</v>
      </c>
      <c r="C228" s="2" t="n">
        <v>100</v>
      </c>
      <c r="D228" s="2" t="n">
        <v>17</v>
      </c>
      <c r="E228" s="4"/>
      <c r="F228" s="5"/>
      <c r="G228" s="6" t="str">
        <f aca="false">IF(ISNUMBER(E228),E228-C228,"")</f>
        <v/>
      </c>
      <c r="H228" s="6" t="str">
        <f aca="false">IF(ISNUMBER(E228),ABS(G228),"")</f>
        <v/>
      </c>
      <c r="I228" s="5"/>
    </row>
    <row r="229" customFormat="false" ht="16.4" hidden="false" customHeight="false" outlineLevel="0" collapsed="false">
      <c r="A229" s="3" t="s">
        <v>112</v>
      </c>
      <c r="B229" s="3" t="s">
        <v>110</v>
      </c>
      <c r="C229" s="3" t="n">
        <v>100</v>
      </c>
      <c r="D229" s="3" t="n">
        <v>18</v>
      </c>
      <c r="E229" s="4"/>
      <c r="F229" s="5"/>
      <c r="G229" s="7" t="str">
        <f aca="false">IF(ISNUMBER(E229),E229-C229,"")</f>
        <v/>
      </c>
      <c r="H229" s="7" t="str">
        <f aca="false">IF(ISNUMBER(E229),ABS(G229),"")</f>
        <v/>
      </c>
      <c r="I229" s="5"/>
    </row>
    <row r="230" customFormat="false" ht="16.4" hidden="false" customHeight="false" outlineLevel="0" collapsed="false">
      <c r="A230" s="2" t="s">
        <v>112</v>
      </c>
      <c r="B230" s="2" t="s">
        <v>110</v>
      </c>
      <c r="C230" s="2" t="n">
        <v>100</v>
      </c>
      <c r="D230" s="2" t="n">
        <v>19</v>
      </c>
      <c r="E230" s="4"/>
      <c r="F230" s="5"/>
      <c r="G230" s="6" t="str">
        <f aca="false">IF(ISNUMBER(E230),E230-C230,"")</f>
        <v/>
      </c>
      <c r="H230" s="6" t="str">
        <f aca="false">IF(ISNUMBER(E230),ABS(G230),"")</f>
        <v/>
      </c>
      <c r="I230" s="5"/>
    </row>
    <row r="231" customFormat="false" ht="16.4" hidden="false" customHeight="false" outlineLevel="0" collapsed="false">
      <c r="A231" s="3" t="s">
        <v>112</v>
      </c>
      <c r="B231" s="3" t="s">
        <v>110</v>
      </c>
      <c r="C231" s="3" t="n">
        <v>100</v>
      </c>
      <c r="D231" s="3" t="n">
        <v>20</v>
      </c>
      <c r="E231" s="4"/>
      <c r="F231" s="5"/>
      <c r="G231" s="7" t="str">
        <f aca="false">IF(ISNUMBER(E231),E231-C231,"")</f>
        <v/>
      </c>
      <c r="H231" s="7" t="str">
        <f aca="false">IF(ISNUMBER(E231),ABS(G231),"")</f>
        <v/>
      </c>
      <c r="I231" s="5"/>
    </row>
    <row r="232" customFormat="false" ht="16.4" hidden="false" customHeight="false" outlineLevel="0" collapsed="false">
      <c r="A232" s="2" t="s">
        <v>112</v>
      </c>
      <c r="B232" s="2" t="s">
        <v>110</v>
      </c>
      <c r="C232" s="2" t="n">
        <v>100</v>
      </c>
      <c r="D232" s="2" t="n">
        <v>21</v>
      </c>
      <c r="E232" s="4"/>
      <c r="F232" s="5"/>
      <c r="G232" s="6" t="str">
        <f aca="false">IF(ISNUMBER(E232),E232-C232,"")</f>
        <v/>
      </c>
      <c r="H232" s="6" t="str">
        <f aca="false">IF(ISNUMBER(E232),ABS(G232),"")</f>
        <v/>
      </c>
      <c r="I232" s="5"/>
    </row>
    <row r="233" customFormat="false" ht="16.4" hidden="false" customHeight="false" outlineLevel="0" collapsed="false">
      <c r="A233" s="3" t="s">
        <v>112</v>
      </c>
      <c r="B233" s="3" t="s">
        <v>110</v>
      </c>
      <c r="C233" s="3" t="n">
        <v>100</v>
      </c>
      <c r="D233" s="3" t="n">
        <v>22</v>
      </c>
      <c r="E233" s="4"/>
      <c r="F233" s="5"/>
      <c r="G233" s="7" t="str">
        <f aca="false">IF(ISNUMBER(E233),E233-C233,"")</f>
        <v/>
      </c>
      <c r="H233" s="7" t="str">
        <f aca="false">IF(ISNUMBER(E233),ABS(G233),"")</f>
        <v/>
      </c>
      <c r="I233" s="5"/>
    </row>
    <row r="234" customFormat="false" ht="16.4" hidden="false" customHeight="false" outlineLevel="0" collapsed="false">
      <c r="A234" s="2" t="s">
        <v>112</v>
      </c>
      <c r="B234" s="2" t="s">
        <v>110</v>
      </c>
      <c r="C234" s="2" t="n">
        <v>100</v>
      </c>
      <c r="D234" s="2" t="n">
        <v>23</v>
      </c>
      <c r="E234" s="4"/>
      <c r="F234" s="5"/>
      <c r="G234" s="6" t="str">
        <f aca="false">IF(ISNUMBER(E234),E234-C234,"")</f>
        <v/>
      </c>
      <c r="H234" s="6" t="str">
        <f aca="false">IF(ISNUMBER(E234),ABS(G234),"")</f>
        <v/>
      </c>
      <c r="I234" s="5"/>
    </row>
    <row r="235" customFormat="false" ht="16.4" hidden="false" customHeight="false" outlineLevel="0" collapsed="false">
      <c r="A235" s="3" t="s">
        <v>112</v>
      </c>
      <c r="B235" s="3" t="s">
        <v>110</v>
      </c>
      <c r="C235" s="3" t="n">
        <v>100</v>
      </c>
      <c r="D235" s="3" t="n">
        <v>24</v>
      </c>
      <c r="E235" s="4"/>
      <c r="F235" s="5"/>
      <c r="G235" s="7" t="str">
        <f aca="false">IF(ISNUMBER(E235),E235-C235,"")</f>
        <v/>
      </c>
      <c r="H235" s="7" t="str">
        <f aca="false">IF(ISNUMBER(E235),ABS(G235),"")</f>
        <v/>
      </c>
      <c r="I235" s="5"/>
    </row>
    <row r="236" customFormat="false" ht="16.4" hidden="false" customHeight="false" outlineLevel="0" collapsed="false">
      <c r="A236" s="2" t="s">
        <v>112</v>
      </c>
      <c r="B236" s="2" t="s">
        <v>110</v>
      </c>
      <c r="C236" s="2" t="n">
        <v>100</v>
      </c>
      <c r="D236" s="2" t="n">
        <v>25</v>
      </c>
      <c r="E236" s="4"/>
      <c r="F236" s="5"/>
      <c r="G236" s="6" t="str">
        <f aca="false">IF(ISNUMBER(E236),E236-C236,"")</f>
        <v/>
      </c>
      <c r="H236" s="6" t="str">
        <f aca="false">IF(ISNUMBER(E236),ABS(G236),"")</f>
        <v/>
      </c>
      <c r="I236" s="5"/>
    </row>
    <row r="237" customFormat="false" ht="16.4" hidden="false" customHeight="false" outlineLevel="0" collapsed="false">
      <c r="A237" s="3" t="s">
        <v>112</v>
      </c>
      <c r="B237" s="3" t="s">
        <v>110</v>
      </c>
      <c r="C237" s="3" t="n">
        <v>100</v>
      </c>
      <c r="D237" s="3" t="n">
        <v>26</v>
      </c>
      <c r="E237" s="4"/>
      <c r="F237" s="5"/>
      <c r="G237" s="7" t="str">
        <f aca="false">IF(ISNUMBER(E237),E237-C237,"")</f>
        <v/>
      </c>
      <c r="H237" s="7" t="str">
        <f aca="false">IF(ISNUMBER(E237),ABS(G237),"")</f>
        <v/>
      </c>
      <c r="I237" s="5"/>
    </row>
    <row r="238" customFormat="false" ht="16.4" hidden="false" customHeight="false" outlineLevel="0" collapsed="false">
      <c r="A238" s="2" t="s">
        <v>112</v>
      </c>
      <c r="B238" s="2" t="s">
        <v>110</v>
      </c>
      <c r="C238" s="2" t="n">
        <v>100</v>
      </c>
      <c r="D238" s="2" t="n">
        <v>27</v>
      </c>
      <c r="E238" s="4"/>
      <c r="F238" s="5"/>
      <c r="G238" s="6" t="str">
        <f aca="false">IF(ISNUMBER(E238),E238-C238,"")</f>
        <v/>
      </c>
      <c r="H238" s="6" t="str">
        <f aca="false">IF(ISNUMBER(E238),ABS(G238),"")</f>
        <v/>
      </c>
      <c r="I238" s="5"/>
    </row>
    <row r="239" customFormat="false" ht="16.4" hidden="false" customHeight="false" outlineLevel="0" collapsed="false">
      <c r="A239" s="3" t="s">
        <v>112</v>
      </c>
      <c r="B239" s="3" t="s">
        <v>110</v>
      </c>
      <c r="C239" s="3" t="n">
        <v>100</v>
      </c>
      <c r="D239" s="3" t="n">
        <v>28</v>
      </c>
      <c r="E239" s="4"/>
      <c r="F239" s="5"/>
      <c r="G239" s="7" t="str">
        <f aca="false">IF(ISNUMBER(E239),E239-C239,"")</f>
        <v/>
      </c>
      <c r="H239" s="7" t="str">
        <f aca="false">IF(ISNUMBER(E239),ABS(G239),"")</f>
        <v/>
      </c>
      <c r="I239" s="5"/>
    </row>
    <row r="240" customFormat="false" ht="16.4" hidden="false" customHeight="false" outlineLevel="0" collapsed="false">
      <c r="A240" s="2" t="s">
        <v>112</v>
      </c>
      <c r="B240" s="2" t="s">
        <v>110</v>
      </c>
      <c r="C240" s="2" t="n">
        <v>100</v>
      </c>
      <c r="D240" s="2" t="n">
        <v>29</v>
      </c>
      <c r="E240" s="4"/>
      <c r="F240" s="5"/>
      <c r="G240" s="6" t="str">
        <f aca="false">IF(ISNUMBER(E240),E240-C240,"")</f>
        <v/>
      </c>
      <c r="H240" s="6" t="str">
        <f aca="false">IF(ISNUMBER(E240),ABS(G240),"")</f>
        <v/>
      </c>
      <c r="I240" s="5"/>
    </row>
    <row r="241" customFormat="false" ht="16.4" hidden="false" customHeight="false" outlineLevel="0" collapsed="false">
      <c r="A241" s="3" t="s">
        <v>112</v>
      </c>
      <c r="B241" s="3" t="s">
        <v>110</v>
      </c>
      <c r="C241" s="3" t="n">
        <v>100</v>
      </c>
      <c r="D241" s="3" t="n">
        <v>30</v>
      </c>
      <c r="E241" s="4"/>
      <c r="F241" s="5"/>
      <c r="G241" s="7" t="str">
        <f aca="false">IF(ISNUMBER(E241),E241-C241,"")</f>
        <v/>
      </c>
      <c r="H241" s="7" t="str">
        <f aca="false">IF(ISNUMBER(E241),ABS(G241),"")</f>
        <v/>
      </c>
      <c r="I241" s="5"/>
    </row>
    <row r="242" customFormat="false" ht="16.4" hidden="false" customHeight="false" outlineLevel="0" collapsed="false">
      <c r="A242" s="2" t="s">
        <v>113</v>
      </c>
      <c r="B242" s="2" t="s">
        <v>110</v>
      </c>
      <c r="C242" s="2" t="n">
        <v>150</v>
      </c>
      <c r="D242" s="2" t="n">
        <v>1</v>
      </c>
      <c r="E242" s="4"/>
      <c r="F242" s="5"/>
      <c r="G242" s="6" t="str">
        <f aca="false">IF(ISNUMBER(E242),E242-C242,"")</f>
        <v/>
      </c>
      <c r="H242" s="6" t="str">
        <f aca="false">IF(ISNUMBER(E242),ABS(G242),"")</f>
        <v/>
      </c>
      <c r="I242" s="5"/>
    </row>
    <row r="243" customFormat="false" ht="16.4" hidden="false" customHeight="false" outlineLevel="0" collapsed="false">
      <c r="A243" s="3" t="s">
        <v>113</v>
      </c>
      <c r="B243" s="3" t="s">
        <v>110</v>
      </c>
      <c r="C243" s="3" t="n">
        <v>150</v>
      </c>
      <c r="D243" s="3" t="n">
        <v>2</v>
      </c>
      <c r="E243" s="4"/>
      <c r="F243" s="5"/>
      <c r="G243" s="7" t="str">
        <f aca="false">IF(ISNUMBER(E243),E243-C243,"")</f>
        <v/>
      </c>
      <c r="H243" s="7" t="str">
        <f aca="false">IF(ISNUMBER(E243),ABS(G243),"")</f>
        <v/>
      </c>
      <c r="I243" s="5"/>
    </row>
    <row r="244" customFormat="false" ht="16.4" hidden="false" customHeight="false" outlineLevel="0" collapsed="false">
      <c r="A244" s="2" t="s">
        <v>113</v>
      </c>
      <c r="B244" s="2" t="s">
        <v>110</v>
      </c>
      <c r="C244" s="2" t="n">
        <v>150</v>
      </c>
      <c r="D244" s="2" t="n">
        <v>3</v>
      </c>
      <c r="E244" s="4"/>
      <c r="F244" s="5"/>
      <c r="G244" s="6" t="str">
        <f aca="false">IF(ISNUMBER(E244),E244-C244,"")</f>
        <v/>
      </c>
      <c r="H244" s="6" t="str">
        <f aca="false">IF(ISNUMBER(E244),ABS(G244),"")</f>
        <v/>
      </c>
      <c r="I244" s="5"/>
    </row>
    <row r="245" customFormat="false" ht="16.4" hidden="false" customHeight="false" outlineLevel="0" collapsed="false">
      <c r="A245" s="3" t="s">
        <v>113</v>
      </c>
      <c r="B245" s="3" t="s">
        <v>110</v>
      </c>
      <c r="C245" s="3" t="n">
        <v>150</v>
      </c>
      <c r="D245" s="3" t="n">
        <v>4</v>
      </c>
      <c r="E245" s="4"/>
      <c r="F245" s="5"/>
      <c r="G245" s="7" t="str">
        <f aca="false">IF(ISNUMBER(E245),E245-C245,"")</f>
        <v/>
      </c>
      <c r="H245" s="7" t="str">
        <f aca="false">IF(ISNUMBER(E245),ABS(G245),"")</f>
        <v/>
      </c>
      <c r="I245" s="5"/>
    </row>
    <row r="246" customFormat="false" ht="16.4" hidden="false" customHeight="false" outlineLevel="0" collapsed="false">
      <c r="A246" s="2" t="s">
        <v>113</v>
      </c>
      <c r="B246" s="2" t="s">
        <v>110</v>
      </c>
      <c r="C246" s="2" t="n">
        <v>150</v>
      </c>
      <c r="D246" s="2" t="n">
        <v>5</v>
      </c>
      <c r="E246" s="4"/>
      <c r="F246" s="5"/>
      <c r="G246" s="6" t="str">
        <f aca="false">IF(ISNUMBER(E246),E246-C246,"")</f>
        <v/>
      </c>
      <c r="H246" s="6" t="str">
        <f aca="false">IF(ISNUMBER(E246),ABS(G246),"")</f>
        <v/>
      </c>
      <c r="I246" s="5"/>
    </row>
    <row r="247" customFormat="false" ht="16.4" hidden="false" customHeight="false" outlineLevel="0" collapsed="false">
      <c r="A247" s="3" t="s">
        <v>113</v>
      </c>
      <c r="B247" s="3" t="s">
        <v>110</v>
      </c>
      <c r="C247" s="3" t="n">
        <v>150</v>
      </c>
      <c r="D247" s="3" t="n">
        <v>6</v>
      </c>
      <c r="E247" s="4"/>
      <c r="F247" s="5"/>
      <c r="G247" s="7" t="str">
        <f aca="false">IF(ISNUMBER(E247),E247-C247,"")</f>
        <v/>
      </c>
      <c r="H247" s="7" t="str">
        <f aca="false">IF(ISNUMBER(E247),ABS(G247),"")</f>
        <v/>
      </c>
      <c r="I247" s="5"/>
    </row>
    <row r="248" customFormat="false" ht="16.4" hidden="false" customHeight="false" outlineLevel="0" collapsed="false">
      <c r="A248" s="2" t="s">
        <v>113</v>
      </c>
      <c r="B248" s="2" t="s">
        <v>110</v>
      </c>
      <c r="C248" s="2" t="n">
        <v>150</v>
      </c>
      <c r="D248" s="2" t="n">
        <v>7</v>
      </c>
      <c r="E248" s="4"/>
      <c r="F248" s="5"/>
      <c r="G248" s="6" t="str">
        <f aca="false">IF(ISNUMBER(E248),E248-C248,"")</f>
        <v/>
      </c>
      <c r="H248" s="6" t="str">
        <f aca="false">IF(ISNUMBER(E248),ABS(G248),"")</f>
        <v/>
      </c>
      <c r="I248" s="5"/>
    </row>
    <row r="249" customFormat="false" ht="16.4" hidden="false" customHeight="false" outlineLevel="0" collapsed="false">
      <c r="A249" s="3" t="s">
        <v>113</v>
      </c>
      <c r="B249" s="3" t="s">
        <v>110</v>
      </c>
      <c r="C249" s="3" t="n">
        <v>150</v>
      </c>
      <c r="D249" s="3" t="n">
        <v>8</v>
      </c>
      <c r="E249" s="4"/>
      <c r="F249" s="5"/>
      <c r="G249" s="7" t="str">
        <f aca="false">IF(ISNUMBER(E249),E249-C249,"")</f>
        <v/>
      </c>
      <c r="H249" s="7" t="str">
        <f aca="false">IF(ISNUMBER(E249),ABS(G249),"")</f>
        <v/>
      </c>
      <c r="I249" s="5"/>
    </row>
    <row r="250" customFormat="false" ht="16.4" hidden="false" customHeight="false" outlineLevel="0" collapsed="false">
      <c r="A250" s="2" t="s">
        <v>113</v>
      </c>
      <c r="B250" s="2" t="s">
        <v>110</v>
      </c>
      <c r="C250" s="2" t="n">
        <v>150</v>
      </c>
      <c r="D250" s="2" t="n">
        <v>9</v>
      </c>
      <c r="E250" s="4"/>
      <c r="F250" s="5"/>
      <c r="G250" s="6" t="str">
        <f aca="false">IF(ISNUMBER(E250),E250-C250,"")</f>
        <v/>
      </c>
      <c r="H250" s="6" t="str">
        <f aca="false">IF(ISNUMBER(E250),ABS(G250),"")</f>
        <v/>
      </c>
      <c r="I250" s="5"/>
    </row>
    <row r="251" customFormat="false" ht="16.4" hidden="false" customHeight="false" outlineLevel="0" collapsed="false">
      <c r="A251" s="3" t="s">
        <v>113</v>
      </c>
      <c r="B251" s="3" t="s">
        <v>110</v>
      </c>
      <c r="C251" s="3" t="n">
        <v>150</v>
      </c>
      <c r="D251" s="3" t="n">
        <v>10</v>
      </c>
      <c r="E251" s="4"/>
      <c r="F251" s="5"/>
      <c r="G251" s="7" t="str">
        <f aca="false">IF(ISNUMBER(E251),E251-C251,"")</f>
        <v/>
      </c>
      <c r="H251" s="7" t="str">
        <f aca="false">IF(ISNUMBER(E251),ABS(G251),"")</f>
        <v/>
      </c>
      <c r="I251" s="5"/>
    </row>
    <row r="252" customFormat="false" ht="16.4" hidden="false" customHeight="false" outlineLevel="0" collapsed="false">
      <c r="A252" s="2" t="s">
        <v>113</v>
      </c>
      <c r="B252" s="2" t="s">
        <v>110</v>
      </c>
      <c r="C252" s="2" t="n">
        <v>150</v>
      </c>
      <c r="D252" s="2" t="n">
        <v>11</v>
      </c>
      <c r="E252" s="4"/>
      <c r="F252" s="5"/>
      <c r="G252" s="6" t="str">
        <f aca="false">IF(ISNUMBER(E252),E252-C252,"")</f>
        <v/>
      </c>
      <c r="H252" s="6" t="str">
        <f aca="false">IF(ISNUMBER(E252),ABS(G252),"")</f>
        <v/>
      </c>
      <c r="I252" s="5"/>
    </row>
    <row r="253" customFormat="false" ht="16.4" hidden="false" customHeight="false" outlineLevel="0" collapsed="false">
      <c r="A253" s="3" t="s">
        <v>113</v>
      </c>
      <c r="B253" s="3" t="s">
        <v>110</v>
      </c>
      <c r="C253" s="3" t="n">
        <v>150</v>
      </c>
      <c r="D253" s="3" t="n">
        <v>12</v>
      </c>
      <c r="E253" s="4"/>
      <c r="F253" s="5"/>
      <c r="G253" s="7" t="str">
        <f aca="false">IF(ISNUMBER(E253),E253-C253,"")</f>
        <v/>
      </c>
      <c r="H253" s="7" t="str">
        <f aca="false">IF(ISNUMBER(E253),ABS(G253),"")</f>
        <v/>
      </c>
      <c r="I253" s="5"/>
    </row>
    <row r="254" customFormat="false" ht="16.4" hidden="false" customHeight="false" outlineLevel="0" collapsed="false">
      <c r="A254" s="2" t="s">
        <v>113</v>
      </c>
      <c r="B254" s="2" t="s">
        <v>110</v>
      </c>
      <c r="C254" s="2" t="n">
        <v>150</v>
      </c>
      <c r="D254" s="2" t="n">
        <v>13</v>
      </c>
      <c r="E254" s="4"/>
      <c r="F254" s="5"/>
      <c r="G254" s="6" t="str">
        <f aca="false">IF(ISNUMBER(E254),E254-C254,"")</f>
        <v/>
      </c>
      <c r="H254" s="6" t="str">
        <f aca="false">IF(ISNUMBER(E254),ABS(G254),"")</f>
        <v/>
      </c>
      <c r="I254" s="5"/>
    </row>
    <row r="255" customFormat="false" ht="16.4" hidden="false" customHeight="false" outlineLevel="0" collapsed="false">
      <c r="A255" s="3" t="s">
        <v>113</v>
      </c>
      <c r="B255" s="3" t="s">
        <v>110</v>
      </c>
      <c r="C255" s="3" t="n">
        <v>150</v>
      </c>
      <c r="D255" s="3" t="n">
        <v>14</v>
      </c>
      <c r="E255" s="4"/>
      <c r="F255" s="5"/>
      <c r="G255" s="7" t="str">
        <f aca="false">IF(ISNUMBER(E255),E255-C255,"")</f>
        <v/>
      </c>
      <c r="H255" s="7" t="str">
        <f aca="false">IF(ISNUMBER(E255),ABS(G255),"")</f>
        <v/>
      </c>
      <c r="I255" s="5"/>
    </row>
    <row r="256" customFormat="false" ht="16.4" hidden="false" customHeight="false" outlineLevel="0" collapsed="false">
      <c r="A256" s="2" t="s">
        <v>113</v>
      </c>
      <c r="B256" s="2" t="s">
        <v>110</v>
      </c>
      <c r="C256" s="2" t="n">
        <v>150</v>
      </c>
      <c r="D256" s="2" t="n">
        <v>15</v>
      </c>
      <c r="E256" s="4"/>
      <c r="F256" s="5"/>
      <c r="G256" s="6" t="str">
        <f aca="false">IF(ISNUMBER(E256),E256-C256,"")</f>
        <v/>
      </c>
      <c r="H256" s="6" t="str">
        <f aca="false">IF(ISNUMBER(E256),ABS(G256),"")</f>
        <v/>
      </c>
      <c r="I256" s="5"/>
    </row>
    <row r="257" customFormat="false" ht="16.4" hidden="false" customHeight="false" outlineLevel="0" collapsed="false">
      <c r="A257" s="3" t="s">
        <v>113</v>
      </c>
      <c r="B257" s="3" t="s">
        <v>110</v>
      </c>
      <c r="C257" s="3" t="n">
        <v>150</v>
      </c>
      <c r="D257" s="3" t="n">
        <v>16</v>
      </c>
      <c r="E257" s="4"/>
      <c r="F257" s="5"/>
      <c r="G257" s="7" t="str">
        <f aca="false">IF(ISNUMBER(E257),E257-C257,"")</f>
        <v/>
      </c>
      <c r="H257" s="7" t="str">
        <f aca="false">IF(ISNUMBER(E257),ABS(G257),"")</f>
        <v/>
      </c>
      <c r="I257" s="5"/>
    </row>
    <row r="258" customFormat="false" ht="16.4" hidden="false" customHeight="false" outlineLevel="0" collapsed="false">
      <c r="A258" s="2" t="s">
        <v>113</v>
      </c>
      <c r="B258" s="2" t="s">
        <v>110</v>
      </c>
      <c r="C258" s="2" t="n">
        <v>150</v>
      </c>
      <c r="D258" s="2" t="n">
        <v>17</v>
      </c>
      <c r="E258" s="4"/>
      <c r="F258" s="5"/>
      <c r="G258" s="6" t="str">
        <f aca="false">IF(ISNUMBER(E258),E258-C258,"")</f>
        <v/>
      </c>
      <c r="H258" s="6" t="str">
        <f aca="false">IF(ISNUMBER(E258),ABS(G258),"")</f>
        <v/>
      </c>
      <c r="I258" s="5"/>
    </row>
    <row r="259" customFormat="false" ht="16.4" hidden="false" customHeight="false" outlineLevel="0" collapsed="false">
      <c r="A259" s="3" t="s">
        <v>113</v>
      </c>
      <c r="B259" s="3" t="s">
        <v>110</v>
      </c>
      <c r="C259" s="3" t="n">
        <v>150</v>
      </c>
      <c r="D259" s="3" t="n">
        <v>18</v>
      </c>
      <c r="E259" s="4"/>
      <c r="F259" s="5"/>
      <c r="G259" s="7" t="str">
        <f aca="false">IF(ISNUMBER(E259),E259-C259,"")</f>
        <v/>
      </c>
      <c r="H259" s="7" t="str">
        <f aca="false">IF(ISNUMBER(E259),ABS(G259),"")</f>
        <v/>
      </c>
      <c r="I259" s="5"/>
    </row>
    <row r="260" customFormat="false" ht="16.4" hidden="false" customHeight="false" outlineLevel="0" collapsed="false">
      <c r="A260" s="2" t="s">
        <v>113</v>
      </c>
      <c r="B260" s="2" t="s">
        <v>110</v>
      </c>
      <c r="C260" s="2" t="n">
        <v>150</v>
      </c>
      <c r="D260" s="2" t="n">
        <v>19</v>
      </c>
      <c r="E260" s="4"/>
      <c r="F260" s="5"/>
      <c r="G260" s="6" t="str">
        <f aca="false">IF(ISNUMBER(E260),E260-C260,"")</f>
        <v/>
      </c>
      <c r="H260" s="6" t="str">
        <f aca="false">IF(ISNUMBER(E260),ABS(G260),"")</f>
        <v/>
      </c>
      <c r="I260" s="5"/>
    </row>
    <row r="261" customFormat="false" ht="16.4" hidden="false" customHeight="false" outlineLevel="0" collapsed="false">
      <c r="A261" s="3" t="s">
        <v>113</v>
      </c>
      <c r="B261" s="3" t="s">
        <v>110</v>
      </c>
      <c r="C261" s="3" t="n">
        <v>150</v>
      </c>
      <c r="D261" s="3" t="n">
        <v>20</v>
      </c>
      <c r="E261" s="4"/>
      <c r="F261" s="5"/>
      <c r="G261" s="7" t="str">
        <f aca="false">IF(ISNUMBER(E261),E261-C261,"")</f>
        <v/>
      </c>
      <c r="H261" s="7" t="str">
        <f aca="false">IF(ISNUMBER(E261),ABS(G261),"")</f>
        <v/>
      </c>
      <c r="I261" s="5"/>
    </row>
    <row r="262" customFormat="false" ht="16.4" hidden="false" customHeight="false" outlineLevel="0" collapsed="false">
      <c r="A262" s="2" t="s">
        <v>113</v>
      </c>
      <c r="B262" s="2" t="s">
        <v>110</v>
      </c>
      <c r="C262" s="2" t="n">
        <v>150</v>
      </c>
      <c r="D262" s="2" t="n">
        <v>21</v>
      </c>
      <c r="E262" s="4"/>
      <c r="F262" s="5"/>
      <c r="G262" s="6" t="str">
        <f aca="false">IF(ISNUMBER(E262),E262-C262,"")</f>
        <v/>
      </c>
      <c r="H262" s="6" t="str">
        <f aca="false">IF(ISNUMBER(E262),ABS(G262),"")</f>
        <v/>
      </c>
      <c r="I262" s="5"/>
    </row>
    <row r="263" customFormat="false" ht="16.4" hidden="false" customHeight="false" outlineLevel="0" collapsed="false">
      <c r="A263" s="3" t="s">
        <v>113</v>
      </c>
      <c r="B263" s="3" t="s">
        <v>110</v>
      </c>
      <c r="C263" s="3" t="n">
        <v>150</v>
      </c>
      <c r="D263" s="3" t="n">
        <v>22</v>
      </c>
      <c r="E263" s="4"/>
      <c r="F263" s="5"/>
      <c r="G263" s="7" t="str">
        <f aca="false">IF(ISNUMBER(E263),E263-C263,"")</f>
        <v/>
      </c>
      <c r="H263" s="7" t="str">
        <f aca="false">IF(ISNUMBER(E263),ABS(G263),"")</f>
        <v/>
      </c>
      <c r="I263" s="5"/>
    </row>
    <row r="264" customFormat="false" ht="16.4" hidden="false" customHeight="false" outlineLevel="0" collapsed="false">
      <c r="A264" s="2" t="s">
        <v>113</v>
      </c>
      <c r="B264" s="2" t="s">
        <v>110</v>
      </c>
      <c r="C264" s="2" t="n">
        <v>150</v>
      </c>
      <c r="D264" s="2" t="n">
        <v>23</v>
      </c>
      <c r="E264" s="4"/>
      <c r="F264" s="5"/>
      <c r="G264" s="6" t="str">
        <f aca="false">IF(ISNUMBER(E264),E264-C264,"")</f>
        <v/>
      </c>
      <c r="H264" s="6" t="str">
        <f aca="false">IF(ISNUMBER(E264),ABS(G264),"")</f>
        <v/>
      </c>
      <c r="I264" s="5"/>
    </row>
    <row r="265" customFormat="false" ht="16.4" hidden="false" customHeight="false" outlineLevel="0" collapsed="false">
      <c r="A265" s="3" t="s">
        <v>113</v>
      </c>
      <c r="B265" s="3" t="s">
        <v>110</v>
      </c>
      <c r="C265" s="3" t="n">
        <v>150</v>
      </c>
      <c r="D265" s="3" t="n">
        <v>24</v>
      </c>
      <c r="E265" s="4"/>
      <c r="F265" s="5"/>
      <c r="G265" s="7" t="str">
        <f aca="false">IF(ISNUMBER(E265),E265-C265,"")</f>
        <v/>
      </c>
      <c r="H265" s="7" t="str">
        <f aca="false">IF(ISNUMBER(E265),ABS(G265),"")</f>
        <v/>
      </c>
      <c r="I265" s="5"/>
    </row>
    <row r="266" customFormat="false" ht="16.4" hidden="false" customHeight="false" outlineLevel="0" collapsed="false">
      <c r="A266" s="2" t="s">
        <v>113</v>
      </c>
      <c r="B266" s="2" t="s">
        <v>110</v>
      </c>
      <c r="C266" s="2" t="n">
        <v>150</v>
      </c>
      <c r="D266" s="2" t="n">
        <v>25</v>
      </c>
      <c r="E266" s="4"/>
      <c r="F266" s="5"/>
      <c r="G266" s="6" t="str">
        <f aca="false">IF(ISNUMBER(E266),E266-C266,"")</f>
        <v/>
      </c>
      <c r="H266" s="6" t="str">
        <f aca="false">IF(ISNUMBER(E266),ABS(G266),"")</f>
        <v/>
      </c>
      <c r="I266" s="5"/>
    </row>
    <row r="267" customFormat="false" ht="16.4" hidden="false" customHeight="false" outlineLevel="0" collapsed="false">
      <c r="A267" s="3" t="s">
        <v>113</v>
      </c>
      <c r="B267" s="3" t="s">
        <v>110</v>
      </c>
      <c r="C267" s="3" t="n">
        <v>150</v>
      </c>
      <c r="D267" s="3" t="n">
        <v>26</v>
      </c>
      <c r="E267" s="4"/>
      <c r="F267" s="5"/>
      <c r="G267" s="7" t="str">
        <f aca="false">IF(ISNUMBER(E267),E267-C267,"")</f>
        <v/>
      </c>
      <c r="H267" s="7" t="str">
        <f aca="false">IF(ISNUMBER(E267),ABS(G267),"")</f>
        <v/>
      </c>
      <c r="I267" s="5"/>
    </row>
    <row r="268" customFormat="false" ht="16.4" hidden="false" customHeight="false" outlineLevel="0" collapsed="false">
      <c r="A268" s="2" t="s">
        <v>113</v>
      </c>
      <c r="B268" s="2" t="s">
        <v>110</v>
      </c>
      <c r="C268" s="2" t="n">
        <v>150</v>
      </c>
      <c r="D268" s="2" t="n">
        <v>27</v>
      </c>
      <c r="E268" s="4"/>
      <c r="F268" s="5"/>
      <c r="G268" s="6" t="str">
        <f aca="false">IF(ISNUMBER(E268),E268-C268,"")</f>
        <v/>
      </c>
      <c r="H268" s="6" t="str">
        <f aca="false">IF(ISNUMBER(E268),ABS(G268),"")</f>
        <v/>
      </c>
      <c r="I268" s="5"/>
    </row>
    <row r="269" customFormat="false" ht="16.4" hidden="false" customHeight="false" outlineLevel="0" collapsed="false">
      <c r="A269" s="3" t="s">
        <v>113</v>
      </c>
      <c r="B269" s="3" t="s">
        <v>110</v>
      </c>
      <c r="C269" s="3" t="n">
        <v>150</v>
      </c>
      <c r="D269" s="3" t="n">
        <v>28</v>
      </c>
      <c r="E269" s="4"/>
      <c r="F269" s="5"/>
      <c r="G269" s="7" t="str">
        <f aca="false">IF(ISNUMBER(E269),E269-C269,"")</f>
        <v/>
      </c>
      <c r="H269" s="7" t="str">
        <f aca="false">IF(ISNUMBER(E269),ABS(G269),"")</f>
        <v/>
      </c>
      <c r="I269" s="5"/>
    </row>
    <row r="270" customFormat="false" ht="16.4" hidden="false" customHeight="false" outlineLevel="0" collapsed="false">
      <c r="A270" s="2" t="s">
        <v>113</v>
      </c>
      <c r="B270" s="2" t="s">
        <v>110</v>
      </c>
      <c r="C270" s="2" t="n">
        <v>150</v>
      </c>
      <c r="D270" s="2" t="n">
        <v>29</v>
      </c>
      <c r="E270" s="4"/>
      <c r="F270" s="5"/>
      <c r="G270" s="6" t="str">
        <f aca="false">IF(ISNUMBER(E270),E270-C270,"")</f>
        <v/>
      </c>
      <c r="H270" s="6" t="str">
        <f aca="false">IF(ISNUMBER(E270),ABS(G270),"")</f>
        <v/>
      </c>
      <c r="I270" s="5"/>
    </row>
    <row r="271" customFormat="false" ht="16.4" hidden="false" customHeight="false" outlineLevel="0" collapsed="false">
      <c r="A271" s="3" t="s">
        <v>113</v>
      </c>
      <c r="B271" s="3" t="s">
        <v>110</v>
      </c>
      <c r="C271" s="3" t="n">
        <v>150</v>
      </c>
      <c r="D271" s="3" t="n">
        <v>30</v>
      </c>
      <c r="E271" s="4"/>
      <c r="F271" s="5"/>
      <c r="G271" s="7" t="str">
        <f aca="false">IF(ISNUMBER(E271),E271-C271,"")</f>
        <v/>
      </c>
      <c r="H271" s="7" t="str">
        <f aca="false">IF(ISNUMBER(E271),ABS(G271),"")</f>
        <v/>
      </c>
      <c r="I271" s="5"/>
    </row>
    <row r="272" customFormat="false" ht="16.4" hidden="false" customHeight="false" outlineLevel="0" collapsed="false">
      <c r="A272" s="2" t="s">
        <v>114</v>
      </c>
      <c r="B272" s="2" t="s">
        <v>110</v>
      </c>
      <c r="C272" s="2" t="n">
        <v>200</v>
      </c>
      <c r="D272" s="2" t="n">
        <v>1</v>
      </c>
      <c r="E272" s="4"/>
      <c r="F272" s="5"/>
      <c r="G272" s="6" t="str">
        <f aca="false">IF(ISNUMBER(E272),E272-C272,"")</f>
        <v/>
      </c>
      <c r="H272" s="6" t="str">
        <f aca="false">IF(ISNUMBER(E272),ABS(G272),"")</f>
        <v/>
      </c>
      <c r="I272" s="5"/>
    </row>
    <row r="273" customFormat="false" ht="16.4" hidden="false" customHeight="false" outlineLevel="0" collapsed="false">
      <c r="A273" s="3" t="s">
        <v>114</v>
      </c>
      <c r="B273" s="3" t="s">
        <v>110</v>
      </c>
      <c r="C273" s="3" t="n">
        <v>200</v>
      </c>
      <c r="D273" s="3" t="n">
        <v>2</v>
      </c>
      <c r="E273" s="4"/>
      <c r="F273" s="5"/>
      <c r="G273" s="7" t="str">
        <f aca="false">IF(ISNUMBER(E273),E273-C273,"")</f>
        <v/>
      </c>
      <c r="H273" s="7" t="str">
        <f aca="false">IF(ISNUMBER(E273),ABS(G273),"")</f>
        <v/>
      </c>
      <c r="I273" s="5"/>
    </row>
    <row r="274" customFormat="false" ht="16.4" hidden="false" customHeight="false" outlineLevel="0" collapsed="false">
      <c r="A274" s="2" t="s">
        <v>114</v>
      </c>
      <c r="B274" s="2" t="s">
        <v>110</v>
      </c>
      <c r="C274" s="2" t="n">
        <v>200</v>
      </c>
      <c r="D274" s="2" t="n">
        <v>3</v>
      </c>
      <c r="E274" s="4"/>
      <c r="F274" s="5"/>
      <c r="G274" s="6" t="str">
        <f aca="false">IF(ISNUMBER(E274),E274-C274,"")</f>
        <v/>
      </c>
      <c r="H274" s="6" t="str">
        <f aca="false">IF(ISNUMBER(E274),ABS(G274),"")</f>
        <v/>
      </c>
      <c r="I274" s="5"/>
    </row>
    <row r="275" customFormat="false" ht="16.4" hidden="false" customHeight="false" outlineLevel="0" collapsed="false">
      <c r="A275" s="3" t="s">
        <v>114</v>
      </c>
      <c r="B275" s="3" t="s">
        <v>110</v>
      </c>
      <c r="C275" s="3" t="n">
        <v>200</v>
      </c>
      <c r="D275" s="3" t="n">
        <v>4</v>
      </c>
      <c r="E275" s="4"/>
      <c r="F275" s="5"/>
      <c r="G275" s="7" t="str">
        <f aca="false">IF(ISNUMBER(E275),E275-C275,"")</f>
        <v/>
      </c>
      <c r="H275" s="7" t="str">
        <f aca="false">IF(ISNUMBER(E275),ABS(G275),"")</f>
        <v/>
      </c>
      <c r="I275" s="5"/>
    </row>
    <row r="276" customFormat="false" ht="16.4" hidden="false" customHeight="false" outlineLevel="0" collapsed="false">
      <c r="A276" s="2" t="s">
        <v>114</v>
      </c>
      <c r="B276" s="2" t="s">
        <v>110</v>
      </c>
      <c r="C276" s="2" t="n">
        <v>200</v>
      </c>
      <c r="D276" s="2" t="n">
        <v>5</v>
      </c>
      <c r="E276" s="4"/>
      <c r="F276" s="5"/>
      <c r="G276" s="6" t="str">
        <f aca="false">IF(ISNUMBER(E276),E276-C276,"")</f>
        <v/>
      </c>
      <c r="H276" s="6" t="str">
        <f aca="false">IF(ISNUMBER(E276),ABS(G276),"")</f>
        <v/>
      </c>
      <c r="I276" s="5"/>
    </row>
    <row r="277" customFormat="false" ht="16.4" hidden="false" customHeight="false" outlineLevel="0" collapsed="false">
      <c r="A277" s="3" t="s">
        <v>114</v>
      </c>
      <c r="B277" s="3" t="s">
        <v>110</v>
      </c>
      <c r="C277" s="3" t="n">
        <v>200</v>
      </c>
      <c r="D277" s="3" t="n">
        <v>6</v>
      </c>
      <c r="E277" s="4"/>
      <c r="F277" s="5"/>
      <c r="G277" s="7" t="str">
        <f aca="false">IF(ISNUMBER(E277),E277-C277,"")</f>
        <v/>
      </c>
      <c r="H277" s="7" t="str">
        <f aca="false">IF(ISNUMBER(E277),ABS(G277),"")</f>
        <v/>
      </c>
      <c r="I277" s="5"/>
    </row>
    <row r="278" customFormat="false" ht="16.4" hidden="false" customHeight="false" outlineLevel="0" collapsed="false">
      <c r="A278" s="2" t="s">
        <v>114</v>
      </c>
      <c r="B278" s="2" t="s">
        <v>110</v>
      </c>
      <c r="C278" s="2" t="n">
        <v>200</v>
      </c>
      <c r="D278" s="2" t="n">
        <v>7</v>
      </c>
      <c r="E278" s="4"/>
      <c r="F278" s="5"/>
      <c r="G278" s="6" t="str">
        <f aca="false">IF(ISNUMBER(E278),E278-C278,"")</f>
        <v/>
      </c>
      <c r="H278" s="6" t="str">
        <f aca="false">IF(ISNUMBER(E278),ABS(G278),"")</f>
        <v/>
      </c>
      <c r="I278" s="5"/>
    </row>
    <row r="279" customFormat="false" ht="16.4" hidden="false" customHeight="false" outlineLevel="0" collapsed="false">
      <c r="A279" s="3" t="s">
        <v>114</v>
      </c>
      <c r="B279" s="3" t="s">
        <v>110</v>
      </c>
      <c r="C279" s="3" t="n">
        <v>200</v>
      </c>
      <c r="D279" s="3" t="n">
        <v>8</v>
      </c>
      <c r="E279" s="4"/>
      <c r="F279" s="5"/>
      <c r="G279" s="7" t="str">
        <f aca="false">IF(ISNUMBER(E279),E279-C279,"")</f>
        <v/>
      </c>
      <c r="H279" s="7" t="str">
        <f aca="false">IF(ISNUMBER(E279),ABS(G279),"")</f>
        <v/>
      </c>
      <c r="I279" s="5"/>
    </row>
    <row r="280" customFormat="false" ht="16.4" hidden="false" customHeight="false" outlineLevel="0" collapsed="false">
      <c r="A280" s="2" t="s">
        <v>114</v>
      </c>
      <c r="B280" s="2" t="s">
        <v>110</v>
      </c>
      <c r="C280" s="2" t="n">
        <v>200</v>
      </c>
      <c r="D280" s="2" t="n">
        <v>9</v>
      </c>
      <c r="E280" s="4"/>
      <c r="F280" s="5"/>
      <c r="G280" s="6" t="str">
        <f aca="false">IF(ISNUMBER(E280),E280-C280,"")</f>
        <v/>
      </c>
      <c r="H280" s="6" t="str">
        <f aca="false">IF(ISNUMBER(E280),ABS(G280),"")</f>
        <v/>
      </c>
      <c r="I280" s="5"/>
    </row>
    <row r="281" customFormat="false" ht="16.4" hidden="false" customHeight="false" outlineLevel="0" collapsed="false">
      <c r="A281" s="3" t="s">
        <v>114</v>
      </c>
      <c r="B281" s="3" t="s">
        <v>110</v>
      </c>
      <c r="C281" s="3" t="n">
        <v>200</v>
      </c>
      <c r="D281" s="3" t="n">
        <v>10</v>
      </c>
      <c r="E281" s="4"/>
      <c r="F281" s="5"/>
      <c r="G281" s="7" t="str">
        <f aca="false">IF(ISNUMBER(E281),E281-C281,"")</f>
        <v/>
      </c>
      <c r="H281" s="7" t="str">
        <f aca="false">IF(ISNUMBER(E281),ABS(G281),"")</f>
        <v/>
      </c>
      <c r="I281" s="5"/>
    </row>
    <row r="282" customFormat="false" ht="16.4" hidden="false" customHeight="false" outlineLevel="0" collapsed="false">
      <c r="A282" s="2" t="s">
        <v>114</v>
      </c>
      <c r="B282" s="2" t="s">
        <v>110</v>
      </c>
      <c r="C282" s="2" t="n">
        <v>200</v>
      </c>
      <c r="D282" s="2" t="n">
        <v>11</v>
      </c>
      <c r="E282" s="4"/>
      <c r="F282" s="5"/>
      <c r="G282" s="6" t="str">
        <f aca="false">IF(ISNUMBER(E282),E282-C282,"")</f>
        <v/>
      </c>
      <c r="H282" s="6" t="str">
        <f aca="false">IF(ISNUMBER(E282),ABS(G282),"")</f>
        <v/>
      </c>
      <c r="I282" s="5"/>
    </row>
    <row r="283" customFormat="false" ht="16.4" hidden="false" customHeight="false" outlineLevel="0" collapsed="false">
      <c r="A283" s="3" t="s">
        <v>114</v>
      </c>
      <c r="B283" s="3" t="s">
        <v>110</v>
      </c>
      <c r="C283" s="3" t="n">
        <v>200</v>
      </c>
      <c r="D283" s="3" t="n">
        <v>12</v>
      </c>
      <c r="E283" s="4"/>
      <c r="F283" s="5"/>
      <c r="G283" s="7" t="str">
        <f aca="false">IF(ISNUMBER(E283),E283-C283,"")</f>
        <v/>
      </c>
      <c r="H283" s="7" t="str">
        <f aca="false">IF(ISNUMBER(E283),ABS(G283),"")</f>
        <v/>
      </c>
      <c r="I283" s="5"/>
    </row>
    <row r="284" customFormat="false" ht="16.4" hidden="false" customHeight="false" outlineLevel="0" collapsed="false">
      <c r="A284" s="2" t="s">
        <v>114</v>
      </c>
      <c r="B284" s="2" t="s">
        <v>110</v>
      </c>
      <c r="C284" s="2" t="n">
        <v>200</v>
      </c>
      <c r="D284" s="2" t="n">
        <v>13</v>
      </c>
      <c r="E284" s="4"/>
      <c r="F284" s="5"/>
      <c r="G284" s="6" t="str">
        <f aca="false">IF(ISNUMBER(E284),E284-C284,"")</f>
        <v/>
      </c>
      <c r="H284" s="6" t="str">
        <f aca="false">IF(ISNUMBER(E284),ABS(G284),"")</f>
        <v/>
      </c>
      <c r="I284" s="5"/>
    </row>
    <row r="285" customFormat="false" ht="16.4" hidden="false" customHeight="false" outlineLevel="0" collapsed="false">
      <c r="A285" s="3" t="s">
        <v>114</v>
      </c>
      <c r="B285" s="3" t="s">
        <v>110</v>
      </c>
      <c r="C285" s="3" t="n">
        <v>200</v>
      </c>
      <c r="D285" s="3" t="n">
        <v>14</v>
      </c>
      <c r="E285" s="4"/>
      <c r="F285" s="5"/>
      <c r="G285" s="7" t="str">
        <f aca="false">IF(ISNUMBER(E285),E285-C285,"")</f>
        <v/>
      </c>
      <c r="H285" s="7" t="str">
        <f aca="false">IF(ISNUMBER(E285),ABS(G285),"")</f>
        <v/>
      </c>
      <c r="I285" s="5"/>
    </row>
    <row r="286" customFormat="false" ht="16.4" hidden="false" customHeight="false" outlineLevel="0" collapsed="false">
      <c r="A286" s="2" t="s">
        <v>114</v>
      </c>
      <c r="B286" s="2" t="s">
        <v>110</v>
      </c>
      <c r="C286" s="2" t="n">
        <v>200</v>
      </c>
      <c r="D286" s="2" t="n">
        <v>15</v>
      </c>
      <c r="E286" s="4"/>
      <c r="F286" s="5"/>
      <c r="G286" s="6" t="str">
        <f aca="false">IF(ISNUMBER(E286),E286-C286,"")</f>
        <v/>
      </c>
      <c r="H286" s="6" t="str">
        <f aca="false">IF(ISNUMBER(E286),ABS(G286),"")</f>
        <v/>
      </c>
      <c r="I286" s="5"/>
    </row>
    <row r="287" customFormat="false" ht="16.4" hidden="false" customHeight="false" outlineLevel="0" collapsed="false">
      <c r="A287" s="3" t="s">
        <v>114</v>
      </c>
      <c r="B287" s="3" t="s">
        <v>110</v>
      </c>
      <c r="C287" s="3" t="n">
        <v>200</v>
      </c>
      <c r="D287" s="3" t="n">
        <v>16</v>
      </c>
      <c r="E287" s="4"/>
      <c r="F287" s="5"/>
      <c r="G287" s="7" t="str">
        <f aca="false">IF(ISNUMBER(E287),E287-C287,"")</f>
        <v/>
      </c>
      <c r="H287" s="7" t="str">
        <f aca="false">IF(ISNUMBER(E287),ABS(G287),"")</f>
        <v/>
      </c>
      <c r="I287" s="5"/>
    </row>
    <row r="288" customFormat="false" ht="16.4" hidden="false" customHeight="false" outlineLevel="0" collapsed="false">
      <c r="A288" s="2" t="s">
        <v>114</v>
      </c>
      <c r="B288" s="2" t="s">
        <v>110</v>
      </c>
      <c r="C288" s="2" t="n">
        <v>200</v>
      </c>
      <c r="D288" s="2" t="n">
        <v>17</v>
      </c>
      <c r="E288" s="4"/>
      <c r="F288" s="5"/>
      <c r="G288" s="6" t="str">
        <f aca="false">IF(ISNUMBER(E288),E288-C288,"")</f>
        <v/>
      </c>
      <c r="H288" s="6" t="str">
        <f aca="false">IF(ISNUMBER(E288),ABS(G288),"")</f>
        <v/>
      </c>
      <c r="I288" s="5"/>
    </row>
    <row r="289" customFormat="false" ht="16.4" hidden="false" customHeight="false" outlineLevel="0" collapsed="false">
      <c r="A289" s="3" t="s">
        <v>114</v>
      </c>
      <c r="B289" s="3" t="s">
        <v>110</v>
      </c>
      <c r="C289" s="3" t="n">
        <v>200</v>
      </c>
      <c r="D289" s="3" t="n">
        <v>18</v>
      </c>
      <c r="E289" s="4"/>
      <c r="F289" s="5"/>
      <c r="G289" s="7" t="str">
        <f aca="false">IF(ISNUMBER(E289),E289-C289,"")</f>
        <v/>
      </c>
      <c r="H289" s="7" t="str">
        <f aca="false">IF(ISNUMBER(E289),ABS(G289),"")</f>
        <v/>
      </c>
      <c r="I289" s="5"/>
    </row>
    <row r="290" customFormat="false" ht="16.4" hidden="false" customHeight="false" outlineLevel="0" collapsed="false">
      <c r="A290" s="2" t="s">
        <v>114</v>
      </c>
      <c r="B290" s="2" t="s">
        <v>110</v>
      </c>
      <c r="C290" s="2" t="n">
        <v>200</v>
      </c>
      <c r="D290" s="2" t="n">
        <v>19</v>
      </c>
      <c r="E290" s="4"/>
      <c r="F290" s="5"/>
      <c r="G290" s="6" t="str">
        <f aca="false">IF(ISNUMBER(E290),E290-C290,"")</f>
        <v/>
      </c>
      <c r="H290" s="6" t="str">
        <f aca="false">IF(ISNUMBER(E290),ABS(G290),"")</f>
        <v/>
      </c>
      <c r="I290" s="5"/>
    </row>
    <row r="291" customFormat="false" ht="16.4" hidden="false" customHeight="false" outlineLevel="0" collapsed="false">
      <c r="A291" s="3" t="s">
        <v>114</v>
      </c>
      <c r="B291" s="3" t="s">
        <v>110</v>
      </c>
      <c r="C291" s="3" t="n">
        <v>200</v>
      </c>
      <c r="D291" s="3" t="n">
        <v>20</v>
      </c>
      <c r="E291" s="4"/>
      <c r="F291" s="5"/>
      <c r="G291" s="7" t="str">
        <f aca="false">IF(ISNUMBER(E291),E291-C291,"")</f>
        <v/>
      </c>
      <c r="H291" s="7" t="str">
        <f aca="false">IF(ISNUMBER(E291),ABS(G291),"")</f>
        <v/>
      </c>
      <c r="I291" s="5"/>
    </row>
    <row r="292" customFormat="false" ht="16.4" hidden="false" customHeight="false" outlineLevel="0" collapsed="false">
      <c r="A292" s="2" t="s">
        <v>114</v>
      </c>
      <c r="B292" s="2" t="s">
        <v>110</v>
      </c>
      <c r="C292" s="2" t="n">
        <v>200</v>
      </c>
      <c r="D292" s="2" t="n">
        <v>21</v>
      </c>
      <c r="E292" s="4"/>
      <c r="F292" s="5"/>
      <c r="G292" s="6" t="str">
        <f aca="false">IF(ISNUMBER(E292),E292-C292,"")</f>
        <v/>
      </c>
      <c r="H292" s="6" t="str">
        <f aca="false">IF(ISNUMBER(E292),ABS(G292),"")</f>
        <v/>
      </c>
      <c r="I292" s="5"/>
    </row>
    <row r="293" customFormat="false" ht="16.4" hidden="false" customHeight="false" outlineLevel="0" collapsed="false">
      <c r="A293" s="3" t="s">
        <v>114</v>
      </c>
      <c r="B293" s="3" t="s">
        <v>110</v>
      </c>
      <c r="C293" s="3" t="n">
        <v>200</v>
      </c>
      <c r="D293" s="3" t="n">
        <v>22</v>
      </c>
      <c r="E293" s="4"/>
      <c r="F293" s="5"/>
      <c r="G293" s="7" t="str">
        <f aca="false">IF(ISNUMBER(E293),E293-C293,"")</f>
        <v/>
      </c>
      <c r="H293" s="7" t="str">
        <f aca="false">IF(ISNUMBER(E293),ABS(G293),"")</f>
        <v/>
      </c>
      <c r="I293" s="5"/>
    </row>
    <row r="294" customFormat="false" ht="16.4" hidden="false" customHeight="false" outlineLevel="0" collapsed="false">
      <c r="A294" s="2" t="s">
        <v>114</v>
      </c>
      <c r="B294" s="2" t="s">
        <v>110</v>
      </c>
      <c r="C294" s="2" t="n">
        <v>200</v>
      </c>
      <c r="D294" s="2" t="n">
        <v>23</v>
      </c>
      <c r="E294" s="4"/>
      <c r="F294" s="5"/>
      <c r="G294" s="6" t="str">
        <f aca="false">IF(ISNUMBER(E294),E294-C294,"")</f>
        <v/>
      </c>
      <c r="H294" s="6" t="str">
        <f aca="false">IF(ISNUMBER(E294),ABS(G294),"")</f>
        <v/>
      </c>
      <c r="I294" s="5"/>
    </row>
    <row r="295" customFormat="false" ht="16.4" hidden="false" customHeight="false" outlineLevel="0" collapsed="false">
      <c r="A295" s="3" t="s">
        <v>114</v>
      </c>
      <c r="B295" s="3" t="s">
        <v>110</v>
      </c>
      <c r="C295" s="3" t="n">
        <v>200</v>
      </c>
      <c r="D295" s="3" t="n">
        <v>24</v>
      </c>
      <c r="E295" s="4"/>
      <c r="F295" s="5"/>
      <c r="G295" s="7" t="str">
        <f aca="false">IF(ISNUMBER(E295),E295-C295,"")</f>
        <v/>
      </c>
      <c r="H295" s="7" t="str">
        <f aca="false">IF(ISNUMBER(E295),ABS(G295),"")</f>
        <v/>
      </c>
      <c r="I295" s="5"/>
    </row>
    <row r="296" customFormat="false" ht="16.4" hidden="false" customHeight="false" outlineLevel="0" collapsed="false">
      <c r="A296" s="2" t="s">
        <v>114</v>
      </c>
      <c r="B296" s="2" t="s">
        <v>110</v>
      </c>
      <c r="C296" s="2" t="n">
        <v>200</v>
      </c>
      <c r="D296" s="2" t="n">
        <v>25</v>
      </c>
      <c r="E296" s="4"/>
      <c r="F296" s="5"/>
      <c r="G296" s="6" t="str">
        <f aca="false">IF(ISNUMBER(E296),E296-C296,"")</f>
        <v/>
      </c>
      <c r="H296" s="6" t="str">
        <f aca="false">IF(ISNUMBER(E296),ABS(G296),"")</f>
        <v/>
      </c>
      <c r="I296" s="5"/>
    </row>
    <row r="297" customFormat="false" ht="16.4" hidden="false" customHeight="false" outlineLevel="0" collapsed="false">
      <c r="A297" s="3" t="s">
        <v>114</v>
      </c>
      <c r="B297" s="3" t="s">
        <v>110</v>
      </c>
      <c r="C297" s="3" t="n">
        <v>200</v>
      </c>
      <c r="D297" s="3" t="n">
        <v>26</v>
      </c>
      <c r="E297" s="4"/>
      <c r="F297" s="5"/>
      <c r="G297" s="7" t="str">
        <f aca="false">IF(ISNUMBER(E297),E297-C297,"")</f>
        <v/>
      </c>
      <c r="H297" s="7" t="str">
        <f aca="false">IF(ISNUMBER(E297),ABS(G297),"")</f>
        <v/>
      </c>
      <c r="I297" s="5"/>
    </row>
    <row r="298" customFormat="false" ht="16.4" hidden="false" customHeight="false" outlineLevel="0" collapsed="false">
      <c r="A298" s="2" t="s">
        <v>114</v>
      </c>
      <c r="B298" s="2" t="s">
        <v>110</v>
      </c>
      <c r="C298" s="2" t="n">
        <v>200</v>
      </c>
      <c r="D298" s="2" t="n">
        <v>27</v>
      </c>
      <c r="E298" s="4"/>
      <c r="F298" s="5"/>
      <c r="G298" s="6" t="str">
        <f aca="false">IF(ISNUMBER(E298),E298-C298,"")</f>
        <v/>
      </c>
      <c r="H298" s="6" t="str">
        <f aca="false">IF(ISNUMBER(E298),ABS(G298),"")</f>
        <v/>
      </c>
      <c r="I298" s="5"/>
    </row>
    <row r="299" customFormat="false" ht="16.4" hidden="false" customHeight="false" outlineLevel="0" collapsed="false">
      <c r="A299" s="3" t="s">
        <v>114</v>
      </c>
      <c r="B299" s="3" t="s">
        <v>110</v>
      </c>
      <c r="C299" s="3" t="n">
        <v>200</v>
      </c>
      <c r="D299" s="3" t="n">
        <v>28</v>
      </c>
      <c r="E299" s="4"/>
      <c r="F299" s="5"/>
      <c r="G299" s="7" t="str">
        <f aca="false">IF(ISNUMBER(E299),E299-C299,"")</f>
        <v/>
      </c>
      <c r="H299" s="7" t="str">
        <f aca="false">IF(ISNUMBER(E299),ABS(G299),"")</f>
        <v/>
      </c>
      <c r="I299" s="5"/>
    </row>
    <row r="300" customFormat="false" ht="16.4" hidden="false" customHeight="false" outlineLevel="0" collapsed="false">
      <c r="A300" s="2" t="s">
        <v>114</v>
      </c>
      <c r="B300" s="2" t="s">
        <v>110</v>
      </c>
      <c r="C300" s="2" t="n">
        <v>200</v>
      </c>
      <c r="D300" s="2" t="n">
        <v>29</v>
      </c>
      <c r="E300" s="4"/>
      <c r="F300" s="5"/>
      <c r="G300" s="6" t="str">
        <f aca="false">IF(ISNUMBER(E300),E300-C300,"")</f>
        <v/>
      </c>
      <c r="H300" s="6" t="str">
        <f aca="false">IF(ISNUMBER(E300),ABS(G300),"")</f>
        <v/>
      </c>
      <c r="I300" s="5"/>
    </row>
    <row r="301" customFormat="false" ht="16.4" hidden="false" customHeight="false" outlineLevel="0" collapsed="false">
      <c r="A301" s="3" t="s">
        <v>114</v>
      </c>
      <c r="B301" s="3" t="s">
        <v>110</v>
      </c>
      <c r="C301" s="3" t="n">
        <v>200</v>
      </c>
      <c r="D301" s="3" t="n">
        <v>30</v>
      </c>
      <c r="E301" s="4"/>
      <c r="F301" s="5"/>
      <c r="G301" s="7" t="str">
        <f aca="false">IF(ISNUMBER(E301),E301-C301,"")</f>
        <v/>
      </c>
      <c r="H301" s="7" t="str">
        <f aca="false">IF(ISNUMBER(E301),ABS(G301),"")</f>
        <v/>
      </c>
      <c r="I301" s="5"/>
    </row>
  </sheetData>
  <autoFilter ref="A1:I301"/>
  <dataValidations count="1">
    <dataValidation allowBlank="false" error="Select a listed status or leave blank until tested." errorStyle="stop" errorTitle="Choose a measurement status" operator="between" showDropDown="false" showErrorMessage="true" showInputMessage="false" sqref="F2:F301" type="list">
      <formula1>"READING,NO ECHO,ECHO HIGH,OUT OF RANGE,OTHER ERROR"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16" min="3" style="0" width="20"/>
  </cols>
  <sheetData>
    <row r="1" customFormat="false" ht="36" hidden="false" customHeight="true" outlineLevel="0" collapsed="false">
      <c r="A1" s="1" t="s">
        <v>33</v>
      </c>
      <c r="B1" s="1" t="s">
        <v>34</v>
      </c>
      <c r="C1" s="1" t="s">
        <v>35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39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</row>
    <row r="2" customFormat="false" ht="16.4" hidden="false" customHeight="false" outlineLevel="0" collapsed="false">
      <c r="A2" s="2" t="s">
        <v>42</v>
      </c>
      <c r="B2" s="2" t="s">
        <v>43</v>
      </c>
      <c r="C2" s="2" t="n">
        <v>25</v>
      </c>
      <c r="D2" s="2" t="n">
        <f aca="false">E2+F2+G2+H2+P2</f>
        <v>30</v>
      </c>
      <c r="E2" s="2" t="n">
        <f aca="false">COUNT('Raw readings'!E2:E31)</f>
        <v>30</v>
      </c>
      <c r="F2" s="2" t="n">
        <f aca="false">COUNTIF('Raw readings'!F2:F31,"NO ECHO")</f>
        <v>0</v>
      </c>
      <c r="G2" s="2" t="n">
        <f aca="false">COUNTIF('Raw readings'!F2:F31,"ECHO HIGH")</f>
        <v>0</v>
      </c>
      <c r="H2" s="2" t="n">
        <f aca="false">COUNTIF('Raw readings'!F2:F31,"OTHER ERROR")</f>
        <v>0</v>
      </c>
      <c r="I2" s="8" t="n">
        <f aca="false">IF(D2=0,"",E2/D2)</f>
        <v>1</v>
      </c>
      <c r="J2" s="6" t="n">
        <f aca="false">IF(E2=0,"",AVERAGE('Raw readings'!E2:E31))</f>
        <v>25.3633333333333</v>
      </c>
      <c r="K2" s="6" t="n">
        <f aca="false">IF(E2=0,"",J2-C2)</f>
        <v>0.363333333333333</v>
      </c>
      <c r="L2" s="6" t="n">
        <f aca="false">IF(E2&lt;2,"",STDEV('Raw readings'!E2:E31))</f>
        <v>0.405550569433475</v>
      </c>
      <c r="M2" s="6" t="n">
        <f aca="false">IF(E2=0,"",MIN('Raw readings'!E2:E31))</f>
        <v>24.5</v>
      </c>
      <c r="N2" s="6" t="n">
        <f aca="false">IF(E2=0,"",MAX('Raw readings'!E2:E31))</f>
        <v>26.3</v>
      </c>
      <c r="O2" s="6" t="n">
        <f aca="false">IF(E2=0,"",AVERAGE('Raw readings'!H2:H31))</f>
        <v>0.43</v>
      </c>
      <c r="P2" s="2" t="n">
        <f aca="false">COUNTIF('Raw readings'!F2:F31,"OUT OF RANGE")</f>
        <v>0</v>
      </c>
    </row>
    <row r="3" customFormat="false" ht="16.4" hidden="false" customHeight="false" outlineLevel="0" collapsed="false">
      <c r="A3" s="3" t="s">
        <v>75</v>
      </c>
      <c r="B3" s="3" t="s">
        <v>43</v>
      </c>
      <c r="C3" s="3" t="n">
        <v>50</v>
      </c>
      <c r="D3" s="3" t="n">
        <f aca="false">E3+F3+G3+H3+P3</f>
        <v>30</v>
      </c>
      <c r="E3" s="3" t="n">
        <f aca="false">COUNT('Raw readings'!E32:E61)</f>
        <v>30</v>
      </c>
      <c r="F3" s="3" t="n">
        <f aca="false">COUNTIF('Raw readings'!F32:F61,"NO ECHO")</f>
        <v>0</v>
      </c>
      <c r="G3" s="3" t="n">
        <f aca="false">COUNTIF('Raw readings'!F32:F61,"ECHO HIGH")</f>
        <v>0</v>
      </c>
      <c r="H3" s="3" t="n">
        <f aca="false">COUNTIF('Raw readings'!F32:F61,"OTHER ERROR")</f>
        <v>0</v>
      </c>
      <c r="I3" s="9" t="n">
        <f aca="false">IF(D3=0,"",E3/D3)</f>
        <v>1</v>
      </c>
      <c r="J3" s="7" t="n">
        <f aca="false">IF(E3=0,"",AVERAGE('Raw readings'!E32:E61))</f>
        <v>54.6266666666667</v>
      </c>
      <c r="K3" s="7" t="n">
        <f aca="false">IF(E3=0,"",J3-C3)</f>
        <v>4.62666666666667</v>
      </c>
      <c r="L3" s="7" t="n">
        <f aca="false">IF(E3&lt;2,"",STDEV('Raw readings'!E32:E61))</f>
        <v>7.01972262608192</v>
      </c>
      <c r="M3" s="7" t="n">
        <f aca="false">IF(E3=0,"",MIN('Raw readings'!E32:E61))</f>
        <v>48</v>
      </c>
      <c r="N3" s="7" t="n">
        <f aca="false">IF(E3=0,"",MAX('Raw readings'!E32:E61))</f>
        <v>68</v>
      </c>
      <c r="O3" s="7" t="n">
        <f aca="false">IF(E3=0,"",AVERAGE('Raw readings'!H32:H61))</f>
        <v>5.37333333333333</v>
      </c>
      <c r="P3" s="3" t="n">
        <f aca="false">COUNTIF('Raw readings'!F32:F61,"OUT OF RANGE")</f>
        <v>0</v>
      </c>
    </row>
    <row r="4" customFormat="false" ht="16.4" hidden="false" customHeight="false" outlineLevel="0" collapsed="false">
      <c r="A4" s="2" t="s">
        <v>106</v>
      </c>
      <c r="B4" s="2" t="s">
        <v>43</v>
      </c>
      <c r="C4" s="2" t="n">
        <v>100</v>
      </c>
      <c r="D4" s="2" t="n">
        <f aca="false">E4+F4+G4+H4+P4</f>
        <v>0</v>
      </c>
      <c r="E4" s="2" t="n">
        <f aca="false">COUNT('Raw readings'!E62:E91)</f>
        <v>0</v>
      </c>
      <c r="F4" s="2" t="n">
        <f aca="false">COUNTIF('Raw readings'!F62:F91,"NO ECHO")</f>
        <v>0</v>
      </c>
      <c r="G4" s="2" t="n">
        <f aca="false">COUNTIF('Raw readings'!F62:F91,"ECHO HIGH")</f>
        <v>0</v>
      </c>
      <c r="H4" s="2" t="n">
        <f aca="false">COUNTIF('Raw readings'!F62:F91,"OTHER ERROR")</f>
        <v>0</v>
      </c>
      <c r="I4" s="8" t="str">
        <f aca="false">IF(D4=0,"",E4/D4)</f>
        <v/>
      </c>
      <c r="J4" s="6" t="str">
        <f aca="false">IF(E4=0,"",AVERAGE('Raw readings'!E62:E91))</f>
        <v/>
      </c>
      <c r="K4" s="6" t="str">
        <f aca="false">IF(E4=0,"",J4-C4)</f>
        <v/>
      </c>
      <c r="L4" s="6" t="str">
        <f aca="false">IF(E4&lt;2,"",STDEV('Raw readings'!E62:E91))</f>
        <v/>
      </c>
      <c r="M4" s="6" t="str">
        <f aca="false">IF(E4=0,"",MIN('Raw readings'!E62:E91))</f>
        <v/>
      </c>
      <c r="N4" s="6" t="str">
        <f aca="false">IF(E4=0,"",MAX('Raw readings'!E62:E91))</f>
        <v/>
      </c>
      <c r="O4" s="6" t="str">
        <f aca="false">IF(E4=0,"",AVERAGE('Raw readings'!H62:H91))</f>
        <v/>
      </c>
      <c r="P4" s="2" t="n">
        <f aca="false">COUNTIF('Raw readings'!F62:F91,"OUT OF RANGE")</f>
        <v>0</v>
      </c>
    </row>
    <row r="5" customFormat="false" ht="16.4" hidden="false" customHeight="false" outlineLevel="0" collapsed="false">
      <c r="A5" s="3" t="s">
        <v>107</v>
      </c>
      <c r="B5" s="3" t="s">
        <v>43</v>
      </c>
      <c r="C5" s="3" t="n">
        <v>150</v>
      </c>
      <c r="D5" s="3" t="n">
        <f aca="false">E5+F5+G5+H5+P5</f>
        <v>0</v>
      </c>
      <c r="E5" s="3" t="n">
        <f aca="false">COUNT('Raw readings'!E92:E121)</f>
        <v>0</v>
      </c>
      <c r="F5" s="3" t="n">
        <f aca="false">COUNTIF('Raw readings'!F92:F121,"NO ECHO")</f>
        <v>0</v>
      </c>
      <c r="G5" s="3" t="n">
        <f aca="false">COUNTIF('Raw readings'!F92:F121,"ECHO HIGH")</f>
        <v>0</v>
      </c>
      <c r="H5" s="3" t="n">
        <f aca="false">COUNTIF('Raw readings'!F92:F121,"OTHER ERROR")</f>
        <v>0</v>
      </c>
      <c r="I5" s="9" t="str">
        <f aca="false">IF(D5=0,"",E5/D5)</f>
        <v/>
      </c>
      <c r="J5" s="7" t="str">
        <f aca="false">IF(E5=0,"",AVERAGE('Raw readings'!E92:E121))</f>
        <v/>
      </c>
      <c r="K5" s="7" t="str">
        <f aca="false">IF(E5=0,"",J5-C5)</f>
        <v/>
      </c>
      <c r="L5" s="7" t="str">
        <f aca="false">IF(E5&lt;2,"",STDEV('Raw readings'!E92:E121))</f>
        <v/>
      </c>
      <c r="M5" s="7" t="str">
        <f aca="false">IF(E5=0,"",MIN('Raw readings'!E92:E121))</f>
        <v/>
      </c>
      <c r="N5" s="7" t="str">
        <f aca="false">IF(E5=0,"",MAX('Raw readings'!E92:E121))</f>
        <v/>
      </c>
      <c r="O5" s="7" t="str">
        <f aca="false">IF(E5=0,"",AVERAGE('Raw readings'!H92:H121))</f>
        <v/>
      </c>
      <c r="P5" s="3" t="n">
        <f aca="false">COUNTIF('Raw readings'!F92:F121,"OUT OF RANGE")</f>
        <v>0</v>
      </c>
    </row>
    <row r="6" customFormat="false" ht="16.4" hidden="false" customHeight="false" outlineLevel="0" collapsed="false">
      <c r="A6" s="2" t="s">
        <v>108</v>
      </c>
      <c r="B6" s="2" t="s">
        <v>43</v>
      </c>
      <c r="C6" s="2" t="n">
        <v>200</v>
      </c>
      <c r="D6" s="2" t="n">
        <f aca="false">E6+F6+G6+H6+P6</f>
        <v>0</v>
      </c>
      <c r="E6" s="2" t="n">
        <f aca="false">COUNT('Raw readings'!E122:E151)</f>
        <v>0</v>
      </c>
      <c r="F6" s="2" t="n">
        <f aca="false">COUNTIF('Raw readings'!F122:F151,"NO ECHO")</f>
        <v>0</v>
      </c>
      <c r="G6" s="2" t="n">
        <f aca="false">COUNTIF('Raw readings'!F122:F151,"ECHO HIGH")</f>
        <v>0</v>
      </c>
      <c r="H6" s="2" t="n">
        <f aca="false">COUNTIF('Raw readings'!F122:F151,"OTHER ERROR")</f>
        <v>0</v>
      </c>
      <c r="I6" s="8" t="str">
        <f aca="false">IF(D6=0,"",E6/D6)</f>
        <v/>
      </c>
      <c r="J6" s="6" t="str">
        <f aca="false">IF(E6=0,"",AVERAGE('Raw readings'!E122:E151))</f>
        <v/>
      </c>
      <c r="K6" s="6" t="str">
        <f aca="false">IF(E6=0,"",J6-C6)</f>
        <v/>
      </c>
      <c r="L6" s="6" t="str">
        <f aca="false">IF(E6&lt;2,"",STDEV('Raw readings'!E122:E151))</f>
        <v/>
      </c>
      <c r="M6" s="6" t="str">
        <f aca="false">IF(E6=0,"",MIN('Raw readings'!E122:E151))</f>
        <v/>
      </c>
      <c r="N6" s="6" t="str">
        <f aca="false">IF(E6=0,"",MAX('Raw readings'!E122:E151))</f>
        <v/>
      </c>
      <c r="O6" s="6" t="str">
        <f aca="false">IF(E6=0,"",AVERAGE('Raw readings'!H122:H151))</f>
        <v/>
      </c>
      <c r="P6" s="2" t="n">
        <f aca="false">COUNTIF('Raw readings'!F122:F151,"OUT OF RANGE")</f>
        <v>0</v>
      </c>
    </row>
    <row r="7" customFormat="false" ht="16.4" hidden="false" customHeight="false" outlineLevel="0" collapsed="false">
      <c r="A7" s="3" t="s">
        <v>109</v>
      </c>
      <c r="B7" s="3" t="s">
        <v>110</v>
      </c>
      <c r="C7" s="3" t="n">
        <v>25</v>
      </c>
      <c r="D7" s="3" t="n">
        <f aca="false">E7+F7+G7+H7+P7</f>
        <v>0</v>
      </c>
      <c r="E7" s="3" t="n">
        <f aca="false">COUNT('Raw readings'!E152:E181)</f>
        <v>0</v>
      </c>
      <c r="F7" s="3" t="n">
        <f aca="false">COUNTIF('Raw readings'!F152:F181,"NO ECHO")</f>
        <v>0</v>
      </c>
      <c r="G7" s="3" t="n">
        <f aca="false">COUNTIF('Raw readings'!F152:F181,"ECHO HIGH")</f>
        <v>0</v>
      </c>
      <c r="H7" s="3" t="n">
        <f aca="false">COUNTIF('Raw readings'!F152:F181,"OTHER ERROR")</f>
        <v>0</v>
      </c>
      <c r="I7" s="9" t="str">
        <f aca="false">IF(D7=0,"",E7/D7)</f>
        <v/>
      </c>
      <c r="J7" s="7" t="str">
        <f aca="false">IF(E7=0,"",AVERAGE('Raw readings'!E152:E181))</f>
        <v/>
      </c>
      <c r="K7" s="7" t="str">
        <f aca="false">IF(E7=0,"",J7-C7)</f>
        <v/>
      </c>
      <c r="L7" s="7" t="str">
        <f aca="false">IF(E7&lt;2,"",STDEV('Raw readings'!E152:E181))</f>
        <v/>
      </c>
      <c r="M7" s="7" t="str">
        <f aca="false">IF(E7=0,"",MIN('Raw readings'!E152:E181))</f>
        <v/>
      </c>
      <c r="N7" s="7" t="str">
        <f aca="false">IF(E7=0,"",MAX('Raw readings'!E152:E181))</f>
        <v/>
      </c>
      <c r="O7" s="7" t="str">
        <f aca="false">IF(E7=0,"",AVERAGE('Raw readings'!H152:H181))</f>
        <v/>
      </c>
      <c r="P7" s="3" t="n">
        <f aca="false">COUNTIF('Raw readings'!F152:F181,"OUT OF RANGE")</f>
        <v>0</v>
      </c>
    </row>
    <row r="8" customFormat="false" ht="16.4" hidden="false" customHeight="false" outlineLevel="0" collapsed="false">
      <c r="A8" s="2" t="s">
        <v>111</v>
      </c>
      <c r="B8" s="2" t="s">
        <v>110</v>
      </c>
      <c r="C8" s="2" t="n">
        <v>50</v>
      </c>
      <c r="D8" s="2" t="n">
        <f aca="false">E8+F8+G8+H8+P8</f>
        <v>0</v>
      </c>
      <c r="E8" s="2" t="n">
        <f aca="false">COUNT('Raw readings'!E182:E211)</f>
        <v>0</v>
      </c>
      <c r="F8" s="2" t="n">
        <f aca="false">COUNTIF('Raw readings'!F182:F211,"NO ECHO")</f>
        <v>0</v>
      </c>
      <c r="G8" s="2" t="n">
        <f aca="false">COUNTIF('Raw readings'!F182:F211,"ECHO HIGH")</f>
        <v>0</v>
      </c>
      <c r="H8" s="2" t="n">
        <f aca="false">COUNTIF('Raw readings'!F182:F211,"OTHER ERROR")</f>
        <v>0</v>
      </c>
      <c r="I8" s="8" t="str">
        <f aca="false">IF(D8=0,"",E8/D8)</f>
        <v/>
      </c>
      <c r="J8" s="6" t="str">
        <f aca="false">IF(E8=0,"",AVERAGE('Raw readings'!E182:E211))</f>
        <v/>
      </c>
      <c r="K8" s="6" t="str">
        <f aca="false">IF(E8=0,"",J8-C8)</f>
        <v/>
      </c>
      <c r="L8" s="6" t="str">
        <f aca="false">IF(E8&lt;2,"",STDEV('Raw readings'!E182:E211))</f>
        <v/>
      </c>
      <c r="M8" s="6" t="str">
        <f aca="false">IF(E8=0,"",MIN('Raw readings'!E182:E211))</f>
        <v/>
      </c>
      <c r="N8" s="6" t="str">
        <f aca="false">IF(E8=0,"",MAX('Raw readings'!E182:E211))</f>
        <v/>
      </c>
      <c r="O8" s="6" t="str">
        <f aca="false">IF(E8=0,"",AVERAGE('Raw readings'!H182:H211))</f>
        <v/>
      </c>
      <c r="P8" s="2" t="n">
        <f aca="false">COUNTIF('Raw readings'!F182:F211,"OUT OF RANGE")</f>
        <v>0</v>
      </c>
    </row>
    <row r="9" customFormat="false" ht="16.4" hidden="false" customHeight="false" outlineLevel="0" collapsed="false">
      <c r="A9" s="3" t="s">
        <v>112</v>
      </c>
      <c r="B9" s="3" t="s">
        <v>110</v>
      </c>
      <c r="C9" s="3" t="n">
        <v>100</v>
      </c>
      <c r="D9" s="3" t="n">
        <f aca="false">E9+F9+G9+H9+P9</f>
        <v>0</v>
      </c>
      <c r="E9" s="3" t="n">
        <f aca="false">COUNT('Raw readings'!E212:E241)</f>
        <v>0</v>
      </c>
      <c r="F9" s="3" t="n">
        <f aca="false">COUNTIF('Raw readings'!F212:F241,"NO ECHO")</f>
        <v>0</v>
      </c>
      <c r="G9" s="3" t="n">
        <f aca="false">COUNTIF('Raw readings'!F212:F241,"ECHO HIGH")</f>
        <v>0</v>
      </c>
      <c r="H9" s="3" t="n">
        <f aca="false">COUNTIF('Raw readings'!F212:F241,"OTHER ERROR")</f>
        <v>0</v>
      </c>
      <c r="I9" s="9" t="str">
        <f aca="false">IF(D9=0,"",E9/D9)</f>
        <v/>
      </c>
      <c r="J9" s="7" t="str">
        <f aca="false">IF(E9=0,"",AVERAGE('Raw readings'!E212:E241))</f>
        <v/>
      </c>
      <c r="K9" s="7" t="str">
        <f aca="false">IF(E9=0,"",J9-C9)</f>
        <v/>
      </c>
      <c r="L9" s="7" t="str">
        <f aca="false">IF(E9&lt;2,"",STDEV('Raw readings'!E212:E241))</f>
        <v/>
      </c>
      <c r="M9" s="7" t="str">
        <f aca="false">IF(E9=0,"",MIN('Raw readings'!E212:E241))</f>
        <v/>
      </c>
      <c r="N9" s="7" t="str">
        <f aca="false">IF(E9=0,"",MAX('Raw readings'!E212:E241))</f>
        <v/>
      </c>
      <c r="O9" s="7" t="str">
        <f aca="false">IF(E9=0,"",AVERAGE('Raw readings'!H212:H241))</f>
        <v/>
      </c>
      <c r="P9" s="3" t="n">
        <f aca="false">COUNTIF('Raw readings'!F212:F241,"OUT OF RANGE")</f>
        <v>0</v>
      </c>
    </row>
    <row r="10" customFormat="false" ht="16.4" hidden="false" customHeight="false" outlineLevel="0" collapsed="false">
      <c r="A10" s="2" t="s">
        <v>113</v>
      </c>
      <c r="B10" s="2" t="s">
        <v>110</v>
      </c>
      <c r="C10" s="2" t="n">
        <v>150</v>
      </c>
      <c r="D10" s="2" t="n">
        <f aca="false">E10+F10+G10+H10+P10</f>
        <v>0</v>
      </c>
      <c r="E10" s="2" t="n">
        <f aca="false">COUNT('Raw readings'!E242:E271)</f>
        <v>0</v>
      </c>
      <c r="F10" s="2" t="n">
        <f aca="false">COUNTIF('Raw readings'!F242:F271,"NO ECHO")</f>
        <v>0</v>
      </c>
      <c r="G10" s="2" t="n">
        <f aca="false">COUNTIF('Raw readings'!F242:F271,"ECHO HIGH")</f>
        <v>0</v>
      </c>
      <c r="H10" s="2" t="n">
        <f aca="false">COUNTIF('Raw readings'!F242:F271,"OTHER ERROR")</f>
        <v>0</v>
      </c>
      <c r="I10" s="8" t="str">
        <f aca="false">IF(D10=0,"",E10/D10)</f>
        <v/>
      </c>
      <c r="J10" s="6" t="str">
        <f aca="false">IF(E10=0,"",AVERAGE('Raw readings'!E242:E271))</f>
        <v/>
      </c>
      <c r="K10" s="6" t="str">
        <f aca="false">IF(E10=0,"",J10-C10)</f>
        <v/>
      </c>
      <c r="L10" s="6" t="str">
        <f aca="false">IF(E10&lt;2,"",STDEV('Raw readings'!E242:E271))</f>
        <v/>
      </c>
      <c r="M10" s="6" t="str">
        <f aca="false">IF(E10=0,"",MIN('Raw readings'!E242:E271))</f>
        <v/>
      </c>
      <c r="N10" s="6" t="str">
        <f aca="false">IF(E10=0,"",MAX('Raw readings'!E242:E271))</f>
        <v/>
      </c>
      <c r="O10" s="6" t="str">
        <f aca="false">IF(E10=0,"",AVERAGE('Raw readings'!H242:H271))</f>
        <v/>
      </c>
      <c r="P10" s="2" t="n">
        <f aca="false">COUNTIF('Raw readings'!F242:F271,"OUT OF RANGE")</f>
        <v>0</v>
      </c>
    </row>
    <row r="11" customFormat="false" ht="16.4" hidden="false" customHeight="false" outlineLevel="0" collapsed="false">
      <c r="A11" s="3" t="s">
        <v>114</v>
      </c>
      <c r="B11" s="3" t="s">
        <v>110</v>
      </c>
      <c r="C11" s="3" t="n">
        <v>200</v>
      </c>
      <c r="D11" s="3" t="n">
        <f aca="false">E11+F11+G11+H11+P11</f>
        <v>0</v>
      </c>
      <c r="E11" s="3" t="n">
        <f aca="false">COUNT('Raw readings'!E272:E301)</f>
        <v>0</v>
      </c>
      <c r="F11" s="3" t="n">
        <f aca="false">COUNTIF('Raw readings'!F272:F301,"NO ECHO")</f>
        <v>0</v>
      </c>
      <c r="G11" s="3" t="n">
        <f aca="false">COUNTIF('Raw readings'!F272:F301,"ECHO HIGH")</f>
        <v>0</v>
      </c>
      <c r="H11" s="3" t="n">
        <f aca="false">COUNTIF('Raw readings'!F272:F301,"OTHER ERROR")</f>
        <v>0</v>
      </c>
      <c r="I11" s="9" t="str">
        <f aca="false">IF(D11=0,"",E11/D11)</f>
        <v/>
      </c>
      <c r="J11" s="7" t="str">
        <f aca="false">IF(E11=0,"",AVERAGE('Raw readings'!E272:E301))</f>
        <v/>
      </c>
      <c r="K11" s="7" t="str">
        <f aca="false">IF(E11=0,"",J11-C11)</f>
        <v/>
      </c>
      <c r="L11" s="7" t="str">
        <f aca="false">IF(E11&lt;2,"",STDEV('Raw readings'!E272:E301))</f>
        <v/>
      </c>
      <c r="M11" s="7" t="str">
        <f aca="false">IF(E11=0,"",MIN('Raw readings'!E272:E301))</f>
        <v/>
      </c>
      <c r="N11" s="7" t="str">
        <f aca="false">IF(E11=0,"",MAX('Raw readings'!E272:E301))</f>
        <v/>
      </c>
      <c r="O11" s="7" t="str">
        <f aca="false">IF(E11=0,"",AVERAGE('Raw readings'!H272:H301))</f>
        <v/>
      </c>
      <c r="P11" s="3" t="n">
        <f aca="false">COUNTIF('Raw readings'!F272:F301,"OUT OF RANGE")</f>
        <v>0</v>
      </c>
    </row>
  </sheetData>
  <autoFilter ref="A1:P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  <col collapsed="false" customWidth="true" hidden="false" outlineLevel="0" max="3" min="3" style="0" width="60"/>
    <col collapsed="false" customWidth="true" hidden="false" outlineLevel="0" max="4" min="4" style="0" width="70"/>
  </cols>
  <sheetData>
    <row r="1" customFormat="false" ht="36" hidden="false" customHeight="true" outlineLevel="0" collapsed="false">
      <c r="A1" s="1" t="s">
        <v>127</v>
      </c>
      <c r="B1" s="1" t="s">
        <v>128</v>
      </c>
      <c r="C1" s="1" t="s">
        <v>31</v>
      </c>
      <c r="D1" s="1" t="s">
        <v>129</v>
      </c>
    </row>
    <row r="2" customFormat="false" ht="45" hidden="false" customHeight="true" outlineLevel="0" collapsed="false">
      <c r="A2" s="2" t="n">
        <v>1</v>
      </c>
      <c r="B2" s="2" t="s">
        <v>130</v>
      </c>
      <c r="C2" s="2" t="s">
        <v>131</v>
      </c>
      <c r="D2" s="2" t="s">
        <v>132</v>
      </c>
    </row>
    <row r="3" customFormat="false" ht="45" hidden="false" customHeight="true" outlineLevel="0" collapsed="false">
      <c r="A3" s="3" t="n">
        <v>2</v>
      </c>
      <c r="B3" s="3" t="s">
        <v>133</v>
      </c>
      <c r="C3" s="3" t="s">
        <v>134</v>
      </c>
      <c r="D3" s="3" t="s">
        <v>135</v>
      </c>
    </row>
    <row r="4" customFormat="false" ht="45" hidden="false" customHeight="true" outlineLevel="0" collapsed="false">
      <c r="A4" s="2" t="n">
        <v>3</v>
      </c>
      <c r="B4" s="2" t="s">
        <v>136</v>
      </c>
      <c r="C4" s="2" t="s">
        <v>137</v>
      </c>
      <c r="D4" s="2" t="s">
        <v>138</v>
      </c>
    </row>
    <row r="5" customFormat="false" ht="45" hidden="false" customHeight="true" outlineLevel="0" collapsed="false">
      <c r="A5" s="3" t="n">
        <v>4</v>
      </c>
      <c r="B5" s="3" t="s">
        <v>139</v>
      </c>
      <c r="C5" s="3" t="s">
        <v>140</v>
      </c>
      <c r="D5" s="3" t="s">
        <v>141</v>
      </c>
    </row>
    <row r="6" customFormat="false" ht="45" hidden="false" customHeight="true" outlineLevel="0" collapsed="false">
      <c r="A6" s="2" t="n">
        <v>5</v>
      </c>
      <c r="B6" s="2" t="s">
        <v>142</v>
      </c>
      <c r="C6" s="2" t="s">
        <v>143</v>
      </c>
      <c r="D6" s="2" t="s">
        <v>144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10"/>
  </cols>
  <sheetData>
    <row r="1" customFormat="false" ht="16.4" hidden="false" customHeight="false" outlineLevel="0" collapsed="false">
      <c r="A1" s="1" t="s">
        <v>145</v>
      </c>
      <c r="B1" s="1" t="s">
        <v>146</v>
      </c>
    </row>
    <row r="2" customFormat="false" ht="33.75" hidden="false" customHeight="true" outlineLevel="0" collapsed="false">
      <c r="A2" s="3" t="s">
        <v>147</v>
      </c>
      <c r="B2" s="3" t="s">
        <v>148</v>
      </c>
    </row>
    <row r="3" customFormat="false" ht="33.75" hidden="false" customHeight="true" outlineLevel="0" collapsed="false">
      <c r="A3" s="3" t="s">
        <v>149</v>
      </c>
      <c r="B3" s="3" t="s">
        <v>150</v>
      </c>
    </row>
    <row r="4" customFormat="false" ht="33.75" hidden="false" customHeight="true" outlineLevel="0" collapsed="false">
      <c r="A4" s="3" t="s">
        <v>151</v>
      </c>
      <c r="B4" s="3" t="s">
        <v>152</v>
      </c>
    </row>
    <row r="5" customFormat="false" ht="33.75" hidden="false" customHeight="true" outlineLevel="0" collapsed="false">
      <c r="A5" s="3" t="s">
        <v>153</v>
      </c>
      <c r="B5" s="3" t="s">
        <v>154</v>
      </c>
    </row>
    <row r="6" customFormat="false" ht="33.75" hidden="false" customHeight="true" outlineLevel="0" collapsed="false">
      <c r="A6" s="3" t="s">
        <v>155</v>
      </c>
      <c r="B6" s="3" t="s">
        <v>156</v>
      </c>
    </row>
    <row r="7" customFormat="false" ht="33.75" hidden="false" customHeight="true" outlineLevel="0" collapsed="false">
      <c r="A7" s="3" t="s">
        <v>157</v>
      </c>
      <c r="B7" s="3" t="s">
        <v>158</v>
      </c>
    </row>
    <row r="8" customFormat="false" ht="33.75" hidden="false" customHeight="true" outlineLevel="0" collapsed="false">
      <c r="A8" s="3" t="s">
        <v>159</v>
      </c>
      <c r="B8" s="3" t="s">
        <v>160</v>
      </c>
    </row>
    <row r="9" customFormat="false" ht="33.75" hidden="false" customHeight="true" outlineLevel="0" collapsed="false">
      <c r="A9" s="3" t="s">
        <v>161</v>
      </c>
      <c r="B9" s="3" t="s">
        <v>162</v>
      </c>
    </row>
    <row r="10" customFormat="false" ht="15" hidden="false" customHeight="false" outlineLevel="0" collapsed="false">
      <c r="A10" s="0" t="s">
        <v>163</v>
      </c>
      <c r="B10" s="0" t="s">
        <v>164</v>
      </c>
    </row>
    <row r="11" customFormat="false" ht="15" hidden="false" customHeight="false" outlineLevel="0" collapsed="false">
      <c r="A11" s="0" t="s">
        <v>165</v>
      </c>
      <c r="B11" s="0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2026-09-14T11:36:03Z</dcterms:created>
  <dc:creator>openpyxl</dc:creator>
  <dc:description/>
  <dc:language>en-US</dc:language>
  <cp:lastModifiedBy/>
  <dcterms:modified xsi:type="dcterms:W3CDTF">2026-10-06T23:09:26Z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